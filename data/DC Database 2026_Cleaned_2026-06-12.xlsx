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rvices" sheetId="1" r:id="rId4"/>
    <sheet state="visible" name="Batches" sheetId="2" r:id="rId5"/>
    <sheet state="visible" name="Students" sheetId="3" r:id="rId6"/>
    <sheet state="visible" name="Text_Formats" sheetId="4" r:id="rId7"/>
    <sheet state="visible" name="Currencies" sheetId="5" r:id="rId8"/>
    <sheet state="visible" name="Invoice_Months" sheetId="6" r:id="rId9"/>
    <sheet state="visible" name="Student_Statuses" sheetId="7" r:id="rId10"/>
    <sheet state="visible" name="Canva" sheetId="8" r:id="rId11"/>
    <sheet state="visible" name="Booklets" sheetId="9" r:id="rId12"/>
    <sheet state="visible" name="GCR" sheetId="10" r:id="rId13"/>
    <sheet state="hidden" name="Student_Invoices" sheetId="11" r:id="rId14"/>
    <sheet state="visible" name="Staff_Payments" sheetId="12" r:id="rId15"/>
    <sheet state="visible" name="Recruits" sheetId="13" r:id="rId16"/>
    <sheet state="hidden" name="Backlog" sheetId="14" r:id="rId17"/>
    <sheet state="visible" name="Sprints" sheetId="15" r:id="rId18"/>
    <sheet state="visible" name="Team" sheetId="16" r:id="rId19"/>
  </sheets>
  <definedNames/>
  <calcPr/>
  <extLst>
    <ext uri="GoogleSheetsCustomDataVersion2">
      <go:sheetsCustomData xmlns:go="http://customooxmlschemas.google.com/" r:id="rId20" roundtripDataChecksum="zA8+mKdnJe28qImCGhr4zfYe/zQkvncgAawnLivegEg="/>
    </ext>
  </extLst>
</workbook>
</file>

<file path=xl/sharedStrings.xml><?xml version="1.0" encoding="utf-8"?>
<sst xmlns="http://schemas.openxmlformats.org/spreadsheetml/2006/main" count="7921" uniqueCount="2635">
  <si>
    <t>Batch</t>
  </si>
  <si>
    <t>Board</t>
  </si>
  <si>
    <t>Course/Class</t>
  </si>
  <si>
    <t>Subject Code</t>
  </si>
  <si>
    <t>Subject Name</t>
  </si>
  <si>
    <t>Full Subject Name</t>
  </si>
  <si>
    <t>Instructor</t>
  </si>
  <si>
    <t>Currency</t>
  </si>
  <si>
    <t>Rate</t>
  </si>
  <si>
    <t>T2</t>
  </si>
  <si>
    <t>Cambridge</t>
  </si>
  <si>
    <t>IGCSE</t>
  </si>
  <si>
    <t>0417</t>
  </si>
  <si>
    <t>Information &amp; Communication Technology</t>
  </si>
  <si>
    <t>Muhammad Ahmar Noman</t>
  </si>
  <si>
    <t>PKR</t>
  </si>
  <si>
    <t>0450</t>
  </si>
  <si>
    <t>Business Studies</t>
  </si>
  <si>
    <t>0455</t>
  </si>
  <si>
    <t>Economics</t>
  </si>
  <si>
    <t>0478</t>
  </si>
  <si>
    <t>Computer Science</t>
  </si>
  <si>
    <t>0500</t>
  </si>
  <si>
    <t>First Language English</t>
  </si>
  <si>
    <t>0510</t>
  </si>
  <si>
    <t>English as a Second Language</t>
  </si>
  <si>
    <t>0580</t>
  </si>
  <si>
    <t>Mathematics</t>
  </si>
  <si>
    <t>T3</t>
  </si>
  <si>
    <t>SAR</t>
  </si>
  <si>
    <t>0610</t>
  </si>
  <si>
    <t>Biology</t>
  </si>
  <si>
    <t>0620</t>
  </si>
  <si>
    <t>Chemistry</t>
  </si>
  <si>
    <t>0625</t>
  </si>
  <si>
    <t>Physics</t>
  </si>
  <si>
    <t>T4</t>
  </si>
  <si>
    <t>English</t>
  </si>
  <si>
    <t>INR</t>
  </si>
  <si>
    <t>Science</t>
  </si>
  <si>
    <t>B18</t>
  </si>
  <si>
    <t>AS-Level</t>
  </si>
  <si>
    <t>9609</t>
  </si>
  <si>
    <t>Business</t>
  </si>
  <si>
    <t>Aurneela Ghosh Riddhi</t>
  </si>
  <si>
    <t>B8</t>
  </si>
  <si>
    <t>A-Level</t>
  </si>
  <si>
    <t>9708</t>
  </si>
  <si>
    <t>IB</t>
  </si>
  <si>
    <t>DP</t>
  </si>
  <si>
    <t>USD</t>
  </si>
  <si>
    <t>B14</t>
  </si>
  <si>
    <t>0452</t>
  </si>
  <si>
    <t>Accounting</t>
  </si>
  <si>
    <t>9700</t>
  </si>
  <si>
    <t>Harem Mir</t>
  </si>
  <si>
    <t>Mohammad Shahid Akhtar</t>
  </si>
  <si>
    <t>AED</t>
  </si>
  <si>
    <t>C13</t>
  </si>
  <si>
    <t>GBP</t>
  </si>
  <si>
    <t>C16</t>
  </si>
  <si>
    <t>T5</t>
  </si>
  <si>
    <t>English as a Second language</t>
  </si>
  <si>
    <t>MYR</t>
  </si>
  <si>
    <t>B14 Cambridge IGCSE 0620 Chemistry - INR Saksham</t>
  </si>
  <si>
    <t>8021</t>
  </si>
  <si>
    <t>English General Paper</t>
  </si>
  <si>
    <t>B8 Cambridge AS-Level 8021 English General Paper - GBP</t>
  </si>
  <si>
    <t>9093</t>
  </si>
  <si>
    <t>English Language</t>
  </si>
  <si>
    <t>9239</t>
  </si>
  <si>
    <t>Global Perspectives &amp; Research</t>
  </si>
  <si>
    <t>9618</t>
  </si>
  <si>
    <t>9626</t>
  </si>
  <si>
    <t>Information Technology</t>
  </si>
  <si>
    <t>9695</t>
  </si>
  <si>
    <t>Literature in English</t>
  </si>
  <si>
    <t>English Literature</t>
  </si>
  <si>
    <t>9701</t>
  </si>
  <si>
    <t>C15</t>
  </si>
  <si>
    <t>C17</t>
  </si>
  <si>
    <t>Edexcel</t>
  </si>
  <si>
    <t>C18</t>
  </si>
  <si>
    <t>C18 Cambridge A-Level 9701 Chemistry - GBP</t>
  </si>
  <si>
    <t>C19</t>
  </si>
  <si>
    <t>9702</t>
  </si>
  <si>
    <t>C14</t>
  </si>
  <si>
    <t>9709</t>
  </si>
  <si>
    <t>Further Mathematics</t>
  </si>
  <si>
    <t>Mathematics: Mechanics 1</t>
  </si>
  <si>
    <t>Mathematics: Pure 1</t>
  </si>
  <si>
    <t>Mathematics: Pure 3</t>
  </si>
  <si>
    <t>Mathematics: Statistics 1</t>
  </si>
  <si>
    <t>Mathematics: Statistics 2</t>
  </si>
  <si>
    <t>C3</t>
  </si>
  <si>
    <t>OCR</t>
  </si>
  <si>
    <t>GCSE</t>
  </si>
  <si>
    <t>J277</t>
  </si>
  <si>
    <t>B13</t>
  </si>
  <si>
    <t>KSA</t>
  </si>
  <si>
    <t>Qudrat GAT</t>
  </si>
  <si>
    <t>Math</t>
  </si>
  <si>
    <t>C11</t>
  </si>
  <si>
    <t>College Board</t>
  </si>
  <si>
    <t>SAT</t>
  </si>
  <si>
    <t>C12</t>
  </si>
  <si>
    <t>C4</t>
  </si>
  <si>
    <t>DC</t>
  </si>
  <si>
    <t>Quantum AI</t>
  </si>
  <si>
    <t>SGD</t>
  </si>
  <si>
    <t>C6</t>
  </si>
  <si>
    <t>Singapore</t>
  </si>
  <si>
    <t>ACT</t>
  </si>
  <si>
    <t>C20</t>
  </si>
  <si>
    <t>C21</t>
  </si>
  <si>
    <t>ICT</t>
  </si>
  <si>
    <t>IMO Mathematics</t>
  </si>
  <si>
    <t>C22</t>
  </si>
  <si>
    <t>DTU</t>
  </si>
  <si>
    <t>BTech</t>
  </si>
  <si>
    <t>C23</t>
  </si>
  <si>
    <t>IMAT</t>
  </si>
  <si>
    <t>C24</t>
  </si>
  <si>
    <t>AQA</t>
  </si>
  <si>
    <t>AP</t>
  </si>
  <si>
    <t>Computer Science Priniciples</t>
  </si>
  <si>
    <t>IDP</t>
  </si>
  <si>
    <t>IELTS</t>
  </si>
  <si>
    <t>Counseling Session</t>
  </si>
  <si>
    <t>Atiqa Fatima</t>
  </si>
  <si>
    <t>Syed Muhammad Murtaza</t>
  </si>
  <si>
    <t>Status</t>
  </si>
  <si>
    <t>Students</t>
  </si>
  <si>
    <t>B10</t>
  </si>
  <si>
    <t>B11</t>
  </si>
  <si>
    <t>B12</t>
  </si>
  <si>
    <t>Active</t>
  </si>
  <si>
    <t>Manya Agarwal, Brighty Bejoy, Ibrahim Kamal Pasha, Muhammed IMTIYAZ, Aliya Wazir, Faraz, Shifa Adnan</t>
  </si>
  <si>
    <t>B15</t>
  </si>
  <si>
    <t>B16</t>
  </si>
  <si>
    <t>Inactive</t>
  </si>
  <si>
    <t>B4</t>
  </si>
  <si>
    <t>Zahra Rasheed</t>
  </si>
  <si>
    <t>Steve Rex, Noya Mahasin, Howard Lim</t>
  </si>
  <si>
    <t>B9</t>
  </si>
  <si>
    <t>C1</t>
  </si>
  <si>
    <t>C10</t>
  </si>
  <si>
    <t>Pritika Deb</t>
  </si>
  <si>
    <t>Hafsah</t>
  </si>
  <si>
    <t>Al Aqmar Jamnagarwalla, Asrar Ahmad Shah</t>
  </si>
  <si>
    <t>C2</t>
  </si>
  <si>
    <t>Wajd</t>
  </si>
  <si>
    <t>Zahra Zahra</t>
  </si>
  <si>
    <t>Vaishak</t>
  </si>
  <si>
    <t>Yajna Gopalan</t>
  </si>
  <si>
    <t>C5</t>
  </si>
  <si>
    <t>C7</t>
  </si>
  <si>
    <t>C8</t>
  </si>
  <si>
    <t>C9</t>
  </si>
  <si>
    <t>Besly Bejoy, Afeez Abduljaleel, Adithya Aji</t>
  </si>
  <si>
    <t>Faraz</t>
  </si>
  <si>
    <t>T6</t>
  </si>
  <si>
    <t>C25</t>
  </si>
  <si>
    <t>C26</t>
  </si>
  <si>
    <t>C27</t>
  </si>
  <si>
    <t>C28</t>
  </si>
  <si>
    <t>C29</t>
  </si>
  <si>
    <t>C30</t>
  </si>
  <si>
    <t>C31</t>
  </si>
  <si>
    <t>C32</t>
  </si>
  <si>
    <t>Student ID</t>
  </si>
  <si>
    <t>Student Name</t>
  </si>
  <si>
    <t>Timesheet</t>
  </si>
  <si>
    <t>Time Zone</t>
  </si>
  <si>
    <t>WhatsApp Number</t>
  </si>
  <si>
    <t>Parent WhatsApp Number</t>
  </si>
  <si>
    <t>Email</t>
  </si>
  <si>
    <t>School</t>
  </si>
  <si>
    <t>Group</t>
  </si>
  <si>
    <t>GCR</t>
  </si>
  <si>
    <t>Schedule</t>
  </si>
  <si>
    <t>Notes</t>
  </si>
  <si>
    <t>Progress Tracker</t>
  </si>
  <si>
    <t>Location</t>
  </si>
  <si>
    <t>Rania Sami</t>
  </si>
  <si>
    <t>https://docs.google.com/spreadsheets/d/1dhv1_0hiSfoJkU5-kznEk8hxhkwQ_PPbDUjKyY-2_FA/edit?usp=drivesdk</t>
  </si>
  <si>
    <t>rania.sami+student.email@divergencie.co.uk</t>
  </si>
  <si>
    <t>Coreen Estico</t>
  </si>
  <si>
    <t>SCR</t>
  </si>
  <si>
    <t>https://docs.google.com/spreadsheets/d/1MBnckGwAVpeOaHqFblCPDekC-O9N-cVpGJwrwnfWZKo/edit?usp=drivesdk</t>
  </si>
  <si>
    <t>coreen.estico+student.email@divergencie.co.uk</t>
  </si>
  <si>
    <t>Jotham</t>
  </si>
  <si>
    <t>B3</t>
  </si>
  <si>
    <t>https://docs.google.com/spreadsheets/d/1Ek1ocKSKtpNFbSRVqwTJR1uKq5PmVlwORzBtT1zUBK8/edit?usp=drivesdk</t>
  </si>
  <si>
    <t>jotham+student.email@divergencie.co.uk</t>
  </si>
  <si>
    <t>Shrey Agarwal</t>
  </si>
  <si>
    <t>https://docs.google.com/spreadsheets/d/1ok1234jufTF6gmNQnYrL3veVUwwWkNf5KBqw1_1fJQI/edit?usp=drivesdk</t>
  </si>
  <si>
    <t>shrey.agarwal+student.email@divergencie.co.uk</t>
  </si>
  <si>
    <t>Niranjana Aji</t>
  </si>
  <si>
    <t>https://docs.google.com/spreadsheets/d/1cwlrPtruw_Yxu_yjTUYGpV5y4V1Ss0myVlmQTxmjGNA/edit?usp=drivesdk</t>
  </si>
  <si>
    <t>niranjana.aji+student.email@divergencie.co.uk</t>
  </si>
  <si>
    <t>Dhruv Vamshi</t>
  </si>
  <si>
    <t>https://docs.google.com/spreadsheets/d/1uSfl89DcmB4vZrOx3slZtMyf0-JRzrd9mFzSYFEuaBI/edit?usp=drivesdk</t>
  </si>
  <si>
    <t>dhruv.vamshi+student.email@divergencie.co.uk</t>
  </si>
  <si>
    <t>Maanvi Mittal</t>
  </si>
  <si>
    <t>https://docs.google.com/spreadsheets/d/13w-mdUlWXCfTCybWBzjAdeK_XcCezFtB3cF6d_D1Xts/edit?usp=drivesdk</t>
  </si>
  <si>
    <t>maanvi.mittal+student.email@divergencie.co.uk</t>
  </si>
  <si>
    <t>https://docs.google.com/spreadsheets/d/1mrtBKXnkKr7mQSZHJi4Ag6EbVtWFEPlVXMhpkf-mch0/edit?usp=drivesdk</t>
  </si>
  <si>
    <t>zahra.rasheed+student.email@divergencie.co.uk</t>
  </si>
  <si>
    <t>Ayaan Kanwar</t>
  </si>
  <si>
    <t>https://docs.google.com/spreadsheets/d/1TsKeYt8EVBaix_aaiq1yt2yEz5N-8KWPXI42eZKop48/edit?usp=drivesdk</t>
  </si>
  <si>
    <t>ayaan.kanwar+student.email@divergencie.co.uk</t>
  </si>
  <si>
    <t>Neha Harkut</t>
  </si>
  <si>
    <t>https://docs.google.com/spreadsheets/d/19QvIZ6STExSmer5do2t3kfsDC9-990tKm2gH094a4YQ/edit?usp=drivesdk</t>
  </si>
  <si>
    <t>neha.harkut+student.email@divergencie.co.uk</t>
  </si>
  <si>
    <t>Aditya Bansal</t>
  </si>
  <si>
    <t>https://docs.google.com/spreadsheets/d/12cuzlS9Re5KNBYD1uzsHowB6_GfJEPue3dnH3_-7N_A/edit?usp=drivesdk</t>
  </si>
  <si>
    <t>aditya.bansal+student.email@divergencie.co.uk</t>
  </si>
  <si>
    <t>Anas Shareef</t>
  </si>
  <si>
    <t>https://docs.google.com/spreadsheets/d/1-qFC3ijuqkXx-Yktdd5g3RTShhCUhiovMvnOhOWYgtc/edit?usp=drivesdk</t>
  </si>
  <si>
    <t>anas.shareef+student.email@divergencie.co.uk</t>
  </si>
  <si>
    <t>Rachit Sonthalia</t>
  </si>
  <si>
    <t>https://docs.google.com/spreadsheets/d/1d98j9l1a6mbyHeXQKqOeDyOnrCTXhsUF5oEYxU7rK04/edit?usp=drivesdk</t>
  </si>
  <si>
    <t>rachit.sonthalia+student.email@divergencie.co.uk</t>
  </si>
  <si>
    <t>Adithya Aji</t>
  </si>
  <si>
    <t>https://docs.google.com/spreadsheets/d/1HCAEgGKUH47cqe4_dg9RmSEO6LARaTYcgIeFvwxs46A/edit?usp=drivesdk</t>
  </si>
  <si>
    <t>adithya.aji+student.email@divergencie.co.uk</t>
  </si>
  <si>
    <t>Sara Kadwani</t>
  </si>
  <si>
    <t>https://docs.google.com/spreadsheets/d/14_fQTSTAr-avVBRNFGSNv-iDYOwOQcS5_aMw6Sf8sDU/edit?usp=drivesdk</t>
  </si>
  <si>
    <t>sara.kadwani+student.email@divergencie.co.uk</t>
  </si>
  <si>
    <t>Safa Rasheed</t>
  </si>
  <si>
    <t>https://docs.google.com/spreadsheets/d/1KKYzMNIiv6a6DjFgCJoczwtEQHX1DSYD0rjEtEKIyV0/edit?usp=drivesdk</t>
  </si>
  <si>
    <t>safa.rasheed+student.email@divergencie.co.uk</t>
  </si>
  <si>
    <t>Lula Abraham</t>
  </si>
  <si>
    <t>https://docs.google.com/spreadsheets/d/1vmg-8nNwFux-VnzDU8w7onwsE45fBIiwGVUXXsCG4e8/edit?usp=drivesdk</t>
  </si>
  <si>
    <t>lula.abraham+student.email@divergencie.co.uk</t>
  </si>
  <si>
    <t>Diyana Abraham</t>
  </si>
  <si>
    <t>https://docs.google.com/spreadsheets/d/1uxnekuhIZYdtmnmC3GgLoOzIr_A0B2L6dxTumucZMKc/edit?usp=drivesdk</t>
  </si>
  <si>
    <t>diyana.abraham+student.email@divergencie.co.uk</t>
  </si>
  <si>
    <t>Najla Salih</t>
  </si>
  <si>
    <t>https://docs.google.com/spreadsheets/d/13pQ3773A5siqJx-TxnAocKKueKbmemH6mPob7FF3q2o/edit?usp=drivesdk</t>
  </si>
  <si>
    <t>najla.salih+student.email@divergencie.co.uk</t>
  </si>
  <si>
    <t>Mawaddah Haitham</t>
  </si>
  <si>
    <t>https://docs.google.com/spreadsheets/d/1QUU3GfWrtndX6SNo4udbbmaQlIGEdy9wdNLomC7Jqw8/edit?usp=drivesdk</t>
  </si>
  <si>
    <t>mawaddah.haitham+student.email@divergencie.co.uk</t>
  </si>
  <si>
    <t>Amena Muskan</t>
  </si>
  <si>
    <t>https://docs.google.com/spreadsheets/d/1y4KEVOpvwF1yMsK-Ed-JOdp00qz6sHUc5ZzrlpehPkE/edit?usp=drivesdk</t>
  </si>
  <si>
    <t>amena.muskan+student.email@divergencie.co.uk</t>
  </si>
  <si>
    <t>Sumayyah Muhammad</t>
  </si>
  <si>
    <t>https://docs.google.com/spreadsheets/d/1SEaKQUHr3-Vn4yUMQMO3-XuXxwlfupfWiwufbp3hIPg/edit?usp=drivesdk</t>
  </si>
  <si>
    <t>sumayyah.muhammad+student.email@divergencie.co.uk</t>
  </si>
  <si>
    <t>Rana</t>
  </si>
  <si>
    <t>https://docs.google.com/spreadsheets/d/1gduTQ4Ifb4bBbMTskEcbw9ikXxYJ8WWy6mI6VMgX2pM/edit?usp=drivesdk</t>
  </si>
  <si>
    <t>rana+student.email@divergencie.co.uk</t>
  </si>
  <si>
    <t>Rania Kamel</t>
  </si>
  <si>
    <t>https://docs.google.com/spreadsheets/d/19G-sndFnVeLWXfLRbtDrIctzB12iRtCrOdZNSlnuYMg/edit?usp=drivesdk</t>
  </si>
  <si>
    <t>rania.kamel+student.email@divergencie.co.uk</t>
  </si>
  <si>
    <t>Layan Alhothali</t>
  </si>
  <si>
    <t>https://docs.google.com/spreadsheets/d/1pkA1WzUFsIbjbXRRstnqxCf0IOZZKKwX8lUMcfkVrJ0/edit?usp=drivesdk</t>
  </si>
  <si>
    <t>layan.alhothali+student.email@divergencie.co.uk</t>
  </si>
  <si>
    <t>Sai Hrithika</t>
  </si>
  <si>
    <t>https://docs.google.com/spreadsheets/d/1DCNDnuNFOdmhskI79IpKpLMxMsj0FBeEU4EGOmMWB2k/edit?usp=drivesdk</t>
  </si>
  <si>
    <t>sai.hrithika+student.email@divergencie.co.uk</t>
  </si>
  <si>
    <t>Khadijah Bako</t>
  </si>
  <si>
    <t>https://docs.google.com/spreadsheets/d/1blDJgQyrlCXKQd5dmIRdyd4Bzru8AWDJzbqaMaGK_HM/edit?usp=drivesdk</t>
  </si>
  <si>
    <t>khadijah.bako+student.email@divergencie.co.uk</t>
  </si>
  <si>
    <t>Jwan Mohammed</t>
  </si>
  <si>
    <t>https://docs.google.com/spreadsheets/d/1AiIVBRVjWW-OdlziE1693QrqA3Qm5rld5-n9rgk0j9s/edit?usp=drivesdk</t>
  </si>
  <si>
    <t>jwan.mohammed+student.email@divergencie.co.uk</t>
  </si>
  <si>
    <t>Dina Ali</t>
  </si>
  <si>
    <t>https://docs.google.com/spreadsheets/d/1wa-PIeFaqPbhyxFkIxFLrVJinqwEy2lsM3iE-Iaunk0/edit?usp=drivesdk</t>
  </si>
  <si>
    <t>dina.ali+student.email@divergencie.co.uk</t>
  </si>
  <si>
    <t>Rawan Naser</t>
  </si>
  <si>
    <t>https://docs.google.com/spreadsheets/d/1qoNs5wGgkQ0zGHkg_BSzWr_qm0HACR96cxppL2Em4XE/edit?usp=drivesdk</t>
  </si>
  <si>
    <t>rawan.naser+student.email@divergencie.co.uk</t>
  </si>
  <si>
    <t>Ellan</t>
  </si>
  <si>
    <t>https://docs.google.com/spreadsheets/d/1hFGinuDo7_fec-ilkCDSbAAh4yFHUrBU9Nobrvxj0kw/edit?usp=drivesdk</t>
  </si>
  <si>
    <t>ellan+student.email@divergencie.co.uk</t>
  </si>
  <si>
    <t>Faizah</t>
  </si>
  <si>
    <t>https://docs.google.com/spreadsheets/d/1CfYjuK8Ptup8VjgcX4J__BsUNEpkLGq7Ek2cwYADOmc/edit?usp=drivesdk</t>
  </si>
  <si>
    <t>faizah+student.email@divergencie.co.uk</t>
  </si>
  <si>
    <t>Safa Marwah</t>
  </si>
  <si>
    <t>https://docs.google.com/spreadsheets/d/1KSj3MyMlBkItT-eXU1GMXNrXvp8rxn16WtW764Lw8UE/edit?usp=drivesdk</t>
  </si>
  <si>
    <t>safa.marwah+student.email@divergencie.co.uk</t>
  </si>
  <si>
    <t>Fatima</t>
  </si>
  <si>
    <t>https://docs.google.com/spreadsheets/d/1ChRP93hH_n9q-IcfbcoFIaCCNovzvuwsiSzQaJQaiWo/edit?usp=drivesdk</t>
  </si>
  <si>
    <t>fatima+student.email@divergencie.co.uk</t>
  </si>
  <si>
    <t>Seba</t>
  </si>
  <si>
    <t>https://docs.google.com/spreadsheets/d/1QNhTVKz2iK0TxluRdDC3e7V7PJugAudODITzdDh3LL8/edit?usp=drivesdk</t>
  </si>
  <si>
    <t>seba+student.email@divergencie.co.uk</t>
  </si>
  <si>
    <t>Hamsini Upadhyayula</t>
  </si>
  <si>
    <t>https://docs.google.com/spreadsheets/d/1-7lgoxRNUEfVI3aJmG2jD8ypn8ArwBfsmdcgTmCA3e4/edit?usp=drivesdk</t>
  </si>
  <si>
    <t>hamsini.upadhyayula+student.email@divergencie.co.uk</t>
  </si>
  <si>
    <t>Ayisha Abdulaziz</t>
  </si>
  <si>
    <t>https://docs.google.com/spreadsheets/d/1VCiipQtR7a0qJcVGq5HD8FJfnXsYHU1wL0ajHhnCwIs/edit?usp=drivesdk</t>
  </si>
  <si>
    <t>ayisha.abdulaziz+student.email@divergencie.co.uk</t>
  </si>
  <si>
    <t>Nairah Noushad</t>
  </si>
  <si>
    <t>https://docs.google.com/spreadsheets/d/1L4xnVoQk2YtWNXjQscksiHXbBFg9QfbmXNueKFYlROE/edit?usp=drivesdk</t>
  </si>
  <si>
    <t>nairah.noushad+student.email@divergencie.co.uk</t>
  </si>
  <si>
    <t>Mohammed Abdulmonem</t>
  </si>
  <si>
    <t>https://docs.google.com/spreadsheets/d/12Yr2-qPLdKeGjhTBJi_zqFLNClsn3VzBQdBlouMeGpg/edit?usp=drivesdk</t>
  </si>
  <si>
    <t>mohammed.abdulmonem+student.email@divergencie.co.uk</t>
  </si>
  <si>
    <t>Riza Shaheen</t>
  </si>
  <si>
    <t>https://docs.google.com/spreadsheets/d/1q9f6t3Hp6J7hEWlU9wsi3qJRV0rhkSH4vWY7la78dWI/edit?usp=drivesdk</t>
  </si>
  <si>
    <t>riza.shaheen+student.email@divergencie.co.uk</t>
  </si>
  <si>
    <t>Diya Ravipati</t>
  </si>
  <si>
    <t>https://docs.google.com/spreadsheets/d/1yOYQbvB140S1sodATPZ8pkk7X2Qp6no5ugBZnOInak0/edit?usp=drivesdk</t>
  </si>
  <si>
    <t>diya.ravipati+student.email@divergencie.co.uk</t>
  </si>
  <si>
    <t>Maram</t>
  </si>
  <si>
    <t>https://docs.google.com/spreadsheets/d/1yYGyNsw5Pmr4mIL4ssOzhmq99LPPyiPfnq4p2fCs2N0/edit?usp=drivesdk</t>
  </si>
  <si>
    <t>maram+student.email@divergencie.co.uk</t>
  </si>
  <si>
    <t>Yaqeen Idriss</t>
  </si>
  <si>
    <t>https://docs.google.com/spreadsheets/d/1K7KUMKAgcoFUeEkpyFI8me0gvPtLG90ClwV_a8rfeHE/edit?usp=drivesdk</t>
  </si>
  <si>
    <t>yaqeen.idriss+student.email@divergencie.co.uk</t>
  </si>
  <si>
    <t>Ritaj Ahmed</t>
  </si>
  <si>
    <t>https://docs.google.com/spreadsheets/d/11l0rmocQ6ecOJtGE4B7OBoKBS4Zlx3CvMh729nHJ-V8/edit?usp=drivesdk</t>
  </si>
  <si>
    <t>ritaj.ahmed+student.email@divergencie.co.uk</t>
  </si>
  <si>
    <t>Kavish Agarwal</t>
  </si>
  <si>
    <t>https://docs.google.com/spreadsheets/d/1Gvqi81bUlLcT-VFNqAC7FKo3Cyx8n1uShDnyt23bNK0/edit?usp=drivesdk</t>
  </si>
  <si>
    <t>kavish.agarwal+student.email@divergencie.co.uk</t>
  </si>
  <si>
    <t>Ritvik Modani</t>
  </si>
  <si>
    <t>https://docs.google.com/spreadsheets/d/1u-Q_ezGjSTRKa0Z3Vq4rDzaL_AkzAvYyVIdGmfEJmE8/edit?usp=drivesdk</t>
  </si>
  <si>
    <t>ritvik.modani+student.email@divergencie.co.uk</t>
  </si>
  <si>
    <t>Layan Sahli</t>
  </si>
  <si>
    <t>https://docs.google.com/spreadsheets/d/17busmjXSeTjqj3GBv842VhORlC8vqaA3I0f6KyQzYnA/edit?usp=drivesdk</t>
  </si>
  <si>
    <t>layan.sahli+student.email@divergencie.co.uk</t>
  </si>
  <si>
    <t>Basant Gohal</t>
  </si>
  <si>
    <t>https://docs.google.com/spreadsheets/d/1iS-85FKqXAky01xMHoHZJOhb18zVgd55Avyu89y0Ibo/edit?usp=drivesdk</t>
  </si>
  <si>
    <t>basant.gohal+student.email@divergencie.co.uk</t>
  </si>
  <si>
    <t>Ashragat Mohammadin</t>
  </si>
  <si>
    <t>https://docs.google.com/spreadsheets/d/10wMcNsnUNCYNATIY4khLvhuow6WqyM7MWcQloGd_Xv4/edit?usp=drivesdk</t>
  </si>
  <si>
    <t>ashragat.mohammadin+student.email@divergencie.co.uk</t>
  </si>
  <si>
    <t>Aseel Aymen</t>
  </si>
  <si>
    <t>https://docs.google.com/spreadsheets/d/17F11EfgAyViMwQKDHGSP7uPWudSDPQxYPa6lvtBAp04/edit?usp=drivesdk</t>
  </si>
  <si>
    <t>aseel.aymen+student.email@divergencie.co.uk</t>
  </si>
  <si>
    <t>Menna Aymen</t>
  </si>
  <si>
    <t>https://docs.google.com/spreadsheets/d/1gDEH_58WoA1PWOCwK4G7CEhtjWLGb9vMr24d1jrTaNs/edit?usp=drivesdk</t>
  </si>
  <si>
    <t>menna.aymen+student.email@divergencie.co.uk</t>
  </si>
  <si>
    <t>Himani Chourasia</t>
  </si>
  <si>
    <t>https://docs.google.com/spreadsheets/d/1gOHNXrx1Hr_fFXFBDc9cBGvWRkrzpA22a8CzWl8B6dk/edit?usp=drivesdk</t>
  </si>
  <si>
    <t>himani.chourasia+student.email@divergencie.co.uk</t>
  </si>
  <si>
    <t>Noorseen Osman</t>
  </si>
  <si>
    <t>https://docs.google.com/spreadsheets/d/1QPm5e1Ya076_Dhu4uMjyTzVJWTaw_IGlWa1Xonp-8CM/edit?usp=drivesdk</t>
  </si>
  <si>
    <t>noorseen.osman+student.email@divergencie.co.uk</t>
  </si>
  <si>
    <t>Sai Nikhita</t>
  </si>
  <si>
    <t>https://docs.google.com/spreadsheets/d/1fspgqGkbhrlKHZeIdscKjA0tty0Xkg4hEQ65jo3HZBQ/edit?usp=drivesdk</t>
  </si>
  <si>
    <t>sai.nikhita+student.email@divergencie.co.uk</t>
  </si>
  <si>
    <t>Daniel Peter</t>
  </si>
  <si>
    <t>https://docs.google.com/spreadsheets/d/1dGG1McBvaiw3fh8JIFQCNX9ABFYkGM1k6RRPI1ZvBdg/edit?usp=drivesdk</t>
  </si>
  <si>
    <t>daniel.peter+student.email@divergencie.co.uk</t>
  </si>
  <si>
    <t>Debjyoti Sikdar</t>
  </si>
  <si>
    <t>https://docs.google.com/spreadsheets/d/1__bylC8N_ZEHtcpJRl5vrRatcFZKGuSRITcNII5Yj7o/edit?usp=drivesdk</t>
  </si>
  <si>
    <t>debjyoti.sikdar+student.email@divergencie.co.uk</t>
  </si>
  <si>
    <t>Bhawik</t>
  </si>
  <si>
    <t>https://docs.google.com/spreadsheets/d/1smW-loNEI835BOq4_d1x188HuB_PEej4_GNTdfk1f-g/edit?usp=drivesdk</t>
  </si>
  <si>
    <t>bhawik+student.email@divergencie.co.uk</t>
  </si>
  <si>
    <t>Yasir Kaleem</t>
  </si>
  <si>
    <t>https://docs.google.com/spreadsheets/d/1k-4ffVXpL12XrZI1sEhuVAVFEeXLGm3yFhttD-Zb75k/edit?usp=drivesdk</t>
  </si>
  <si>
    <t>yasir.kaleem+student.email@divergencie.co.uk</t>
  </si>
  <si>
    <t>Mudassir Dhanani</t>
  </si>
  <si>
    <t>https://docs.google.com/spreadsheets/d/1oZTGqfvimZ1BHJRzKimTqa0oq-lqLQ2g0EdtbOacyac/edit?usp=drivesdk</t>
  </si>
  <si>
    <t>mudassir.dhanani+student.email@divergencie.co.uk</t>
  </si>
  <si>
    <t>Ikramuddin</t>
  </si>
  <si>
    <t>https://docs.google.com/spreadsheets/d/1iB02cCfWEki6w71Bzfr2-mqeHeCgsJDHFwQuh59IC_U/edit?usp=drivesdk</t>
  </si>
  <si>
    <t>ikramuddin+student.email@divergencie.co.uk</t>
  </si>
  <si>
    <t>Ritvik P</t>
  </si>
  <si>
    <t>https://docs.google.com/spreadsheets/d/16IvJ0Q9cH40lqCFRkw-UyQUxnzXzO08i04cSd8aAGes/edit?usp=drivesdk</t>
  </si>
  <si>
    <t>ritvik.p+student.email@divergencie.co.uk</t>
  </si>
  <si>
    <t>Taahaa Khalifa</t>
  </si>
  <si>
    <t>https://docs.google.com/spreadsheets/d/1WP_b_SX1lgyhjGra453enlXRQNax-mrPJ3QZ5ejjPQw/edit?usp=drivesdk</t>
  </si>
  <si>
    <t>taahaa.khalifa+student.email@divergencie.co.uk</t>
  </si>
  <si>
    <t>Juveria Dhanani</t>
  </si>
  <si>
    <t>https://docs.google.com/spreadsheets/d/1oAv2vfrd8Bk06YG3Rc_sI3j660s0lhr_gabP3z7EKAo/edit?usp=drivesdk</t>
  </si>
  <si>
    <t>juveria.dhanani+student.email@divergencie.co.uk</t>
  </si>
  <si>
    <t>Ayesha Imran</t>
  </si>
  <si>
    <t>https://docs.google.com/spreadsheets/d/1B8riig5oPmNpYQHcwkoP8GTtDAKzt1QWEMe33GPpKeA/edit?usp=drivesdk</t>
  </si>
  <si>
    <t>ayesha.imran+student.email@divergencie.co.uk</t>
  </si>
  <si>
    <t>Geet Panjwani</t>
  </si>
  <si>
    <t>https://docs.google.com/spreadsheets/d/1TFlwjmuHePPuyaboxw_QtuFotGbpIyutUw16X7avwwE/edit?usp=drivesdk</t>
  </si>
  <si>
    <t>geet.panjwani+student.email@divergencie.co.uk</t>
  </si>
  <si>
    <t>Nabeel</t>
  </si>
  <si>
    <t>https://docs.google.com/spreadsheets/d/1QKjFGuj08Ddir91PEGmP2dv1lGauwJWaM9TBiU-Wc_w/edit?usp=drivesdk</t>
  </si>
  <si>
    <t>nabeel+student.email@divergencie.co.uk</t>
  </si>
  <si>
    <t>Yaseen Khalifa</t>
  </si>
  <si>
    <t>https://docs.google.com/spreadsheets/d/1M8KzW0wWCQKGdhO8IS0WfmA0_3PryM17_Dnc0MDPPQk/edit?usp=drivesdk</t>
  </si>
  <si>
    <t>yaseen.khalifa+student.email@divergencie.co.uk</t>
  </si>
  <si>
    <t>Hryday Kedia</t>
  </si>
  <si>
    <t>https://docs.google.com/spreadsheets/d/1I8mHOtf8O0PuGuC_nX1GMqyhdMrMs-JjsrzaAvhNMOQ/edit?usp=drivesdk</t>
  </si>
  <si>
    <t>hryday.kedia+student.email@divergencie.co.uk</t>
  </si>
  <si>
    <t>https://docs.google.com/spreadsheets/d/1W_IEXjMfF4jHesT9n_B-Rv60lb0XLxmtfJOcgcemYVA/edit?usp=drivesdk</t>
  </si>
  <si>
    <t>wajd+student.email@divergencie.co.uk</t>
  </si>
  <si>
    <t>Taleen Hakami</t>
  </si>
  <si>
    <t>https://docs.google.com/spreadsheets/d/1pBO3p0JrSKUOTfqd8XGwFlwuWLfsPx8rPsFxoipmqCM/edit?usp=drivesdk</t>
  </si>
  <si>
    <t>taleen.hakami+student.email@divergencie.co.uk</t>
  </si>
  <si>
    <t>Farah</t>
  </si>
  <si>
    <t>https://docs.google.com/spreadsheets/d/1nJVxv-iu--fScZ6mYUq-8GoGoVrbMzABo_VTxMzSv78/edit?usp=drivesdk</t>
  </si>
  <si>
    <t>farah+student.email@divergencie.co.uk</t>
  </si>
  <si>
    <t>Fajr</t>
  </si>
  <si>
    <t>https://docs.google.com/spreadsheets/d/1XFawn1geBhh8OUs2LRzAj4gjoC0wUmzeY48ulRd06dA/edit?usp=drivesdk</t>
  </si>
  <si>
    <t>fajr+student.email@divergencie.co.uk</t>
  </si>
  <si>
    <t>Adeeba</t>
  </si>
  <si>
    <t>https://docs.google.com/spreadsheets/d/1fHUMC9Zb-Eb3eGZicgJF43FJJq72bc18ZFh27NZOKDQ/edit?usp=drive_link</t>
  </si>
  <si>
    <t>adeeba+student.email@divergencie.co.uk</t>
  </si>
  <si>
    <t>Shubh Kalra</t>
  </si>
  <si>
    <t>https://docs.google.com/spreadsheets/d/1-AzrdbuGYaAOmSPL325zALfR6MzrL1jyPNZRqRoSGDc/edit?usp=drivesdk</t>
  </si>
  <si>
    <t>shubh.kalra+student.email@divergencie.co.uk</t>
  </si>
  <si>
    <t>Taha Siddiqui</t>
  </si>
  <si>
    <t>https://docs.google.com/spreadsheets/d/1ZRV4qSwhPvaTveh1JFAR-sGPuaBf36TuhwrY_r20pgk/edit?usp=drivesdk</t>
  </si>
  <si>
    <t>taha.siddiqui+student.email@divergencie.co.uk</t>
  </si>
  <si>
    <t>Tooba Naveed</t>
  </si>
  <si>
    <t>https://docs.google.com/spreadsheets/d/1-ofHBsBUG5dDKMVd-h6bqY2yQKAr8rrMA9TKNyDFp-4/edit?usp=drivesdk</t>
  </si>
  <si>
    <t>tooba.naveed+student.email@divergencie.co.uk</t>
  </si>
  <si>
    <t>Ayra Shareef</t>
  </si>
  <si>
    <t>https://docs.google.com/spreadsheets/d/1b1VclikjSZmlVF7niocJKt75qZO7ZDlwWgdk1Jqwz7Y/edit?usp=drivesdk</t>
  </si>
  <si>
    <t>ayra.shareef+student.email@divergencie.co.uk</t>
  </si>
  <si>
    <t>Sree</t>
  </si>
  <si>
    <t>https://docs.google.com/spreadsheets/d/1dtW7oFfvpElDkllLiiHoaMnt-tS9VEfDmmi2qcmtJww/edit?usp=drivesdk</t>
  </si>
  <si>
    <t>sree+student.email@divergencie.co.uk</t>
  </si>
  <si>
    <t>Arafat</t>
  </si>
  <si>
    <t>https://docs.google.com/spreadsheets/d/1nWvS3kRwOU1qzAjehRmKQFzjveNqvTt3g39OlO1-f0A/edit?usp=drivesdk</t>
  </si>
  <si>
    <t>arafat+student.email@divergencie.co.uk</t>
  </si>
  <si>
    <t>https://docs.google.com/spreadsheets/d/1sI4kSiP6Yr_aAiiM00cYSXQdp61jJXGs7fhW6jUpGns/edit?usp=drive_link</t>
  </si>
  <si>
    <t>vaishak+student.email@divergencie.co.uk</t>
  </si>
  <si>
    <t>Tala Hakami</t>
  </si>
  <si>
    <t>https://docs.google.com/spreadsheets/d/15HnreLzm-Ecm1ylxMX_5GuDc3yDsCGYDvnaMITyURwo/edit?usp=drivesdk</t>
  </si>
  <si>
    <t>tala.hakami+student.email@divergencie.co.uk</t>
  </si>
  <si>
    <t>Sofiya Rawal</t>
  </si>
  <si>
    <t>https://docs.google.com/spreadsheets/d/1rk948Ezw59id0VCJehXxJkw5J5yAVv5yAESGwJTOweI/edit?usp=drivesdk</t>
  </si>
  <si>
    <t>sofiya.rawal+student.email@divergencie.co.uk</t>
  </si>
  <si>
    <t>Saksham</t>
  </si>
  <si>
    <t>https://docs.google.com/spreadsheets/d/1p1Vvqj825F2ee0qC9FtB7DAE_BbKg24V5-noJFuscZg/edit?usp=drivesdk</t>
  </si>
  <si>
    <t>saksham+student.email@divergencie.co.uk</t>
  </si>
  <si>
    <t>Sarah</t>
  </si>
  <si>
    <t>https://docs.google.com/spreadsheets/d/1AyUNcORAgM4RXuWSOrNMK4nL0bKK7bJZqEL0YpOZ0qg/edit?usp=drivesdk</t>
  </si>
  <si>
    <t>sarah+student.email@divergencie.co.uk</t>
  </si>
  <si>
    <t>Marium Rehman</t>
  </si>
  <si>
    <t>https://docs.google.com/spreadsheets/d/1ItKf23mMj0lhg6a6cZ037Q_dPYggL9HZC_zsQpb2o7o/edit?usp=drivesdk</t>
  </si>
  <si>
    <t>marium.rehman+student.email@divergencie.co.uk</t>
  </si>
  <si>
    <t>Heba Alomar</t>
  </si>
  <si>
    <t>https://docs.google.com/spreadsheets/d/1Wy_5PdDGRNprxEPAVvEJCX0L52gNo_T86AfEnMsR5qo/edit?usp=drivesdk</t>
  </si>
  <si>
    <t>heba.alomar+student.email@divergencie.co.uk</t>
  </si>
  <si>
    <t>Ayza Shareef</t>
  </si>
  <si>
    <t>https://docs.google.com/spreadsheets/d/1IiZKDKAzysMoyv55T188ECuyI4xipdS4gUrWLGziOOE/edit?usp=drivesdk</t>
  </si>
  <si>
    <t>ayza.shareef+student.email@divergencie.co.uk</t>
  </si>
  <si>
    <t>Layan Abdelmonem</t>
  </si>
  <si>
    <t>https://docs.google.com/spreadsheets/d/13FLgMpIsEMyDZU4qymyN4vKorHQ9l_6gjK8lxO_um3U/edit?usp=drivesdk</t>
  </si>
  <si>
    <t>layan.abdelmonem+student.email@divergencie.co.uk</t>
  </si>
  <si>
    <t>Abdurrahman</t>
  </si>
  <si>
    <t>https://docs.google.com/spreadsheets/d/1jmaaXV9T_2HlWQV5L5Gwe-DZBbfsM5PPp2a7yPWFBjM/edit?usp=drivesdk</t>
  </si>
  <si>
    <t>abdurrahman+student.email@divergencie.co.uk</t>
  </si>
  <si>
    <t>Agamjot</t>
  </si>
  <si>
    <t>https://docs.google.com/spreadsheets/d/1JHMvIS-cRA7FBoTFMzfHluJNg5xfHfzbioJhwQ8HA4U/edit?usp=drivesdk</t>
  </si>
  <si>
    <t>agamjot+student.email@divergencie.co.uk</t>
  </si>
  <si>
    <t>Vatsal Abrols</t>
  </si>
  <si>
    <t>https://docs.google.com/spreadsheets/d/17D0H8LMHSWJdbwWbrNbfMuVYvVrph9GDLZFDcockJm4/edit?usp=drive_link</t>
  </si>
  <si>
    <t>vatsal.abrols+student.email@divergencie.co.uk</t>
  </si>
  <si>
    <t>Zakir Osama</t>
  </si>
  <si>
    <t>https://docs.google.com/spreadsheets/d/1XVIDumlA3PATMBV366U9qd-P4fLOt5lMCCKlHUO-is0/edit?usp=drivesdk</t>
  </si>
  <si>
    <t>zakir.osama+student.email@divergencie.co.uk</t>
  </si>
  <si>
    <t>Muzzamil</t>
  </si>
  <si>
    <t>https://docs.google.com/spreadsheets/d/1p3kvdU45ASbSd_bCZq2zm69aHlj--HdsW9Xl6lYBd4A/edit?usp=drivesdk</t>
  </si>
  <si>
    <t>muzzamil+student.email@divergencie.co.uk</t>
  </si>
  <si>
    <t>Nabeeha</t>
  </si>
  <si>
    <t>https://docs.google.com/spreadsheets/d/1xcMjmZq4QtdwMJ1nZWVm88e_YNLX1uWOI6BzvpXXfag/edit?usp=drivesdk</t>
  </si>
  <si>
    <t>nabeeha+student.email@divergencie.co.uk</t>
  </si>
  <si>
    <t>Alberto</t>
  </si>
  <si>
    <t>https://docs.google.com/spreadsheets/d/1hMbJHEOVrEiSfNnD0U3qCnJ0r_w8jR-TBhphadXaBE4/edit?usp=drive_link</t>
  </si>
  <si>
    <t>alberto+student.email@divergencie.co.uk</t>
  </si>
  <si>
    <t>https://docs.google.com/spreadsheets/d/1Ecvrj8YoJjFPYZiZil_1FokNAQP8YXab1NtM3FISgjU/edit?usp=sharing</t>
  </si>
  <si>
    <t xml:space="preserve">Aatif </t>
  </si>
  <si>
    <t>https://docs.google.com/spreadsheets/d/1EcerOxpV2Na3WyJrFgqAZQiMooBBLo6K2mcYcOwDtJ4/edit?usp=drivesdk</t>
  </si>
  <si>
    <t>aatif+student.email@divergencie.co.uk</t>
  </si>
  <si>
    <t>https://docs.google.com/spreadsheets/d/1W2B-wSuM2PC8ux1tnHm-MjrFxzUD22z2KqFTLA4ua-4/edit?usp=drive_link</t>
  </si>
  <si>
    <t>pritika.deb+student.email@divergencie.co.uk</t>
  </si>
  <si>
    <t>https://docs.google.com/spreadsheets/d/1Cj-xU-9AjtjVaeN9j6NgOjGgwIQaiFsjLPNEx66qz50/edit?usp=drivesdk</t>
  </si>
  <si>
    <t>hafsah+student.email@divergencie.co.uk</t>
  </si>
  <si>
    <t>Ritvik Raj Pamidi</t>
  </si>
  <si>
    <t>https://docs.google.com/spreadsheets/d/1xZY6oP8Tq_En3Aq_Ba1YlRIqU74e7WXNpe4X4LmL4qc/edit?usp=drivesdk</t>
  </si>
  <si>
    <t>SGT</t>
  </si>
  <si>
    <t>ritvikrajpamidi@gmail.com</t>
  </si>
  <si>
    <t>Suhani Jain</t>
  </si>
  <si>
    <t>https://docs.google.com/spreadsheets/d/1DjM5X2doRmUvWHdtDlMYFtIO3-seoyCPuNTJ2vskrrw/edit?usp=drivesdk</t>
  </si>
  <si>
    <t>IST</t>
  </si>
  <si>
    <t>suhanijain2212@gmail.com</t>
  </si>
  <si>
    <t>Diniru Dissanayake</t>
  </si>
  <si>
    <t>https://docs.google.com/spreadsheets/d/18fWl5DSpNOvB3Cj142m_mJJQtsqBupm7qnTDCIX-CUc/edit?usp=drivesdk</t>
  </si>
  <si>
    <t>AST</t>
  </si>
  <si>
    <t>sa_dissanayake@yahoo.com</t>
  </si>
  <si>
    <t>Muhammed IMTIYAZ</t>
  </si>
  <si>
    <t>https://docs.google.com/spreadsheets/d/1dqp5-2Txaznqzg8S3i-M5KtK0-GumZEHYOlhoM9dO9Y/edit?usp=drivesdk</t>
  </si>
  <si>
    <t>rehana120221@gmail.com</t>
  </si>
  <si>
    <t>Al Aqmar Jamnagarwalla</t>
  </si>
  <si>
    <t>https://docs.google.com/spreadsheets/d/1qEIxE1-XuwdnpHzLHoCnr6wBVymn_22mjFNs8HPPq3o/edit?usp=drivesdk</t>
  </si>
  <si>
    <t>alaqmarj@gmail.com</t>
  </si>
  <si>
    <t>Jerrin Jaison</t>
  </si>
  <si>
    <t>https://docs.google.com/spreadsheets/d/11hOs-5HHbgUIdxzaTcZbS8gqadtfzouvKYXPfs3io5Y/edit?usp=drivesdk</t>
  </si>
  <si>
    <t>firewhirlz1@gmail.com</t>
  </si>
  <si>
    <t>M Naseef M</t>
  </si>
  <si>
    <t>https://docs.google.com/spreadsheets/d/1NfNK43VThOAPRY86vXL1fFDDG1Ya325H0o5ghvvIyc0/edit?usp=drivesdk</t>
  </si>
  <si>
    <t>md2007mnm@gmail.com</t>
  </si>
  <si>
    <t>Brighty Bejoy</t>
  </si>
  <si>
    <t>https://docs.google.com/spreadsheets/d/1b4aoFP4q9nXBSj11hF0LgLTDFuihtQp6Maj7Je-AQCo/edit?usp=drivesdk</t>
  </si>
  <si>
    <t>bettyelezebeth@gmail.com</t>
  </si>
  <si>
    <t>Besly Bejoy</t>
  </si>
  <si>
    <t>https://docs.google.com/spreadsheets/d/1fGOCS2u9GKnuriTyDlsKWa5QvsAUpqsH4tZaW1ZIdIk/edit?usp=drivesdk</t>
  </si>
  <si>
    <t>Omar BIN ZARRAR</t>
  </si>
  <si>
    <t>https://docs.google.com/spreadsheets/d/1Z7xsqwH3amkElvNdh3Hfa77_Pu8g8UB3GkcU0nStjVI/edit?usp=drivesdk</t>
  </si>
  <si>
    <t>shahlazarrar1@gmail.com</t>
  </si>
  <si>
    <t>Al Ansar Int School</t>
  </si>
  <si>
    <t>Aakaash Nandakumar</t>
  </si>
  <si>
    <t>https://docs.google.com/spreadsheets/d/1LSehiUMH4_pHzn11H3j_PBdMzi0I7oNFENMJabfQ4Hw/edit?usp=drivesdk</t>
  </si>
  <si>
    <t>rajeswari.com@gmail.com</t>
  </si>
  <si>
    <t>Manya Agarwal</t>
  </si>
  <si>
    <t>https://docs.google.com/spreadsheets/d/1iN5PP-Tj7AaJaxz1UL05wchDoeYVTI5MiAvo9WOItmA/edit?usp=drivesdk</t>
  </si>
  <si>
    <t>manyaazno1@gmail.com</t>
  </si>
  <si>
    <t>Joey Feng</t>
  </si>
  <si>
    <t>https://docs.google.com/spreadsheets/d/1KfootIuGJo2DnRwVaCUMwsEZ-lrLmoY7kGT5FUJpQHY/edit?usp=drivesdk</t>
  </si>
  <si>
    <t>fengj133@hotmail.com</t>
  </si>
  <si>
    <t>Heritage</t>
  </si>
  <si>
    <t>Ayaan Khan</t>
  </si>
  <si>
    <t>https://docs.google.com/spreadsheets/d/1O7bTaus7bOrVLpU1M8jYCZIzeH20VkgmsEBcNWBA1OA/edit?usp=drivesdk</t>
  </si>
  <si>
    <t>khansnk000@gmail.com</t>
  </si>
  <si>
    <t>Mayoor School</t>
  </si>
  <si>
    <t>Afeez Abduljaleel</t>
  </si>
  <si>
    <t>https://docs.google.com/spreadsheets/d/1XsGP3ok3b7ScZNvjq7Fn5BJsI6z9C9lebM2FZejpXHI/edit?usp=drivesdk</t>
  </si>
  <si>
    <t>binthabduljaleel34@gmail.com</t>
  </si>
  <si>
    <t>King Fahad School</t>
  </si>
  <si>
    <t xml:space="preserve">Mehreen </t>
  </si>
  <si>
    <t xml:space="preserve">GBP </t>
  </si>
  <si>
    <t>https://docs.google.com/spreadsheets/d/1T1Gvk_PQPHIlzPBD0nfwxVXcXjfFg4iplhKl-59s8Yg/edit?usp=drivesdk</t>
  </si>
  <si>
    <t>CST</t>
  </si>
  <si>
    <t>mehreen+student.email@divergencie.co.uk</t>
  </si>
  <si>
    <t>Sharmira Perkash</t>
  </si>
  <si>
    <t xml:space="preserve">MYR </t>
  </si>
  <si>
    <t>https://docs.google.com/spreadsheets/d/1ni93iUxoUz_AZU2NKJ0aPh1y6KZYWyi6utg6wU1MZGE/edit?usp=drivesdk</t>
  </si>
  <si>
    <t>MYT</t>
  </si>
  <si>
    <t>sharmira.perkash+student.email@divergencie.co.uk</t>
  </si>
  <si>
    <t>https://docs.google.com/spreadsheets/d/1ofMDPCUpG4mu7S5gAB5DAeYUpO0XhmGLrHbF9mfdzJk/edit?usp=drivesdk</t>
  </si>
  <si>
    <t>zahra.zahra+student.email@divergencie.co.uk</t>
  </si>
  <si>
    <t>Noya Mahasin</t>
  </si>
  <si>
    <t>https://docs.google.com/spreadsheets/d/13Z2NQyCH8HD25eD415NTjdJOOE64DcgWrqVtRMHpGIU/edit?usp=drivesdk</t>
  </si>
  <si>
    <t>noya.mahasin+student.email@divergencie.co.uk</t>
  </si>
  <si>
    <t>Steve Rex</t>
  </si>
  <si>
    <t>https://docs.google.com/spreadsheets/d/1gkngIjNKKHnMHYnQF_yveZd_JykrlOqtfWZgeNlKtZE/edit?usp=drivesdk</t>
  </si>
  <si>
    <t>steve.rex+student.email@divergencie.co.uk</t>
  </si>
  <si>
    <t>https://docs.google.com/spreadsheets/d/1AYdWptw8Th5KBkwrrYQzc4maswXLsd_NRrCIshh9Y2Q/edit?usp=drivesdk</t>
  </si>
  <si>
    <t>faraz+student.email@divergencie.co.uk</t>
  </si>
  <si>
    <t xml:space="preserve">Shifa Adnan </t>
  </si>
  <si>
    <t>https://docs.google.com/spreadsheets/d/1fFSVASXkk4tBraP04s_pzbRRkm2EDQ3mXD-Mi1BOks8/edit?usp=drivesdk</t>
  </si>
  <si>
    <t>shifa.adnan+student.email@divergencie.co.uk</t>
  </si>
  <si>
    <t>Hananah Khan</t>
  </si>
  <si>
    <t>https://docs.google.com/spreadsheets/d/1wsgxcOMhU6iNHLq7KHLpUgDtyOxlS_8Nnl-wVIKI3os/edit?usp=drivesdk</t>
  </si>
  <si>
    <t>UAE</t>
  </si>
  <si>
    <t>+971585450302</t>
  </si>
  <si>
    <t>saeeda.riaz@gmail.com</t>
  </si>
  <si>
    <t>Ananya T</t>
  </si>
  <si>
    <t>https://docs.google.com/spreadsheets/d/1Oxg8zo2eqK0k9kUPKqT4XDhKEjtKJJLDClpEbpmHPTc/edit?usp=drivesdk</t>
  </si>
  <si>
    <t xml:space="preserve">+917898009293
</t>
  </si>
  <si>
    <t>goyalruchi12@gmail.com</t>
  </si>
  <si>
    <t>Aliya Wazir</t>
  </si>
  <si>
    <t>https://docs.google.com/spreadsheets/d/15qVa9V-rMyhNao5oMFUMKBAozRIBTSsR4CEOaWRMwXs/edit?usp=drivesdk</t>
  </si>
  <si>
    <t>+917418751783</t>
  </si>
  <si>
    <t>aliya.wazir+student.email@divergencie.co.uk</t>
  </si>
  <si>
    <t>Vriddhi Sonthalia</t>
  </si>
  <si>
    <t>https://docs.google.com/spreadsheets/d/1zO_qMdYJFtbTtcba_aA4EafHeb0CSJKlyem2wzGcbxE/edit?usp=drivesdk</t>
  </si>
  <si>
    <t>+919849067410</t>
  </si>
  <si>
    <t>vriddhi.sonthalia+student.email@divergencie.co.uk</t>
  </si>
  <si>
    <t>Imtiaz</t>
  </si>
  <si>
    <t>https://docs.google.com/spreadsheets/d/1VtH5AbLzzfH0wvHOk0f_sWXGVfNET_rGZNjR32SYp3M/edit?usp=drivesdk</t>
  </si>
  <si>
    <t>imtiaz+student.email@divergencie.co.uk</t>
  </si>
  <si>
    <t>Ritvik Rawat</t>
  </si>
  <si>
    <t>https://docs.google.com/spreadsheets/d/1O_EewbwPl6zpShmtwmZgN53TR1gUDkbb10JBK6gUQNk/edit?usp=drivesdk</t>
  </si>
  <si>
    <t>ritvik.rawat+student.email@divergencie.co.uk</t>
  </si>
  <si>
    <t>Ibrahim Kamal Pasha</t>
  </si>
  <si>
    <t>https://docs.google.com/spreadsheets/d/1x9d0ljye2OouK7jQWxWkdU_ZcP9j_FEoEutvd9rMi2g/edit?usp=drivesdk</t>
  </si>
  <si>
    <t xml:space="preserve">Saudi </t>
  </si>
  <si>
    <t>+966543362128</t>
  </si>
  <si>
    <t>SheftaJamal@Gmail.com</t>
  </si>
  <si>
    <t>BISJ</t>
  </si>
  <si>
    <t>Abdullah Kamal Pasha</t>
  </si>
  <si>
    <t>https://docs.google.com/spreadsheets/d/1e5a6Lrqy5r7j3eT5uIQgn4f-FGGnSzS9lV5zGmlGEUA/edit?usp=drivesdk</t>
  </si>
  <si>
    <t>Asrar Ahmad Shah</t>
  </si>
  <si>
    <t>https://docs.google.com/spreadsheets/d/1d1xJhdetWalAbnkfkf1aYCRCjttRkzuGD1niN3TkmvI/edit?usp=drivesdk</t>
  </si>
  <si>
    <t>+91 6006764995</t>
  </si>
  <si>
    <t>shahasrarahmad@gmail.com</t>
  </si>
  <si>
    <t>AS Level Physics • Referred by Aina Bashir</t>
  </si>
  <si>
    <t>Howard Lim</t>
  </si>
  <si>
    <t>https://docs.google.com/spreadsheets/d/1BzglDzgnpOP_fgL48AKnO_Z29ewhXZVbYqvUVR8d3tc/edit?usp=drivesdk</t>
  </si>
  <si>
    <t>Indonesia</t>
  </si>
  <si>
    <t>+6281281097579</t>
  </si>
  <si>
    <t>howardklim1510@gmail.com</t>
  </si>
  <si>
    <t>Maths</t>
  </si>
  <si>
    <t>Amakie Ematu</t>
  </si>
  <si>
    <t>https://docs.google.com/spreadsheets/d/1m96alep541rzuOLa1Bq4yZaeuAy9ctxGMk_gJtdxRRY/edit?usp=drivesdk</t>
  </si>
  <si>
    <t>akunmereclark@gmail.com</t>
  </si>
  <si>
    <t>AAIS</t>
  </si>
  <si>
    <t>Chemistry
Physics
BIology
Maths
English as a Second Language</t>
  </si>
  <si>
    <t>Ethan</t>
  </si>
  <si>
    <t>NA</t>
  </si>
  <si>
    <t>https://docs.google.com/spreadsheets/d/1c06h0m2azuC27F6MDdGh9H4MZDF-6BalNfyWvmxNXxw/edit?usp=drivesdk</t>
  </si>
  <si>
    <t>ethan+student.email@divergencie.co.uk</t>
  </si>
  <si>
    <t>GMT+2</t>
  </si>
  <si>
    <t>samanthagopalan01@gmail.com</t>
  </si>
  <si>
    <t>Interested in Computer Science classes and resources. Referred by TeacherOn.</t>
  </si>
  <si>
    <t>South Africa</t>
  </si>
  <si>
    <t>Eric Lay</t>
  </si>
  <si>
    <t>GMT+7</t>
  </si>
  <si>
    <t>ericvlay11112008@gmail.com</t>
  </si>
  <si>
    <t>Tunas Bangsa Christian School</t>
  </si>
  <si>
    <t>Interested in Further Mathematics. Referred by Howard.</t>
  </si>
  <si>
    <t>NAME</t>
  </si>
  <si>
    <t>TEXT</t>
  </si>
  <si>
    <t>ALTERNATE TEXT #1</t>
  </si>
  <si>
    <t>USE</t>
  </si>
  <si>
    <t>DATE</t>
  </si>
  <si>
    <t>Privacy Statement</t>
  </si>
  <si>
    <t>We handle your personal information confidentially, strictly following data protection laws, including GDPR. Rest assured, your data will be used only as stated and not shared without your consent, except as required by law. Rest assured, we employ strong security measures to protect against unauthorized access or misuse.</t>
  </si>
  <si>
    <t>Inclusivity Statememt</t>
  </si>
  <si>
    <t>DivergenCIE staff in the UK are from diverse nationalities all over the globe including India, Pakistan, Bangladesh, the US, Australia, etc. Thank you.</t>
  </si>
  <si>
    <t>DC Introduction</t>
  </si>
  <si>
    <t>DivergenCIE Coaching is a team of teachers, examiners and previous Cambridge A-Level Country &amp; World Toppers accepted at prestigious universities in the UK, including the University of Edinburgh, London School of Economics and Imperial College London.</t>
  </si>
  <si>
    <t>Welcome to DC ✨
DivergenCIE Coaching is a team of teachers, examiners and previous Cambridge A-Level Country &amp; World Toppers accepted at prestigious universities in the UK, including the University of Edinburgh, London School of Economics and Imperial College London.</t>
  </si>
  <si>
    <t>Services Offered</t>
  </si>
  <si>
    <t>We specialise in teaching for excellence and high achievement in all major CAIE IGCSE and A-Level subjects. We also have highly respected teachers for SAT, IB and IELTS.
DivergenCIE Study Resources include Yearly and Topical Past Papers Booklets, Detailed A* Notes Booklets for the Latest Syllabus and Cambridge Endorsed Books and Revision Guides.</t>
  </si>
  <si>
    <t>Staff Introduction - Subjects Not Known</t>
  </si>
  <si>
    <t>Good morning! This is Adam from DivergenCIE Coaching. Which subjects would you be open-minded about trying out with us before you fully commit?</t>
  </si>
  <si>
    <t>Staff Introduction - Subjects Known</t>
  </si>
  <si>
    <t>Good evening! This is Adam from DivergenCIE Coaching. We have got your back for acing your exams with flying colours and getting the A*.</t>
  </si>
  <si>
    <t xml:space="preserve">DC Staff Payment Receipt </t>
  </si>
  <si>
    <t>DC Staff Payment 2024 Jul 2nd Payment:
Aurneela Ghosh Riddhi, MYR 173/-
Date paid: Sep 12th, 2024</t>
  </si>
  <si>
    <t>DC Student Payment Acknowledgement</t>
  </si>
  <si>
    <t>We acknowledge the fee payment receipt by Nairah Noushad of INR 30,000/- for the months of 2024 Oct, Nov and Dec. Updated in the system. Timely fee payments help our teachers provide high-quality guidance and mentorship to your child. Thank you for choosing DivergenCIE Coaching! ✨</t>
  </si>
  <si>
    <t>DC Tutoring Format &amp; Rules to Follow</t>
  </si>
  <si>
    <t>DC Fee Reminder - Approaching</t>
  </si>
  <si>
    <t>DC Fee Reminder</t>
  </si>
  <si>
    <t>Good evening! This is a reminder to request for fee payment. Please notify us of the reasons for any delays ASAP! 😊</t>
  </si>
  <si>
    <t>DC Fee Reminder - Late</t>
  </si>
  <si>
    <t>DC Fee Reminder - Final Reminder and Class Cessation Notice</t>
  </si>
  <si>
    <t>📢 URGENT FOLLOW-UP REMINDER
Dear Parents and Students,
This is a FINAL REMINDER to clear all outstanding fees by TODAY, 16th SEPTEMBER or TOMORROW, 17th SEPTEMBER 2024 LATEST ❗
Failure to meet this deadline will result in a late fee penalty and suspension of classes and digital resources. Please ensure all payments are made promptly to avoid disruption.
Kindly email the payment receipt once paid. For any queries, please contact us IMMEDIATELY.
Thank you for your cooperation!
Regards,
DivergenCIE Coaching</t>
  </si>
  <si>
    <t>DC Interview Request</t>
  </si>
  <si>
    <t>Hey Tehreem!
We have an opening for a Cambridge Curriculum Tutor. Your job application looks promising!
Please book a time slot for an interview with us using the link below:
https://calendly.com/divergencie/interviewcall</t>
  </si>
  <si>
    <t>DC Interview What to Expect</t>
  </si>
  <si>
    <t>Please feel free to share your screen or showcase your teaching setup. We are interested in hearing about your experience tutoring students following the Cambridge curriculum, as well as the educational outcomes, including the grades your students have achieved.</t>
  </si>
  <si>
    <t>Invoice Summary</t>
  </si>
  <si>
    <t>DivergenCIE Student Details Export
Student Name: Tooba Naveed
Status: Active
Course: IGCSE
Months:
2024: September,October, November, December, January
Instructor: Mr Akhtar
Subject Rate: SAR 150/-
Total due: SAR 750/-
Due Since: 156 days❗</t>
  </si>
  <si>
    <t>DC Course Structure, AS-Level Chemistry</t>
  </si>
  <si>
    <t>🔬 Discover the World of Chemistry with DivergenCIE Coaching! 🔬
Are you ready to unlock the secrets of atoms, molecules, and chemical reactions? Join DivergenCIE Coaching in our comprehensive 9701 A-Level Chemistry course and explore the fascinating realm of physical, inorganic, and organic chemistry.
🌟 Course Highlights 🌟
Master AS-Level topics: Atomic structure, stoichiometry, chemical bonding, and more!
Dive deep into Physical Chemistry: States of matter, chemical energetics, and electrochemistry. Updated syllabus from 2022 onwards.
Unleash the power of Inorganic Chemistry: Explore the Periodic Table, Group 2, Group 17, and more!
Embrace the world of Organic Chemistry: Study hydrocarbons, halogen compounds, and organic synthesis.
Stay updated with syllabus changes in Polymers, Acids and Bases, and Chemical Energetics from 2022 onwards.
Develop essential analysis skills with analytical techniques.
Engage in hands-on practical skills to enhance your understanding.
🎓 Our Expert Team 🎓
Our experienced and dedicated instructors from prestigious UK universities were World &amp; Country Topperss, with a track record of exceptional results, and will guide you through the curriculum. Benefit from their expertise and receive personalized support to excel in your exams.
💡 Join Us Today! 💡
Don't miss out on this opportunity to build a strong foundation in Chemistry. Enrol now at DivergenCIE Coaching!
📞 Call us at +919650675507 or visit our website at bit.ly/divergencie to register and secure your spot. Limited seats are available!
🔬 DivergenCIE Coaching: Igniting Curiosity, Unleashing Potential! 🔬</t>
  </si>
  <si>
    <t>DC Email Signature</t>
  </si>
  <si>
    <t>Best regards,
DivergenCIE Coaching Team
The information included in this email is confidential and reserved for the named recipient only. You may not share this message or any of its attachments with anyone. Finally, the opinions disclosed by the sender do not have to reflect those of the company, therefore the company shall take no liability for the content of this email. Due to an increased number of support requests we are currently receiving; it may take up to 7 days to receive a response. Thank you for choosing DivergenCIE Coaching!</t>
  </si>
  <si>
    <t>Indian Payment Account Details</t>
  </si>
  <si>
    <t>Account Name - Mohammad Fahim Akhtar
Bank Name - State Bank of India
Account Number - 10137922754
IFSC CODE - SBIN0004652
Branch name - Kathara
DOB - 28/03/1975
Paytm ID - 9650675507@ptsbi</t>
  </si>
  <si>
    <t>DC Recruit Interest - Future Follow up</t>
  </si>
  <si>
    <t xml:space="preserve">
Dear xyz,
We appreciate your interest in the part-time programming tutor position at DivergenCIE. We appreciate your application and will keep it on file. We will contact you if any suitable opportunities arise.
Best Regards,
DivergenCIE
</t>
  </si>
  <si>
    <t>Counselling and University Applications Sessions</t>
  </si>
  <si>
    <t>The fee is GBP 15 / hour for comprehensive student counseling sessions covering academic, career, and personal/social development, individual and group counseling, mental health support, evidence-based assessments (MBTI, CTI, RIASEC, Kuder Career Interests Assessment, Values Scale), university application guidance, personal statement crafting, interview preparation, and tailored assistance to help students achieve their goals.</t>
  </si>
  <si>
    <t>Acknowledgement Message with service</t>
  </si>
  <si>
    <t>CONCATENATE(
  "We acknowledge the fee payment receipt by ", #REF!,  
  " of ", #REF!, " ", #REF!, "/- for ", TEXT(#REF!, "MMM YYYY"),  
  " on ", TEXT(A196,"D MMM YYYY"), " for ",  
  INDEX(SPLIT(#REF!, " "), 1), " ", INDEX(SPLIT(#REF!, " "), 2),  
  ". Updated in the system. Thank you for choosing DivergenCIE Coaching! 💫"
)</t>
  </si>
  <si>
    <t>All due invoices</t>
  </si>
  <si>
    <t>=ARRAYFORMULA(FILTER(INDIRECT("'Student Invoices 2025'!B:U"), (INDIRECT("'Student Invoices 2025'!O:O")=0) * (INDIRECT("'Student Invoices 2025'!O:O")&lt;&gt;"")))</t>
  </si>
  <si>
    <t>Acknowledgement Message without service</t>
  </si>
  <si>
    <t>CONCATENATE(
  "We acknowledge the fee payment receipt by ", #REF!,  
  " of ", #REF!, " ", #REF!, "/- for ", TEXT(#REF!, "MMM YYYY"),  
  " on ", TEXT(A196,"D MMM YYYY"),  
  ". Updated in the system. Thank you for choosing DivergenCIE Coaching! 💫"
)</t>
  </si>
  <si>
    <t>Payment Reminder Message</t>
  </si>
  <si>
    <t>if(OR(L8=0, L8=""),,"https://api.whatsapp.com/send/?phone="&amp; filter('Dropdowns 2025 Jan'!$G$143:$G$242,'Dropdowns 2025 Jan'!$B$143:$B$242=C8) &amp;"&amp;text=" &amp; ENCODEURL(
  "Good evening! Immediate fee payment is required. 😊 On-time fees, smoother studies!" &amp; CHAR(10) &amp; CHAR(10) &amp;
  "DivergenCIE Student Details Export" &amp; CHAR(10) &amp; CHAR(10) &amp;
  "Student Name: " &amp; C8 &amp; CHAR(10) &amp; 
  "Status: " &amp; D8 &amp; CHAR(10) &amp; 
  "Course: " &amp; LEFT(E8,FIND("*",SUBSTITUTE(E8," ","*",3))-1) &amp; CHAR(10) &amp; 
  "Month(s): " &amp; TEXT(M8,"MMM YYYY") &amp; CHAR(10) &amp; 
  "Instructor: Mr Akhtar" &amp; CHAR(10) &amp; CHAR(10) &amp;
  "Total due: " &amp; F8 &amp; " " &amp; L8 &amp; CHAR(10) &amp; CHAR(10) &amp;
  "Official Invoice PDF: " &amp; T8 &amp; CHAR(10) &amp; CHAR(10) &amp;
  "The following are the account details provided by your teacher:" &amp; CHAR(10) &amp; CHAR(10) &amp;
  "CHECK ACCOUNT DETAILS:" &amp; CHAR(10) &amp;
  filter('Dropdowns 2025 Jan'!$B$248:$B$274,'Dropdowns 2025 Jan'!$A$248:$A$274="Indian Payment Account Details") &amp; CHAR(10) &amp; CHAR(10) &amp;
  "Make sure to email the receipt to the team via the official address: DivergenCIE@outlook.com. Thank you! ✨"
) &amp; "&amp;type=phone_number&amp;app_absent=1")</t>
  </si>
  <si>
    <t>To</t>
  </si>
  <si>
    <t>Reverse</t>
  </si>
  <si>
    <t>BHD</t>
  </si>
  <si>
    <t>BDT</t>
  </si>
  <si>
    <t>S. No.</t>
  </si>
  <si>
    <t>Month</t>
  </si>
  <si>
    <t>1</t>
  </si>
  <si>
    <t>Aug_of_2022</t>
  </si>
  <si>
    <t>2</t>
  </si>
  <si>
    <t>Sep_of_2022</t>
  </si>
  <si>
    <t>3</t>
  </si>
  <si>
    <t>Oct_of_2022</t>
  </si>
  <si>
    <t>4</t>
  </si>
  <si>
    <t>Nov_of_2022</t>
  </si>
  <si>
    <t>5</t>
  </si>
  <si>
    <t>Dec_of_2022</t>
  </si>
  <si>
    <t>6</t>
  </si>
  <si>
    <t>Jan_of_2023</t>
  </si>
  <si>
    <t>7</t>
  </si>
  <si>
    <t>Feb_of_2023</t>
  </si>
  <si>
    <t>8</t>
  </si>
  <si>
    <t>Mar_of_2023</t>
  </si>
  <si>
    <t>9</t>
  </si>
  <si>
    <t>Apr_of_2023</t>
  </si>
  <si>
    <t>10</t>
  </si>
  <si>
    <t>May_of_2023</t>
  </si>
  <si>
    <t>11</t>
  </si>
  <si>
    <t>Jun_of_2023</t>
  </si>
  <si>
    <t>12</t>
  </si>
  <si>
    <t>Jul_of_2023</t>
  </si>
  <si>
    <t>13</t>
  </si>
  <si>
    <t>Aug_of_2023</t>
  </si>
  <si>
    <t>14</t>
  </si>
  <si>
    <t>Sep_of_2023</t>
  </si>
  <si>
    <t>15</t>
  </si>
  <si>
    <t>Oct_of_2023</t>
  </si>
  <si>
    <t>16</t>
  </si>
  <si>
    <t>Nov_of_2023</t>
  </si>
  <si>
    <t>17</t>
  </si>
  <si>
    <t>Dec_of_2023</t>
  </si>
  <si>
    <t>18</t>
  </si>
  <si>
    <t>Jan_of_2024</t>
  </si>
  <si>
    <t>19</t>
  </si>
  <si>
    <t>Feb_of_2024</t>
  </si>
  <si>
    <t>20</t>
  </si>
  <si>
    <t>Mar_of_2024</t>
  </si>
  <si>
    <t>21</t>
  </si>
  <si>
    <t>Apr_of_2024</t>
  </si>
  <si>
    <t>22</t>
  </si>
  <si>
    <t>May_of_2024</t>
  </si>
  <si>
    <t>23</t>
  </si>
  <si>
    <t>Jun_of_2024</t>
  </si>
  <si>
    <t>24</t>
  </si>
  <si>
    <t>Jul_of_2024</t>
  </si>
  <si>
    <t>25</t>
  </si>
  <si>
    <t>Aug_of_2024</t>
  </si>
  <si>
    <t>26</t>
  </si>
  <si>
    <t>Sep_of_2024</t>
  </si>
  <si>
    <t>27</t>
  </si>
  <si>
    <t>Oct_of_2024</t>
  </si>
  <si>
    <t>28</t>
  </si>
  <si>
    <t>Nov_of_2024</t>
  </si>
  <si>
    <t>29</t>
  </si>
  <si>
    <t>Dec_of_2024</t>
  </si>
  <si>
    <t>30</t>
  </si>
  <si>
    <t>Jan_of_2025</t>
  </si>
  <si>
    <t>31</t>
  </si>
  <si>
    <t>Feb_of_2025</t>
  </si>
  <si>
    <t>32</t>
  </si>
  <si>
    <t>Mar_of_2025</t>
  </si>
  <si>
    <t>33</t>
  </si>
  <si>
    <t>Apr_of_2025</t>
  </si>
  <si>
    <t>34</t>
  </si>
  <si>
    <t>May_of_2025</t>
  </si>
  <si>
    <t>35</t>
  </si>
  <si>
    <t>Jun_of_2025</t>
  </si>
  <si>
    <t>36</t>
  </si>
  <si>
    <t>Jul_of_2025</t>
  </si>
  <si>
    <t>37</t>
  </si>
  <si>
    <t>Aug_of_2025</t>
  </si>
  <si>
    <t>38</t>
  </si>
  <si>
    <t>Sep_of_2025</t>
  </si>
  <si>
    <t>39</t>
  </si>
  <si>
    <t>Oct_of_2025</t>
  </si>
  <si>
    <t>40</t>
  </si>
  <si>
    <t>Nov_of_2025</t>
  </si>
  <si>
    <t>41</t>
  </si>
  <si>
    <t>Dec_of_2025</t>
  </si>
  <si>
    <t>42</t>
  </si>
  <si>
    <t>Jan_of_2026</t>
  </si>
  <si>
    <t>43</t>
  </si>
  <si>
    <t>Feb_of_2026</t>
  </si>
  <si>
    <t>44</t>
  </si>
  <si>
    <t>Mar_of_2026</t>
  </si>
  <si>
    <t>45</t>
  </si>
  <si>
    <t>Apr_of_2026</t>
  </si>
  <si>
    <t>46</t>
  </si>
  <si>
    <t>May_of_2026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</si>
  <si>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</si>
  <si>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</si>
  <si>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</si>
  <si>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</si>
  <si>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</si>
  <si>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</si>
  <si>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</si>
  <si>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</si>
  <si>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</si>
  <si>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</si>
  <si>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</si>
  <si>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</si>
  <si>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</si>
  <si>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</si>
  <si>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</si>
  <si>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</si>
  <si>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</si>
  <si>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</si>
  <si>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</si>
  <si>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</si>
  <si>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</si>
  <si>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</si>
  <si>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</si>
  <si>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</si>
  <si>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</si>
  <si>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</si>
  <si>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</si>
  <si>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</si>
  <si>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</si>
  <si>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</si>
  <si>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</si>
  <si>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Name</t>
  </si>
  <si>
    <t>Definition</t>
  </si>
  <si>
    <t>Paused</t>
  </si>
  <si>
    <t>Cancelled</t>
  </si>
  <si>
    <t>Invoice made</t>
  </si>
  <si>
    <t>Invoice sent</t>
  </si>
  <si>
    <t>Warning sent</t>
  </si>
  <si>
    <t>Absent</t>
  </si>
  <si>
    <t>Issue</t>
  </si>
  <si>
    <t>Hourly</t>
  </si>
  <si>
    <t>Individual</t>
  </si>
  <si>
    <t>Trial</t>
  </si>
  <si>
    <t>Completed</t>
  </si>
  <si>
    <t>Not Confirmed</t>
  </si>
  <si>
    <t>Date</t>
  </si>
  <si>
    <t>Link</t>
  </si>
  <si>
    <t>DC Schedules 04/07/2025</t>
  </si>
  <si>
    <t>04/07/2025</t>
  </si>
  <si>
    <t>https://www.canva.com/design/DAGj9OE1cKA/77C-82xeGCjyXt_Spi7oew/edit</t>
  </si>
  <si>
    <t>A LEVEL BIOLOGY Paper 1 v1.0 Answers Book (SECURE).pdf</t>
  </si>
  <si>
    <t>https://drive.google.com/open?id=1RqodYI5XyO_euX9_cC38a0laasC6pdji&amp;usp=drive_copy</t>
  </si>
  <si>
    <t>A LEVEL BIOLOGY Paper 1 v1.0 Questions Book (SECURE).pdf</t>
  </si>
  <si>
    <t>https://drive.google.com/open?id=1CdT4ah7XbjXbOeMeYsus3_y5h-zR8h6A&amp;usp=drive_copy</t>
  </si>
  <si>
    <t>A LEVEL BIOLOGY Paper 2 v1.0 Answers Book (SECURE).pdf</t>
  </si>
  <si>
    <t>https://drive.google.com/open?id=1iMPGuONUm2OZbG6mrHAcJQCBFNFlaYEk&amp;usp=drive_copy</t>
  </si>
  <si>
    <t>A LEVEL BIOLOGY Paper 2 v1.0 Questions Book (SECURE).pdf</t>
  </si>
  <si>
    <t>https://drive.google.com/open?id=1sdsSnaFnGjkejvrJnTAE4KOgquRqVq5A&amp;usp=drive_copy</t>
  </si>
  <si>
    <t>A LEVEL CHEMISTRY Paper 1 v1.0 Answers Book (SECURE).pdf</t>
  </si>
  <si>
    <t>https://drive.google.com/open?id=1LNgkboFgc4d1qQwOst09p6wHPxUS1zTs&amp;usp=drive_copy</t>
  </si>
  <si>
    <t>A LEVEL CHEMISTRY Paper 1 v1.0 Questions Book (SECURE).pdf</t>
  </si>
  <si>
    <t>https://drive.google.com/open?id=1yNSrwNxBzZNbYrvAuE0xLxUH0Z1smZ-k&amp;usp=drive_copy</t>
  </si>
  <si>
    <t>A LEVEL CHEMISTRY Paper 2 v1.0 Answers Book (SECURE).pdf</t>
  </si>
  <si>
    <t>https://drive.google.com/open?id=1qpUy9DPTYPAhZgPbfVw7h1C8aRCUsnlk&amp;usp=drive_copy</t>
  </si>
  <si>
    <t>A LEVEL CHEMISTRY Paper 2 v1.0 Questions Book (SECURE).pdf</t>
  </si>
  <si>
    <t>https://drive.google.com/open?id=1VVOtElMiuDL4-b-x9Viv-7ORiwUEhTwu&amp;usp=drive_copy</t>
  </si>
  <si>
    <t>A LEVEL CHEMISTRY Paper 4 v1.0 Answers Book OCR (SECURE).pdf</t>
  </si>
  <si>
    <t>https://drive.google.com/open?id=1_KwiOtKxn57dV9r_oUVgwb33QLExILvr&amp;usp=drive_copy</t>
  </si>
  <si>
    <t>A LEVEL CHEMISTRY Paper 4 v1.0 Questions Book (SECURE).pdf</t>
  </si>
  <si>
    <t>https://drive.google.com/open?id=1Hi7AqeYphV8qTR9wdsS2CRYbS5I2ltLk&amp;usp=drive_copy</t>
  </si>
  <si>
    <t>A LEVEL CHEMISTRY Paper 5 v1.0 Solved Past Papers Book (SECURE).pdf</t>
  </si>
  <si>
    <t>https://drive.google.com/open?id=1_TjKHVYEIowe2hZzmqxxeXMAT6DfDYtd&amp;usp=drive_copy</t>
  </si>
  <si>
    <t>A LEVEL MATHEMATICS Mechanics 1 v1.0 Answers Book (SECURE).pdf</t>
  </si>
  <si>
    <t>https://drive.google.com/open?id=1IUsm6tjCQNiJxdC_lFYdh3S4bpnIxNGV&amp;usp=drive_copy</t>
  </si>
  <si>
    <t>A LEVEL MATHEMATICS Mechanics 1 v1.0 Questions Book (SECURE).pdf</t>
  </si>
  <si>
    <t>https://drive.google.com/open?id=1XZUjm225y7_n5Ls3eheWfLLWRK0jYP4w&amp;usp=drive_copy</t>
  </si>
  <si>
    <t>A LEVEL MATHEMATICS Pure Mathematics 1 v1.0 Answers Book (SECURE).pdf</t>
  </si>
  <si>
    <t>https://drive.google.com/open?id=1OjIFGjLQM7_J1pzyAOu-Q3B0VWGCkT-V&amp;usp=drive_copy</t>
  </si>
  <si>
    <t>A LEVEL MATHEMATICS Pure Mathematics 1 v1.0 Questions Book (SECURE).pdf</t>
  </si>
  <si>
    <t>https://drive.google.com/open?id=1ySSM0IxI7OaYqs6Xr6h_R4SUXciYko5t&amp;usp=drive_copy</t>
  </si>
  <si>
    <t>A LEVEL MATHEMATICS Pure Mathematics 3 v1.0 Answers Book OCR (SECURE).pdf</t>
  </si>
  <si>
    <t>https://drive.google.com/open?id=1HqHL3I3ZKxRpoazV9egjpvYKOE_bZ9TU&amp;usp=drive_copy</t>
  </si>
  <si>
    <t>A LEVEL MATHEMATICS Pure Mathematics 3 v1.0 Questions Book OCR (SECURE).pdf</t>
  </si>
  <si>
    <t>https://drive.google.com/open?id=15l7LgBluy-sI1ytIBWuxEN6_u1Zx-vjb&amp;usp=drive_copy</t>
  </si>
  <si>
    <t>A LEVEL MATHEMATICS Statistics 1 v1.0 Answers Book (SECURE).pdf</t>
  </si>
  <si>
    <t>https://drive.google.com/open?id=11EHi_WVCTTWJUbRX9oFe8keLqu8kvvDk&amp;usp=drive_copy</t>
  </si>
  <si>
    <t>A LEVEL MATHEMATICS Statistics 1 v1.0 Questions Book (SECURE).pdf</t>
  </si>
  <si>
    <t>https://drive.google.com/open?id=1fT9U1VP90NgDbRaRw49TZQWiWjIvXqY9&amp;usp=drive_copy</t>
  </si>
  <si>
    <t>A LEVEL PHYSICS Paper 1 v1.0 Answers Book (SECURE).pdf</t>
  </si>
  <si>
    <t>https://drive.google.com/open?id=11wBVFZ9exewG7hAIJHss65iBBykVSGbz&amp;usp=drive_copy</t>
  </si>
  <si>
    <t>A LEVEL PHYSICS Paper 1 v1.0 Questions Book (SECURE).pdf</t>
  </si>
  <si>
    <t>https://drive.google.com/open?id=1lDnbUr8tjovGzvmBDT4iZpGPMiUkaYHf&amp;usp=drive_copy</t>
  </si>
  <si>
    <t>A LEVEL PHYSICS Paper 2 v1.0 Answers Book (SECURE).pdf</t>
  </si>
  <si>
    <t>https://drive.google.com/open?id=1W6s5s3bvUzujESWIq45L-HhhBVyXYp0p&amp;usp=drive_copy</t>
  </si>
  <si>
    <t>A LEVEL PHYSICS Paper 2 v1.0 Questions Book (SECURE).pdf</t>
  </si>
  <si>
    <t>https://drive.google.com/open?id=17qbmaS27k1KW-gPr93JKg6_f1R1kBxXL&amp;usp=drive_copy</t>
  </si>
  <si>
    <t>A LEVEL PHYSICS Paper 4 v1.0 Answers Book OCR (SECURE).pdf</t>
  </si>
  <si>
    <t>https://drive.google.com/open?id=1PMGJNQwLWKZnfHoY7BYNu_YKI13qk29N&amp;usp=drive_copy</t>
  </si>
  <si>
    <t>A LEVEL PHYSICS Paper 4 v1.0 Questions Book OCR (SECURE).pdf</t>
  </si>
  <si>
    <t>https://drive.google.com/open?id=1jwZxx75YK0SUrq9wGOZXsOkO9jegW41Z&amp;usp=drive_copy</t>
  </si>
  <si>
    <t>A LEVEL PHYSICS Paper 5 v1.0 Solved Past Papers Book (SECURE).pdf</t>
  </si>
  <si>
    <t>https://drive.google.com/open?id=1KZNQilMR-AMyWZoqATND9pRJge_OJMQA&amp;usp=drive_copy</t>
  </si>
  <si>
    <t>AS Level Computer Science Paper 1 Topical Booklet MS.pdf</t>
  </si>
  <si>
    <t>https://drive.google.com/open?id=1kjLU5Sq1vQrYnt8NWTbcbqpvMIbnQlGB&amp;usp=drive_copy</t>
  </si>
  <si>
    <t>AS Level Computer Science Paper 1 Topical Booklet QP.pdf</t>
  </si>
  <si>
    <t>https://drive.google.com/open?id=1zBPvUXk_ZJRkWO8UprX-pfXoT7CMj3k7&amp;usp=drive_copy</t>
  </si>
  <si>
    <t>AS Level Computer Science Paper 2 Topical Booklet MS.pdf</t>
  </si>
  <si>
    <t>https://drive.google.com/open?id=1XIuSYPoo-ZfmRuPjCLOUXnw9mXrK1HAZ&amp;usp=drive_copy</t>
  </si>
  <si>
    <t>AS Level Computer Science Paper 2 Topical Booklet QP.pdf</t>
  </si>
  <si>
    <t>https://drive.google.com/open?id=18o3gkTq-uuxqS97XJTItN9iCHFhJZIe6&amp;usp=drive_copy</t>
  </si>
  <si>
    <t>AS Level Mathematics Mechanics Topical Booklet MS.pdf</t>
  </si>
  <si>
    <t>https://drive.google.com/open?id=1Cm1FQAzkPle2r1paMENXiupjpAnFVIWd&amp;usp=drive_copy</t>
  </si>
  <si>
    <t>AS Level Mathematics Mechanics Topical Booklet QP.pdf</t>
  </si>
  <si>
    <t>https://drive.google.com/open?id=1q4CzugBLFD5rshZCwDyuVtyODSxuW7qh&amp;usp=drive_copy</t>
  </si>
  <si>
    <t>AS Level Mathematics Pure Maths 1 Topical Booklet MS.pdf</t>
  </si>
  <si>
    <t>https://drive.google.com/open?id=1kF9J3--49s_F-skzpBsndCpepmy5IKaz&amp;usp=drive_copy</t>
  </si>
  <si>
    <t>AS Level Mathematics Pure Maths 1 Topical Booklet QP.pdf</t>
  </si>
  <si>
    <t>https://drive.google.com/open?id=1yk6HnArFVGHbpSlED1MzdwQ5HrILutwX&amp;usp=drive_copy</t>
  </si>
  <si>
    <t>DC_0620_Topical_P6 sample.pdf</t>
  </si>
  <si>
    <t>https://drive.google.com/open?id=1QbOR4hSZvxVHGUnwNibUYQ1Cm_gL7Fs5&amp;usp=drive_copy</t>
  </si>
  <si>
    <t>DC_0625_Topical_P4 sample.pdf</t>
  </si>
  <si>
    <t>https://drive.google.com/open?id=1EisK3kAwwQPbcyDXCO7rgY8DUjrRQkYO&amp;usp=drive_copy</t>
  </si>
  <si>
    <t>DC_Topical Booklet_IGCSE 0580 Mathematics Paper 2 v4.2.pdf</t>
  </si>
  <si>
    <t>https://drive.google.com/open?id=1XYe9k4oWKrt-20pHSuYi6HlQaGKlfi_Y&amp;usp=drive_copy</t>
  </si>
  <si>
    <t>DC_Topical Booklet_IGCSE 0580 Mathematics Paper 4 v4.2.pdf</t>
  </si>
  <si>
    <t>https://drive.google.com/open?id=1grRv5uivMh_SYosiSsTEbFvBbTDeNHhj&amp;usp=drive_copy</t>
  </si>
  <si>
    <t>IGCSE 0417 ICT Paper 1 v1.4 Answers Book (SECURE).pdf</t>
  </si>
  <si>
    <t>https://drive.google.com/open?id=1Lf29C2bFsyJUWDEn0akl4Ae5xp5as1qs&amp;usp=drive_copy</t>
  </si>
  <si>
    <t>IGCSE 0417 ICT Paper 1 v1.4 Questions Book (SECURE).pdf</t>
  </si>
  <si>
    <t>https://drive.google.com/open?id=1t86FjeJ2Mtc2W1fHNfKcu4a8dvu9OqwL&amp;usp=drive_copy</t>
  </si>
  <si>
    <t>IGCSE 0510 English as a Second Language Paper 2 v1.1 Answers Book (SECURE).pdf</t>
  </si>
  <si>
    <t>https://drive.google.com/open?id=1qGgxNoHvmOs2JuJVIq6uutNGOuL1Vzqa&amp;usp=drive_copy</t>
  </si>
  <si>
    <t>IGCSE 0510 English as a Second Language Paper 2 v1.1 Questions Book (SECURE).pdf</t>
  </si>
  <si>
    <t>https://drive.google.com/open?id=19XIYTT8FU1o8WW8-OWpAMr72RPgO_6GV&amp;usp=drive_copy</t>
  </si>
  <si>
    <t>IGCSE 0580 Mathematics Paper 2 v1.4 Answers Book (SECURE).pdf</t>
  </si>
  <si>
    <t>https://drive.google.com/open?id=11TRytdC6pgi703XwU9ajYW36JZeKbzRW&amp;usp=drive_copy</t>
  </si>
  <si>
    <t>IGCSE 0580 Mathematics Paper 2 v1.4 Questions Book (SECURE).pdf</t>
  </si>
  <si>
    <t>https://drive.google.com/open?id=1u9H4zsemgSz1s88ZySLxbcAfAUETdT1G&amp;usp=drive_copy</t>
  </si>
  <si>
    <t>IGCSE 0580 Mathematics Paper 4 v1.4 Answers Book (SECURE).pdf</t>
  </si>
  <si>
    <t>https://drive.google.com/open?id=1hPBv57SWsvxUfaZDyCuNjltJyPFuJtmO&amp;usp=drive_copy</t>
  </si>
  <si>
    <t>IGCSE 0580 Mathematics Paper 4 v1.4 Questions Book (SECURE).pdf</t>
  </si>
  <si>
    <t>https://drive.google.com/open?id=1qeZgPHvGx0U0uEQ1Ls39p6ITlshoSAEw&amp;usp=drive_copy</t>
  </si>
  <si>
    <t>IGCSE 0610 BIOLOGY Paper 2 v1.0 Answers Book (SECURE).pdf</t>
  </si>
  <si>
    <t>https://drive.google.com/open?id=1REcEQ_4izruILG7bAWuabMp1FQT0OCYJ&amp;usp=drive_copy</t>
  </si>
  <si>
    <t>IGCSE 0610 BIOLOGY Paper 2 v1.0 Questions Book (SECURE).pdf</t>
  </si>
  <si>
    <t>https://drive.google.com/open?id=1ep2vOpkgh1b0qnWN9wO1Jr5WusfcdD9k&amp;usp=drive_copy</t>
  </si>
  <si>
    <t>IGCSE 0610 BIOLOGY Paper 4 v1.0 Answers Book (SECURE).pdf</t>
  </si>
  <si>
    <t>https://drive.google.com/open?id=1cRfZGQCnnk2SBM_YC2Ate6_oCIGDwE83&amp;usp=drive_copy</t>
  </si>
  <si>
    <t>IGCSE 0610 BIOLOGY Paper 4 v1.0 Questions Book (SECURE).pdf</t>
  </si>
  <si>
    <t>https://drive.google.com/open?id=1DOBBEixhUvKRdgi8xk-t9X0Vga4DIOiI&amp;usp=drive_copy</t>
  </si>
  <si>
    <t>IGCSE 0620 Chemistry Paper 2 v1.0 Answers Book (SECURE).pdf</t>
  </si>
  <si>
    <t>https://drive.google.com/open?id=1bD8vEEBog0nW8r4NXjj3SPKPsRqAkuzP&amp;usp=drive_copy</t>
  </si>
  <si>
    <t>IGCSE 0620 Chemistry Paper 2 v1.0 Questions Book (SECURE).pdf</t>
  </si>
  <si>
    <t>https://drive.google.com/open?id=1uQcDn6gsbVoqaxMnHvDs-nMTAtom9W6g&amp;usp=drive_copy</t>
  </si>
  <si>
    <t>IGCSE 0620 Chemistry Paper 4 v1.0 Answers Book (SECURE).pdf</t>
  </si>
  <si>
    <t>https://drive.google.com/open?id=1k-wbvhMfQebJMTbf-ImdUUjoDg9YJnBK&amp;usp=drive_copy</t>
  </si>
  <si>
    <t>IGCSE 0620 Chemistry Paper 4 v1.0 Questions Book (SECURE).pdf</t>
  </si>
  <si>
    <t>https://drive.google.com/open?id=1MAhMqzoASPAPH7EuWvoFF3roM6USKvpu&amp;usp=drive_copy</t>
  </si>
  <si>
    <t>IGCSE 0625 Physics Paper 2 v1.0 Answers Book (SECURE).pdf</t>
  </si>
  <si>
    <t>https://drive.google.com/open?id=1SHzPn0Ubn2gz0biZpHHK0aIqfIt9U_43&amp;usp=drive_copy</t>
  </si>
  <si>
    <t>IGCSE 0625 Physics Paper 2 v1.0 Questions Book (SECURE).pdf</t>
  </si>
  <si>
    <t>https://drive.google.com/open?id=1jZSqWghJ_--3Jplk12kvfw-Q2Ul67Arx&amp;usp=drive_copy</t>
  </si>
  <si>
    <t>IGCSE 0625 Physics Paper 4 v1.0 Answers Book.pdf (SECURE).pdf</t>
  </si>
  <si>
    <t>https://drive.google.com/open?id=1S-HIPW61b_r556U2dy1HvVI3odepeSQk&amp;usp=drive_copy</t>
  </si>
  <si>
    <t>IGCSE 0625 Physics Paper 4 v1.0 Questions Book (SECURE).pdf</t>
  </si>
  <si>
    <t>https://drive.google.com/open?id=1FwxYTh-cKYlEpKwi3djVZ7bagpQNqCt_&amp;usp=drive_copy</t>
  </si>
  <si>
    <t>IGCSE ICT</t>
  </si>
  <si>
    <t>https://classroom.google.com/c/NTQ0ODU4MDA4ODAx?cjc=clfiiv3</t>
  </si>
  <si>
    <t>IGCSE Physics</t>
  </si>
  <si>
    <t>https://classroom.google.com/c/NTA1NDkwOTAyNjUz?cjc=yevhdcd</t>
  </si>
  <si>
    <t>IGCSE Mathematics</t>
  </si>
  <si>
    <t>https://classroom.google.com/c/NDg1MjM1NzcxOTA3?cjc=eakxznf</t>
  </si>
  <si>
    <t>IGCSE Chemistry</t>
  </si>
  <si>
    <t>https://classroom.google.com/c/NDk5MTkwNDIzMzMx?cjc=oxidcmn</t>
  </si>
  <si>
    <t>IGCSE Biology</t>
  </si>
  <si>
    <t>https://classroom.google.com/c/NDg1MjM1NzcxNjc3?cjc=hllc5uf</t>
  </si>
  <si>
    <t>IGCSE English as a Second Language</t>
  </si>
  <si>
    <t>https://classroom.google.com/c/NDg1MjM1NzcxMjIz?cjc=hwc7zoa</t>
  </si>
  <si>
    <t>IGCSE First Language English</t>
  </si>
  <si>
    <t>https://classroom.google.com/c/NTM4OTc4NzI0OTUw?cjc=rmheb46</t>
  </si>
  <si>
    <t>A Level Physics</t>
  </si>
  <si>
    <t>https://classroom.google.com/c/NDg1MjM1ODA3ODE0?cjc=pc34vd7</t>
  </si>
  <si>
    <t>A Level Computer Science</t>
  </si>
  <si>
    <t>https://classroom.google.com/c/NDg0NDQ2MzQ5NTg4?cjc=afkzsgm</t>
  </si>
  <si>
    <t>A Level Mathematics</t>
  </si>
  <si>
    <t>https://classroom.google.com/c/NDk5ODk3NjcyNTE4?cjc=epmuvg3</t>
  </si>
  <si>
    <t>A Level Chemistry</t>
  </si>
  <si>
    <t>https://classroom.google.com/c/NDg1MjM1ODA3NzU2?cjc=cwwqk7s</t>
  </si>
  <si>
    <t>A Level Biology</t>
  </si>
  <si>
    <t>https://classroom.google.com/c/NDg1MjM1ODA3OTk3?cjc=ly7nqxb</t>
  </si>
  <si>
    <t>IGCSE Sociology</t>
  </si>
  <si>
    <t>https://classroom.google.com/c/NjA5MjAxMzYzODcz?cjc=phgpsbw</t>
  </si>
  <si>
    <t>College Board SAT</t>
  </si>
  <si>
    <t>https://classroom.google.com/c/NjA5MjAxNjk2MzIw?cjc=a4wkx5z</t>
  </si>
  <si>
    <t>https://classroom.google.com/c/NjA5MjAyNDc3NTc0?cjc=nlp7nio</t>
  </si>
  <si>
    <t>IGCSE Computer Science</t>
  </si>
  <si>
    <t>https://classroom.google.com/c/NDg1MjM1ODA3NjM5?cjc=yknmgdq</t>
  </si>
  <si>
    <t>IGCSE International Mathematics</t>
  </si>
  <si>
    <t>https://classroom.google.com/c/NjA5MjAyODUwMzE5?cjc=rc4tsjz</t>
  </si>
  <si>
    <t>A Level Mathematics: Pure 1</t>
  </si>
  <si>
    <t>A Level Mathematics: Pure 3</t>
  </si>
  <si>
    <t>https://classroom.google.com/c/NTE3Nzg2ODY3MTQ5?cjc=nsvgvfx</t>
  </si>
  <si>
    <t>A Level Mathematics: Statistics 1</t>
  </si>
  <si>
    <t>https://classroom.google.com/c/NjAwNjc3MjQwMDEx?cjc=czl7gvx</t>
  </si>
  <si>
    <t>A Level Mathematics: Statistics 2</t>
  </si>
  <si>
    <t>https://classroom.google.com/c/NjAwNjc3NDE0MDgz?cjc=ohprv5x</t>
  </si>
  <si>
    <t>A Level Mathematics: Mechanics 1</t>
  </si>
  <si>
    <t>https://classroom.google.com/c/NjAwNjc3NzM0NjQ0?cjc=wsertwv</t>
  </si>
  <si>
    <t>A Level Psychology</t>
  </si>
  <si>
    <t>https://classroom.google.com/c/NTIzMDYwNjkwODAz?cjc=pwwe55y</t>
  </si>
  <si>
    <t>Class 6 Science</t>
  </si>
  <si>
    <t>https://classroom.google.com/c/NjAyMTA4NTk5MDMx?cjc=4begxe5</t>
  </si>
  <si>
    <t>Class 6 Mathematics</t>
  </si>
  <si>
    <t>https://classroom.google.com/c/NjAyMTA5NDg1MTcw?cjc=3ruggkk</t>
  </si>
  <si>
    <t>Class 6 English</t>
  </si>
  <si>
    <t>https://classroom.google.com/c/NjAyMTA4NTM5NDU3?cjc=wumuez7</t>
  </si>
  <si>
    <t>Class 6 Social Studies</t>
  </si>
  <si>
    <t>https://classroom.google.com/c/NTU0NDQ0Nzc5Mjk5?cjc=uoyptjr</t>
  </si>
  <si>
    <t>Subject Names</t>
  </si>
  <si>
    <t>Subjects/Hours</t>
  </si>
  <si>
    <t>Discount</t>
  </si>
  <si>
    <t>Fees</t>
  </si>
  <si>
    <t>Due</t>
  </si>
  <si>
    <t>Start</t>
  </si>
  <si>
    <t>Finish</t>
  </si>
  <si>
    <t>Payment done</t>
  </si>
  <si>
    <t>Days left</t>
  </si>
  <si>
    <t>Days Due</t>
  </si>
  <si>
    <t>Payment Date</t>
  </si>
  <si>
    <t>Payment Acknowledgement Message</t>
  </si>
  <si>
    <t>Invoice</t>
  </si>
  <si>
    <t>- check how many subjects and attednace</t>
  </si>
  <si>
    <t>B14 Cambridge IGCSE 0625 Physics - SAR, B14 Cambridge IGCSE 0580 Mathematics - SAR</t>
  </si>
  <si>
    <t>We acknowledge the fee payment receipt by Brighty Bejoy of SAR 200/- for Apr 2026 on 30 Dec 1899. Updated in the system. Thank you for choosing DivergenCIE Coaching! 💫</t>
  </si>
  <si>
    <t>B14 Cambridge IGCSE 0580 Mathematics - INR, B14 Cambridge IGCSE 0610 Biology - INR, B14 Cambridge IGCSE 0625 Physics - INR</t>
  </si>
  <si>
    <t>We acknowledge the fee payment receipt by Aliya Wazir of INR 5000/- for Apr 2026 on 30 Dec 1899. Updated in the system. Thank you for choosing DivergenCIE Coaching! 💫</t>
  </si>
  <si>
    <t>B14 Cambridge IGCSE 0580 Mathematics - INR, B14 Cambridge IGCSE 0625 Physics - INR, B14 Cambridge IGCSE 0452 Accounting - INR</t>
  </si>
  <si>
    <t>We acknowledge the fee payment receipt by Manya Agarwal of INR 7500/- for Apr 2026 on 30 Dec 1899. Updated in the system. Thank you for choosing DivergenCIE Coaching! 💫</t>
  </si>
  <si>
    <t>https://drive.google.com/uc?export=download&amp;id=17qq9kEMiuR8-ertx5uE6htAr8LckFO73</t>
  </si>
  <si>
    <t>B14 Cambridge IGCSE 0478 Computer Science - GBP</t>
  </si>
  <si>
    <t>4,</t>
  </si>
  <si>
    <t>We acknowledge the fee payment receipt by Yajna Gopalan of GBP 40/- for Apr 2026 on 30 Dec 1899. Updated in the system. Thank you for choosing DivergenCIE Coaching! 💫</t>
  </si>
  <si>
    <t>https://drive.google.com/uc?export=download&amp;id=1fzMJIMb8LNeUDs7FAKV2AK5HafXma9pI</t>
  </si>
  <si>
    <t>C23 IMAT - GBP</t>
  </si>
  <si>
    <t>We acknowledge the fee payment receipt by Eric Lay of GBP 60/- for Apr 2026 on 30 Dec 1899. Updated in the system. Thank you for choosing DivergenCIE Coaching! 💫</t>
  </si>
  <si>
    <t>B18 Cambridge AS-Level 9709 Mathematics: Pure 1 - USD, B18 Cambridge AS-Level 9709 Mathematics: Statistics 1 - USD</t>
  </si>
  <si>
    <t>We acknowledge the fee payment receipt by Howard Lim of USD 80/- for Apr 2026 on 30 Dec 1899. Updated in the system. Thank you for choosing DivergenCIE Coaching! 💫</t>
  </si>
  <si>
    <t>B8 Cambridge A-Level 9702 Physics - INR, B8 Cambridge A-Level 9618 Computer Science - INR, B18 Cambridge AS-Level 9709 Mathematics: Pure 1 - INR</t>
  </si>
  <si>
    <t>We acknowledge the fee payment receipt by Asrar Ahmad Shah of INR 18000/- for Apr 2026 on 30 Dec 1899. Updated in the system. Thank you for choosing DivergenCIE Coaching! 💫</t>
  </si>
  <si>
    <t>B14 Cambridge IGCSE 0510 English as a Second Language - SAR, B14 Cambridge IGCSE 0625 Physics - SAR, B14 Cambridge IGCSE 0620 Chemistry - SAR, B14 Cambridge IGCSE 0610 Biology - SAR, B14 Cambridge IGCSE 0580 Mathematics - SAR, B14 Cambridge IGCSE 0417 Information &amp; Communication Technology - SAR</t>
  </si>
  <si>
    <t>We acknowledge the fee payment receipt by Abdurrahman of SAR 600/- for Apr 2026 on 30 Dec 1899. Updated in the system. Thank you for choosing DivergenCIE Coaching! 💫</t>
  </si>
  <si>
    <t>https://drive.google.com/uc?export=download&amp;id=1gO4_Z7KEtTbD7dVB5J-HOraGmBX8deIZ</t>
  </si>
  <si>
    <t>B14 Cambridge IGCSE 0620 Chemistry - SAR, B14 Cambridge IGCSE 0625 Physics - SAR, B14 Cambridge IGCSE 0580 Mathematics - SAR, B14 Cambridge IGCSE 0500 First Language English - SAR</t>
  </si>
  <si>
    <t>We acknowledge the fee payment receipt by Ibrahim Kamal Pasha of SAR 667.2/- for Apr 2026 on 30 Dec 1899. Updated in the system. Thank you for choosing DivergenCIE Coaching! 💫</t>
  </si>
  <si>
    <t>B8 Cambridge AS-Level 9618 Computer Science - INR, B8 Cambridge AS-Level 9709 Mathematics: Pure 3 - INR, B8 Cambridge AS-Level 9695 English Literature - INR</t>
  </si>
  <si>
    <t>We acknowledge the fee payment receipt by Noya Mahasin of INR 18240./- for Apr 2026 on 30 Dec 1899. Updated in the system. Thank you for choosing DivergenCIE Coaching! 💫</t>
  </si>
  <si>
    <t>B8 Cambridge A-Level 9618 Computer Science - GBP</t>
  </si>
  <si>
    <t>18,</t>
  </si>
  <si>
    <t>We acknowledge the fee payment receipt by Steve Rex of GBP 270/- for Apr 2026 on 30 Dec 1899. Updated in the system. Thank you for choosing DivergenCIE Coaching! 💫</t>
  </si>
  <si>
    <t>B14 Cambridge IGCSE 0510 English as a Second Language - SAR, B14 Cambridge IGCSE 0625 Physics - SAR, B14 Cambridge IGCSE 0620 Chemistry - SAR, B14 Cambridge IGCSE 0610 Biology - SAR, B14 Cambridge IGCSE 0580 Mathematics - SAR</t>
  </si>
  <si>
    <t>We acknowledge the fee payment receipt by Amakie Ematu of SAR 500/- for Apr 2026 on 30 Dec 1899. Updated in the system. Thank you for choosing DivergenCIE Coaching! 💫</t>
  </si>
  <si>
    <t>T5 Cambridge IGCSE 0500 First Language English - INR</t>
  </si>
  <si>
    <t>We acknowledge the fee payment receipt by Faraz of INR 2000/- for Apr 2026 on 30 Jan 2026. Updated in the system. Thank you for choosing DivergenCIE Coaching! 💫</t>
  </si>
  <si>
    <t>Shifa Adnan</t>
  </si>
  <si>
    <t>B14 Cambridge IGCSE 0620 Chemistry - INR, B14 Cambridge IGCSE 0580 Mathematics - INR, B14 Cambridge IGCSE 0625 Physics - INR</t>
  </si>
  <si>
    <t>3000+1500</t>
  </si>
  <si>
    <t>We acknowledge the fee payment receipt by Shifa Adnan  of INR 9000/- for Apr 2026 on 30 Dec 1899. Updated in the system. Thank you for choosing DivergenCIE Coaching! 💫</t>
  </si>
  <si>
    <t>C4 AP Computer Science Priniciples - SGD</t>
  </si>
  <si>
    <t>83.58,</t>
  </si>
  <si>
    <t>We acknowledge the fee payment receipt by Vaishak of SGD 2507.4/- for Apr 2026 on 30 Dec 1899. Updated in the system. Thank you for choosing DivergenCIE Coaching! 💫</t>
  </si>
  <si>
    <t>https://drive.google.com/uc?export=download&amp;id=1pM__mxsxLWk72C98iHrqIt7PGICEZvlK</t>
  </si>
  <si>
    <t>?check when she stopped physics</t>
  </si>
  <si>
    <t>B14 Cambridge IGCSE 0417 Information &amp; Communication Technology - SAR</t>
  </si>
  <si>
    <t>We acknowledge the fee payment receipt by Brighty Bejoy of SAR 200/- for Mar 2026 on 30 Dec 1899. Updated in the system. Thank you for choosing DivergenCIE Coaching! 💫</t>
  </si>
  <si>
    <t>https://drive.google.com/uc?export=download&amp;id=1KGrlwPH5PlP4WFNMGbh0LejCEjn0S_o_</t>
  </si>
  <si>
    <t>We acknowledge the fee payment receipt by Aliya Wazir of INR 5000/- for Mar 2026 on 30 Dec 1899. Updated in the system. Thank you for choosing DivergenCIE Coaching! 💫</t>
  </si>
  <si>
    <t>We acknowledge the fee payment receipt by Manya Agarwal of INR 7500/- for Mar 2026 on 30 Dec 1899. Updated in the system. Thank you for choosing DivergenCIE Coaching! 💫</t>
  </si>
  <si>
    <t>https://drive.google.com/uc?export=download&amp;id=156jWy6oCRz-zBvvtS6L-g8jLnU0lR_Ys</t>
  </si>
  <si>
    <t>We acknowledge the fee payment receipt by Yajna Gopalan of GBP 40/- for Mar 2026 on 28 Feb 2026. Updated in the system. Thank you for choosing DivergenCIE Coaching! 💫</t>
  </si>
  <si>
    <t>https://drive.google.com/uc?export=download&amp;id=1nFWORDLYwAAsciJftWI7CS8EZR2LFOBa</t>
  </si>
  <si>
    <t>We acknowledge the fee payment receipt by Eric Lay of GBP 60/- for Mar 2026 on 30 Dec 1899. Updated in the system. Thank you for choosing DivergenCIE Coaching! 💫</t>
  </si>
  <si>
    <t>We acknowledge the fee payment receipt by Howard Lim of USD 80/- for Mar 2026 on 30 Dec 1899. Updated in the system. Thank you for choosing DivergenCIE Coaching! 💫</t>
  </si>
  <si>
    <t>https://drive.google.com/uc?export=download&amp;id=1equaoJIIS6tqH02umxrONRoDhPq_hJkc</t>
  </si>
  <si>
    <t>We acknowledge the fee payment receipt by Asrar Ahmad Shah of INR 18000/- for Mar 2026 on 30 Dec 1899. Updated in the system. Thank you for choosing DivergenCIE Coaching! 💫</t>
  </si>
  <si>
    <t>https://drive.google.com/uc?export=download&amp;id=165iyYUcFP-hTbewpV2QlmCM30m7eZqtP</t>
  </si>
  <si>
    <t>We acknowledge the fee payment receipt by Abdurrahman of SAR 600/- for Mar 2026 on 1 Mar 2026. Updated in the system. Thank you for choosing DivergenCIE Coaching! 💫</t>
  </si>
  <si>
    <t>https://drive.google.com/uc?export=download&amp;id=1YZ0-k8RWMS4VRd-OZlVesqaYrpF__AMs</t>
  </si>
  <si>
    <t>We acknowledge the fee payment receipt by Ibrahim Kamal Pasha of SAR 667.2/- for Mar 2026 on 30 Dec 1899. Updated in the system. Thank you for choosing DivergenCIE Coaching! 💫</t>
  </si>
  <si>
    <t>We acknowledge the fee payment receipt by Noya Mahasin of INR 18240./- for Mar 2026 on 30 Dec 1899. Updated in the system. Thank you for choosing DivergenCIE Coaching! 💫</t>
  </si>
  <si>
    <t>https://drive.google.com/uc?export=download&amp;id=1poWCyiQI1NAfgId8cHCAfFKh3aDctSur</t>
  </si>
  <si>
    <t>We acknowledge the fee payment receipt by Steve Rex of GBP 120/- for Mar 2026 on 30 Dec 1899. Updated in the system. Thank you for choosing DivergenCIE Coaching! 💫</t>
  </si>
  <si>
    <t>https://drive.google.com/uc?export=download&amp;id=1PZaSnN2_fAELgomwTZsUxWssnh5DMLP5</t>
  </si>
  <si>
    <t>We acknowledge the fee payment receipt by Amakie Ematu of SAR 500/- for Mar 2026 on 30 Dec 1899. Updated in the system. Thank you for choosing DivergenCIE Coaching! 💫</t>
  </si>
  <si>
    <t>https://drive.google.com/uc?export=download&amp;id=1bxHNrmDqsP5z2gq-vbxbwfRNR1Gn_GwR</t>
  </si>
  <si>
    <t>We acknowledge the fee payment receipt by Faraz of INR 2000/- for Mar 2026 on 30 Jan 2026. Updated in the system. Thank you for choosing DivergenCIE Coaching! 💫</t>
  </si>
  <si>
    <t>https://drive.google.com/uc?export=download&amp;id=1_7KmgK9PTWMjlbjshlo3wl0rhyOC2eOa</t>
  </si>
  <si>
    <t>We acknowledge the fee payment receipt by Shifa Adnan  of INR 9000/- for Mar 2026 on 30 Dec 1899. Updated in the system. Thank you for choosing DivergenCIE Coaching! 💫</t>
  </si>
  <si>
    <t>37.6,</t>
  </si>
  <si>
    <t>We acknowledge the fee payment receipt by Vaishak of SGD 1128/- for Mar 2026 on 30 Dec 1899. Updated in the system. Thank you for choosing DivergenCIE Coaching! 💫</t>
  </si>
  <si>
    <t>https://drive.google.com/uc?export=download&amp;id=1afWojJXX0LVQCLQcS0iSM6sFKgR6VrvP</t>
  </si>
  <si>
    <t>We acknowledge the fee payment receipt by Brighty Bejoy of SAR 200/- for Feb 2026 on 28 Feb 2026. Updated in the system. Thank you for choosing DivergenCIE Coaching! 💫</t>
  </si>
  <si>
    <t>https://drive.google.com/uc?export=download&amp;id=16hjKv4-4aMy7uA_bC0wRVe4hqkHCLh0D</t>
  </si>
  <si>
    <t>We acknowledge the fee payment receipt by Aliya Wazir of INR 5000/- for Feb 2026 on 30 Dec 1899. Updated in the system. Thank you for choosing DivergenCIE Coaching! 💫</t>
  </si>
  <si>
    <t>We acknowledge the fee payment receipt by Manya Agarwal of INR 7500/- for Feb 2026 on 30 Dec 1899. Updated in the system. Thank you for choosing DivergenCIE Coaching! 💫</t>
  </si>
  <si>
    <t>https://drive.google.com/uc?export=download&amp;id=1Z7lZg30IvWH_XiQcv73uT-Ed2l3K6no7</t>
  </si>
  <si>
    <t>B14 Cambridge IGCSE 0500 First Language English - INR</t>
  </si>
  <si>
    <t>We acknowledge the fee payment receipt by Imtiaz of INR 4000/- for Feb 2026 on 30 Dec 1899. Updated in the system. Thank you for choosing DivergenCIE Coaching! 💫</t>
  </si>
  <si>
    <t>We acknowledge the fee payment receipt by Mudassir Dhanani of INR 7937.5/- for Feb 2026 on 30 Dec 1899. Updated in the system. Thank you for choosing DivergenCIE Coaching! 💫</t>
  </si>
  <si>
    <t>We acknowledge the fee payment receipt by Howard Lim of USD 80/- for Feb 2026 on 30 Dec 1899. Updated in the system. Thank you for choosing DivergenCIE Coaching! 💫</t>
  </si>
  <si>
    <t>https://drive.google.com/uc?export=download&amp;id=1XS9wlE17OiUBUJWcmvxaPOYdhvlK2I3S</t>
  </si>
  <si>
    <t>We acknowledge the fee payment receipt by Asrar Ahmad Shah of INR 18000/- for Feb 2026 on 24 Feb 2026. Updated in the system. Thank you for choosing DivergenCIE Coaching! 💫</t>
  </si>
  <si>
    <t>https://drive.google.com/uc?export=download&amp;id=1QRLXtX3ix_a3ypD4YGUV-3QrTQNhBmKv</t>
  </si>
  <si>
    <t>We acknowledge the fee payment receipt by Abdurrahman of SAR 500/- for Feb 2026 on 1 Mar 2026. Updated in the system. Thank you for choosing DivergenCIE Coaching! 💫</t>
  </si>
  <si>
    <t>last response on Feb 9</t>
  </si>
  <si>
    <t>We acknowledge the fee payment receipt by Ibrahim Kamal Pasha of SAR 667.2/- for Feb 2026 on 30 Dec 1899. Updated in the system. Thank you for choosing DivergenCIE Coaching! 💫</t>
  </si>
  <si>
    <t>https://drive.google.com/uc?export=download&amp;id=1JcG-eQdIgxmxuJiGCYlULj_jLsFMJpv6</t>
  </si>
  <si>
    <t>3 subjects: combined math</t>
  </si>
  <si>
    <t>We acknowledge the fee payment receipt by Noya Mahasin of INR 18240./- for Feb 2026 on 30 Dec 1899. Updated in the system. Thank you for choosing DivergenCIE Coaching! 💫</t>
  </si>
  <si>
    <t>https://drive.google.com/uc?export=download&amp;id=153z284Spb4wIU_OKNntVWyEaALsKxmwB</t>
  </si>
  <si>
    <t>14,</t>
  </si>
  <si>
    <t>We acknowledge the fee payment receipt by Steve Rex of GBP 210/- for Feb 2026 on 30 Dec 1899. Updated in the system. Thank you for choosing DivergenCIE Coaching! 💫</t>
  </si>
  <si>
    <t>https://drive.google.com/uc?export=download&amp;id=10D8LXybESj_6q5M28W0sxpb2W49n4igc</t>
  </si>
  <si>
    <t>We acknowledge the fee payment receipt by Amakie Ematu of SAR 250/- for Feb 2026 on 25 Feb 2026. Updated in the system. Thank you for choosing DivergenCIE Coaching! 💫</t>
  </si>
  <si>
    <t>https://drive.google.com/uc?export=download&amp;id=1pBup5Ji0DXKDU0M59j7sHhH8bZ2N8lZC</t>
  </si>
  <si>
    <t>We acknowledge the fee payment receipt by Faraz of INR 2000/- for Feb 2026 on 30 Jan 2026. Updated in the system. Thank you for choosing DivergenCIE Coaching! 💫</t>
  </si>
  <si>
    <t>https://drive.google.com/uc?export=download&amp;id=1ICmW1_YtZntzEAVbCf-jR68mD8U5l5um</t>
  </si>
  <si>
    <t>We acknowledge the fee payment receipt by Shifa Adnan  of INR 9000/- for Feb 2026 on 30 Dec 1899. Updated in the system. Thank you for choosing DivergenCIE Coaching! 💫</t>
  </si>
  <si>
    <t>32.8,</t>
  </si>
  <si>
    <t>We acknowledge the fee payment receipt by Vaishak of SGD 820./- for Feb 2026 on 24 Jan 2026. Updated in the system. Thank you for choosing DivergenCIE Coaching! 💫</t>
  </si>
  <si>
    <t>https://drive.google.com/uc?export=download&amp;id=1URNCHvESrUbbUL3jqKfZ2j0YvAkzwMNT</t>
  </si>
  <si>
    <t>ict math and phys !paid 400</t>
  </si>
  <si>
    <t>B14 Cambridge IGCSE 0625 Physics - SAR, B14 Cambridge IGCSE 0580 Mathematics - SAR, B14 Cambridge IGCSE 0417 Information &amp; Communication Technology - SAR</t>
  </si>
  <si>
    <t>We acknowledge the fee payment receipt by Brighty Bejoy of SAR 600/- for Jan 2026 on 28 Jan 2026. Updated in the system. Thank you for choosing DivergenCIE Coaching! 💫</t>
  </si>
  <si>
    <t>https://drive.google.com/uc?export=download&amp;id=1sgIktUlDlJD1re_mMRzGT8zw7eRVcKFA</t>
  </si>
  <si>
    <t>We acknowledge the fee payment receipt by Aliya Wazir of INR 5000/- for Jan 2026 on 30 Dec 1899. Updated in the system. Thank you for choosing DivergenCIE Coaching! 💫</t>
  </si>
  <si>
    <t>We acknowledge the fee payment receipt by Manya Agarwal of INR 7500/- for Jan 2026 on 30 Dec 1899. Updated in the system. Thank you for choosing DivergenCIE Coaching! 💫</t>
  </si>
  <si>
    <t>https://drive.google.com/uc?export=download&amp;id=12mcDsQ5vB6Y4d9vbfbIE26MuNgs8Fzf2</t>
  </si>
  <si>
    <t>We acknowledge the fee payment receipt by Imtiaz of INR 4000/- for Jan 2026 on 30 Dec 1899. Updated in the system. Thank you for choosing DivergenCIE Coaching! 💫</t>
  </si>
  <si>
    <t>We acknowledge the fee payment receipt by Mudassir Dhanani of INR 7937.5/- for Jan 2026 on 30 Dec 1899. Updated in the system. Thank you for choosing DivergenCIE Coaching! 💫</t>
  </si>
  <si>
    <t>We acknowledge the fee payment receipt by Howard Lim of USD 80/- for Jan 2026 on 9 Feb 2026. Updated in the system. Thank you for choosing DivergenCIE Coaching! 💫</t>
  </si>
  <si>
    <t>https://drive.google.com/uc?export=download&amp;id=1YXjdcm6wJF3lXANKxnHqBZSLm0M-oBgS</t>
  </si>
  <si>
    <t>We acknowledge the fee payment receipt by Asrar Ahmad Shah of INR 18000/- for Jan 2026 on 16 Jan 2026. Updated in the system. Thank you for choosing DivergenCIE Coaching! 💫</t>
  </si>
  <si>
    <t>https://drive.google.com/uc?export=download&amp;id=112HEtIYx7o2kBGc8eMRLHNbYIEhlb_cJ</t>
  </si>
  <si>
    <t>Invoice made, Invoice sent, Paused</t>
  </si>
  <si>
    <t>C22 DTU BTech - INR</t>
  </si>
  <si>
    <t>We acknowledge the fee payment receipt by Abdullah Kamal Pasha of SAR 26000/- for Jan 2026 on 30 Dec 1899. Updated in the system. Thank you for choosing DivergenCIE Coaching! 💫</t>
  </si>
  <si>
    <t>We acknowledge the fee payment receipt by Ibrahim Kamal Pasha of SAR 667.2/- for Jan 2026 on 30 Dec 1899. Updated in the system. Thank you for choosing DivergenCIE Coaching! 💫</t>
  </si>
  <si>
    <t>https://drive.google.com/uc?export=download&amp;id=1_xIzQg-s43EcYBWwJ_LujZNQSXVsGOVl</t>
  </si>
  <si>
    <t>We acknowledge the fee payment receipt by Noya Mahasin of INR 18240./- for Jan 2026 on 30 Dec 1899. Updated in the system. Thank you for choosing DivergenCIE Coaching! 💫</t>
  </si>
  <si>
    <t>https://drive.google.com/uc?export=download&amp;id=10XDJQGE_aNASXkUENrSxXoM9c30zIheQ</t>
  </si>
  <si>
    <t>We acknowledge the fee payment receipt by Steve Rex of GBP 120/- for Jan 2026 on 30 Dec 1899. Updated in the system. Thank you for choosing DivergenCIE Coaching! 💫</t>
  </si>
  <si>
    <t>https://drive.google.com/uc?export=download&amp;id=1ffeiCrVbZmIFq0qZVGyPixHc2nnL9QFx</t>
  </si>
  <si>
    <t>B14 Cambridge IGCSE 0417 Information &amp; Communication Technology - AED, B14 Cambridge IGCSE 0620 Chemistry - AED</t>
  </si>
  <si>
    <t>We acknowledge the fee payment receipt by Coreen Estico of SCR 400/- for Jan 2026 on 30 Dec 1899. Updated in the system. Thank you for choosing DivergenCIE Coaching! 💫</t>
  </si>
  <si>
    <t>We acknowledge the fee payment receipt by Faraz of INR 2000/- for Jan 2026 on 30 Jan 2026. Updated in the system. Thank you for choosing DivergenCIE Coaching! 💫</t>
  </si>
  <si>
    <t>https://drive.google.com/uc?export=download&amp;id=1Xs9NHEcb3JNMlyTOSxbXpPRYcnyEpbGN</t>
  </si>
  <si>
    <t>We acknowledge the fee payment receipt by Shifa Adnan  of INR 9000/- for Jan 2026 on 30 Dec 1899. Updated in the system. Thank you for choosing DivergenCIE Coaching! 💫</t>
  </si>
  <si>
    <t>2.25,</t>
  </si>
  <si>
    <t>We acknowledge the fee payment receipt by Vaishak of SGD 56.25/- for Jan 2026 on 24 Jan 2026. Updated in the system. Thank you for choosing DivergenCIE Coaching! 💫</t>
  </si>
  <si>
    <t>https://drive.google.com/uc?export=download&amp;id=1dq0JDZCy6e_s3EnqfYt-Crd9NLyI_3kT</t>
  </si>
  <si>
    <t>ict started</t>
  </si>
  <si>
    <t>We acknowledge the fee payment receipt by Brighty Bejoy of SAR 600/- for Dec 2025 on 29 Dec 2026. Updated in the system. Thank you for choosing DivergenCIE Coaching! 💫</t>
  </si>
  <si>
    <t>https://drive.google.com/uc?export=download&amp;id=1mEz71N459Rs9cvK8vdeBxkKsYX5bstSG</t>
  </si>
  <si>
    <t>!paused on nov 30</t>
  </si>
  <si>
    <t>We acknowledge the fee payment receipt by Aliya Wazir of INR 5000/- for Dec 2025 on 30 Dec 1899. Updated in the system. Thank you for choosing DivergenCIE Coaching! 💫</t>
  </si>
  <si>
    <t>We acknowledge the fee payment receipt by Manya Agarwal of INR 7500/- for Dec 2025 on 30 Dec 1899. Updated in the system. Thank you for choosing DivergenCIE Coaching! 💫</t>
  </si>
  <si>
    <t>https://drive.google.com/uc?export=download&amp;id=1EggZZpB7IuEuh0dPqf10AduCN5nUidH3</t>
  </si>
  <si>
    <t>We acknowledge the fee payment receipt by Imtiaz of INR 4000/- for Dec 2025 on 30 Dec 1899. Updated in the system. Thank you for choosing DivergenCIE Coaching! 💫</t>
  </si>
  <si>
    <t>We acknowledge the fee payment receipt by Mudassir Dhanani of INR 7937.5/- for Dec 2025 on 30 Dec 1899. Updated in the system. Thank you for choosing DivergenCIE Coaching! 💫</t>
  </si>
  <si>
    <t>C15 Cambridge A-Level 9702 Physics - GBP, C15 Cambridge A-Level 9701 Chemistry - GBP</t>
  </si>
  <si>
    <t>8.25,8.25,</t>
  </si>
  <si>
    <t>We acknowledge the fee payment receipt by Pritika Deb of GBP 247.5/- for Dec 2025 on 30 Dec 1899. Updated in the system. Thank you for choosing DivergenCIE Coaching! 💫</t>
  </si>
  <si>
    <t>We acknowledge the fee payment receipt by Howard Lim of USD 100/- for Dec 2025 on 12 Jan 2026. Updated in the system. Thank you for choosing DivergenCIE Coaching! 💫</t>
  </si>
  <si>
    <t>https://drive.google.com/uc?export=download&amp;id=1aJcFDzLYs716o-IFrgQGErWq3n0lE-aG</t>
  </si>
  <si>
    <t>We acknowledge the fee payment receipt by Abdullah Kamal Pasha of SAR 26000/- for Dec 2025 on 30 Dec 1899. Updated in the system. Thank you for choosing DivergenCIE Coaching! 💫</t>
  </si>
  <si>
    <t>We acknowledge the fee payment receipt by Ibrahim Kamal Pasha of SAR 667.2/- for Dec 2025 on 11 Dec 2025. Updated in the system. Thank you for choosing DivergenCIE Coaching! 💫</t>
  </si>
  <si>
    <t>https://drive.google.com/uc?export=download&amp;id=1BFJSV5MFK-4eXrSxOxoby-iIeo-2TMhw</t>
  </si>
  <si>
    <t>3 subjects: combined math - or add discounts</t>
  </si>
  <si>
    <t>We acknowledge the fee payment receipt by Noya Mahasin of INR 18240./- for Dec 2025 on 30 Dec 1899. Updated in the system. Thank you for choosing DivergenCIE Coaching! 💫</t>
  </si>
  <si>
    <t>https://drive.google.com/uc?export=download&amp;id=194OPNiqILOk3wRhL3AN0Vm0JqX7rPkAG</t>
  </si>
  <si>
    <t>We acknowledge the fee payment receipt by Steve Rex of GBP 120/- for Dec 2025 on 5 Mar 2026. Updated in the system. Thank you for choosing DivergenCIE Coaching! 💫</t>
  </si>
  <si>
    <t>https://drive.google.com/uc?export=download&amp;id=1eRfIc0bnamR3MzOIvE-QR1ViCHoVbPan</t>
  </si>
  <si>
    <t>We acknowledge the fee payment receipt by Coreen Estico of SCR 400/- for Dec 2025 on 30 Dec 1899. Updated in the system. Thank you for choosing DivergenCIE Coaching! 💫</t>
  </si>
  <si>
    <t>We acknowledge the fee payment receipt by Faraz of INR 2000/- for Dec 2025 on 30 Jan 2026. Updated in the system. Thank you for choosing DivergenCIE Coaching! 💫</t>
  </si>
  <si>
    <t>https://drive.google.com/uc?export=download&amp;id=1DSEjonLTx6_LZG5OZHXWAzPOQDJCqmHW</t>
  </si>
  <si>
    <t>!exams going on - dec 9</t>
  </si>
  <si>
    <t>We acknowledge the fee payment receipt by Shifa Adnan  of INR 9000/- for Dec 2025 on 30 Dec 1899. Updated in the system. Thank you for choosing DivergenCIE Coaching! 💫</t>
  </si>
  <si>
    <t>2,</t>
  </si>
  <si>
    <t>We acknowledge the fee payment receipt by Vaishak of SGD 50/- for Dec 2025 on 24 Jan 2026. Updated in the system. Thank you for choosing DivergenCIE Coaching! 💫</t>
  </si>
  <si>
    <t>We acknowledge the fee payment receipt by Brighty Bejoy of SAR 400/- for Nov 2025 on 27 Nov 2026. Updated in the system. Thank you for choosing DivergenCIE Coaching! 💫</t>
  </si>
  <si>
    <t>https://drive.google.com/uc?export=download&amp;id=1tm7z6CP-06Y9FR6q7SJDrdKsovLpwZ7J</t>
  </si>
  <si>
    <t>tally payment</t>
  </si>
  <si>
    <t>We acknowledge the fee payment receipt by Aliya Wazir of INR 2000/- for Nov 2025 on 30 Dec 1899. Updated in the system. Thank you for choosing DivergenCIE Coaching! 💫</t>
  </si>
  <si>
    <t>https://drive.google.com/uc?export=download&amp;id=1kG4HcX3KCmHk3BzOqZxI3WIh9mmrgbEk</t>
  </si>
  <si>
    <t>We acknowledge the fee payment receipt by Manya Agarwal of INR 7500/- for Nov 2025 on 30 Dec 1899. Updated in the system. Thank you for choosing DivergenCIE Coaching! 💫</t>
  </si>
  <si>
    <t>https://drive.google.com/uc?export=download&amp;id=1vsvmHaqatPeR_ZtA1qZjUjlwxPZyQWiQ</t>
  </si>
  <si>
    <t>We acknowledge the fee payment receipt by Imtiaz of INR 4000/- for Nov 2025 on 30 Dec 1899. Updated in the system. Thank you for choosing DivergenCIE Coaching! 💫</t>
  </si>
  <si>
    <t>https://drive.google.com/uc?export=download&amp;id=1wFAJUiaI_raRpj6caY7vIKrjWp326KFq</t>
  </si>
  <si>
    <t>We acknowledge the fee payment receipt by Mudassir Dhanani of INR 7937.5/- for Nov 2025 on 30 Dec 1899. Updated in the system. Thank you for choosing DivergenCIE Coaching! 💫</t>
  </si>
  <si>
    <t>We acknowledge the fee payment receipt by Pritika Deb of GBP 247.5/- for Nov 2025 on 30 Dec 1899. Updated in the system. Thank you for choosing DivergenCIE Coaching! 💫</t>
  </si>
  <si>
    <t>We acknowledge the fee payment receipt by Howard Lim of USD 100/- for Nov 2025 on 11 Nov 2026. Updated in the system. Thank you for choosing DivergenCIE Coaching! 💫</t>
  </si>
  <si>
    <t>https://drive.google.com/uc?export=download&amp;id=18xRzww95Ev0Xju9KCjCVrCchYqO9PRTf</t>
  </si>
  <si>
    <t>We acknowledge the fee payment receipt by Abdullah Kamal Pasha of SAR 26000/- for Nov 2025 on 30 Dec 1899. Updated in the system. Thank you for choosing DivergenCIE Coaching! 💫</t>
  </si>
  <si>
    <t>Trial, Not Confirmed</t>
  </si>
  <si>
    <t>We acknowledge the fee payment receipt by Ibrahim Kamal Pasha of SAR 667.2/- for Nov 2025 on 30 Dec 1899. Updated in the system. Thank you for choosing DivergenCIE Coaching! 💫</t>
  </si>
  <si>
    <t>We acknowledge the fee payment receipt by Noya Mahasin of INR 18240./- for Nov 2025 on 30 Dec 1899. Updated in the system. Thank you for choosing DivergenCIE Coaching! 💫</t>
  </si>
  <si>
    <t>https://drive.google.com/uc?export=download&amp;id=1hPdFbNJ1rEOh3ithhFMbS3OU5G9wR43a</t>
  </si>
  <si>
    <t>We acknowledge the fee payment receipt by Steve Rex of GBP 120/- for Nov 2025 on 5 Feb 2026. Updated in the system. Thank you for choosing DivergenCIE Coaching! 💫</t>
  </si>
  <si>
    <t>https://drive.google.com/uc?export=download&amp;id=1VKhKPZe207jjGtlgMqZXDdmwHBV7V_mp</t>
  </si>
  <si>
    <t>We acknowledge the fee payment receipt by Coreen Estico of SCR 400/- for Nov 2025 on 30 Dec 1899. Updated in the system. Thank you for choosing DivergenCIE Coaching! 💫</t>
  </si>
  <si>
    <t>We acknowledge the fee payment receipt by Faraz of INR 2000/- for Nov 2025 on 30 Jan 2026. Updated in the system. Thank you for choosing DivergenCIE Coaching! 💫</t>
  </si>
  <si>
    <t>https://drive.google.com/uc?export=download&amp;id=1XAFx8ifGrsywzDafdzof5_t8L_5CE8qN</t>
  </si>
  <si>
    <t>Active, Invoice sent</t>
  </si>
  <si>
    <t>We acknowledge the fee payment receipt by Shifa Adnan  of INR 9000/- for Nov 2025 on 11 Feb 2026. Updated in the system. Thank you for choosing DivergenCIE Coaching! 💫</t>
  </si>
  <si>
    <t>https://drive.google.com/uc?export=download&amp;id=1vBZn9xlzBH8Nqd8wEkJQaG045ULRxsCu</t>
  </si>
  <si>
    <t>C22 College Board Mathematics - SGD, C22 DC IMO Mathematics - SGD, C22 College Board Physics - SGD</t>
  </si>
  <si>
    <t>8,8,8,</t>
  </si>
  <si>
    <t>We acknowledge the fee payment receipt by Vaishak of SGD 600/- for Nov 2025 on 30 Dec 1899. Updated in the system. Thank you for choosing DivergenCIE Coaching! 💫</t>
  </si>
  <si>
    <t>?started bio when</t>
  </si>
  <si>
    <t>We acknowledge the fee payment receipt by Brighty Bejoy of SAR 600/- for Oct 2025 on 28 Oct 2026. Updated in the system. Thank you for choosing DivergenCIE Coaching! 💫</t>
  </si>
  <si>
    <t>https://drive.google.com/uc?export=download&amp;id=1HIQCD72_F3ALZzUZeKFIQH6OUbOo2tkS</t>
  </si>
  <si>
    <t>stopped bio+maths on 1-nov, paid INR 4K for nov igcse physics (check?) !adjusted fees based on missed classes</t>
  </si>
  <si>
    <t>We acknowledge the fee payment receipt by Aliya Wazir of INR 5000/- for Oct 2025 on 29 Nov 2025. Updated in the system. Thank you for choosing DivergenCIE Coaching! 💫</t>
  </si>
  <si>
    <t>https://drive.google.com/uc?export=download&amp;id=1polk47bfTacc4ambBQXWxrkTU6auWnXH</t>
  </si>
  <si>
    <t>?tally timesheet - done</t>
  </si>
  <si>
    <t>We acknowledge the fee payment receipt by Manya Agarwal of INR 7500/- for Oct 2025 on 30 Dec 1899. Updated in the system. Thank you for choosing DivergenCIE Coaching! 💫</t>
  </si>
  <si>
    <t>https://drive.google.com/uc?export=download&amp;id=1ihCBMg7iEHvpE7mFcM_acvV4iLRdQoj1</t>
  </si>
  <si>
    <t>tally payment histroy</t>
  </si>
  <si>
    <t>We acknowledge the fee payment receipt by Imtiaz of INR 4000/- for Oct 2025 on 30 Nov 2025. Updated in the system. Thank you for choosing DivergenCIE Coaching! 💫</t>
  </si>
  <si>
    <t>https://drive.google.com/uc?export=download&amp;id=1Ifgp1VieCQ-zgVvXUVraGfaRvcXVD4zL</t>
  </si>
  <si>
    <t>We acknowledge the fee payment receipt by Mudassir Dhanani of INR 7937.5/- for Oct 2025 on 30 Dec 1899. Updated in the system. Thank you for choosing DivergenCIE Coaching! 💫</t>
  </si>
  <si>
    <t>fees calculated+INR 4K for books (paper 5)</t>
  </si>
  <si>
    <t>7.66, 8.84,</t>
  </si>
  <si>
    <t>We acknowledge the fee payment receipt by Pritika Deb of GBP 222.75/- for Oct 2025 on 30 Jan 2026. Updated in the system. Thank you for choosing DivergenCIE Coaching! 💫</t>
  </si>
  <si>
    <t>https://drive.google.com/uc?export=download&amp;id=1CqrJsOINaEBD6J0WanLT9ZsE61FxgoH4</t>
  </si>
  <si>
    <t>B14 Cambridge IGCSE 0510 English as a Second language - MYR, B14 Cambridge IGCSE 0625 Physics - MYR</t>
  </si>
  <si>
    <t>2,2</t>
  </si>
  <si>
    <t>We acknowledge the fee payment receipt by Rania Sami of SAR 160/- for Oct 2025 on 30 Dec 1899. Updated in the system. Thank you for choosing DivergenCIE Coaching! 💫</t>
  </si>
  <si>
    <t>We acknowledge the fee payment receipt by Abdullah Kamal Pasha of SAR 26000/- for Oct 2025 on 30 Dec 1899. Updated in the system. Thank you for choosing DivergenCIE Coaching! 💫</t>
  </si>
  <si>
    <t>We acknowledge the fee payment receipt by Jotham of SAR 16000/- for Oct 2025 on 30 Dec 1899. Updated in the system. Thank you for choosing DivergenCIE Coaching! 💫</t>
  </si>
  <si>
    <t>6000 less</t>
  </si>
  <si>
    <t>We acknowledge the fee payment receipt by Noya Mahasin of INR 24000/- for Oct 2025 on 10 Dec 2026. Updated in the system. Thank you for choosing DivergenCIE Coaching! 💫</t>
  </si>
  <si>
    <t>https://drive.google.com/uc?export=download&amp;id=17hBeyjaOCaLD9iAUJmhWe3pcAQBqoPU8</t>
  </si>
  <si>
    <t>sent</t>
  </si>
  <si>
    <t>10.99,</t>
  </si>
  <si>
    <t>We acknowledge the fee payment receipt by Steve Rex of GBP 164.85/- for Oct 2025 on 17 Nov 2025. Updated in the system. Thank you for choosing DivergenCIE Coaching! 💫</t>
  </si>
  <si>
    <t>https://drive.google.com/uc?export=download&amp;id=1KfM_tTDQWLAMGNBpFfPQ9gc7Kcmx83ev</t>
  </si>
  <si>
    <t>We acknowledge the fee payment receipt by Coreen Estico of SCR 400/- for Oct 2025 on 30 Dec 1899. Updated in the system. Thank you for choosing DivergenCIE Coaching! 💫</t>
  </si>
  <si>
    <t>We acknowledge the fee payment receipt by Faraz of INR 2000/- for Oct 2025 on 17 Nov 2025. Updated in the system. Thank you for choosing DivergenCIE Coaching! 💫</t>
  </si>
  <si>
    <t>https://drive.google.com/uc?export=download&amp;id=1sjay79hIVcoFCgSjn84xWf8F-hkG3yA7</t>
  </si>
  <si>
    <t>We acknowledge the fee payment receipt by Shifa Adnan  of INR 9000/- for Oct 2025 on 11 Feb 2026. Updated in the system. Thank you for choosing DivergenCIE Coaching! 💫</t>
  </si>
  <si>
    <t>https://drive.google.com/uc?export=download&amp;id=1s5-HCNubcB2HqwCvlrXcrc443VITbJ9y</t>
  </si>
  <si>
    <t>We acknowledge the fee payment receipt by Vaishak of SGD 600/- for Oct 2025 on 30 Dec 1899. Updated in the system. Thank you for choosing DivergenCIE Coaching! 💫</t>
  </si>
  <si>
    <t>p?</t>
  </si>
  <si>
    <t>We acknowledge the fee payment receipt by Brighty Bejoy of SAR 400/- for Sep 2025 on 28 Sep 2026. Updated in the system. Thank you for choosing DivergenCIE Coaching! 💫</t>
  </si>
  <si>
    <t>https://drive.google.com/uc?export=download&amp;id=1vV1601pWMRBB9JUzTQM6JHB-LDyISp-3</t>
  </si>
  <si>
    <t>tally payment? paid 9k (5K on sep 18 + 4K on sep 17)</t>
  </si>
  <si>
    <t>We acknowledge the fee payment receipt by Aliya Wazir of INR 9000/- for Sep 2025 on 18 Sep 2025. Updated in the system. Thank you for choosing DivergenCIE Coaching! 💫</t>
  </si>
  <si>
    <t>https://drive.google.com/uc?export=download&amp;id=1_Azw7EfQe-6Haf7Kqby2BvurpY3MrvIa</t>
  </si>
  <si>
    <t>np</t>
  </si>
  <si>
    <t>We acknowledge the fee payment receipt by Manya Agarwal of INR 7500/- for Sep 2025 on 20 Jan 2026. Updated in the system. Thank you for choosing DivergenCIE Coaching! 💫</t>
  </si>
  <si>
    <t>https://drive.google.com/uc?export=download&amp;id=1YqhF_WdyHtgITJ8tTgzOGS9FyTv9R3WE</t>
  </si>
  <si>
    <t>We acknowledge the fee payment receipt by Imtiaz of INR 4000/- for Sep 2025 on 21 Sep 2025. Updated in the system. Thank you for choosing DivergenCIE Coaching! 💫</t>
  </si>
  <si>
    <t>https://drive.google.com/uc?export=download&amp;id=1t-WvZJFHX9XZeRORYyV6dDi4dQOmuuFD</t>
  </si>
  <si>
    <t>We acknowledge the fee payment receipt by Mudassir Dhanani of INR 7937.5/- for Sep 2025 on 30 Dec 1899. Updated in the system. Thank you for choosing DivergenCIE Coaching! 💫</t>
  </si>
  <si>
    <t>p?check date</t>
  </si>
  <si>
    <t>Active, Invoice made, Invoice sent</t>
  </si>
  <si>
    <t>11.25, 11,</t>
  </si>
  <si>
    <t>check</t>
  </si>
  <si>
    <t>We acknowledge the fee payment receipt by Pritika Deb of GBP 333.75/- for Sep 2025 on check. Updated in the system. Thank you for choosing DivergenCIE Coaching! 💫</t>
  </si>
  <si>
    <t>https://drive.google.com/uc?export=download&amp;id=1i17NWRT4Xwggc1GasTEZsKjphp4DeJ3K</t>
  </si>
  <si>
    <t>We acknowledge the fee payment receipt by Rania Sami of SAR 160/- for Sep 2025 on 30 Dec 1899. Updated in the system. Thank you for choosing DivergenCIE Coaching! 💫</t>
  </si>
  <si>
    <t>end 28 sep,np - !calc how much is due</t>
  </si>
  <si>
    <t>We acknowledge the fee payment receipt by Sai Nikhita of INR 26000/- for Sep 2025 on 30 Dec 1899. Updated in the system. Thank you for choosing DivergenCIE Coaching! 💫</t>
  </si>
  <si>
    <t>https://drive.google.com/uc?export=download&amp;id=1wI8wuWOybMsFQh0nTrPUNpfdawE668o7</t>
  </si>
  <si>
    <t>follow up and ask to join bio</t>
  </si>
  <si>
    <t>B14 Cambridge IGCSE 0620 Chemistry - INR, B14 Cambridge IGCSE 0610 Biology - INR</t>
  </si>
  <si>
    <t>We acknowledge the fee payment receipt by Ananya T of INR 8000/- for Sep 2025 on 30 Dec 1899. Updated in the system. Thank you for choosing DivergenCIE Coaching! 💫</t>
  </si>
  <si>
    <t>Transition to 1st to month. started s1 !6000 less was paid</t>
  </si>
  <si>
    <t>We acknowledge the fee payment receipt by Noya Mahasin of INR 24000/- for Sep 2025 on 10 Dec 2026. Updated in the system. Thank you for choosing DivergenCIE Coaching! 💫</t>
  </si>
  <si>
    <t>https://drive.google.com/uc?export=download&amp;id=1rqHcFom77k1NK-xzdXSp3PH0pp8XMyDJ</t>
  </si>
  <si>
    <t>12,</t>
  </si>
  <si>
    <t>We acknowledge the fee payment receipt by Steve Rex of GBP 180/- for Sep 2025 on 7 Oct 2025. Updated in the system. Thank you for choosing DivergenCIE Coaching! 💫</t>
  </si>
  <si>
    <t>https://drive.google.com/uc?export=download&amp;id=1UECCn0y9oyxdWNZb8YABGCaAQEdb_5AJ</t>
  </si>
  <si>
    <t>We acknowledge the fee payment receipt by Coreen Estico of SCR 400/- for Sep 2025 on 30 Dec 1899. Updated in the system. Thank you for choosing DivergenCIE Coaching! 💫</t>
  </si>
  <si>
    <t>https://drive.google.com/uc?export=download&amp;id=14lVzcF6kKowmS-nXBHJsOYHX3l6Pn9al</t>
  </si>
  <si>
    <t>We acknowledge the fee payment receipt by Faraz of INR 2000/- for Sep 2025 on 17 Nov 2025. Updated in the system. Thank you for choosing DivergenCIE Coaching! 💫</t>
  </si>
  <si>
    <t>https://drive.google.com/uc?export=download&amp;id=1dzjvaW0hsEo6xiUSYpBdo_u1xuJvVO6m</t>
  </si>
  <si>
    <t>We acknowledge the fee payment receipt by Shifa Adnan  of INR 9000/- for Sep 2025 on 22 Sep 2026. Updated in the system. Thank you for choosing DivergenCIE Coaching! 💫</t>
  </si>
  <si>
    <t>https://drive.google.com/uc?export=download&amp;id=144eJ4P0Jcybqt9G_vC4A7lJ8jou0D7fK</t>
  </si>
  <si>
    <t>We acknowledge the fee payment receipt by Vaishak of SGD 600/- for Sep 2025 on 30 Dec 1899. Updated in the system. Thank you for choosing DivergenCIE Coaching! 💫</t>
  </si>
  <si>
    <t>dropped eng when?</t>
  </si>
  <si>
    <t>B14 Cambridge IGCSE 0625 Physics - SAR, B14 Cambridge IGCSE 0580 Mathematics - SAR, B14 Cambridge IGCSE 0510 English as a Second Language - SAR</t>
  </si>
  <si>
    <t>We acknowledge the fee payment receipt by Brighty Bejoy of SAR 400/- for Aug 2025 on 31 Aug 2026. Updated in the system. Thank you for choosing DivergenCIE Coaching! 💫</t>
  </si>
  <si>
    <t>https://drive.google.com/uc?export=download&amp;id=1PkFRE6953ymxG4w5igPYu9GKhME_Y00X</t>
  </si>
  <si>
    <t>B14 Cambridge IGCSE 0580 Mathematics - INR, B14 Cambridge IGCSE 0610 Biology - INR, B14 Cambridge IGCSE 0620 Chemistry - INR</t>
  </si>
  <si>
    <t>We acknowledge the fee payment receipt by Juveria Dhanani of INR 9000/- for Aug 2025 on 30 Dec 1899. Updated in the system. Thank you for choosing DivergenCIE Coaching! 💫</t>
  </si>
  <si>
    <t>We acknowledge the fee payment receipt by Manya Agarwal of INR 7500/- for Aug 2025 on 20 Jan 2026. Updated in the system. Thank you for choosing DivergenCIE Coaching! 💫</t>
  </si>
  <si>
    <t>https://drive.google.com/uc?export=download&amp;id=17a_X6Sp2oltsPRhTBXgnPXeSheZ1A9IF</t>
  </si>
  <si>
    <t>Mehreen</t>
  </si>
  <si>
    <t>C19 ACT - GBP</t>
  </si>
  <si>
    <t>8,</t>
  </si>
  <si>
    <t>We acknowledge the fee payment receipt by Mehreen  of GBP 120/- for Aug 2025 on 30 Dec 1899. Updated in the system. Thank you for choosing DivergenCIE Coaching! 💫</t>
  </si>
  <si>
    <t>We acknowledge the fee payment receipt by Mudassir Dhanani of INR 7937.5/- for Aug 2025 on 19 Sep 2025. Updated in the system. Thank you for choosing DivergenCIE Coaching! 💫</t>
  </si>
  <si>
    <t>https://drive.google.com/uc?export=download&amp;id=1yrIWOqROOXvS4FrTb5j_HznRDiJwyyEk</t>
  </si>
  <si>
    <t>p? check date</t>
  </si>
  <si>
    <t>11, 11,</t>
  </si>
  <si>
    <t>We acknowledge the fee payment receipt by Pritika Deb of GBP 330/- for Aug 2025 on check. Updated in the system. Thank you for choosing DivergenCIE Coaching! 💫</t>
  </si>
  <si>
    <t>https://drive.google.com/uc?export=download&amp;id=1M5aTLw1jCx7dn9DoyHMxaKNjaPEZTKpJ</t>
  </si>
  <si>
    <t>We acknowledge the fee payment receipt by Sharmira Perkash of MYR 160/- for Aug 2025 on 30 Dec 1899. Updated in the system. Thank you for choosing DivergenCIE Coaching! 💫</t>
  </si>
  <si>
    <t>We acknowledge the fee payment receipt by Sai Nikhita of INR 9000/- for Aug 2025 on 30 Dec 1899. Updated in the system. Thank you for choosing DivergenCIE Coaching! 💫</t>
  </si>
  <si>
    <t>https://drive.google.com/uc?export=download&amp;id=1Gk9hCi5OWj22kl7fWjFYnHwIyoZ1skah</t>
  </si>
  <si>
    <t>We acknowledge the fee payment receipt by Ananya T of INR 8000/- for Aug 2025 on 30 Dec 1899. Updated in the system. Thank you for choosing DivergenCIE Coaching! 💫</t>
  </si>
  <si>
    <t>https://drive.google.com/uc?export=download&amp;id=1i7_ONqBXBszEFZ57aEP_QFe4J8f2lSyr</t>
  </si>
  <si>
    <t>We acknowledge the fee payment receipt by Noya Mahasin of INR 18000/- for Aug 2025 on 14 Oct 2025. Updated in the system. Thank you for choosing DivergenCIE Coaching! 💫</t>
  </si>
  <si>
    <t>https://drive.google.com/uc?export=download&amp;id=1fDQhPuNcgmOBQWzGrgxyOxE7MAQYLL4n</t>
  </si>
  <si>
    <t>We acknowledge the fee payment receipt by Steve Rex of GBP 180/- for Aug 2025 on 25 Sep 2025. Updated in the system. Thank you for choosing DivergenCIE Coaching! 💫</t>
  </si>
  <si>
    <t>https://drive.google.com/uc?export=download&amp;id=1I4mHFhV1mFuC7Zp1Ksnz24AC5lVfleKI</t>
  </si>
  <si>
    <t>We acknowledge the fee payment receipt by Hananah Khan of AED 400/- for Aug 2025 on 30 Dec 1899. Updated in the system. Thank you for choosing DivergenCIE Coaching! 💫</t>
  </si>
  <si>
    <t>https://drive.google.com/uc?export=download&amp;id=1SBjGzKUOuvoXwcfRGHTu8lU41bE2vrC1</t>
  </si>
  <si>
    <t>We acknowledge the fee payment receipt by Faraz of INR 2000/- for Aug 2025 on 17 Nov 2025. Updated in the system. Thank you for choosing DivergenCIE Coaching! 💫</t>
  </si>
  <si>
    <t>https://drive.google.com/uc?export=download&amp;id=1tpQnYDB450GuuG1h7CQVh6xVxfQUuEuv</t>
  </si>
  <si>
    <t>check total payment history</t>
  </si>
  <si>
    <t>We acknowledge the fee payment receipt by Shifa Adnan  of INR 9000/- for Aug 2025 on 22 Sep 2026. Updated in the system. Thank you for choosing DivergenCIE Coaching! 💫</t>
  </si>
  <si>
    <t>https://drive.google.com/uc?export=download&amp;id=1nFTL5KQhEx5Yt-4diAORqyH2y5f4TyhU</t>
  </si>
  <si>
    <t>check due</t>
  </si>
  <si>
    <t>We acknowledge the fee payment receipt by Vaishak of SGD 600/- for Aug 2025 on 30 Dec 1899. Updated in the system. Thank you for choosing DivergenCIE Coaching! 💫</t>
  </si>
  <si>
    <t>We acknowledge the fee payment receipt by Brighty Bejoy of SAR 600/- for Jul 2025 on 31 Jul 2025. Updated in the system. Thank you for choosing DivergenCIE Coaching! 💫</t>
  </si>
  <si>
    <t>https://drive.google.com/uc?export=download&amp;id=1l74m_cvxykJDpkf7D10B0ghmtBgA_W0v</t>
  </si>
  <si>
    <t>We acknowledge the fee payment receipt by Juveria Dhanani of INR 9000/- for Jul 2025 on 30 Dec 1899. Updated in the system. Thank you for choosing DivergenCIE Coaching! 💫</t>
  </si>
  <si>
    <t>We acknowledge the fee payment receipt by Manya Agarwal of INR 5937.5/- for Jul 2025 on 29 Sep 2025. Updated in the system. Thank you for choosing DivergenCIE Coaching! 💫</t>
  </si>
  <si>
    <t>https://drive.google.com/uc?export=download&amp;id=1FBo5vG9dsr43MRJIoVCnEd9HpdN1m7yj</t>
  </si>
  <si>
    <t>We acknowledge the fee payment receipt by Mehreen  of GBP 120/- for Jul 2025 on 30 Dec 1899. Updated in the system. Thank you for choosing DivergenCIE Coaching! 💫</t>
  </si>
  <si>
    <t>B8 Cambridge A-Level 9702 Physics - INR, B8 Cambridge A-Level 9701 Chemistry - INR, B8 Cambridge A-Level 9700 Biology - INR</t>
  </si>
  <si>
    <t>6000+9000</t>
  </si>
  <si>
    <t>We acknowledge the fee payment receipt by Mudassir Dhanani of INR 21000/- for Jul 2025 on 30 Dec 1899. Updated in the system. Thank you for choosing DivergenCIE Coaching! 💫</t>
  </si>
  <si>
    <t>paid check date</t>
  </si>
  <si>
    <t>10, 10,</t>
  </si>
  <si>
    <t>We acknowledge the fee payment receipt by Pritika Deb of GBP 300/- for Jul 2025 on check. Updated in the system. Thank you for choosing DivergenCIE Coaching! 💫</t>
  </si>
  <si>
    <t>https://drive.google.com/uc?export=download&amp;id=1uMe-gFQ7KuD8kmnHjY3zlxNwoIpBoP66</t>
  </si>
  <si>
    <t>We acknowledge the fee payment receipt by Sharmira Perkash of MYR 160/- for Jul 2025 on 30 Dec 1899. Updated in the system. Thank you for choosing DivergenCIE Coaching! 💫</t>
  </si>
  <si>
    <t>B8 Cambridge A-Level 9609 Business - INR, B8 Cambridge A-Level 9709 Mathematics: Pure 3 - INR, B8 Cambridge A-Level 9709 Mathematics: Statistics 1 - INR, B8 Cambridge A-Level 9618 Computer Science - INR</t>
  </si>
  <si>
    <t>We acknowledge the fee payment receipt by Shubh Kalra of INR 27000/- for Jul 2025 on 30 Dec 1899. Updated in the system. Thank you for choosing DivergenCIE Coaching! 💫</t>
  </si>
  <si>
    <t>C21 Edexcel IGCSE ICT - GBP</t>
  </si>
  <si>
    <t>We acknowledge the fee payment receipt by Zahra Zahra of GBP 180/- for Jul 2025 on 30 Dec 1899. Updated in the system. Thank you for choosing DivergenCIE Coaching! 💫</t>
  </si>
  <si>
    <t>We acknowledge the fee payment receipt by Noya Mahasin of INR 18000/- for Jul 2025 on 28 Aug 2025. Updated in the system. Thank you for choosing DivergenCIE Coaching! 💫</t>
  </si>
  <si>
    <t>https://drive.google.com/uc?export=download&amp;id=1Tq3JDPKSPWJG2Yck2pN3ehOQb0sp9dtM</t>
  </si>
  <si>
    <t>We acknowledge the fee payment receipt by Steve Rex of GBP 180/- for Jul 2025 on 4 Aug 2025. Updated in the system. Thank you for choosing DivergenCIE Coaching! 💫</t>
  </si>
  <si>
    <t>https://drive.google.com/uc?export=download&amp;id=12dhZudqz_SzJySmIUqcQuSmTSbhkD7AS</t>
  </si>
  <si>
    <t>Individual, Cancelled</t>
  </si>
  <si>
    <t>C20 KSA Qudrat GAT - SAR</t>
  </si>
  <si>
    <t>We acknowledge the fee payment receipt by Wajd of SAR 250/- for Jul 2025 on 30 Dec 1899. Updated in the system. Thank you for choosing DivergenCIE Coaching! 💫</t>
  </si>
  <si>
    <t>We acknowledge the fee payment receipt by Faraz of INR 3000/- for Jul 2025 on 17 Nov 2025. Updated in the system. Thank you for choosing DivergenCIE Coaching! 💫</t>
  </si>
  <si>
    <t>https://drive.google.com/uc?export=download&amp;id=1PkSasPVJ-gT7CCjmTjvIEU19BRu6i2Qd</t>
  </si>
  <si>
    <t>extra 1500 for one extra math class on saturday. not actually taken</t>
  </si>
  <si>
    <t>https://drive.google.com/uc?export=download&amp;id=13whL7D9cw_HL5l7erwCktEWbAbonmtTS</t>
  </si>
  <si>
    <t>We acknowledge the fee payment receipt by Vaishak of SGD 600/- for Jul 2025 on 30 Dec 1899. Updated in the system. Thank you for choosing DivergenCIE Coaching! 💫</t>
  </si>
  <si>
    <t>https://drive.google.com/uc?export=download&amp;id=183z3HHSmRiZ05Xh5Xg5ZLuuKmEYabF9H</t>
  </si>
  <si>
    <t>started english on Jun 30, SAR 50 extra since she started eng in w2 of jun session</t>
  </si>
  <si>
    <t>We acknowledge the fee payment receipt by Brighty Bejoy of SAR 550/- for Jun 2025 on 1 Jul 2025. Updated in the system. Thank you for choosing DivergenCIE Coaching! 💫</t>
  </si>
  <si>
    <t>https://drive.google.com/uc?export=download&amp;id=1odb_Tqv-c_9KOFb7fnJ9XOkA49zh76kK</t>
  </si>
  <si>
    <t>We acknowledge the fee payment receipt by Juveria Dhanani of INR 9000/- for Jun 2025 on 30 Dec 1899. Updated in the system. Thank you for choosing DivergenCIE Coaching! 💫</t>
  </si>
  <si>
    <t>started accounting on jun 23 -1w, started physics on Jun 17 - 2w, 1+.25+.5</t>
  </si>
  <si>
    <t>We acknowledge the fee payment receipt by Manya Agarwal of INR 5312.5/- for Jun 2025 on 14 Aug 2025. Updated in the system. Thank you for choosing DivergenCIE Coaching! 💫</t>
  </si>
  <si>
    <t>https://drive.google.com/uc?export=download&amp;id=19NuuUZIGeE-SfLh02BmzSRfj1Kqug9nx</t>
  </si>
  <si>
    <t>We acknowledge the fee payment receipt by Mehreen  of GBP 120/- for Jun 2025 on 30 Dec 1899. Updated in the system. Thank you for choosing DivergenCIE Coaching! 💫</t>
  </si>
  <si>
    <t>We acknowledge the fee payment receipt by Mudassir Dhanani of INR 21000/- for Jun 2025 on 30 Dec 1899. Updated in the system. Thank you for choosing DivergenCIE Coaching! 💫</t>
  </si>
  <si>
    <t>We acknowledge the fee payment receipt by Pritika Deb of GBP 330/- for Jun 2025 on 3 Jul 2025. Updated in the system. Thank you for choosing DivergenCIE Coaching! 💫</t>
  </si>
  <si>
    <t>https://drive.google.com/uc?export=download&amp;id=12jlxRlGA8FFr34vcDIrn1mtHQjHShM-9</t>
  </si>
  <si>
    <t>We acknowledge the fee payment receipt by Sharmira Perkash of MYR 160/- for Jun 2025 on 30 Dec 1899. Updated in the system. Thank you for choosing DivergenCIE Coaching! 💫</t>
  </si>
  <si>
    <t>We acknowledge the fee payment receipt by Shubh Kalra of INR 27000/- for Jun 2025 on 30 Dec 1899. Updated in the system. Thank you for choosing DivergenCIE Coaching! 💫</t>
  </si>
  <si>
    <t>We acknowledge the fee payment receipt by Zahra Zahra of GBP 180/- for Jun 2025 on 30 Dec 1899. Updated in the system. Thank you for choosing DivergenCIE Coaching! 💫</t>
  </si>
  <si>
    <t>?check payment date</t>
  </si>
  <si>
    <t>We acknowledge the fee payment receipt by Noya Mahasin of INR 18000/- for Jun 2025 on 15 Jul 2025. Updated in the system. Thank you for choosing DivergenCIE Coaching! 💫</t>
  </si>
  <si>
    <t>https://drive.google.com/uc?export=download&amp;id=1HR-2ZdRUpwbEkAjAE_KuilXwg0gPYVDu</t>
  </si>
  <si>
    <t>We acknowledge the fee payment receipt by Steve Rex of GBP 180/- for Jun 2025 on 2 Jul 2025. Updated in the system. Thank you for choosing DivergenCIE Coaching! 💫</t>
  </si>
  <si>
    <t>https://drive.google.com/uc?export=download&amp;id=1lm0qIkVetYWGGR4mljDb2RbHTvNz4yOg</t>
  </si>
  <si>
    <t>We acknowledge the fee payment receipt by Wajd of SAR 250/- for Jun 2025 on 30 Dec 1899. Updated in the system. Thank you for choosing DivergenCIE Coaching! 💫</t>
  </si>
  <si>
    <t>We acknowledge the fee payment receipt by Faraz of INR 2000/- for Jun 2025 on 30 Dec 1899. Updated in the system. Thank you for choosing DivergenCIE Coaching! 💫</t>
  </si>
  <si>
    <t>https://drive.google.com/uc?export=download&amp;id=1WvXojoC-Jt0NnaV7BUkX5eNda2mkD6W5</t>
  </si>
  <si>
    <t>B8 Cambridge A-Level 9701 Chemistry - SAR</t>
  </si>
  <si>
    <t>We acknowledge the fee payment receipt by Jerrin Jaison of SAR 0/- for Jun 2025 on 30 Dec 1899. Updated in the system. Thank you for choosing DivergenCIE Coaching! 💫</t>
  </si>
  <si>
    <t>https://drive.google.com/uc?export=download&amp;id=1gGf-bNutF1-6reInhELrYj6WfE4l90ju</t>
  </si>
  <si>
    <t>We acknowledge the fee payment receipt by Vaishak of SGD 676/- for Jun 2025 on 13 Jul 2026. Updated in the system. Thank you for choosing DivergenCIE Coaching! 💫</t>
  </si>
  <si>
    <t>https://drive.google.com/uc?export=download&amp;id=1urMUSaBDkyT3ulgpolk_YqVsrOGqcq_3</t>
  </si>
  <si>
    <t>We acknowledge the fee payment receipt by Brighty Bejoy of SAR 400/- for May 2025 on 29 May 2025. Updated in the system. Thank you for choosing DivergenCIE Coaching! 💫</t>
  </si>
  <si>
    <t>https://drive.google.com/uc?export=download&amp;id=1GghWb2gPmVZfFDeqovIYXlc4efWPoBeM</t>
  </si>
  <si>
    <t>We acknowledge the fee payment receipt by Juveria Dhanani of INR 9000/- for May 2025 on 30 Dec 1899. Updated in the system. Thank you for choosing DivergenCIE Coaching! 💫</t>
  </si>
  <si>
    <t>We acknowledge the fee payment receipt by Manya Agarwal of INR 2500/- for May 2025 on check. Updated in the system. Thank you for choosing DivergenCIE Coaching! 💫</t>
  </si>
  <si>
    <t>We acknowledge the fee payment receipt by Mehreen  of GBP 120/- for May 2025 on 30 Dec 1899. Updated in the system. Thank you for choosing DivergenCIE Coaching! 💫</t>
  </si>
  <si>
    <t>? end when !I'm marking it as paid  most likel;y since records cleared</t>
  </si>
  <si>
    <t>We acknowledge the fee payment receipt by Mudassir Dhanani of INR 21000/- for May 2025 on 30 Dec 1899. Updated in the system. Thank you for choosing DivergenCIE Coaching! 💫</t>
  </si>
  <si>
    <t>https://drive.google.com/uc?export=download&amp;id=1Nfs7A7-fwErWop3EShM3lpbJ3nHZbcOA</t>
  </si>
  <si>
    <t>C15 Cambridge AS-Level 9702 Physics - GBP, C15 Cambridge AS-Level 9701 Chemistry - GBP</t>
  </si>
  <si>
    <t>4, 0,</t>
  </si>
  <si>
    <t>We acknowledge the fee payment receipt by Pritika Deb of GBP 60/- for May 2025 on 30 Dec 1899. Updated in the system. Thank you for choosing DivergenCIE Coaching! 💫</t>
  </si>
  <si>
    <t>https://drive.google.com/uc?export=download&amp;id=1xXCrSLUM6B0rSeva-QAOkH-r8NijBQ3T</t>
  </si>
  <si>
    <t>?How many classes and ask her to pay</t>
  </si>
  <si>
    <t>We acknowledge the fee payment receipt by Sharmira Perkash of MYR 160/- for May 2025 on 30 Dec 1899. Updated in the system. Thank you for choosing DivergenCIE Coaching! 💫</t>
  </si>
  <si>
    <t>https://drive.google.com/uc?export=download&amp;id=1ffhVD0Xu5Z-I8On2jDnc5bGRxJ9RxLKj</t>
  </si>
  <si>
    <t>We acknowledge the fee payment receipt by Shubh Kalra of INR 27000/- for May 2025 on 3 Jun 2025. Updated in the system. Thank you for choosing DivergenCIE Coaching! 💫</t>
  </si>
  <si>
    <t>https://drive.google.com/uc?export=download&amp;id=1fA50LIeTRoE8DHU8PIsk2V_VFc8grGwr</t>
  </si>
  <si>
    <t>We acknowledge the fee payment receipt by Zahra Zahra of GBP 180/- for May 2025 on 19 Jul 2026. Updated in the system. Thank you for choosing DivergenCIE Coaching! 💫</t>
  </si>
  <si>
    <t>https://drive.google.com/uc?export=download&amp;id=1p2nW-vvTuwe3BOeApzZ_-1S2Tun7GGal</t>
  </si>
  <si>
    <t>We acknowledge the fee payment receipt by Noya Mahasin of INR 18000/- for May 2025 on 28 May 2025. Updated in the system. Thank you for choosing DivergenCIE Coaching! 💫</t>
  </si>
  <si>
    <t>https://drive.google.com/uc?export=download&amp;id=1iLlW4ohMkHyUNZD8Zgmj2nk1gOUZku-n</t>
  </si>
  <si>
    <t>We acknowledge the fee payment receipt by Steve Rex of GBP 180/- for May 2025 on 28 May 2025. Updated in the system. Thank you for choosing DivergenCIE Coaching! 💫</t>
  </si>
  <si>
    <t>https://drive.google.com/uc?export=download&amp;id=1anvifhRuw7Gic3IGaVcTTK2fPXXaygpJ</t>
  </si>
  <si>
    <t>Individual, Absent</t>
  </si>
  <si>
    <t>We acknowledge the fee payment receipt by Wajd of SAR 250/- for May 2025 on 30 Dec 1899. Updated in the system. Thank you for choosing DivergenCIE Coaching! 💫</t>
  </si>
  <si>
    <t>follow up and get payments</t>
  </si>
  <si>
    <t>B14 Cambridge IGCSE 0625 Physics - SAR, B14 Cambridge IGCSE 0620 Chemistry - SAR, B14 Cambridge IGCSE 0610 Biology - SAR, B14 Cambridge IGCSE 0580 Mathematics - SAR, B14 Cambridge IGCSE 0510 English as a Second Language - SAR</t>
  </si>
  <si>
    <t>We acknowledge the fee payment receipt by Abdurrahman of SAR 500/- for Apr 2025 on 30 Dec 1899. Updated in the system. Thank you for choosing DivergenCIE Coaching! 💫</t>
  </si>
  <si>
    <t>follow up and start classes</t>
  </si>
  <si>
    <t>C3 OCR GCSE J277 Computer Science - GBP</t>
  </si>
  <si>
    <t>We acknowledge the fee payment receipt by Adeeba of GBP 48/- for Apr 2025 on 30 Dec 1899. Updated in the system. Thank you for choosing DivergenCIE Coaching! 💫</t>
  </si>
  <si>
    <t>T4 Cambridge IGCSE English - SAR</t>
  </si>
  <si>
    <t>We acknowledge the fee payment receipt by Adithya Aji of SAR 0/- for Apr 2025 on 30 Dec 1899. Updated in the system. Thank you for choosing DivergenCIE Coaching! 💫</t>
  </si>
  <si>
    <t>B18 Cambridge AS-Level 9701 Chemistry - INR, B18 Cambridge AS-Level 9702 Physics - INR, B18 Cambridge AS-Level 9700 Biology - INR, B18 Cambridge AS-Level 9093 English Language - INR, B18 Cambridge AS-Level 9239 Global Perspectives &amp; Research - INR</t>
  </si>
  <si>
    <t>We acknowledge the fee payment receipt by Juveria Dhanani of INR 25500/- for Apr 2025 on 30 Dec 1899. Updated in the system. Thank you for choosing DivergenCIE Coaching! 💫</t>
  </si>
  <si>
    <t>Active, Invoice sent, Invoice made</t>
  </si>
  <si>
    <t>We acknowledge the fee payment receipt by Mudassir Dhanani of INR 21000/- for Apr 2025 on 7 May 2025. Updated in the system. Thank you for choosing DivergenCIE Coaching! 💫</t>
  </si>
  <si>
    <t>https://drive.google.com/uc?export=download&amp;id=1ziYIvWjiFW4EOb2pvr0mzpreawwfceQa</t>
  </si>
  <si>
    <t>We acknowledge the fee payment receipt by Pritika Deb of GBP 180/- for Apr 2025 on 2 May 2025. Updated in the system. Thank you for choosing DivergenCIE Coaching! 💫</t>
  </si>
  <si>
    <t>https://drive.google.com/uc?export=download&amp;id=1VrhoyHEnplN3hh2oayAU0vU91aIs8jjD</t>
  </si>
  <si>
    <t>B8 IB DP Economics - USD</t>
  </si>
  <si>
    <t>We acknowledge the fee payment receipt by Sarah of USD 0/- for Apr 2025 on 30 Dec 1899. Updated in the system. Thank you for choosing DivergenCIE Coaching! 💫</t>
  </si>
  <si>
    <t>https://drive.google.com/uc?export=download&amp;id=12StQIInkSsH3o0x8dZhykJNCVagq_bq-</t>
  </si>
  <si>
    <t>We acknowledge the fee payment receipt by Shubh Kalra of INR 27000/- for Apr 2025 on 30 Apr 2025. Updated in the system. Thank you for choosing DivergenCIE Coaching! 💫</t>
  </si>
  <si>
    <t>https://drive.google.com/uc?export=download&amp;id=1NtnXLNLqRIcGgjNf3hiCF0JrT36emqd6</t>
  </si>
  <si>
    <t>C4 DC Quantum AI - SGD</t>
  </si>
  <si>
    <t>We acknowledge the fee payment receipt by Vaishak of SGD 0/- for Apr 2025 on 30 Dec 1899. Updated in the system. Thank you for choosing DivergenCIE Coaching! 💫</t>
  </si>
  <si>
    <t>https://drive.google.com/uc?export=download&amp;id=1RoeUv5owCzCopaDPo3yyxi8fK1z7Zdqy</t>
  </si>
  <si>
    <t>send HX of invoices to parents</t>
  </si>
  <si>
    <t>C13 Cambridge IGCSE 0417 Information &amp; Communication Technology - GBP</t>
  </si>
  <si>
    <t>We acknowledge the fee payment receipt by Vatsal Abrols of GBP 10/- for Apr 2025 on 30 Dec 1899. Updated in the system. Thank you for choosing DivergenCIE Coaching! 💫</t>
  </si>
  <si>
    <t>Absent, Active</t>
  </si>
  <si>
    <t>We acknowledge the fee payment receipt by Zakir Osama of GBP 75/- for Apr 2025 on 30 Dec 1899. Updated in the system. Thank you for choosing DivergenCIE Coaching! 💫</t>
  </si>
  <si>
    <t>https://drive.google.com/uc?export=download&amp;id=1eI0IfmucWmNsx3Kbo3CnKF9i6QInVCHf</t>
  </si>
  <si>
    <t>C16 Cambridge IGCSE 0500 First Language English - GBP</t>
  </si>
  <si>
    <t>#N/A</t>
  </si>
  <si>
    <t>3,</t>
  </si>
  <si>
    <t>https://drive.google.com/uc?export=download&amp;id=19rPf0NTwN00JR6SrI-f0iD4wKEa-OMTI</t>
  </si>
  <si>
    <t>We acknowledge the fee payment receipt by Hafsah of GBP 0/- for Apr 2025 on 30 Dec 1899. Updated in the system. Thank you for choosing DivergenCIE Coaching! 💫</t>
  </si>
  <si>
    <t>?follow up and start classes</t>
  </si>
  <si>
    <t>We acknowledge the fee payment receipt by Al Aqmar Jamnagarwalla of GBP 15/- for Dec 1899 on 30 Dec 1899. Updated in the system. Thank you for choosing DivergenCIE Coaching! 💫</t>
  </si>
  <si>
    <t>T4 Cambridge IGCSE Science - SAR, T4 Cambridge IGCSE English - SAR, T4 Cambridge IGCSE Mathematics - SAR</t>
  </si>
  <si>
    <t>We acknowledge the fee payment receipt by Besly Bejoy of SAR 0/- for Apr 2025 on 30 Dec 1899. Updated in the system. Thank you for choosing DivergenCIE Coaching! 💫</t>
  </si>
  <si>
    <t>https://drive.google.com/uc?export=download&amp;id=1zJLflDpXA3xox41B7_VbRGPLQzl6xb_S</t>
  </si>
  <si>
    <t>B14 Cambridge IGCSE 0625 Physics - SAR, B14 Cambridge IGCSE 0580 Mathematics - SAR, B14 Cambridge IGCSE 0510 English as a Second Language - SAR, B14 Cambridge IGCSE 0610 Biology - SAR</t>
  </si>
  <si>
    <t>We acknowledge the fee payment receipt by Brighty Bejoy of SAR 400/- for Apr 2025 on 29 Apr 2025. Updated in the system. Thank you for choosing DivergenCIE Coaching! 💫</t>
  </si>
  <si>
    <t>https://drive.google.com/uc?export=download&amp;id=1Evuxditvi8A3nKBEcV27_ZWGjIU6oBTR</t>
  </si>
  <si>
    <t>B14 Cambridge IGCSE 0625 Physics - INR, B14 Cambridge IGCSE 0580 Mathematics - INR, B14 Cambridge IGCSE 0510 English as a Second Language - INR</t>
  </si>
  <si>
    <t>We acknowledge the fee payment receipt by Aakaash Nandakumar of INR 12000/- for Apr 2025 on 30 Dec 1899. Updated in the system. Thank you for choosing DivergenCIE Coaching! 💫</t>
  </si>
  <si>
    <t>https://drive.google.com/uc?export=download&amp;id=1vZEETvNrraN5oepNkInOlR_GeF4sRxV1</t>
  </si>
  <si>
    <t>C19 Edexcel A-Level 9701 Chemistry - GBP</t>
  </si>
  <si>
    <t>20,</t>
  </si>
  <si>
    <t>We acknowledge the fee payment receipt by Omar BIN ZARRAR of GBP 300/- for Apr 2025 on 30 Dec 1899. Updated in the system. Thank you for choosing DivergenCIE Coaching! 💫</t>
  </si>
  <si>
    <t>https://drive.google.com/uc?export=download&amp;id=10EeYRKI48IQpl2TVUTtSgwEPkAii0n0Z</t>
  </si>
  <si>
    <t>We acknowledge the fee payment receipt by Jerrin Jaison of SAR 250/- for Dec 1899 on 30 Dec 1899. Updated in the system. Thank you for choosing DivergenCIE Coaching! 💫</t>
  </si>
  <si>
    <t>We acknowledge the fee payment receipt by Sofiya Rawal of INR 15000/- for Dec 1899 on 30 Dec 1899. Updated in the system. Thank you for choosing DivergenCIE Coaching! 💫</t>
  </si>
  <si>
    <t>B14 Cambridge IGCSE 0580 Mathematics - INR</t>
  </si>
  <si>
    <t>We acknowledge the fee payment receipt by Manya Agarwal of INR 3000/- for Apr 2025 on 16 May 2025. Updated in the system. Thank you for choosing DivergenCIE Coaching! 💫</t>
  </si>
  <si>
    <t>https://drive.google.com/uc?export=download&amp;id=1VmkmAnup-6yXZR7DmxN7yWvEIuSzxuLi</t>
  </si>
  <si>
    <t>IGCSE PCMBE JOINED ESL ON 13-nov</t>
  </si>
  <si>
    <t>We acknowledge the fee payment receipt by Abdurrahman of SAR 500/- for Mar 2025 on 30 Dec 1899. Updated in the system. Thank you for choosing DivergenCIE Coaching! 💫</t>
  </si>
  <si>
    <t>?Paid something on Mar 6</t>
  </si>
  <si>
    <t>We acknowledge the fee payment receipt by Adeeba of GBP 48/- for Mar 2025 on 30 Dec 1899. Updated in the system. Thank you for choosing DivergenCIE Coaching! 💫</t>
  </si>
  <si>
    <t>https://drive.google.com/uc?export=download&amp;id=1PTw8rmpHkcnaeAp0kmsk4B-WbXQVcBlh</t>
  </si>
  <si>
    <t>B14 Cambridge IGCSE 0510 English as a Second Language - SAR</t>
  </si>
  <si>
    <t>We acknowledge the fee payment receipt by Adithya Aji of SAR 150/- for Mar 2025 on 30 Dec 1899. Updated in the system. Thank you for choosing DivergenCIE Coaching! 💫</t>
  </si>
  <si>
    <t>Cambridge A-Level Counseling Session - GBP</t>
  </si>
  <si>
    <t>We acknowledge the fee payment receipt by Juveria Dhanani of GBP 30/- for Mar 2025 on 9 Apr 2025. Updated in the system. Thank you for choosing DivergenCIE Coaching! 💫</t>
  </si>
  <si>
    <t>https://drive.google.com/uc?export=download&amp;id=1MrARLQ9o-rhJvSzqg1YwL757FXLOkMDA</t>
  </si>
  <si>
    <t>A2 PCEB</t>
  </si>
  <si>
    <t>We acknowledge the fee payment receipt by Mudassir Dhanani of INR 21000/- for Mar 2025 on 14 Mar 2025. Updated in the system. Thank you for choosing DivergenCIE Coaching! 💫</t>
  </si>
  <si>
    <t>https://drive.google.com/uc?export=download&amp;id=1CTKN7U1jZ1Lsgar6vj3GF6b2MjxjDSEK</t>
  </si>
  <si>
    <t>AS-PC GBP</t>
  </si>
  <si>
    <t>We acknowledge the fee payment receipt by Pritika Deb of GBP 300/- for Mar 2025 on 15 Mar 2025. Updated in the system. Thank you for choosing DivergenCIE Coaching! 💫</t>
  </si>
  <si>
    <t>https://drive.google.com/uc?export=download&amp;id=1Y7b-SI3ncOVqlcv9qt8QrUumU6hoHyv3</t>
  </si>
  <si>
    <t>x</t>
  </si>
  <si>
    <t>We acknowledge the fee payment receipt by Sarah of USD 0/- for Mar 2025 on 30 Dec 1899. Updated in the system. Thank you for choosing DivergenCIE Coaching! 💫</t>
  </si>
  <si>
    <t>We acknowledge the fee payment receipt by Shubh Kalra of INR 27000/- for Mar 2025 on 9 Apr 2025. Updated in the system. Thank you for choosing DivergenCIE Coaching! 💫</t>
  </si>
  <si>
    <t>https://drive.google.com/uc?export=download&amp;id=1NyqfCHeBBz4cJV7kpLcNC-mw2WMySTNI</t>
  </si>
  <si>
    <t>We acknowledge the fee payment receipt by Vaishak of SGD 0/- for Mar 2025 on 30 Dec 1899. Updated in the system. Thank you for choosing DivergenCIE Coaching! 💫</t>
  </si>
  <si>
    <t>3.67,</t>
  </si>
  <si>
    <t>We acknowledge the fee payment receipt by Vatsal Abrols of GBP 36.7/- for Mar 2025 on 14 Mar 2025. Updated in the system. Thank you for choosing DivergenCIE Coaching! 💫</t>
  </si>
  <si>
    <t>https://drive.google.com/uc?export=download&amp;id=1QEKXAGaHVEGK1yLFBWn3rFlEDRgVY8rg</t>
  </si>
  <si>
    <t>AL EGP</t>
  </si>
  <si>
    <t>We acknowledge the fee payment receipt by Zakir Osama of GBP 75/- for Mar 2025 on 30 Dec 1899. Updated in the system. Thank you for choosing DivergenCIE Coaching! 💫</t>
  </si>
  <si>
    <t>https://drive.google.com/uc?export=download&amp;id=1pJusIeLqujTI1CHJxRdx8lVl2Pn_ei6i</t>
  </si>
  <si>
    <t>C17 Edexcel A-Level 9701 Chemistry - GBP</t>
  </si>
  <si>
    <t>We acknowledge the fee payment receipt by Hafsah of GBP 120/- for Mar 2025 on 7 Apr 2025. Updated in the system. Thank you for choosing DivergenCIE Coaching! 💫</t>
  </si>
  <si>
    <t>https://drive.google.com/uc?export=download&amp;id=1TCzktAH8_c7A98bPdM-F5U8f1kzzaXZ7</t>
  </si>
  <si>
    <t>https://drive.google.com/uc?export=download&amp;id=1jAGtFEOIqVwzyL7a88NaiWnpCxkQID_K</t>
  </si>
  <si>
    <t>We acknowledge the fee payment receipt by Abdurrahman of SAR 363./- for Feb 2025 on 30 Dec 1899. Updated in the system. Thank you for choosing DivergenCIE Coaching! 💫</t>
  </si>
  <si>
    <t>We acknowledge the fee payment receipt by Adeeba of GBP 12/- for Feb 2025 on 30 Dec 1899. Updated in the system. Thank you for choosing DivergenCIE Coaching! 💫</t>
  </si>
  <si>
    <t>https://drive.google.com/uc?export=download&amp;id=1uyt-pInNj51w5HVjdNl_ws1uIcj4X8qZ</t>
  </si>
  <si>
    <t>We acknowledge the fee payment receipt by Adithya Aji of SAR 150/- for Feb 2025 on 30 Dec 1899. Updated in the system. Thank you for choosing DivergenCIE Coaching! 💫</t>
  </si>
  <si>
    <t>B14 Cambridge IGCSE 0625 Physics - INR, B14 Cambridge IGCSE 0610 Biology - INR, B14 Cambridge IGCSE 0580 Mathematics - INR</t>
  </si>
  <si>
    <t>We acknowledge the fee payment receipt by Ayra Shareef of INR 1020./- for Feb 2025 on 30 Dec 1899. Updated in the system. Thank you for choosing DivergenCIE Coaching! 💫</t>
  </si>
  <si>
    <t>We acknowledge the fee payment receipt by Juveria Dhanani of INR 9000/- for Feb 2025 on 14 Mar 2025. Updated in the system. Thank you for choosing DivergenCIE Coaching! 💫</t>
  </si>
  <si>
    <t>https://drive.google.com/uc?export=download&amp;id=1MJ3l_yKP-7LOsbNRZWR_C7a0xAaGkq-J</t>
  </si>
  <si>
    <t>We acknowledge the fee payment receipt by Mudassir Dhanani of INR 21000/- for Feb 2025 on 11 Mar 2025. Updated in the system. Thank you for choosing DivergenCIE Coaching! 💫</t>
  </si>
  <si>
    <t>https://drive.google.com/uc?export=download&amp;id=1qxUA2BOs-BJPXXB1hU0erIdBgd9RoYqo</t>
  </si>
  <si>
    <t>Active, Invoice made, Invoice sent, Active</t>
  </si>
  <si>
    <t>8.5, 8.5</t>
  </si>
  <si>
    <t>We acknowledge the fee payment receipt by Pritika Deb of GBP 255/- for Feb 2025 on 10 Mar 2025. Updated in the system. Thank you for choosing DivergenCIE Coaching! 💫</t>
  </si>
  <si>
    <t>https://drive.google.com/uc?export=download&amp;id=1ZTWpPF1zL-S09CDrmHTHKST9sIXmgZrE</t>
  </si>
  <si>
    <t>We acknowledge the fee payment receipt by Sarah of USD 0/- for Feb 2025 on 30 Dec 1899. Updated in the system. Thank you for choosing DivergenCIE Coaching! 💫</t>
  </si>
  <si>
    <t>We acknowledge the fee payment receipt by Shubh Kalra of INR 27000/- for Feb 2025 on 17 Mar 2025. Updated in the system. Thank you for choosing DivergenCIE Coaching! 💫</t>
  </si>
  <si>
    <t>https://drive.google.com/uc?export=download&amp;id=1PnoSKBrfxUYnW0z2aP7lS7cmO-J9uYsC</t>
  </si>
  <si>
    <t>We acknowledge the fee payment receipt by Vaishak of SGD 0/- for Feb 2025 on 30 Dec 1899. Updated in the system. Thank you for choosing DivergenCIE Coaching! 💫</t>
  </si>
  <si>
    <t>7.17,</t>
  </si>
  <si>
    <t>We acknowledge the fee payment receipt by Vatsal Abrols of GBP 71.7/- for Feb 2025 on 14 Mar 2025. Updated in the system. Thank you for choosing DivergenCIE Coaching! 💫</t>
  </si>
  <si>
    <t>https://drive.google.com/uc?export=download&amp;id=1mDnbfYqvnsgK6mlVcXwQc-VH4OOPhpav</t>
  </si>
  <si>
    <t>?what did he pay ?anything -!didnt attend no fee paid</t>
  </si>
  <si>
    <t>https://drive.google.com/uc?export=download&amp;id=1eze2MLSHsQ7HPp8EN0d_UON2fS6DRxfo</t>
  </si>
  <si>
    <t>iGCSE PM 150(16.7% DIS) x tally</t>
  </si>
  <si>
    <t>Aatif</t>
  </si>
  <si>
    <t>B14 Cambridge IGCSE 0625 Physics - INR</t>
  </si>
  <si>
    <t>0.125,</t>
  </si>
  <si>
    <t>We acknowledge the fee payment receipt by Aatif  of INR 375/- for Jan 2025 on 30 Dec 1899. Updated in the system. Thank you for choosing DivergenCIE Coaching! 💫</t>
  </si>
  <si>
    <t>https://drive.google.com/uc?export=download&amp;id=1vPLe_5nIyJ59226E7aC3Ckn5u1F7HmoH</t>
  </si>
  <si>
    <t>B14 Cambridge IGCSE 0625 Physics - SAR, B14 Cambridge IGCSE 0620 Chemistry - SAR, B14 Cambridge IGCSE 0610 Biology - SAR, B14 Cambridge IGCSE 0510 English as a Second Language - SAR, B14 Cambridge IGCSE 0580 Mathematics - SAR</t>
  </si>
  <si>
    <t>We acknowledge the fee payment receipt by Abdurrahman of SAR 500/- for Jan 2025 on 30 Dec 1899. Updated in the system. Thank you for choosing DivergenCIE Coaching! 💫</t>
  </si>
  <si>
    <t>https://drive.google.com/uc?export=download&amp;id=18oGejKc0R26LApZuFW5uVaQt_M3_wxWP</t>
  </si>
  <si>
    <t>We acknowledge the fee payment receipt by Adeeba of GBP 36/- for Jan 2025 on 30 Dec 1899. Updated in the system. Thank you for choosing DivergenCIE Coaching! 💫</t>
  </si>
  <si>
    <t>https://drive.google.com/uc?export=download&amp;id=17QyAwwwzDItXen7PjvQlh4i5r34y3H97</t>
  </si>
  <si>
    <t>We acknowledge the fee payment receipt by Adithya Aji of SAR 150/- for Jan 2025 on 30 Dec 1899. Updated in the system. Thank you for choosing DivergenCIE Coaching! 💫</t>
  </si>
  <si>
    <t>https://drive.google.com/uc?export=download&amp;id=1lpTQHWldeNrZk_Tkq6OIOdyDC5p8-CkK</t>
  </si>
  <si>
    <t>A2 Physics GBP x tally</t>
  </si>
  <si>
    <t>C14 Cambridge A-Level 9702 Physics - GBP</t>
  </si>
  <si>
    <t>We acknowledge the fee payment receipt by Alberto of GBP 240/- for Jan 2025 on 30 Dec 1899. Updated in the system. Thank you for choosing DivergenCIE Coaching! 💫</t>
  </si>
  <si>
    <t>We acknowledge the fee payment receipt by Ayra Shareef of INR 3000/- for Jan 2025 on 30 Dec 1899. Updated in the system. Thank you for choosing DivergenCIE Coaching! 💫</t>
  </si>
  <si>
    <t>https://drive.google.com/uc?export=download&amp;id=1UOhCJ1XWg3XgNNb_xKuKioIMTLP33yHU</t>
  </si>
  <si>
    <t>We acknowledge the fee payment receipt by Ayza Shareef of INR 3000/- for Jan 2025 on 30 Dec 1899. Updated in the system. Thank you for choosing DivergenCIE Coaching! 💫</t>
  </si>
  <si>
    <t>https://drive.google.com/uc?export=download&amp;id=1IH-qVp2UJYpZJTF6j8BiN-lPO-E8luk8</t>
  </si>
  <si>
    <t>Pause</t>
  </si>
  <si>
    <t>B8 Cambridge AS-Level 9701 Chemistry - INR, B8 Cambridge AS-Level 9702 Physics - INR</t>
  </si>
  <si>
    <t>We acknowledge the fee payment receipt by Geet Panjwani of INR 16000/- for Jan 2025 on 30 Dec 1899. Updated in the system. Thank you for choosing DivergenCIE Coaching! 💫</t>
  </si>
  <si>
    <t>We acknowledge the fee payment receipt by Juveria Dhanani of INR 9000/- for Jan 2025 on 30 Dec 1899. Updated in the system. Thank you for choosing DivergenCIE Coaching! 💫</t>
  </si>
  <si>
    <t>https://drive.google.com/uc?export=download&amp;id=1L_GRcuCkKDEqp9_3xYjkkM3pZuuwwTct</t>
  </si>
  <si>
    <t>We acknowledge the fee payment receipt by Mudassir Dhanani of INR 24000/- for Jan 2025 on 30 Dec 1899. Updated in the system. Thank you for choosing DivergenCIE Coaching! 💫</t>
  </si>
  <si>
    <t>https://drive.google.com/uc?export=download&amp;id=1d8jcJUSFAk18ey4WhABpy2WBLKxKqZVE</t>
  </si>
  <si>
    <t>AL-P,M(P3),CS Joined 7-Jan</t>
  </si>
  <si>
    <t>B8 Cambridge A-Level 9709 Mathematics: Pure 3 - INR</t>
  </si>
  <si>
    <t>We acknowledge the fee payment receipt by Ritvik P of INR 15000/- for Jan 2025 on 30 Dec 1899. Updated in the system. Thank you for choosing DivergenCIE Coaching! 💫</t>
  </si>
  <si>
    <t>https://drive.google.com/uc?export=download&amp;id=1lL-EUhnvAqyxLQTFlBfPdnR_I1gLCGzs</t>
  </si>
  <si>
    <t>x tally</t>
  </si>
  <si>
    <t>We acknowledge the fee payment receipt by Sarah of USD 96/- for Jan 2025 on 30 Dec 1899. Updated in the system. Thank you for choosing DivergenCIE Coaching! 💫</t>
  </si>
  <si>
    <t>We acknowledge the fee payment receipt by Shubh Kalra of INR 27000/- for Jan 2025 on 30 Dec 1899. Updated in the system. Thank you for choosing DivergenCIE Coaching! 💫</t>
  </si>
  <si>
    <t>https://drive.google.com/uc?export=download&amp;id=1f05QZvbIasfmMZGastnOGPaGQxdIfoPR</t>
  </si>
  <si>
    <t>IG CMB</t>
  </si>
  <si>
    <t>We acknowledge the fee payment receipt by Sofiya Rawal of INR 9000/- for Jan 2025 on 30 Dec 1899. Updated in the system. Thank you for choosing DivergenCIE Coaching! 💫</t>
  </si>
  <si>
    <t>https://drive.google.com/uc?export=download&amp;id=1RVektJ87bS43VyX2qCXVWl6m8pjIYOs1</t>
  </si>
  <si>
    <t>B14 Cambridge IGCSE 0610 Biology - SAR</t>
  </si>
  <si>
    <t>We acknowledge the fee payment receipt by Tooba Naveed of SAR 150/- for Jan 2025 on 30 Dec 1899. Updated in the system. Thank you for choosing DivergenCIE Coaching! 💫</t>
  </si>
  <si>
    <t>https://drive.google.com/uc?export=download&amp;id=18tV2PKxJMZEgkqRWabEomuNXnBA4Qkns</t>
  </si>
  <si>
    <t>Quantum AI x tally</t>
  </si>
  <si>
    <t>We acknowledge the fee payment receipt by Vaishak of SGD 25/- for Jan 2025 on 19 Jun 2026. Updated in the system. Thank you for choosing DivergenCIE Coaching! 💫</t>
  </si>
  <si>
    <t>https://drive.google.com/uc?export=download&amp;id=1EDcEnvClGO_3AINwCtBkRO_ZDag_dbKM</t>
  </si>
  <si>
    <t>IGCSE ICT  x tally</t>
  </si>
  <si>
    <t>We acknowledge the fee payment receipt by Vatsal Abrols of GBP 85.8/- for Jan 2025 on 14 Mar 2025. Updated in the system. Thank you for choosing DivergenCIE Coaching! 💫</t>
  </si>
  <si>
    <t>https://drive.google.com/uc?export=download&amp;id=1Uqo09FCLzcrViMOqK5eAiVQToAf7xUec</t>
  </si>
  <si>
    <t>We acknowledge the fee payment receipt by Zakir Osama of GBP 75/- for Jan 2025 on 30 Dec 1899. Updated in the system. Thank you for choosing DivergenCIE Coaching! 💫</t>
  </si>
  <si>
    <t>https://drive.google.com/uc?export=download&amp;id=1JgfQINk_tU-xy4gEAJt5coiBqmlwY73b</t>
  </si>
  <si>
    <t>We acknowledge the fee payment receipt by Abdurrahman of SAR 500/- for Dec 2024 on 30 Dec 1899. Updated in the system. Thank you for choosing DivergenCIE Coaching! 💫</t>
  </si>
  <si>
    <t>https://drive.google.com/uc?export=download&amp;id=1RWpWm16kjNtyXBALynM1ZSR8eO-ybhfi</t>
  </si>
  <si>
    <t>We acknowledge the fee payment receipt by Adeeba of GBP 36/- for Dec 2024 on 30 Dec 1899. Updated in the system. Thank you for choosing DivergenCIE Coaching! 💫</t>
  </si>
  <si>
    <t>https://drive.google.com/uc?export=download&amp;id=1YpM7zbBYroeDKj1REZIyMfzgHUwaIbKV</t>
  </si>
  <si>
    <t>We acknowledge the fee payment receipt by Adithya Aji of SAR 150/- for Dec 2024 on 30 Dec 1899. Updated in the system. Thank you for choosing DivergenCIE Coaching! 💫</t>
  </si>
  <si>
    <t>https://drive.google.com/uc?export=download&amp;id=1NnyiE0RQtAsaBn5sETQbiTeoI1dRLL6D</t>
  </si>
  <si>
    <t>A2 Physics GBP</t>
  </si>
  <si>
    <t>3.17,</t>
  </si>
  <si>
    <t>We acknowledge the fee payment receipt by Alberto of GBP 47.55/- for Dec 2024 on 30 Dec 1899. Updated in the system. Thank you for choosing DivergenCIE Coaching! 💫</t>
  </si>
  <si>
    <t>https://drive.google.com/uc?export=download&amp;id=1h-CAIx6CEeeAEMIUntP_K-FMJcO8KK21</t>
  </si>
  <si>
    <t>PCM</t>
  </si>
  <si>
    <t>We acknowledge the fee payment receipt by Ayra Shareef of INR 3000/- for Dec 2024 on 30 Dec 1899. Updated in the system. Thank you for choosing DivergenCIE Coaching! 💫</t>
  </si>
  <si>
    <t>https://drive.google.com/uc?export=download&amp;id=1_gv2PzxpEagII-RILY_ev_y45WogJ0lu</t>
  </si>
  <si>
    <t>PCB</t>
  </si>
  <si>
    <t>We acknowledge the fee payment receipt by Ayza Shareef of INR 3000/- for Dec 2024 on 30 Dec 1899. Updated in the system. Thank you for choosing DivergenCIE Coaching! 💫</t>
  </si>
  <si>
    <t>https://drive.google.com/uc?export=download&amp;id=1h3uTgpyZifb7ozwaiXhboLLgBZper01z</t>
  </si>
  <si>
    <t>IG BCM</t>
  </si>
  <si>
    <t>We acknowledge the fee payment receipt by Juveria Dhanani of INR 9000/- for Dec 2024 on 30 Dec 1899. Updated in the system. Thank you for choosing DivergenCIE Coaching! 💫</t>
  </si>
  <si>
    <t>https://drive.google.com/uc?export=download&amp;id=1FI3eEGa9SlC4qDf5xDpqOc3NnkHYC8aT</t>
  </si>
  <si>
    <t>We acknowledge the fee payment receipt by Mudassir Dhanani of INR 24000/- for Dec 2024 on 30 Dec 1899. Updated in the system. Thank you for choosing DivergenCIE Coaching! 💫</t>
  </si>
  <si>
    <t>https://drive.google.com/uc?export=download&amp;id=1cYTd2HhxAtEbUQ1dkUTL7AP9cLy_Ezt8</t>
  </si>
  <si>
    <t>left 1-jan AS CS GBP</t>
  </si>
  <si>
    <t>OCR AS-Level Computer Science</t>
  </si>
  <si>
    <t>3.5,</t>
  </si>
  <si>
    <t>We acknowledge the fee payment receipt by Nabeeha of GBP 35/- for Dec 2024 on 30 Dec 1899. Updated in the system. Thank you for choosing DivergenCIE Coaching! 💫</t>
  </si>
  <si>
    <t>https://drive.google.com/uc?export=download&amp;id=15VqnrehvkWm3P_JTAQrkmYsEw9PigTbb</t>
  </si>
  <si>
    <t>We acknowledge the fee payment receipt by Sarah of USD 96/- for Dec 2024 on 30 Dec 1899. Updated in the system. Thank you for choosing DivergenCIE Coaching! 💫</t>
  </si>
  <si>
    <t>https://drive.google.com/uc?export=download&amp;id=1rZNBih6Dd6sJXV3Kno-7BFFV67PWtK7E</t>
  </si>
  <si>
    <t>We acknowledge the fee payment receipt by Shubh Kalra of INR 27000/- for Dec 2024 on 30 Dec 1899. Updated in the system. Thank you for choosing DivergenCIE Coaching! 💫</t>
  </si>
  <si>
    <t>https://drive.google.com/uc?export=download&amp;id=1xOAwTpAEUgINDoAAzitOPSAf3nK-q8u_</t>
  </si>
  <si>
    <t>We acknowledge the fee payment receipt by Sofiya Rawal of INR 9000/- for Dec 2024 on 30 Dec 1899. Updated in the system. Thank you for choosing DivergenCIE Coaching! 💫</t>
  </si>
  <si>
    <t>https://drive.google.com/uc?export=download&amp;id=1bHPbB6vX3dvp0QSWKOn_SDHI9niyrbZz</t>
  </si>
  <si>
    <t>C6 Singapore A-Level Mathematics - SGD</t>
  </si>
  <si>
    <t>We acknowledge the fee payment receipt by Sree of SGD 307.5/- for Dec 2024 on 30 Dec 1899. Updated in the system. Thank you for choosing DivergenCIE Coaching! 💫</t>
  </si>
  <si>
    <t>Left 7-Dec</t>
  </si>
  <si>
    <t>B14 Cambridge IGCSE 0580 Mathematics - SAR</t>
  </si>
  <si>
    <t>We acknowledge the fee payment receipt by Taha Siddiqui of SAR 150/- for Dec 2024 on 30 Dec 1899. Updated in the system. Thank you for choosing DivergenCIE Coaching! 💫</t>
  </si>
  <si>
    <t>We acknowledge the fee payment receipt by Tooba Naveed of SAR 150/- for Dec 2024 on 30 Dec 1899. Updated in the system. Thank you for choosing DivergenCIE Coaching! 💫</t>
  </si>
  <si>
    <t>https://drive.google.com/uc?export=download&amp;id=10rRuDbo2Tn2stMmf67TZy9g8f-Jv11CD</t>
  </si>
  <si>
    <t>We acknowledge the fee payment receipt by Vaishak of SGD 75/- for Dec 2024 on 19 Jun 2026. Updated in the system. Thank you for choosing DivergenCIE Coaching! 💫</t>
  </si>
  <si>
    <t>https://drive.google.com/uc?export=download&amp;id=1isJdxa0ulxG8IQ-9KYlYs1hL_N_9jvFp</t>
  </si>
  <si>
    <t>IGCSE ICT+M</t>
  </si>
  <si>
    <t>We acknowledge the fee payment receipt by Vatsal Abrols of GBP 30/- for Dec 2024 on 14 Mar 2025. Updated in the system. Thank you for choosing DivergenCIE Coaching! 💫</t>
  </si>
  <si>
    <t>https://drive.google.com/uc?export=download&amp;id=1Y4WUlqJaTLU0hZW3OPEzYqPAupizto5B</t>
  </si>
  <si>
    <t>We acknowledge the fee payment receipt by Zakir Osama of GBP 75/- for Dec 2024 on 30 Dec 1899. Updated in the system. Thank you for choosing DivergenCIE Coaching! 💫</t>
  </si>
  <si>
    <t>https://drive.google.com/uc?export=download&amp;id=1JNQu9uW-RuIZZ7x9wLA4oCRDFZ1PHybg</t>
  </si>
  <si>
    <t>IGCSE PCMB</t>
  </si>
  <si>
    <t>We acknowledge the fee payment receipt by Abdurrahman of SAR 500/- for Nov 2024 on 30 Dec 1899. Updated in the system. Thank you for choosing DivergenCIE Coaching! 💫</t>
  </si>
  <si>
    <t>https://drive.google.com/uc?export=download&amp;id=1i06ea4yXoePzpGtXf2qc15Z7BR_qJbvm</t>
  </si>
  <si>
    <t>We acknowledge the fee payment receipt by Adeeba of GBP 36/- for Nov 2024 on 30 Dec 1899. Updated in the system. Thank you for choosing DivergenCIE Coaching! 💫</t>
  </si>
  <si>
    <t>https://drive.google.com/uc?export=download&amp;id=1MDHE_bhwc6ptn8omhZQumogs-tI8iQRL</t>
  </si>
  <si>
    <t>We acknowledge the fee payment receipt by Adithya Aji of SAR 150/- for Nov 2024 on 30 Dec 1899. Updated in the system. Thank you for choosing DivergenCIE Coaching! 💫</t>
  </si>
  <si>
    <t>https://drive.google.com/uc?export=download&amp;id=1Qmbk280JW3NihLcZ__rrHwoneYmwvPkE</t>
  </si>
  <si>
    <t>B14 Cambridge IGCSE 0625 Physics - INR, B14 Cambridge IGCSE 0620 Chemistry - INR, B14 Cambridge IGCSE 0580 Mathematics - INR</t>
  </si>
  <si>
    <t>We acknowledge the fee payment receipt by Agamjot of INR 7500/- for Nov 2024 on 30 Dec 1899. Updated in the system. Thank you for choosing DivergenCIE Coaching! 💫</t>
  </si>
  <si>
    <t>https://drive.google.com/uc?export=download&amp;id=18QvnCYV8k3U615GKYThS2e0Qe2HnRPjL</t>
  </si>
  <si>
    <t>We acknowledge the fee payment receipt by Ayra Shareef of INR 3000/- for Nov 2024 on 30 Dec 1899. Updated in the system. Thank you for choosing DivergenCIE Coaching! 💫</t>
  </si>
  <si>
    <t>https://drive.google.com/uc?export=download&amp;id=1P-HRaVIKpqXK27AuVfs6F6Q6OwOMMlX5</t>
  </si>
  <si>
    <t>IG PCB</t>
  </si>
  <si>
    <t>We acknowledge the fee payment receipt by Ayza Shareef of INR 3000/- for Nov 2024 on 30 Dec 1899. Updated in the system. Thank you for choosing DivergenCIE Coaching! 💫</t>
  </si>
  <si>
    <t>https://drive.google.com/uc?export=download&amp;id=1j1q1efDiX4uAQH86ofabm-uSz5UIozNm</t>
  </si>
  <si>
    <t>We acknowledge the fee payment receipt by Juveria Dhanani of INR 9000/- for Nov 2024 on 30 Dec 1899. Updated in the system. Thank you for choosing DivergenCIE Coaching! 💫</t>
  </si>
  <si>
    <t>https://drive.google.com/uc?export=download&amp;id=1MzuV0iGjGU8y5ir9b9M79j4RoaGHekc8</t>
  </si>
  <si>
    <t>B14 Cambridge IGCSE 0625 Physics - SAR, B14 Cambridge IGCSE 0620 Chemistry - SAR, B14 Cambridge IGCSE 0610 Biology - SAR, B14 Cambridge IGCSE 0580 Mathematics - SAR</t>
  </si>
  <si>
    <t>We acknowledge the fee payment receipt by Layan Abdelmonem of SAR 500/- for Nov 2024 on 30 Dec 1899. Updated in the system. Thank you for choosing DivergenCIE Coaching! 💫</t>
  </si>
  <si>
    <t>https://drive.google.com/uc?export=download&amp;id=1AlP9pEa1boFxkl-OVNdGDz7LAJNz0XUp</t>
  </si>
  <si>
    <t>A2 PCEB Start Bio:25-Nov        A2 PCEB Start Bio:25-Nov</t>
  </si>
  <si>
    <t>We acknowledge the fee payment receipt by Mudassir Dhanani of INR 18000/- for Nov 2024 on 30 Dec 1899. Updated in the system. Thank you for choosing DivergenCIE Coaching! 💫</t>
  </si>
  <si>
    <t>https://drive.google.com/uc?export=download&amp;id=1XqguQBOs92Zl9jA-Dt96G3JQ9glDNyoH</t>
  </si>
  <si>
    <t>IGCSE PCMESL</t>
  </si>
  <si>
    <t>We acknowledge the fee payment receipt by Muzzamil of SAR 529/- for Nov 2024 on 30 Dec 1899. Updated in the system. Thank you for choosing DivergenCIE Coaching! 💫</t>
  </si>
  <si>
    <t>https://drive.google.com/uc?export=download&amp;id=1h0abKsvSTO9D9EDANwEPJJhdBUlfxLIp</t>
  </si>
  <si>
    <t>We acknowledge the fee payment receipt by Sarah of USD 96/- for Nov 2024 on 30 Dec 1899. Updated in the system. Thank you for choosing DivergenCIE Coaching! 💫</t>
  </si>
  <si>
    <t>https://drive.google.com/uc?export=download&amp;id=1rPsmGu0lvKemoU5AhTB5z37gJprVID7w</t>
  </si>
  <si>
    <t>We acknowledge the fee payment receipt by Shubh Kalra of INR 27000/- for Nov 2024 on 30 Dec 1899. Updated in the system. Thank you for choosing DivergenCIE Coaching! 💫</t>
  </si>
  <si>
    <t>https://drive.google.com/uc?export=download&amp;id=1UFi3YAIF3x_IjS6q_NEKFhZiZJwNk0FQ</t>
  </si>
  <si>
    <t>We acknowledge the fee payment receipt by Sofiya Rawal of INR 9000/- for Nov 2024 on 30 Dec 1899. Updated in the system. Thank you for choosing DivergenCIE Coaching! 💫</t>
  </si>
  <si>
    <t>https://drive.google.com/uc?export=download&amp;id=10l1PHGc8cpGHZxUl0BsK7KY9oOmuhx5-</t>
  </si>
  <si>
    <t>We acknowledge the fee payment receipt by Sree of SGD 307.5/- for Nov 2024 on 30 Dec 1899. Updated in the system. Thank you for choosing DivergenCIE Coaching! 💫</t>
  </si>
  <si>
    <t>We acknowledge the fee payment receipt by Taha Siddiqui of SAR 150/- for Nov 2024 on 30 Dec 1899. Updated in the system. Thank you for choosing DivergenCIE Coaching! 💫</t>
  </si>
  <si>
    <t>https://drive.google.com/uc?export=download&amp;id=1i8qFt69pXuUPboANfemLFFCof1xFYq9w</t>
  </si>
  <si>
    <t>We acknowledge the fee payment receipt by Tooba Naveed of SAR 150/- for Nov 2024 on 30 Dec 1899. Updated in the system. Thank you for choosing DivergenCIE Coaching! 💫</t>
  </si>
  <si>
    <t>https://drive.google.com/uc?export=download&amp;id=1_vqRlSSRz-ynkd6Aq2MotH60mQlEl2Lq</t>
  </si>
  <si>
    <t>START 23-Nov Quantum AI</t>
  </si>
  <si>
    <t>We acknowledge the fee payment receipt by Vaishak of SGD 50/- for Nov 2024 on 19 Jun 2026. Updated in the system. Thank you for choosing DivergenCIE Coaching! 💫</t>
  </si>
  <si>
    <t>https://drive.google.com/uc?export=download&amp;id=1aVXDUGJlGb6eptenxhj2XyDMZ5T3CNQ3</t>
  </si>
  <si>
    <t>We acknowledge the fee payment receipt by Vatsal Abrols of GBP 50/- for Nov 2024 on 30 Dec 1899. Updated in the system. Thank you for choosing DivergenCIE Coaching! 💫</t>
  </si>
  <si>
    <t>https://drive.google.com/uc?export=download&amp;id=1GeYmLAXESG1YH-Fr5nJfkb9xkjgZDt3N</t>
  </si>
  <si>
    <t>We acknowledge the fee payment receipt by Zakir Osama of GBP 75/- for Nov 2024 on 30 Dec 1899. Updated in the system. Thank you for choosing DivergenCIE Coaching! 💫</t>
  </si>
  <si>
    <t>https://drive.google.com/uc?export=download&amp;id=1afj2uq_SdjiokTnRKmukWR8zNQ5UfGDQ</t>
  </si>
  <si>
    <t>We acknowledge the fee payment receipt by Abdurrahman of SAR 400/- for Oct 2024 on 30 Dec 1899. Updated in the system. Thank you for choosing DivergenCIE Coaching! 💫</t>
  </si>
  <si>
    <t>https://drive.google.com/uc?export=download&amp;id=14rTSC3IL4939JVyOOauo1XsRYyBGhexn</t>
  </si>
  <si>
    <t>We acknowledge the fee payment receipt by Adeeba of GBP 36/- for Oct 2024 on 30 Dec 1899. Updated in the system. Thank you for choosing DivergenCIE Coaching! 💫</t>
  </si>
  <si>
    <t>https://drive.google.com/uc?export=download&amp;id=1zSY19QhNh2awoS5lrF_1r53Iq4nIeetn</t>
  </si>
  <si>
    <t>We acknowledge the fee payment receipt by Adithya Aji of SAR 150/- for Oct 2024 on 30 Dec 1899. Updated in the system. Thank you for choosing DivergenCIE Coaching! 💫</t>
  </si>
  <si>
    <t>https://drive.google.com/uc?export=download&amp;id=1IdKqiKS7d1iwzNHDp8ZLJmAoKqnLeC1a</t>
  </si>
  <si>
    <t>We acknowledge the fee payment receipt by Agamjot of INR 7500/- for Oct 2024 on 30 Dec 1899. Updated in the system. Thank you for choosing DivergenCIE Coaching! 💫</t>
  </si>
  <si>
    <t>https://drive.google.com/uc?export=download&amp;id=1TBuUYe3M5HMY3Q2grdnf2EDGcRCie-K1</t>
  </si>
  <si>
    <t>We acknowledge the fee payment receipt by Ayra Shareef of INR 3000/- for Oct 2024 on 30 Dec 1899. Updated in the system. Thank you for choosing DivergenCIE Coaching! 💫</t>
  </si>
  <si>
    <t>https://drive.google.com/uc?export=download&amp;id=1kuEkURgQgJfEc7S14j0n4ZLHqLQD7uv9</t>
  </si>
  <si>
    <t>We acknowledge the fee payment receipt by Ayza Shareef of INR 3000/- for Oct 2024 on 30 Dec 1899. Updated in the system. Thank you for choosing DivergenCIE Coaching! 💫</t>
  </si>
  <si>
    <t>https://drive.google.com/uc?export=download&amp;id=1NTzalU4sEAWJ8A-CjgFmdLCjiODpYW_g</t>
  </si>
  <si>
    <t>We acknowledge the fee payment receipt by Juveria Dhanani of INR 9000/- for Oct 2024 on 30 Dec 1899. Updated in the system. Thank you for choosing DivergenCIE Coaching! 💫</t>
  </si>
  <si>
    <t>https://drive.google.com/uc?export=download&amp;id=1RZ_yRziZuseeNFdRaG25qmE7I84ixKBA</t>
  </si>
  <si>
    <t>We acknowledge the fee payment receipt by Layan Abdelmonem of SAR 500/- for Oct 2024 on 30 Dec 1899. Updated in the system. Thank you for choosing DivergenCIE Coaching! 💫</t>
  </si>
  <si>
    <t>https://drive.google.com/uc?export=download&amp;id=1ZeuSh37euTyGnDbm22yoSctyIRQ0RiZh</t>
  </si>
  <si>
    <t>A2 PCE</t>
  </si>
  <si>
    <t>We acknowledge the fee payment receipt by Mudassir Dhanani of INR 18000/- for Oct 2024 on 30 Dec 1899. Updated in the system. Thank you for choosing DivergenCIE Coaching! 💫</t>
  </si>
  <si>
    <t>https://drive.google.com/uc?export=download&amp;id=1RmZTHl9gj9-e-cQpYNOsNn_j7onE1JhU</t>
  </si>
  <si>
    <t>16 oct refund requested A2CP+B</t>
  </si>
  <si>
    <t>B8 Cambridge A-Level 9702 Physics - INR, B8 Cambridge A-Level 9701 Chemistry - INR</t>
  </si>
  <si>
    <t>We acknowledge the fee payment receipt by Sai Nikhita of INR 16000/- for Oct 2024 on 30 Dec 1899. Updated in the system. Thank you for choosing DivergenCIE Coaching! 💫</t>
  </si>
  <si>
    <t>https://drive.google.com/uc?export=download&amp;id=1ETEE--kbF4ANfCK0IMXPqdoTxasV6Un7</t>
  </si>
  <si>
    <t>We acknowledge the fee payment receipt by Sarah of USD 96/- for Oct 2024 on 30 Dec 1899. Updated in the system. Thank you for choosing DivergenCIE Coaching! 💫</t>
  </si>
  <si>
    <t>https://drive.google.com/uc?export=download&amp;id=1DqWtamb-HUDDoR_NFQ2f7VmyVN1ssmZG</t>
  </si>
  <si>
    <t>B8 Cambridge AS-Level 9618 Computer Science - INR, B8 Cambridge AS-Level 9708 Economics - INR</t>
  </si>
  <si>
    <t>We acknowledge the fee payment receipt by Shubh Kalra of INR 15000/- for Oct 2024 on 30 Dec 1899. Updated in the system. Thank you for choosing DivergenCIE Coaching! 💫</t>
  </si>
  <si>
    <t>https://drive.google.com/uc?export=download&amp;id=1OnJSFIYvb_Qf6AU9CIneVHqtSFux_kDE</t>
  </si>
  <si>
    <t>We acknowledge the fee payment receipt by Sofiya Rawal of INR 9000/- for Oct 2024 on 30 Dec 1899. Updated in the system. Thank you for choosing DivergenCIE Coaching! 💫</t>
  </si>
  <si>
    <t>https://drive.google.com/uc?export=download&amp;id=1ToulPvLSzjhOJyMpgSGARtSOYGJiZ-DS</t>
  </si>
  <si>
    <t>We acknowledge the fee payment receipt by Sree of SGD 307.5/- for Oct 2024 on 30 Dec 1899. Updated in the system. Thank you for choosing DivergenCIE Coaching! 💫</t>
  </si>
  <si>
    <t>We acknowledge the fee payment receipt by Taha Siddiqui of SAR 150/- for Oct 2024 on 30 Dec 1899. Updated in the system. Thank you for choosing DivergenCIE Coaching! 💫</t>
  </si>
  <si>
    <t>https://drive.google.com/uc?export=download&amp;id=1lpX7fTx-z-rAvRD1sK3mWpJw7VIOq7lF</t>
  </si>
  <si>
    <t>We acknowledge the fee payment receipt by Tooba Naveed of SAR 150/- for Oct 2024 on 30 Dec 1899. Updated in the system. Thank you for choosing DivergenCIE Coaching! 💫</t>
  </si>
  <si>
    <t>https://drive.google.com/uc?export=download&amp;id=1CxYfb-mQkuo6ZAinJKtyYdRJI74NfeYb</t>
  </si>
  <si>
    <t>We acknowledge the fee payment receipt by Vatsal Abrols of GBP 10/- for Oct 2024 on 30 Dec 1899. Updated in the system. Thank you for choosing DivergenCIE Coaching! 💫</t>
  </si>
  <si>
    <t>https://drive.google.com/uc?export=download&amp;id=1fUTOIB8fv80OMFHUPWJ9Ko41f1bBZWe_</t>
  </si>
  <si>
    <t>We acknowledge the fee payment receipt by Adeeba of GBP 40/- for Sep 2024 on 30 Dec 1899. Updated in the system. Thank you for choosing DivergenCIE Coaching! 💫</t>
  </si>
  <si>
    <t>https://drive.google.com/uc?export=download&amp;id=1LSA6ggUU7sf_6WnlNKSTY4HqVI7qCwgN</t>
  </si>
  <si>
    <t>We acknowledge the fee payment receipt by Adithya Aji of SAR 150/- for Sep 2024 on 30 Dec 1899. Updated in the system. Thank you for choosing DivergenCIE Coaching! 💫</t>
  </si>
  <si>
    <t>https://drive.google.com/uc?export=download&amp;id=1vQTxclsk06lCt5Jt92wgvttvAlVO5zBn</t>
  </si>
  <si>
    <t>We acknowledge the fee payment receipt by Ayra Shareef of INR 3000/- for Sep 2024 on 30 Dec 1899. Updated in the system. Thank you for choosing DivergenCIE Coaching! 💫</t>
  </si>
  <si>
    <t>https://drive.google.com/uc?export=download&amp;id=1ZOcfu1vDT1T5k0Uu_JqG3bEpoWn4GoXA</t>
  </si>
  <si>
    <t>We acknowledge the fee payment receipt by Ayza Shareef of INR 3000/- for Sep 2024 on 30 Dec 1899. Updated in the system. Thank you for choosing DivergenCIE Coaching! 💫</t>
  </si>
  <si>
    <t>https://drive.google.com/uc?export=download&amp;id=11XajQNSq7vkXbbiSQVC8g_UlXMjfyL7t</t>
  </si>
  <si>
    <t>PAUSE 6-OCT</t>
  </si>
  <si>
    <t>B8 Cambridge AS-Level 9701 Chemistry - INR</t>
  </si>
  <si>
    <t>We acknowledge the fee payment receipt by Geet Panjwani of INR 8000/- for Sep 2024 on 30 Dec 1899. Updated in the system. Thank you for choosing DivergenCIE Coaching! 💫</t>
  </si>
  <si>
    <t>We acknowledge the fee payment receipt by Juveria Dhanani of INR 9000/- for Sep 2024 on 30 Dec 1899. Updated in the system. Thank you for choosing DivergenCIE Coaching! 💫</t>
  </si>
  <si>
    <t>https://drive.google.com/uc?export=download&amp;id=17pZ0LsEDd6QchJiF0J3Lr4bIHvaZmIVc</t>
  </si>
  <si>
    <t>We acknowledge the fee payment receipt by Layan Abdelmonem of SAR 500/- for Sep 2024 on 30 Dec 1899. Updated in the system. Thank you for choosing DivergenCIE Coaching! 💫</t>
  </si>
  <si>
    <t>https://drive.google.com/uc?export=download&amp;id=1GpwJMgdIW9q9JCHSLKvQtOcqwF5OfDjg</t>
  </si>
  <si>
    <t>We acknowledge the fee payment receipt by Mudassir Dhanani of INR 18000/- for Sep 2024 on 30 Dec 1899. Updated in the system. Thank you for choosing DivergenCIE Coaching! 💫</t>
  </si>
  <si>
    <t>https://drive.google.com/uc?export=download&amp;id=1yozViHZmOTu7B5KjR9L4TUFmq9MCcmJh</t>
  </si>
  <si>
    <t>IG CB started 12-sep</t>
  </si>
  <si>
    <t>B14 Cambridge IGCSE 0620 Chemistry - SAR, B14 Cambridge IGCSE 0610 Biology - SAR</t>
  </si>
  <si>
    <t>We acknowledge the fee payment receipt by Safa Marwah of SAR 500/- for Sep 2024 on 30 Dec 1899. Updated in the system. Thank you for choosing DivergenCIE Coaching! 💫</t>
  </si>
  <si>
    <t>https://drive.google.com/uc?export=download&amp;id=1FPzbDVLZV5V6nhjSLUeaUFCqS-e9JABN</t>
  </si>
  <si>
    <t>A2 CP</t>
  </si>
  <si>
    <t>We acknowledge the fee payment receipt by Sai Nikhita of INR 16000/- for Sep 2024 on 30 Dec 1899. Updated in the system. Thank you for choosing DivergenCIE Coaching! 💫</t>
  </si>
  <si>
    <t>https://drive.google.com/uc?export=download&amp;id=1MuZJnTEneCbT2OE7zM4YMsZ12mLJapmk</t>
  </si>
  <si>
    <t>IB Economics - !fee paid or not</t>
  </si>
  <si>
    <t>We acknowledge the fee payment receipt by Sarah of USD 96/- for Sep 2024 on 30 Dec 1899. Updated in the system. Thank you for choosing DivergenCIE Coaching! 💫</t>
  </si>
  <si>
    <t>https://drive.google.com/uc?export=download&amp;id=1v3UBBeRn_Yu3n7fOhGuKAKplUygZuEXQ</t>
  </si>
  <si>
    <t>?start date, check total amount paid for no. of months</t>
  </si>
  <si>
    <t>We acknowledge the fee payment receipt by Shubh Kalra of INR 15000/- for Sep 2024 on 30 Dec 1899. Updated in the system. Thank you for choosing DivergenCIE Coaching! 💫</t>
  </si>
  <si>
    <t>https://drive.google.com/uc?export=download&amp;id=1XQxDfdhIwzXJPA5Wt_-5S9HCcwhXTbLm</t>
  </si>
  <si>
    <t>We acknowledge the fee payment receipt by Sofiya Rawal of INR 9000/- for Sep 2024 on 30 Dec 1899. Updated in the system. Thank you for choosing DivergenCIE Coaching! 💫</t>
  </si>
  <si>
    <t>https://drive.google.com/uc?export=download&amp;id=1iF9qtb6p63TigM-2kz2G74546bqK5M6c</t>
  </si>
  <si>
    <t>We acknowledge the fee payment receipt by Sree of SGD 307.5/- for Sep 2024 on 30 Dec 1899. Updated in the system. Thank you for choosing DivergenCIE Coaching! 💫</t>
  </si>
  <si>
    <t>https://drive.google.com/uc?export=download&amp;id=1ViebM5paT0n0VJrvPk3V6uxO-6GAk5R7</t>
  </si>
  <si>
    <t>We acknowledge the fee payment receipt by Taha Siddiqui of SAR 150/- for Sep 2024 on 30 Dec 1899. Updated in the system. Thank you for choosing DivergenCIE Coaching! 💫</t>
  </si>
  <si>
    <t>https://drive.google.com/uc?export=download&amp;id=1H2SKCirDFvndg_9oYIg00lDSYiGcM7AU</t>
  </si>
  <si>
    <t>We acknowledge the fee payment receipt by Tooba Naveed of SAR 150/- for Sep 2024 on 30 Dec 1899. Updated in the system. Thank you for choosing DivergenCIE Coaching! 💫</t>
  </si>
  <si>
    <t>https://drive.google.com/uc?export=download&amp;id=1c3__ZFm2rO1Lr8rkR9-3Bn9thHJwVlwg</t>
  </si>
  <si>
    <t>GBP 3 classes 2x1.5hr 2nd, 16th + 1hr 23rd as_of_29th march</t>
  </si>
  <si>
    <t>We acknowledge the fee payment receipt by Adeeba of GBP 10/- for Aug 2024 on 30 Dec 1899. Updated in the system. Thank you for choosing DivergenCIE Coaching! 💫</t>
  </si>
  <si>
    <t>IG EL</t>
  </si>
  <si>
    <t>We acknowledge the fee payment receipt by Adithya Aji of SAR 150/- for Aug 2024 on 30 Dec 1899. Updated in the system. Thank you for choosing DivergenCIE Coaching! 💫</t>
  </si>
  <si>
    <t>PCM 7500-66% dis</t>
  </si>
  <si>
    <t>We acknowledge the fee payment receipt by Ayra Shareef of INR 3000/- for Aug 2024 on 30 Dec 1899. Updated in the system. Thank you for choosing DivergenCIE Coaching! 💫</t>
  </si>
  <si>
    <t>STARTED 24-July, IG PCB</t>
  </si>
  <si>
    <t>We acknowledge the fee payment receipt by Ayza Shareef of INR 3000/- for Aug 2024 on 30 Dec 1899. Updated in the system. Thank you for choosing DivergenCIE Coaching! 💫</t>
  </si>
  <si>
    <t>Pause Aug 26</t>
  </si>
  <si>
    <t>We acknowledge the fee payment receipt by Heba Alomar of SAR 80/- for Aug 2024 on 30 Dec 1899. Updated in the system. Thank you for choosing DivergenCIE Coaching! 💫</t>
  </si>
  <si>
    <t>We acknowledge the fee payment receipt by Juveria Dhanani of INR 9000/- for Aug 2024 on 30 Dec 1899. Updated in the system. Thank you for choosing DivergenCIE Coaching! 💫</t>
  </si>
  <si>
    <t>We acknowledge the fee payment receipt by Mudassir Dhanani of INR 24000/- for Aug 2024 on 30 Dec 1899. Updated in the system. Thank you for choosing DivergenCIE Coaching! 💫</t>
  </si>
  <si>
    <t>left IB Maths on 6-july , started 2 june</t>
  </si>
  <si>
    <t>We acknowledge the fee payment receipt by Sarah of USD 96/- for Aug 2024 on 30 Dec 1899. Updated in the system. Thank you for choosing DivergenCIE Coaching! 💫</t>
  </si>
  <si>
    <t>We acknowledge the fee payment receipt by Shubh Kalra of INR 15000/- for Aug 2024 on 30 Dec 1899. Updated in the system. Thank you for choosing DivergenCIE Coaching! 💫</t>
  </si>
  <si>
    <t>started 20 may IG CMB</t>
  </si>
  <si>
    <t>We acknowledge the fee payment receipt by Sofiya Rawal of INR 9000/- for Aug 2024 on 30 Dec 1899. Updated in the system. Thank you for choosing DivergenCIE Coaching! 💫</t>
  </si>
  <si>
    <t>started 9 April</t>
  </si>
  <si>
    <t>We acknowledge the fee payment receipt by Sree of SGD 307.5/- for Aug 2024 on 30 Dec 1899. Updated in the system. Thank you for choosing DivergenCIE Coaching! 💫</t>
  </si>
  <si>
    <t>IG Math SAR 150, AS PCM SAR 250</t>
  </si>
  <si>
    <t>We acknowledge the fee payment receipt by Taha Siddiqui of SAR 150/- for Aug 2024 on 30 Dec 1899. Updated in the system. Thank you for choosing DivergenCIE Coaching! 💫</t>
  </si>
  <si>
    <t>IG BIO</t>
  </si>
  <si>
    <t>We acknowledge the fee payment receipt by Tooba Naveed of SAR 150/- for Aug 2024 on 30 Dec 1899. Updated in the system. Thank you for choosing DivergenCIE Coaching! 💫</t>
  </si>
  <si>
    <t>Active EL , paused PCM 5-july</t>
  </si>
  <si>
    <t>We acknowledge the fee payment receipt by Adithya Aji of SAR 150/- for Jul 2024 on 30 Dec 1899. Updated in the system. Thank you for choosing DivergenCIE Coaching! 💫</t>
  </si>
  <si>
    <t>We acknowledge the fee payment receipt by Ayra Shareef of INR 3000/- for Jul 2024 on 21 Aug 2022. Updated in the system. Thank you for choosing DivergenCIE Coaching! 💫</t>
  </si>
  <si>
    <t>IG PCE STARTED 24-July</t>
  </si>
  <si>
    <t>We acknowledge the fee payment receipt by Ayza Shareef of INR 3000/- for Jul 2024 on 30 Dec 1899. Updated in the system. Thank you for choosing DivergenCIE Coaching! 💫</t>
  </si>
  <si>
    <t>10GBP/HR taken 2,3 classes 30%</t>
  </si>
  <si>
    <t>We acknowledge the fee payment receipt by Diyana Abraham of SAR 80/- for Jul 2024 on 30 Dec 1899. Updated in the system. Thank you for choosing DivergenCIE Coaching! 💫</t>
  </si>
  <si>
    <t>We acknowledge the fee payment receipt by Heba Alomar of SAR 80/- for Jul 2024 on 30 Dec 1899. Updated in the system. Thank you for choosing DivergenCIE Coaching! 💫</t>
  </si>
  <si>
    <t>We acknowledge the fee payment receipt by Juveria Dhanani of INR 9000/- for Jul 2024 on 30 Dec 1899. Updated in the system. Thank you for choosing DivergenCIE Coaching! 💫</t>
  </si>
  <si>
    <t>PCEB</t>
  </si>
  <si>
    <t>We acknowledge the fee payment receipt by Mudassir Dhanani of INR 24000/- for Jul 2024 on 30 Dec 1899. Updated in the system. Thank you for choosing DivergenCIE Coaching! 💫</t>
  </si>
  <si>
    <t>started igCB 26 July</t>
  </si>
  <si>
    <t>B14 Cambridge IGCSE 0610 Biology - SAR, B14 Cambridge IGCSE 0620 Chemistry - SAR</t>
  </si>
  <si>
    <t>We acknowledge the fee payment receipt by Safa Marwah of SAR 500/- for Jul 2024 on 30 Dec 1899. Updated in the system. Thank you for choosing DivergenCIE Coaching! 💫</t>
  </si>
  <si>
    <t>We acknowledge the fee payment receipt by Sarah of USD 96/- for Jul 2024 on 30 Dec 1899. Updated in the system. Thank you for choosing DivergenCIE Coaching! 💫</t>
  </si>
  <si>
    <t>We acknowledge the fee payment receipt by Shubh Kalra of INR 15000/- for Jul 2024 on 30 Dec 1899. Updated in the system. Thank you for choosing DivergenCIE Coaching! 💫</t>
  </si>
  <si>
    <t>We acknowledge the fee payment receipt by Sofiya Rawal of INR 9000/- for Jul 2024 on 30 Dec 1899. Updated in the system. Thank you for choosing DivergenCIE Coaching! 💫</t>
  </si>
  <si>
    <t>started 9 April MYR</t>
  </si>
  <si>
    <t>We acknowledge the fee payment receipt by Sree of SGD 307.5/- for Jul 2024 on 30 Dec 1899. Updated in the system. Thank you for choosing DivergenCIE Coaching! 💫</t>
  </si>
  <si>
    <t>We acknowledge the fee payment receipt by Taha Siddiqui of SAR 150/- for Jul 2024 on 30 Dec 1899. Updated in the system. Thank you for choosing DivergenCIE Coaching! 💫</t>
  </si>
  <si>
    <t>ig bio student</t>
  </si>
  <si>
    <t>We acknowledge the fee payment receipt by Tooba Naveed of SAR 150/- for Jul 2024 on 30 Dec 1899. Updated in the system. Thank you for choosing DivergenCIE Coaching! 💫</t>
  </si>
  <si>
    <t>?check if paid and tally hours for jun,</t>
  </si>
  <si>
    <t>We acknowledge the fee payment receipt by Adeeba of GBP 0/- for Jun 2024 on 30 Dec 1899. Updated in the system. Thank you for choosing DivergenCIE Coaching! 💫</t>
  </si>
  <si>
    <t>IGCSE PCMEL</t>
  </si>
  <si>
    <t>T3 Cambridge IGCSE 0620 Chemistry - SAR, T3 Cambridge IGCSE 0510 English as a Second Language - SAR, T3 Cambridge IGCSE 0580 Mathematics - SAR, T3 Cambridge IGCSE 0625 Physics - SAR</t>
  </si>
  <si>
    <t>We acknowledge the fee payment receipt by Adithya Aji of SAR 600/- for Jun 2024 on 30 Dec 1899. Updated in the system. Thank you for choosing DivergenCIE Coaching! 💫</t>
  </si>
  <si>
    <t>We acknowledge the fee payment receipt by Ayra Shareef of INR 3000/- for Jun 2024 on 30 Dec 1899. Updated in the system. Thank you for choosing DivergenCIE Coaching! 💫</t>
  </si>
  <si>
    <t>Cambridge IGCSE</t>
  </si>
  <si>
    <t>5,</t>
  </si>
  <si>
    <t>We acknowledge the fee payment receipt by Geet Panjwani of INR 3500/- for Jun 2024 on 30 Dec 1899. Updated in the system. Thank you for choosing DivergenCIE Coaching! 💫</t>
  </si>
  <si>
    <t>JOIN BIO 3-june</t>
  </si>
  <si>
    <t>We acknowledge the fee payment receipt by Juveria Dhanani of INR 7500/- for Jun 2024 on 30 Dec 1899. Updated in the system. Thank you for choosing DivergenCIE Coaching! 💫</t>
  </si>
  <si>
    <t>IG PCM 20% Dis</t>
  </si>
  <si>
    <t>T2 Cambridge IGCSE 0580 Mathematics - PKR, T2 Cambridge IGCSE 0625 Physics - PKR, T2 Cambridge IGCSE 0620 Chemistry - PKR</t>
  </si>
  <si>
    <t>We acknowledge the fee payment receipt by Marium Rehman of PKR 36000/- for Jun 2024 on 30 Dec 1899. Updated in the system. Thank you for choosing DivergenCIE Coaching! 💫</t>
  </si>
  <si>
    <t>16.67% dis</t>
  </si>
  <si>
    <t>We acknowledge the fee payment receipt by Mudassir Dhanani of INR 15000/- for Jun 2024 on 30 Dec 1899. Updated in the system. Thank you for choosing DivergenCIE Coaching! 💫</t>
  </si>
  <si>
    <t>5.25(IB maths)+8(IB Eco)</t>
  </si>
  <si>
    <t>We acknowledge the fee payment receipt by Sarah of USD 159/- for Jun 2024 on 30 Dec 1899. Updated in the system. Thank you for choosing DivergenCIE Coaching! 💫</t>
  </si>
  <si>
    <t>We acknowledge the fee payment receipt by Shubh Kalra of INR 15000/- for Jun 2024 on 30 Dec 1899. Updated in the system. Thank you for choosing DivergenCIE Coaching! 💫</t>
  </si>
  <si>
    <t>We acknowledge the fee payment receipt by Sofiya Rawal of INR 9000/- for Jun 2024 on 30 Dec 1899. Updated in the system. Thank you for choosing DivergenCIE Coaching! 💫</t>
  </si>
  <si>
    <t>We acknowledge the fee payment receipt by Sree of SGD 307.5/- for Jun 2024 on 30 Dec 1899. Updated in the system. Thank you for choosing DivergenCIE Coaching! 💫</t>
  </si>
  <si>
    <t>We acknowledge the fee payment receipt by Taha Siddiqui of SAR 150/- for Jun 2024 on 30 Dec 1899. Updated in the system. Thank you for choosing DivergenCIE Coaching! 💫</t>
  </si>
  <si>
    <t>We acknowledge the fee payment receipt by Tooba Naveed of SAR 150/- for Jun 2024 on 30 Dec 1899. Updated in the system. Thank you for choosing DivergenCIE Coaching! 💫</t>
  </si>
  <si>
    <t>We acknowledge the fee payment receipt by Adeeba of GBP 0/- for May 2024 on 30 Dec 1899. Updated in the system. Thank you for choosing DivergenCIE Coaching! 💫</t>
  </si>
  <si>
    <t>STARTED 2-May</t>
  </si>
  <si>
    <t>We acknowledge the fee payment receipt by Adithya Aji of SAR 600/- for May 2024 on 28 Sep 2025. Updated in the system. Thank you for choosing DivergenCIE Coaching! 💫</t>
  </si>
  <si>
    <t>7500-66% dis  ???Paid or not</t>
  </si>
  <si>
    <t>We acknowledge the fee payment receipt by Ayra Shareef of INR 3000/- for May 2024 on 30 Dec 1899. Updated in the system. Thank you for choosing DivergenCIE Coaching! 💫</t>
  </si>
  <si>
    <t>We acknowledge the fee payment receipt by Geet Panjwani of INR 2100/- for May 2024 on 30 Dec 1899. Updated in the system. Thank you for choosing DivergenCIE Coaching! 💫</t>
  </si>
  <si>
    <t>B14 Cambridge IGCSE 0580 Mathematics - INR, B14 Cambridge IGCSE 0620 Chemistry - INR</t>
  </si>
  <si>
    <t>We acknowledge the fee payment receipt by Juveria Dhanani of INR 5000/- for May 2024 on 30 Dec 1899. Updated in the system. Thank you for choosing DivergenCIE Coaching! 💫</t>
  </si>
  <si>
    <t>B8 Cambridge AS-Level 9702 Physics - INR, B8 Cambridge AS-Level 9701 Chemistry - INR, B8 Cambridge AS-Level 9700 Biology - INR</t>
  </si>
  <si>
    <t>We acknowledge the fee payment receipt by Mudassir Dhanani of INR 15000/- for May 2024 on 30 Dec 1899. Updated in the system. Thank you for choosing DivergenCIE Coaching! 💫</t>
  </si>
  <si>
    <t>STOPPED 13-may  join7-may(1 p+1m class)</t>
  </si>
  <si>
    <t>We acknowledge the fee payment receipt by Safa Marwah of SAR 37.5/- for May 2024 on 30 Dec 1899. Updated in the system. Thank you for choosing DivergenCIE Coaching! 💫</t>
  </si>
  <si>
    <t>6000+9000(business)</t>
  </si>
  <si>
    <t>We acknowledge the fee payment receipt by Sai Nikhita of  21000/- for May 2024 on 30 Dec 1899. Updated in the system. Thank you for choosing DivergenCIE Coaching! 💫</t>
  </si>
  <si>
    <t>started on 23 may</t>
  </si>
  <si>
    <t>We acknowledge the fee payment receipt by Saksham of INR 8000/- for May 2024 on 30 Dec 1899. Updated in the system. Thank you for choosing DivergenCIE Coaching! 💫</t>
  </si>
  <si>
    <t>We acknowledge the fee payment receipt by Shubh Kalra of INR 15000/- for May 2024 on 30 Dec 1899. Updated in the system. Thank you for choosing DivergenCIE Coaching! 💫</t>
  </si>
  <si>
    <t>IG CMB Started 20-may</t>
  </si>
  <si>
    <t>We acknowledge the fee payment receipt by Sofiya Rawal of INR 9000/- for May 2024 on 30 Dec 1899. Updated in the system. Thank you for choosing DivergenCIE Coaching! 💫</t>
  </si>
  <si>
    <t>We acknowledge the fee payment receipt by Sree of SGD 307.5/- for May 2024 on 30 Dec 1899. Updated in the system. Thank you for choosing DivergenCIE Coaching! 💫</t>
  </si>
  <si>
    <t>We acknowledge the fee payment receipt by Taha Siddiqui of SAR 150/- for May 2024 on 30 Dec 1899. Updated in the system. Thank you for choosing DivergenCIE Coaching! 💫</t>
  </si>
  <si>
    <t>starts 20-may</t>
  </si>
  <si>
    <t>B14 Cambridge IGCSE 0620 Chemistry - INR, B14 Cambridge IGCSE 0625 Physics - SAR</t>
  </si>
  <si>
    <t>We acknowledge the fee payment receipt by Tala Hakami of SAR 360/- for May 2024 on 30 Dec 1899. Updated in the system. Thank you for choosing DivergenCIE Coaching! 💫</t>
  </si>
  <si>
    <t>joined igcse maths at 19-march(PCM)</t>
  </si>
  <si>
    <t>B14 Cambridge IGCSE 0625 Physics - SAR, B14 Cambridge IGCSE 0620 Chemistry - SAR, B14 Cambridge IGCSE 0580 Mathematics - SAR</t>
  </si>
  <si>
    <t>We acknowledge the fee payment receipt by Taleen Hakami of SAR 300/- for May 2024 on 30 Dec 1899. Updated in the system. Thank you for choosing DivergenCIE Coaching! 💫</t>
  </si>
  <si>
    <t>We acknowledge the fee payment receipt by Tooba Naveed of SAR 150/- for May 2024 on 30 Dec 1899. Updated in the system. Thank you for choosing DivergenCIE Coaching! 💫</t>
  </si>
  <si>
    <t>We acknowledge the fee payment receipt by Adeeba of GBP 0/- for Apr 2024 on 30 Dec 1899. Updated in the system. Thank you for choosing DivergenCIE Coaching! 💫</t>
  </si>
  <si>
    <t>started 9 April  ?paid</t>
  </si>
  <si>
    <t>C14 OCR AS-Level Computer Science - GBP</t>
  </si>
  <si>
    <t>We acknowledge the fee payment receipt by Arafat of AED 355.6/- for Apr 2024 on 30 Dec 1899. Updated in the system. Thank you for choosing DivergenCIE Coaching! 💫</t>
  </si>
  <si>
    <t>We acknowledge the fee payment receipt by Ayra Shareef of INR 3000/- for Apr 2024 on 30 Dec 1899. Updated in the system. Thank you for choosing DivergenCIE Coaching! 💫</t>
  </si>
  <si>
    <t>al math S1</t>
  </si>
  <si>
    <t>B8 Cambridge A-Level 9709 Mathematics: Statistics 1 - INR</t>
  </si>
  <si>
    <t>We acknowledge the fee payment receipt by Hamsini Upadhyayula of SAR 6000/- for Apr 2024 on 30 Dec 1899. Updated in the system. Thank you for choosing DivergenCIE Coaching! 💫</t>
  </si>
  <si>
    <t>We acknowledge the fee payment receipt by Juveria Dhanani of INR 5000/- for Apr 2024 on 30 Dec 1899. Updated in the system. Thank you for choosing DivergenCIE Coaching! 💫</t>
  </si>
  <si>
    <t>16.67% dis 16.67% dis</t>
  </si>
  <si>
    <t>B8 Cambridge AS-Level 9702 Physics - INR, B8 Cambridge AS-Level 9701 Chemistry - INR</t>
  </si>
  <si>
    <t>We acknowledge the fee payment receipt by Mudassir Dhanani of INR 10000/- for Apr 2024 on 30 Dec 1899. Updated in the system. Thank you for choosing DivergenCIE Coaching! 💫</t>
  </si>
  <si>
    <t>left chem</t>
  </si>
  <si>
    <t>B8 Cambridge AS-Level 9702 Physics - SAR</t>
  </si>
  <si>
    <t>We acknowledge the fee payment receipt by Rawan Naser of SAR 300/- for Apr 2024 on 30 Dec 1899. Updated in the system. Thank you for choosing DivergenCIE Coaching! 💫</t>
  </si>
  <si>
    <t>50% discount in april Paid 1250/- on 12-apr+paused 22/4/2024</t>
  </si>
  <si>
    <t>B8 Cambridge AS-Level 9618 Computer Science - INR</t>
  </si>
  <si>
    <t>We acknowledge the fee payment receipt by Ritvik P of INR 5000/- for Apr 2024 on 30 Dec 1899. Updated in the system. Thank you for choosing DivergenCIE Coaching! 💫</t>
  </si>
  <si>
    <t>didnt took classes from 13apr-1may</t>
  </si>
  <si>
    <t>B14 Cambridge IGCSE 0610 Biology - SAR, B14 Cambridge IGCSE 0620 Chemistry - SAR, B14 Cambridge IGCSE 0625 Physics - SAR</t>
  </si>
  <si>
    <t>We acknowledge the fee payment receipt by Safa Marwah of SAR 300/- for Apr 2024 on 30 Dec 1899. Updated in the system. Thank you for choosing DivergenCIE Coaching! 💫</t>
  </si>
  <si>
    <t>LAST TAKEN CLASSES ?Paid or not, check receipt</t>
  </si>
  <si>
    <t>750+1500</t>
  </si>
  <si>
    <t>We acknowledge the fee payment receipt by Sai Nikhita of  13875/- for Apr 2024 on 30 Dec 1899. Updated in the system. Thank you for choosing DivergenCIE Coaching! 💫</t>
  </si>
  <si>
    <t>paid 5000 INR extra ?check invoice</t>
  </si>
  <si>
    <t>We acknowledge the fee payment receipt by Shubh Kalra of INR 15000/- for Apr 2024 on 30 Dec 1899. Updated in the system. Thank you for choosing DivergenCIE Coaching! 💫</t>
  </si>
  <si>
    <t>We acknowledge the fee payment receipt by Sree of SGD 307.5/- for Apr 2024 on 21 Aug 2022. Updated in the system. Thank you for choosing DivergenCIE Coaching! 💫</t>
  </si>
  <si>
    <t>We acknowledge the fee payment receipt by Taha Siddiqui of SAR 150/- for Apr 2024 on 30 Dec 1899. Updated in the system. Thank you for choosing DivergenCIE Coaching! 💫</t>
  </si>
  <si>
    <t>We acknowledge the fee payment receipt by Taleen Hakami of SAR 300/- for Apr 2024 on 30 Dec 1899. Updated in the system. Thank you for choosing DivergenCIE Coaching! 💫</t>
  </si>
  <si>
    <t>We acknowledge the fee payment receipt by Tooba Naveed of SAR 150/- for Apr 2024 on 30 Dec 1899. Updated in the system. Thank you for choosing DivergenCIE Coaching! 💫</t>
  </si>
  <si>
    <t>We acknowledge the fee payment receipt by Vaishak of SGD 946/- for Apr 2024 on 30 Dec 1899. Updated in the system. Thank you for choosing DivergenCIE Coaching! 💫</t>
  </si>
  <si>
    <t>3 classes 2x1.5hr 2nd, 16th + 1hr 23rd as_of_29th march</t>
  </si>
  <si>
    <t>We acknowledge the fee payment receipt by Adeeba of GBP 40/- for Mar 2024 on 30 Dec 1899. Updated in the system. Thank you for choosing DivergenCIE Coaching! 💫</t>
  </si>
  <si>
    <t>IG PCM  7500-66% dis</t>
  </si>
  <si>
    <t>We acknowledge the fee payment receipt by Ayra Shareef of INR 3000/- for Mar 2024 on 30 Dec 1899. Updated in the system. Thank you for choosing DivergenCIE Coaching! 💫</t>
  </si>
  <si>
    <t>We acknowledge the fee payment receipt by Hamsini Upadhyayula of SAR 6000/- for Mar 2024 on 30 Dec 1899. Updated in the system. Thank you for choosing DivergenCIE Coaching! 💫</t>
  </si>
  <si>
    <t>We acknowledge the fee payment receipt by Juveria Dhanani of INR 5000/- for Mar 2024 on 30 Dec 1899. Updated in the system. Thank you for choosing DivergenCIE Coaching! 💫</t>
  </si>
  <si>
    <t>We acknowledge the fee payment receipt by Mudassir Dhanani of INR 10000/- for Mar 2024 on 30 Dec 1899. Updated in the system. Thank you for choosing DivergenCIE Coaching! 💫</t>
  </si>
  <si>
    <t>We acknowledge the fee payment receipt by Rawan Naser of  300/- for Mar 2024 on 30 Dec 1899. Updated in the system. Thank you for choosing DivergenCIE Coaching! 💫</t>
  </si>
  <si>
    <t>We acknowledge the fee payment receipt by Ritvik P of INR 5000/- for Mar 2024 on 30 Dec 1899. Updated in the system. Thank you for choosing DivergenCIE Coaching! 💫</t>
  </si>
  <si>
    <t>IG PCBE</t>
  </si>
  <si>
    <t>B14 Cambridge IGCSE 0625 Physics - SAR, B14 Cambridge IGCSE 0620 Chemistry - SAR, B14 Cambridge IGCSE 0610 Biology - SAR</t>
  </si>
  <si>
    <t>We acknowledge the fee payment receipt by Riza Shaheen of SAR 300/- for Mar 2024 on 30 Dec 1899. Updated in the system. Thank you for choosing DivergenCIE Coaching! 💫</t>
  </si>
  <si>
    <t>106.41  SAR remaining</t>
  </si>
  <si>
    <t>We acknowledge the fee payment receipt by Safa Marwah of SAR 300/- for Mar 2024 on 30 Dec 1899. Updated in the system. Thank you for choosing DivergenCIE Coaching! 💫</t>
  </si>
  <si>
    <t>We acknowledge the fee payment receipt by Shubh Kalra of INR 15000/- for Mar 2024 on 30 Dec 1899. Updated in the system. Thank you for choosing DivergenCIE Coaching! 💫</t>
  </si>
  <si>
    <t>We acknowledge the fee payment receipt by Taha Siddiqui of SAR 150/- for Mar 2024 on 30 Dec 1899. Updated in the system. Thank you for choosing DivergenCIE Coaching! 💫</t>
  </si>
  <si>
    <t>We acknowledge the fee payment receipt by Taleen Hakami of SAR 300/- for Mar 2024 on 30 Dec 1899. Updated in the system. Thank you for choosing DivergenCIE Coaching! 💫</t>
  </si>
  <si>
    <t>We acknowledge the fee payment receipt by Tooba Naveed of SAR 150/- for Mar 2024 on 30 Dec 1899. Updated in the system. Thank you for choosing DivergenCIE Coaching! 💫</t>
  </si>
  <si>
    <t>We acknowledge the fee payment receipt by Adeeba of GBP 15/- for Feb 2024 on 30 Dec 1899. Updated in the system. Thank you for choosing DivergenCIE Coaching! 💫</t>
  </si>
  <si>
    <t>paid on 4/21/2024</t>
  </si>
  <si>
    <t>We acknowledge the fee payment receipt by Adithya Aji of SAR 600/- for Feb 2024 on 30 Dec 1899. Updated in the system. Thank you for choosing DivergenCIE Coaching! 💫</t>
  </si>
  <si>
    <t>B14 Cambridge IGCSE 0417 Information &amp; Communication Technology - INR, B14 Cambridge IGCSE 0500 First Language English - INR</t>
  </si>
  <si>
    <t>625*16 / 5000</t>
  </si>
  <si>
    <t>We acknowledge the fee payment receipt by Daniel Peter of INR 10000/- for Feb 2024 on 30 Dec 1899. Updated in the system. Thank you for choosing DivergenCIE Coaching! 💫</t>
  </si>
  <si>
    <t>B14 Cambridge IGCSE 0625 Physics - INR, B14 Cambridge IGCSE 0620 Chemistry - INR, B14 Cambridge IGCSE 0580 Mathematics - INR, B14 Cambridge IGCSE 0500 First Language English - INR</t>
  </si>
  <si>
    <t>We acknowledge the fee payment receipt by Geet Panjwani of INR 10000/- for Feb 2024 on 30 Dec 1899. Updated in the system. Thank you for choosing DivergenCIE Coaching! 💫</t>
  </si>
  <si>
    <t>We acknowledge the fee payment receipt by Hamsini Upadhyayula of SAR 6000/- for Feb 2024 on 30 Dec 1899. Updated in the system. Thank you for choosing DivergenCIE Coaching! 💫</t>
  </si>
  <si>
    <t>We acknowledge the fee payment receipt by Juveria Dhanani of INR 5000/- for Feb 2024 on 30 Dec 1899. Updated in the system. Thank you for choosing DivergenCIE Coaching! 💫</t>
  </si>
  <si>
    <t>3/28/2024 16.67% missed classes</t>
  </si>
  <si>
    <t>We acknowledge the fee payment receipt by Mudassir Dhanani of INR 10000/- for Feb 2024 on 30 Dec 1899. Updated in the system. Thank you for choosing DivergenCIE Coaching! 💫</t>
  </si>
  <si>
    <t>We acknowledge the fee payment receipt by Rawan Naser of SAR 300/- for Feb 2024 on 30 Dec 1899. Updated in the system. Thank you for choosing DivergenCIE Coaching! 💫</t>
  </si>
  <si>
    <t>B14 Cambridge IGCSE 0610 Biology - SAR, B14 Cambridge IGCSE 0620 Chemistry - SAR, B14 Cambridge IGCSE 0625 Physics - SAR, B14 Cambridge IGCSE 0580 Mathematics - SAR, B14 Cambridge IGCSE 0510 English as a Second Language - SAR</t>
  </si>
  <si>
    <t>We acknowledge the fee payment receipt by Ritaj Ahmed of SAR 500/- for Feb 2024 on 30 Dec 1899. Updated in the system. Thank you for choosing DivergenCIE Coaching! 💫</t>
  </si>
  <si>
    <t>B8 Cambridge AS-Level 9618 Computer Science - INR, B8 Cambridge AS-Level 9702 Physics - INR, B8 Cambridge AS-Level 9701 Chemistry - INR</t>
  </si>
  <si>
    <t>We acknowledge the fee payment receipt by Ritvik P of INR 7500/- for Feb 2024 on 30 Dec 1899. Updated in the system. Thank you for choosing DivergenCIE Coaching! 💫</t>
  </si>
  <si>
    <t>We acknowledge the fee payment receipt by Riza Shaheen of SAR 300/- for Feb 2024 on 30 Dec 1899. Updated in the system. Thank you for choosing DivergenCIE Coaching! 💫</t>
  </si>
  <si>
    <t>will not pay  ?discounts applied</t>
  </si>
  <si>
    <t>We acknowledge the fee payment receipt by Safa Marwah of SAR 300/- for Feb 2024 on 30 Dec 1899. Updated in the system. Thank you for choosing DivergenCIE Coaching! 💫</t>
  </si>
  <si>
    <t>We acknowledge the fee payment receipt by Safa Rasheed of SAR 500/- for Feb 2024 on 30 Dec 1899. Updated in the system. Thank you for choosing DivergenCIE Coaching! 💫</t>
  </si>
  <si>
    <t>?paid or not</t>
  </si>
  <si>
    <t>B8 Cambridge AS-Level 9609 Business - INR, B8 Cambridge AS-Level 9701 Chemistry - INR, B8 Cambridge A-Level 9702 Physics - INR, B8 Cambridge A-Level 9709 Mathematics: Mechanics 1 - INR, B8 Cambridge AS-Level 9709 Mathematics: Pure 1 - INR</t>
  </si>
  <si>
    <t>We acknowledge the fee payment receipt by Sai Nikhita of INR 21000/- for Feb 2024 on 30 Dec 1899. Updated in the system. Thank you for choosing DivergenCIE Coaching! 💫</t>
  </si>
  <si>
    <t>We acknowledge the fee payment receipt by Shubh Kalra of INR 12500/- for Feb 2024 on 30 Dec 1899. Updated in the system. Thank you for choosing DivergenCIE Coaching! 💫</t>
  </si>
  <si>
    <t>We acknowledge the fee payment receipt by Taha Siddiqui of SAR 150/- for Feb 2024 on 30 Dec 1899. Updated in the system. Thank you for choosing DivergenCIE Coaching! 💫</t>
  </si>
  <si>
    <t>pause</t>
  </si>
  <si>
    <t>We acknowledge the fee payment receipt by Yaseen Khalifa of  150/- for Dec 2024 on 30 Dec 1899. Updated in the system. Thank you for choosing DivergenCIE Coaching! 💫</t>
  </si>
  <si>
    <t>LEFT 4-MARCH</t>
  </si>
  <si>
    <t>We acknowledge the fee payment receipt by Taleen Hakami of SAR 300/- for Feb 2025 on 30 Dec 1899. Updated in the system. Thank you for choosing DivergenCIE Coaching! 💫</t>
  </si>
  <si>
    <t>4 classes + 1 hr trial</t>
  </si>
  <si>
    <t>We acknowledge the fee payment receipt by Adeeba of GBP 45/- for Jan 2024 on 30 Dec 1899. Updated in the system. Thank you for choosing DivergenCIE Coaching! 💫</t>
  </si>
  <si>
    <t>paid on 3/17/2024</t>
  </si>
  <si>
    <t>We acknowledge the fee payment receipt by Adithya Aji of SAR 600/- for Jan 2024 on 30 Dec 1899. Updated in the system. Thank you for choosing DivergenCIE Coaching! 💫</t>
  </si>
  <si>
    <t>We acknowledge the fee payment receipt by Daniel Peter of INR 10000/- for Jan 2024 on 30 Dec 1899. Updated in the system. Thank you for choosing DivergenCIE Coaching! 💫</t>
  </si>
  <si>
    <t>B14 Cambridge IGCSE 0620 Chemistry - SAR, B14 Cambridge IGCSE 0625 Physics - SAR, B14 Cambridge IGCSE 0580 Mathematics - SAR</t>
  </si>
  <si>
    <t>We acknowledge the fee payment receipt by Fajr of SAR 150/- for Jan 2024 on 30 Dec 1899. Updated in the system. Thank you for choosing DivergenCIE Coaching! 💫</t>
  </si>
  <si>
    <t>We acknowledge the fee payment receipt by Farah of SAR 150/- for Jan 2024 on 30 Dec 1899. Updated in the system. Thank you for choosing DivergenCIE Coaching! 💫</t>
  </si>
  <si>
    <t>al phys, al math S1</t>
  </si>
  <si>
    <t>We acknowledge the fee payment receipt by Hamsini Upadhyayula of SAR 12000/- for Jan 2024 on 30 Dec 1899. Updated in the system. Thank you for choosing DivergenCIE Coaching! 💫</t>
  </si>
  <si>
    <t>50% in Physics  , 25% whole</t>
  </si>
  <si>
    <t>B14 Cambridge IGCSE 0620 Chemistry - INR, B14 Cambridge IGCSE 0625 Physics - INR, B14 Cambridge IGCSE 0580 Mathematics - INR</t>
  </si>
  <si>
    <t>We acknowledge the fee payment receipt by Hryday Kedia of INR 6250/- for Jan 2024 on 30 Dec 1899. Updated in the system. Thank you for choosing DivergenCIE Coaching! 💫</t>
  </si>
  <si>
    <t>We acknowledge the fee payment receipt by Juveria Dhanani of INR 5000/- for Jan 2024 on 30 Dec 1899. Updated in the system. Thank you for choosing DivergenCIE Coaching! 💫</t>
  </si>
  <si>
    <t>16.67% missed classes 3/7/2024</t>
  </si>
  <si>
    <t>We acknowledge the fee payment receipt by Mudassir Dhanani of INR 10000/- for Jan 2024 on 30 Dec 1899. Updated in the system. Thank you for choosing DivergenCIE Coaching! 💫</t>
  </si>
  <si>
    <t>as phy,as chem</t>
  </si>
  <si>
    <t>We acknowledge the fee payment receipt by Rawan Naser of SAR 500/- for Jan 2024 on 30 Dec 1899. Updated in the system. Thank you for choosing DivergenCIE Coaching! 💫</t>
  </si>
  <si>
    <t>We acknowledge the fee payment receipt by Ritaj Ahmed of SAR 500/- for Jan 2024 on 30 Dec 1899. Updated in the system. Thank you for choosing DivergenCIE Coaching! 💫</t>
  </si>
  <si>
    <t>75% CS</t>
  </si>
  <si>
    <t>We acknowledge the fee payment receipt by Ritvik P of INR 5625/- for Jan 2024 on 30 Dec 1899. Updated in the system. Thank you for choosing DivergenCIE Coaching! 💫</t>
  </si>
  <si>
    <t>B14 Cambridge IGCSE 0625 Physics - SAR, B14 Cambridge IGCSE 0620 Chemistry - SAR, B14 Cambridge IGCSE 0610 Biology - SAR, B14 Cambridge IGCSE 0510 English as a Second Language - SAR</t>
  </si>
  <si>
    <t>We acknowledge the fee payment receipt by Riza Shaheen of SAR 300/- for Jan 2024 on 30 Dec 1899. Updated in the system. Thank you for choosing DivergenCIE Coaching! 💫</t>
  </si>
  <si>
    <t>We acknowledge the fee payment receipt by Safa Marwah of SAR 150/- for Jan 2024 on 30 Dec 1899. Updated in the system. Thank you for choosing DivergenCIE Coaching! 💫</t>
  </si>
  <si>
    <t>We acknowledge the fee payment receipt by Safa Rasheed of SAR 500/- for Jan 2024 on 30 Dec 1899. Updated in the system. Thank you for choosing DivergenCIE Coaching! 💫</t>
  </si>
  <si>
    <t>B8 Cambridge AS-Level 9609 Business - INR, B8 Cambridge AS-Level 9701 Chemistry - INR, B8 Cambridge A-Level 9702 Physics - INR</t>
  </si>
  <si>
    <t>We acknowledge the fee payment receipt by Sai Nikhita of INR 21000/- for Jan 2024 on 30 Dec 1899. Updated in the system. Thank you for choosing DivergenCIE Coaching! 💫</t>
  </si>
  <si>
    <t>75% dis</t>
  </si>
  <si>
    <t>We acknowledge the fee payment receipt by Taleen Hakami of SAR 225/- for Jan 2024 on 30 Dec 1899. Updated in the system. Thank you for choosing DivergenCIE Coaching! 💫</t>
  </si>
  <si>
    <t>NO classes and left 2-feb</t>
  </si>
  <si>
    <t>We acknowledge the fee payment receipt by Wajd of SAR 300/- for Jan 2024 on 30 Dec 1899. Updated in the system. Thank you for choosing DivergenCIE Coaching! 💫</t>
  </si>
  <si>
    <t>We acknowledge the fee payment receipt by Adithya Aji of SAR 450/- for Dec 2023 on 30 Dec 1899. Updated in the system. Thank you for choosing DivergenCIE Coaching! 💫</t>
  </si>
  <si>
    <t>We acknowledge the fee payment receipt by Daniel Peter of INR 10000/- for Dec 2023 on 30 Dec 1899. Updated in the system. Thank you for choosing DivergenCIE Coaching! 💫</t>
  </si>
  <si>
    <t>We acknowledge the fee payment receipt by Farah of SAR 300/- for Dec 2023 on 30 Dec 1899. Updated in the system. Thank you for choosing DivergenCIE Coaching! 💫</t>
  </si>
  <si>
    <t>We acknowledge the fee payment receipt by Hamsini Upadhyayula of SAR 12000/- for Dec 2023 on 30 Dec 1899. Updated in the system. Thank you for choosing DivergenCIE Coaching! 💫</t>
  </si>
  <si>
    <t>We acknowledge the fee payment receipt by Hryday Kedia of INR 5625/- for Dec 2023 on 30 Dec 1899. Updated in the system. Thank you for choosing DivergenCIE Coaching! 💫</t>
  </si>
  <si>
    <t>We acknowledge the fee payment receipt by Juveria Dhanani of INR 5000/- for Dec 2023 on 30 Dec 1899. Updated in the system. Thank you for choosing DivergenCIE Coaching! 💫</t>
  </si>
  <si>
    <t>16.67% missed classes</t>
  </si>
  <si>
    <t>We acknowledge the fee payment receipt by Mudassir Dhanani of INR 10000/- for Dec 2023 on 30 Dec 1899. Updated in the system. Thank you for choosing DivergenCIE Coaching! 💫</t>
  </si>
  <si>
    <t>B8 Cambridge AS-Level 9701 Chemistry - INR, B8 Cambridge A-Level 9702 Physics - INR</t>
  </si>
  <si>
    <t>We acknowledge the fee payment receipt by Nairah Noushad of SAR 10000/- for Dec 2023 on 30 Dec 1899. Updated in the system. Thank you for choosing DivergenCIE Coaching! 💫</t>
  </si>
  <si>
    <t>We acknowledge the fee payment receipt by Ritaj Ahmed of SAR 500/- for Dec 2023 on 30 Dec 1899. Updated in the system. Thank you for choosing DivergenCIE Coaching! 💫</t>
  </si>
  <si>
    <t>75%CS</t>
  </si>
  <si>
    <t>We acknowledge the fee payment receipt by Ritvik P of INR 5625/- for Dec 2023 on 30 Dec 1899. Updated in the system. Thank you for choosing DivergenCIE Coaching! 💫</t>
  </si>
  <si>
    <t>We acknowledge the fee payment receipt by Riza Shaheen of SAR 300/- for Dec 2023 on 30 Dec 1899. Updated in the system. Thank you for choosing DivergenCIE Coaching! 💫</t>
  </si>
  <si>
    <t>We acknowledge the fee payment receipt by Safa Marwah of SAR 300/- for Dec 2023 on 30 Dec 1899. Updated in the system. Thank you for choosing DivergenCIE Coaching! 💫</t>
  </si>
  <si>
    <t>?Paid extra 6500 39000 instead of 32500</t>
  </si>
  <si>
    <t>B8 Cambridge AS-Level 9609 Business - INR, B8 Cambridge AS-Level 9701 Chemistry - INR, B8 Cambridge A-Level 9702 Physics - INR, B8 Cambridge A-Level 9709 Mathematics: Mechanics 1 - INR, B8 Cambridge AS-Level 9709 Mathematics: Pure 1 - INR, B8 Cambridge A-Level 9709 Mathematics: Statistics 1 - INR</t>
  </si>
  <si>
    <t>6000+9000(Business)</t>
  </si>
  <si>
    <t>We acknowledge the fee payment receipt by Sai Nikhita of INR 39000/- for Dec 2023 on 30 Dec 1899. Updated in the system. Thank you for choosing DivergenCIE Coaching! 💫</t>
  </si>
  <si>
    <t>B14 Cambridge IGCSE 0625 Physics - SAR, B14 Cambridge IGCSE 0620 Chemistry - SAR, B14 Cambridge IGCSE 0580 Mathematics - SAR, B14 Cambridge IGCSE 0510 English as a Second Language - SAR</t>
  </si>
  <si>
    <t>We acknowledge the fee payment receipt by Taleen Hakami of SAR 400/- for Dec 2023 on 30 Dec 1899. Updated in the system. Thank you for choosing DivergenCIE Coaching! 💫</t>
  </si>
  <si>
    <t>We acknowledge the fee payment receipt by Wajd of SAR 300/- for Dec 2023 on 30 Dec 1899. Updated in the system. Thank you for choosing DivergenCIE Coaching! 💫</t>
  </si>
  <si>
    <t>Payse</t>
  </si>
  <si>
    <t>We acknowledge the fee payment receipt by Daniel Peter of INR 10000/- for Nov 2023 on 30 Dec 1899. Updated in the system. Thank you for choosing DivergenCIE Coaching! 💫</t>
  </si>
  <si>
    <t>50%(biology) + 20%(whole)</t>
  </si>
  <si>
    <t>We acknowledge the fee payment receipt by Geet Panjwani of INR 7000/- for Nov 2023 on 30 Dec 1899. Updated in the system. Thank you for choosing DivergenCIE Coaching! 💫</t>
  </si>
  <si>
    <t>We acknowledge the fee payment receipt by Hamsini Upadhyayula of SAR 9000/- for Nov 2023 on 30 Dec 1899. Updated in the system. Thank you for choosing DivergenCIE Coaching! 💫</t>
  </si>
  <si>
    <t>25% whole</t>
  </si>
  <si>
    <t>We acknowledge the fee payment receipt by Hryday Kedia of INR 7500/- for Nov 2023 on 30 Dec 1899. Updated in the system. Thank you for choosing DivergenCIE Coaching! 💫</t>
  </si>
  <si>
    <t>We acknowledge the fee payment receipt by Juveria Dhanani of INR 5000/- for Nov 2023 on 30 Dec 1899. Updated in the system. Thank you for choosing DivergenCIE Coaching! 💫</t>
  </si>
  <si>
    <t>We acknowledge the fee payment receipt by Mudassir Dhanani of INR 10000/- for Nov 2023 on 30 Dec 1899. Updated in the system. Thank you for choosing DivergenCIE Coaching! 💫</t>
  </si>
  <si>
    <t>We acknowledge the fee payment receipt by Nairah Noushad of SAR 10000/- for Nov 2023 on 30 Dec 1899. Updated in the system. Thank you for choosing DivergenCIE Coaching! 💫</t>
  </si>
  <si>
    <t>50% MC</t>
  </si>
  <si>
    <t>We acknowledge the fee payment receipt by Rachit Sonthalia of INR 3750/- for Nov 2023 on 30 Dec 1899. Updated in the system. Thank you for choosing DivergenCIE Coaching! 💫</t>
  </si>
  <si>
    <t>We acknowledge the fee payment receipt by Ritaj Ahmed of SAR 500/- for Nov 2023 on 30 Dec 1899. Updated in the system. Thank you for choosing DivergenCIE Coaching! 💫</t>
  </si>
  <si>
    <t>We acknowledge the fee payment receipt by Ritvik P of INR 5625/- for Nov 2023 on 30 Dec 1899. Updated in the system. Thank you for choosing DivergenCIE Coaching! 💫</t>
  </si>
  <si>
    <t>We acknowledge the fee payment receipt by Riza Shaheen of SAR 250/- for Nov 2023 on 30 Dec 1899. Updated in the system. Thank you for choosing DivergenCIE Coaching! 💫</t>
  </si>
  <si>
    <t>B14 Cambridge IGCSE 0610 Biology - SAR, B14 Cambridge IGCSE 0620 Chemistry - SAR, B14 Cambridge IGCSE 0625 Physics - SAR, B14 Cambridge IGCSE 0580 Mathematics - SAR</t>
  </si>
  <si>
    <t>We acknowledge the fee payment receipt by Safa Marwah of SAR 400/- for Nov 2023 on 30 Dec 1899. Updated in the system. Thank you for choosing DivergenCIE Coaching! 💫</t>
  </si>
  <si>
    <t>20.9% missed classes</t>
  </si>
  <si>
    <t>B8 Cambridge AS-Level 9701 Chemistry - INR, B8 Cambridge A-Level 9702 Physics - INR, B8 Cambridge A-Level 9709 Mathematics: Mechanics 1 - INR, B8 Cambridge AS-Level 9709 Mathematics: Pure 1 - INR, B8 Cambridge A-Level 9709 Mathematics: Statistics 1 - INR</t>
  </si>
  <si>
    <t>We acknowledge the fee payment receipt by Sai Nikhita of INR 23730/- for Nov 2023 on 30 Dec 1899. Updated in the system. Thank you for choosing DivergenCIE Coaching! 💫</t>
  </si>
  <si>
    <t>C11 College Board SAT - INR</t>
  </si>
  <si>
    <t>625x8</t>
  </si>
  <si>
    <t>We acknowledge the fee payment receipt by Shrey Agarwal of INR 5000/- for Nov 2023 on 30 Dec 1899. Updated in the system. Thank you for choosing DivergenCIE Coaching! 💫</t>
  </si>
  <si>
    <t>We acknowledge the fee payment receipt by Wajd of SAR 300/- for Nov 2023 on 30 Dec 1899. Updated in the system. Thank you for choosing DivergenCIE Coaching! 💫</t>
  </si>
  <si>
    <t>We acknowledge the fee payment receipt by Yaseen Khalifa of SAR 150/- for Sep 2023 on 30 Dec 1899. Updated in the system. Thank you for choosing DivergenCIE Coaching! 💫</t>
  </si>
  <si>
    <t>62.50% IG ESL + 33.3% IG ICT</t>
  </si>
  <si>
    <t>We acknowledge the fee payment receipt by Daniel Peter of INR 5210/- for Oct 2023 on 30 Dec 1899. Updated in the system. Thank you for choosing DivergenCIE Coaching! 💫</t>
  </si>
  <si>
    <t>B8 Cambridge AS-Level 9701 Chemistry - SAR</t>
  </si>
  <si>
    <t>We acknowledge the fee payment receipt by Dina Ali of SAR 256.13/- for Oct 2023 on 16 Jan 2025. Updated in the system. Thank you for choosing DivergenCIE Coaching! 💫</t>
  </si>
  <si>
    <t>20% whole</t>
  </si>
  <si>
    <t>We acknowledge the fee payment receipt by Geet Panjwani of INR 8000/- for Oct 2023 on 30 Dec 1899. Updated in the system. Thank you for choosing DivergenCIE Coaching! 💫</t>
  </si>
  <si>
    <t>al phys, al math S1 75%Missed classes</t>
  </si>
  <si>
    <t>We acknowledge the fee payment receipt by Hamsini Upadhyayula of SAR 7500/- for Oct 2023 on 30 Dec 1899. Updated in the system. Thank you for choosing DivergenCIE Coaching! 💫</t>
  </si>
  <si>
    <t>We acknowledge the fee payment receipt by Juveria Dhanani of INR 5000/- for Oct 2023 on 30 Dec 1899. Updated in the system. Thank you for choosing DivergenCIE Coaching! 💫</t>
  </si>
  <si>
    <t>16.67% missed classes left oct 16</t>
  </si>
  <si>
    <t>We acknowledge the fee payment receipt by Mudassir Dhanani of INR 10000/- for Oct 2023 on 30 Dec 1899. Updated in the system. Thank you for choosing DivergenCIE Coaching! 💫</t>
  </si>
  <si>
    <t>We acknowledge the fee payment receipt by Nairah Noushad of SAR 10000/- for Oct 2023 on 30 Dec 1899. Updated in the system. Thank you for choosing DivergenCIE Coaching! 💫</t>
  </si>
  <si>
    <t>We acknowledge the fee payment receipt by Rachit Sonthalia of INR 5000/- for Oct 2023 on 30 Dec 1899. Updated in the system. Thank you for choosing DivergenCIE Coaching! 💫</t>
  </si>
  <si>
    <t>We acknowledge the fee payment receipt by Ritaj Ahmed of SAR 500/- for Oct 2023 on 30 Dec 1899. Updated in the system. Thank you for choosing DivergenCIE Coaching! 💫</t>
  </si>
  <si>
    <t>100% CS</t>
  </si>
  <si>
    <t>We acknowledge the fee payment receipt by Ritvik P of INR 5000/- for Oct 2023 on 30 Dec 1899. Updated in the system. Thank you for choosing DivergenCIE Coaching! 💫</t>
  </si>
  <si>
    <t>We acknowledge the fee payment receipt by Riza Shaheen of SAR 400/- for Oct 2023 on 30 Dec 1899. Updated in the system. Thank you for choosing DivergenCIE Coaching! 💫</t>
  </si>
  <si>
    <t>We acknowledge the fee payment receipt by Safa Marwah of SAR 400/- for Oct 2023 on 30 Dec 1899. Updated in the system. Thank you for choosing DivergenCIE Coaching! 💫</t>
  </si>
  <si>
    <t>37% missed</t>
  </si>
  <si>
    <t>6000 + 5000(SAT)</t>
  </si>
  <si>
    <t>We acknowledge the fee payment receipt by Sai Nikhita of INR 21875/- for Oct 2023 on 30 Dec 1899. Updated in the system. Thank you for choosing DivergenCIE Coaching! 💫</t>
  </si>
  <si>
    <t>??</t>
  </si>
  <si>
    <t>We acknowledge the fee payment receipt by Shrey Agarwal of INR 5000/- for Oct 2023 on 30 Dec 1899. Updated in the system. Thank you for choosing DivergenCIE Coaching! 💫</t>
  </si>
  <si>
    <t>left</t>
  </si>
  <si>
    <t>We acknowledge the fee payment receipt by Aseel Aymen of SAR 150/- for Sep 2023 on 30 Dec 1899. Updated in the system. Thank you for choosing DivergenCIE Coaching! 💫</t>
  </si>
  <si>
    <t>We acknowledge the fee payment receipt by Ashragat Mohammadin of SAR 150/- for Sep 2023 on 30 Dec 1899. Updated in the system. Thank you for choosing DivergenCIE Coaching! 💫</t>
  </si>
  <si>
    <t>left oct 7</t>
  </si>
  <si>
    <t>We acknowledge the fee payment receipt by Ayesha Imran of SAR 150/- for Sep 2023 on 30 Dec 1899. Updated in the system. Thank you for choosing DivergenCIE Coaching! 💫</t>
  </si>
  <si>
    <t>B13 KSA Qudrat GAT - SAR</t>
  </si>
  <si>
    <t>We acknowledge the fee payment receipt by Basant Gohal of SAR 250/- for Sep 2023 on 30 Dec 1899. Updated in the system. Thank you for choosing DivergenCIE Coaching! 💫</t>
  </si>
  <si>
    <t>We acknowledge the fee payment receipt by Daniel Peter of INR 4500/- for Sep 2023 on 30 Dec 1899. Updated in the system. Thank you for choosing DivergenCIE Coaching! 💫</t>
  </si>
  <si>
    <t>B8 Cambridge A-Level 9093 English Language - INR, B8 Cambridge AS-Level 9618 Computer Science - INR</t>
  </si>
  <si>
    <t>625*8 / 5000 + 250*8 / 2000</t>
  </si>
  <si>
    <t>We acknowledge the fee payment receipt by Debjyoti Sikdar of INR 2000/- for Sep 2023 on 30 Dec 1899. Updated in the system. Thank you for choosing DivergenCIE Coaching! 💫</t>
  </si>
  <si>
    <t>62.50% Eng SL+20% Whole</t>
  </si>
  <si>
    <t>B14 Cambridge IGCSE 0625 Physics - INR, B14 Cambridge IGCSE 0620 Chemistry - INR, B14 Cambridge IGCSE 0580 Mathematics - INR, B14 Cambridge IGCSE 0500 First Language English - INR, B14 Cambridge IGCSE 0610 Biology - INR</t>
  </si>
  <si>
    <t>We acknowledge the fee payment receipt by Geet Panjwani of INR 8750/- for Sep 2023 on 30 Dec 1899. Updated in the system. Thank you for choosing DivergenCIE Coaching! 💫</t>
  </si>
  <si>
    <t>We acknowledge the fee payment receipt by Hamsini Upadhyayula of SAR 6000/- for Sep 2023 on 30 Dec 1899. Updated in the system. Thank you for choosing DivergenCIE Coaching! 💫</t>
  </si>
  <si>
    <t>We acknowledge the fee payment receipt by Juveria Dhanani of INR 5000/- for Sep 2023 on 30 Dec 1899. Updated in the system. Thank you for choosing DivergenCIE Coaching! 💫</t>
  </si>
  <si>
    <t>We acknowledge the fee payment receipt by Kavish Agarwal of INR 5250/- for Sep 2023 on 30 Dec 1899. Updated in the system. Thank you for choosing DivergenCIE Coaching! 💫</t>
  </si>
  <si>
    <t>We acknowledge the fee payment receipt by Mawaddah Haitham of  150/- for Sep 2023 on 30 Dec 1899. Updated in the system. Thank you for choosing DivergenCIE Coaching! 💫</t>
  </si>
  <si>
    <t>We acknowledge the fee payment receipt by Mohammed Abdulmonem of SAR 300/- for Sep 2023 on 30 Dec 1899. Updated in the system. Thank you for choosing DivergenCIE Coaching! 💫</t>
  </si>
  <si>
    <t>We acknowledge the fee payment receipt by Mudassir Dhanani of INR 10000/- for Sep 2023 on 30 Dec 1899. Updated in the system. Thank you for choosing DivergenCIE Coaching! 💫</t>
  </si>
  <si>
    <t>62.50%MC</t>
  </si>
  <si>
    <t>B14 Cambridge IGCSE 0580 Mathematics - INR, B14 Cambridge IGCSE 0620 Chemistry - INR, B14 Cambridge IGCSE 0500 First Language English - INR</t>
  </si>
  <si>
    <t>312.5*16  / 2500</t>
  </si>
  <si>
    <t>We acknowledge the fee payment receipt by Rachit Sonthalia of INR 2812.5/- for Sep 2023 on 30 Dec 1899. Updated in the system. Thank you for choosing DivergenCIE Coaching! 💫</t>
  </si>
  <si>
    <t>We acknowledge the fee payment receipt by Ritaj Ahmed of SAR 500/- for Sep 2023 on 30 Dec 1899. Updated in the system. Thank you for choosing DivergenCIE Coaching! 💫</t>
  </si>
  <si>
    <t>We acknowledge the fee payment receipt by Ritvik P of INR 5625/- for Sep 2023 on 30 Dec 1899. Updated in the system. Thank you for choosing DivergenCIE Coaching! 💫</t>
  </si>
  <si>
    <t>We acknowledge the fee payment receipt by Riza Shaheen of SAR 400/- for Sep 2023 on 30 Dec 1899. Updated in the system. Thank you for choosing DivergenCIE Coaching! 💫</t>
  </si>
  <si>
    <t>We acknowledge the fee payment receipt by Safa Marwah of SAR 500/- for Sep 2023 on 30 Dec 1899. Updated in the system. Thank you for choosing DivergenCIE Coaching! 💫</t>
  </si>
  <si>
    <t>33.3% missed classes</t>
  </si>
  <si>
    <t>We acknowledge the fee payment receipt by Sai Nikhita of INR 23345/- for Sep 2023 on 21 Aug 2022. Updated in the system. Thank you for choosing DivergenCIE Coaching! 💫</t>
  </si>
  <si>
    <t>? ?</t>
  </si>
  <si>
    <t>???</t>
  </si>
  <si>
    <t>We acknowledge the fee payment receipt by Shrey Agarwal of INR 5000/- for Sep 2023 on 30 Dec 1899. Updated in the system. Thank you for choosing DivergenCIE Coaching! 💫</t>
  </si>
  <si>
    <t>We acknowledge the fee payment receipt by Sumayyah Muhammad of SAR 150/- for Sep 2023 on 30 Dec 1899. Updated in the system. Thank you for choosing DivergenCIE Coaching! 💫</t>
  </si>
  <si>
    <t>B14 Cambridge IGCSE 0580 Mathematics - SAR, B14 Cambridge IGCSE 0620 Chemistry - SAR, B14 Cambridge IGCSE 0625 Physics - SAR</t>
  </si>
  <si>
    <t>We acknowledge the fee payment receipt by Taahaa Khalifa of SAR 450/- for Sep 2023 on 30 Dec 1899. Updated in the system. Thank you for choosing DivergenCIE Coaching! 💫</t>
  </si>
  <si>
    <t>? left oct 16</t>
  </si>
  <si>
    <t>We acknowledge the fee payment receipt by Yaseen Khalifa of SAR 85/- for Sep 2023 on 30 Dec 1899. Updated in the system. Thank you for choosing DivergenCIE Coaching! 💫</t>
  </si>
  <si>
    <t>We acknowledge the fee payment receipt by Aseel Aymen of SAR 150/- for Aug 2023 on 30 Dec 1899. Updated in the system. Thank you for choosing DivergenCIE Coaching! 💫</t>
  </si>
  <si>
    <t>We acknowledge the fee payment receipt by Ashragat Mohammadin of SAR 150/- for Aug 2023 on 30 Dec 1899. Updated in the system. Thank you for choosing DivergenCIE Coaching! 💫</t>
  </si>
  <si>
    <t>We acknowledge the fee payment receipt by Ayesha Imran of SAR 150/- for Aug 2023 on 30 Dec 1899. Updated in the system. Thank you for choosing DivergenCIE Coaching! 💫</t>
  </si>
  <si>
    <t>We acknowledge the fee payment receipt by Basant Gohal of SAR 250/- for Aug 2023 on 30 Dec 1899. Updated in the system. Thank you for choosing DivergenCIE Coaching! 💫</t>
  </si>
  <si>
    <t>1 0.1667</t>
  </si>
  <si>
    <t>We acknowledge the fee payment receipt by Daniel Peter of INR 10000/- for Aug 2023 on 30 Dec 1899. Updated in the system. Thank you for choosing DivergenCIE Coaching! 💫</t>
  </si>
  <si>
    <t>We acknowledge the fee payment receipt by Debjyoti Sikdar of INR 2000/- for Aug 2023 on 30 Dec 1899. Updated in the system. Thank you for choosing DivergenCIE Coaching! 💫</t>
  </si>
  <si>
    <t>We acknowledge the fee payment receipt by Geet Panjwani of INR 10000/- for Aug 2023 on 30 Dec 1899. Updated in the system. Thank you for choosing DivergenCIE Coaching! 💫</t>
  </si>
  <si>
    <t>We acknowledge the fee payment receipt by Hamsini Upadhyayula of SAR 6000/- for Aug 2023 on 30 Dec 1899. Updated in the system. Thank you for choosing DivergenCIE Coaching! 💫</t>
  </si>
  <si>
    <t>We acknowledge the fee payment receipt by Juveria Dhanani of INR 5000/- for Aug 2023 on 30 Dec 1899. Updated in the system. Thank you for choosing DivergenCIE Coaching! 💫</t>
  </si>
  <si>
    <t>We acknowledge the fee payment receipt by Kavish Agarwal of INR 5250/- for Aug 2023 on 30 Dec 1899. Updated in the system. Thank you for choosing DivergenCIE Coaching! 💫</t>
  </si>
  <si>
    <t>We acknowledge the fee payment receipt by Mawaddah Haitham of SAR 150/- for Aug 2023 on 30 Dec 1899. Updated in the system. Thank you for choosing DivergenCIE Coaching! 💫</t>
  </si>
  <si>
    <t>We acknowledge the fee payment receipt by Mohammed Abdulmonem of SAR 300/- for Aug 2023 on 30 Dec 1899. Updated in the system. Thank you for choosing DivergenCIE Coaching! 💫</t>
  </si>
  <si>
    <t>We acknowledge the fee payment receipt by Mudassir Dhanani of INR 10000/- for Aug 2023 on 30 Dec 1899. Updated in the system. Thank you for choosing DivergenCIE Coaching! 💫</t>
  </si>
  <si>
    <t>?</t>
  </si>
  <si>
    <t>We acknowledge the fee payment receipt by Niranjana Aji of SAR ?/- for Aug 2023 on 30 Dec 1899. Updated in the system. Thank you for choosing DivergenCIE Coaching! 💫</t>
  </si>
  <si>
    <t>We acknowledge the fee payment receipt by Noorseen Osman of SAR 150/- for Aug 2023 on 30 Dec 1899. Updated in the system. Thank you for choosing DivergenCIE Coaching! 💫</t>
  </si>
  <si>
    <t>We acknowledge the fee payment receipt by Rachit Sonthalia of INR 6000/- for Aug 2023 on 30 Dec 1899. Updated in the system. Thank you for choosing DivergenCIE Coaching! 💫</t>
  </si>
  <si>
    <t>We acknowledge the fee payment receipt by Ritaj Ahmed of SAR 500/- for Aug 2023 on 30 Dec 1899. Updated in the system. Thank you for choosing DivergenCIE Coaching! 💫</t>
  </si>
  <si>
    <t>B8 Cambridge AS-Level 9618 Computer Science - INR, B8 Cambridge AS-Level 9701 Chemistry - INR</t>
  </si>
  <si>
    <t>We acknowledge the fee payment receipt by Ritvik P of INR 5000/- for Aug 2023 on 30 Dec 1899. Updated in the system. Thank you for choosing DivergenCIE Coaching! 💫</t>
  </si>
  <si>
    <t>We acknowledge the fee payment receipt by Riza Shaheen of SAR 500/- for Aug 2023 on 30 Dec 1899. Updated in the system. Thank you for choosing DivergenCIE Coaching! 💫</t>
  </si>
  <si>
    <t>750*32 / 5000</t>
  </si>
  <si>
    <t>We acknowledge the fee payment receipt by Sai Nikhita of INR 30000/- for Aug 2023 on 30 Dec 1899. Updated in the system. Thank you for choosing DivergenCIE Coaching! 💫</t>
  </si>
  <si>
    <t>We acknowledge the fee payment receipt by Shrey Agarwal of INR 5000/- for Aug 2023 on 30 Dec 1899. Updated in the system. Thank you for choosing DivergenCIE Coaching! 💫</t>
  </si>
  <si>
    <t>We acknowledge the fee payment receipt by Sumayyah Muhammad of SAR 150/- for Aug 2023 on 30 Dec 1899. Updated in the system. Thank you for choosing DivergenCIE Coaching! 💫</t>
  </si>
  <si>
    <t>We acknowledge the fee payment receipt by Taahaa Khalifa of SAR 450/- for Aug 2023 on 30 Dec 1899. Updated in the system. Thank you for choosing DivergenCIE Coaching! 💫</t>
  </si>
  <si>
    <t>We acknowledge the fee payment receipt by Yaseen Khalifa of SAR 150/- for Aug 2023 on 21 Aug 2022. Updated in the system. Thank you for choosing DivergenCIE Coaching! 💫</t>
  </si>
  <si>
    <t>We acknowledge the fee payment receipt by Aseel Aymen of SAR 400/- for Jul 2023 on 30 Dec 1899. Updated in the system. Thank you for choosing DivergenCIE Coaching! 💫</t>
  </si>
  <si>
    <t>We acknowledge the fee payment receipt by Ashragat Mohammadin of SAR 150/- for Jul 2023 on 30 Dec 1899. Updated in the system. Thank you for choosing DivergenCIE Coaching! 💫</t>
  </si>
  <si>
    <t>We acknowledge the fee payment receipt by Basant Gohal of SAR 250/- for Jul 2023 on 30 Dec 1899. Updated in the system. Thank you for choosing DivergenCIE Coaching! 💫</t>
  </si>
  <si>
    <t>800*12 / 10000</t>
  </si>
  <si>
    <t>We acknowledge the fee payment receipt by Bhawik of  9600/- for Jul 2023 on 30 Dec 1899. Updated in the system. Thank you for choosing DivergenCIE Coaching! 💫</t>
  </si>
  <si>
    <t>We acknowledge the fee payment receipt by Daniel Peter of INR 10000/- for Jul 2023 on 30 Dec 1899. Updated in the system. Thank you for choosing DivergenCIE Coaching! 💫</t>
  </si>
  <si>
    <t>We acknowledge the fee payment receipt by Debjyoti Sikdar of INR 2000/- for Jul 2023 on 30 Dec 1899. Updated in the system. Thank you for choosing DivergenCIE Coaching! 💫</t>
  </si>
  <si>
    <t>We acknowledge the fee payment receipt by Ikramuddin of SAR 3300/- for ??? on 30 Dec 1899. Updated in the system. Thank you for choosing DivergenCIE Coaching! 💫</t>
  </si>
  <si>
    <t>MIA</t>
  </si>
  <si>
    <t>We acknowledge the fee payment receipt by Kavish Agarwal of INR 5250/- for Jul 2023 on 30 Dec 1899. Updated in the system. Thank you for choosing DivergenCIE Coaching! 💫</t>
  </si>
  <si>
    <t>400(23072023)+250</t>
  </si>
  <si>
    <t>We acknowledge the fee payment receipt by Layan Sahli of SAR 650/- for Jul 2023 on 30 Dec 1899. Updated in the system. Thank you for choosing DivergenCIE Coaching! 💫</t>
  </si>
  <si>
    <t>We acknowledge the fee payment receipt by Mohammed Abdulmonem of SAR 300/- for Jul 2023 on 30 Dec 1899. Updated in the system. Thank you for choosing DivergenCIE Coaching! 💫</t>
  </si>
  <si>
    <t>We acknowledge the fee payment receipt by Mudassir Dhanani of INR 10000/- for Jul 2023 on 30 Dec 1899. Updated in the system. Thank you for choosing DivergenCIE Coaching! 💫</t>
  </si>
  <si>
    <t>We acknowledge the fee payment receipt by Noorseen Osman of SAR 300/- for Jul 2023 on 30 Dec 1899. Updated in the system. Thank you for choosing DivergenCIE Coaching! 💫</t>
  </si>
  <si>
    <t>We acknowledge the fee payment receipt by Rachit Sonthalia of INR 6000/- for Jul 2023 on 30 Dec 1899. Updated in the system. Thank you for choosing DivergenCIE Coaching! 💫</t>
  </si>
  <si>
    <t>We acknowledge the fee payment receipt by Ritaj Ahmed of SAR 500/- for Jul 2023 on 30 Dec 1899. Updated in the system. Thank you for choosing DivergenCIE Coaching! 💫</t>
  </si>
  <si>
    <t>We acknowledge the fee payment receipt by Riza Shaheen of SAR 500/- for Jul 2023 on 30 Dec 1899. Updated in the system. Thank you for choosing DivergenCIE Coaching! 💫</t>
  </si>
  <si>
    <t>???Paid or not and when</t>
  </si>
  <si>
    <t>We acknowledge the fee payment receipt by Safa Marwah of SAR 300/- for Jul 2023 on 30 Dec 1899. Updated in the system. Thank you for choosing DivergenCIE Coaching! 💫</t>
  </si>
  <si>
    <t>B14 Cambridge IGCSE 0610 Biology - SAR, B14 Cambridge IGCSE 0620 Chemistry - SAR, B14 Cambridge IGCSE 0625 Physics - SAR, B14 Cambridge IGCSE 0580 Mathematics - SAR, B14 Cambridge IGCSE 0510 English as a Second Language - SAR, B14 Cambridge IGCSE 0417 Information &amp; Communication Technology - SAR</t>
  </si>
  <si>
    <t>We acknowledge the fee payment receipt by Safa Rasheed of SAR 600/- for Jul 2023 on 30 Dec 1899. Updated in the system. Thank you for choosing DivergenCIE Coaching! 💫</t>
  </si>
  <si>
    <t>We acknowledge the fee payment receipt by Sai Nikhita of INR 20000/- for Jul 2023 on 30 Dec 1899. Updated in the system. Thank you for choosing DivergenCIE Coaching! 💫</t>
  </si>
  <si>
    <t>We acknowledge the fee payment receipt by Shrey Agarwal of INR 5000/- for Jul 2023 on 30 Dec 1899. Updated in the system. Thank you for choosing DivergenCIE Coaching! 💫</t>
  </si>
  <si>
    <t>We acknowledge the fee payment receipt by Sumayyah Muhammad of SAR 150/- for Jul 2023 on 30 Dec 1899. Updated in the system. Thank you for choosing DivergenCIE Coaching! 💫</t>
  </si>
  <si>
    <t>We acknowledge the fee payment receipt by Aseel Aymen of SAR 400/- for Jun 2023 on 30 Dec 1899. Updated in the system. Thank you for choosing DivergenCIE Coaching! 💫</t>
  </si>
  <si>
    <t>We acknowledge the fee payment receipt by Ashragat Mohammadin of SAR 150/- for Jun 2023 on 30 Dec 1899. Updated in the system. Thank you for choosing DivergenCIE Coaching! 💫</t>
  </si>
  <si>
    <t>We acknowledge the fee payment receipt by Basant Gohal of SAR 250/- for Jun 2023 on 30 Dec 1899. Updated in the system. Thank you for choosing DivergenCIE Coaching! 💫</t>
  </si>
  <si>
    <t>We acknowledge the fee payment receipt by Kavish Agarwal of INR 5250/- for Jun 2023 on 30 Dec 1899. Updated in the system. Thank you for choosing DivergenCIE Coaching! 💫</t>
  </si>
  <si>
    <t>We acknowledge the fee payment receipt by Layan Sahli of SAR 250/- for Jun 2023 on 30 Dec 1899. Updated in the system. Thank you for choosing DivergenCIE Coaching! 💫</t>
  </si>
  <si>
    <t>We acknowledge the fee payment receipt by Niranjana Aji of SAR ?/- for Jun 2023 on 30 Dec 1899. Updated in the system. Thank you for choosing DivergenCIE Coaching! 💫</t>
  </si>
  <si>
    <t>We acknowledge the fee payment receipt by Noorseen Osman of SAR 300/- for Jun 2023 on 30 Dec 1899. Updated in the system. Thank you for choosing DivergenCIE Coaching! 💫</t>
  </si>
  <si>
    <t>B14 Cambridge IGCSE 0625 Physics - SAR</t>
  </si>
  <si>
    <t>We acknowledge the fee payment receipt by Riza Shaheen of SAR 500/- for Jun 2023 on 30 Dec 1899. Updated in the system. Thank you for choosing DivergenCIE Coaching! 💫</t>
  </si>
  <si>
    <t>We acknowledge the fee payment receipt by Safa Marwah of SAR 300/- for Jun 2023 on 30 Dec 1899. Updated in the system. Thank you for choosing DivergenCIE Coaching! 💫</t>
  </si>
  <si>
    <t>We acknowledge the fee payment receipt by Safa Rasheed of SAR 600/- for Jun 2023 on 30 Dec 1899. Updated in the system. Thank you for choosing DivergenCIE Coaching! 💫</t>
  </si>
  <si>
    <t>We acknowledge the fee payment receipt by Shrey Agarwal of INR 7500/- for Jun 2023 on 30 Dec 1899. Updated in the system. Thank you for choosing DivergenCIE Coaching! 💫</t>
  </si>
  <si>
    <t>We acknowledge the fee payment receipt by Yaqeen Idriss of SAR 300/- for Jun 2023 on 30 Dec 1899. Updated in the system. Thank you for choosing DivergenCIE Coaching! 💫</t>
  </si>
  <si>
    <t>B14 Cambridge IGCSE 0580 Mathematics - INR, B14 Cambridge IGCSE 0510 English as a Second Language - INR, B14 Cambridge IGCSE 0620 Chemistry - INR, B14 Cambridge IGCSE 0625 Physics - INR, B14 Cambridge IGCSE 0610 Biology - INR</t>
  </si>
  <si>
    <t>We acknowledge the fee payment receipt by Anas Shareef of INR 2700/- for May 2023 on 30 Dec 1899. Updated in the system. Thank you for choosing DivergenCIE Coaching! 💫</t>
  </si>
  <si>
    <t>We acknowledge the fee payment receipt by Aseel Aymen of SAR 400/- for May 2023 on 30 Dec 1899. Updated in the system. Thank you for choosing DivergenCIE Coaching! 💫</t>
  </si>
  <si>
    <t>We acknowledge the fee payment receipt by Ashragat Mohammadin of SAR 150/- for May 2023 on 30 Dec 1899. Updated in the system. Thank you for choosing DivergenCIE Coaching! 💫</t>
  </si>
  <si>
    <t>We acknowledge the fee payment receipt by Basant Gohal of SAR 250/- for May 2023 on 30 Dec 1899. Updated in the system. Thank you for choosing DivergenCIE Coaching! 💫</t>
  </si>
  <si>
    <t>B14 Cambridge IGCSE 0625 Physics - INR, B14 Cambridge IGCSE 0620 Chemistry - INR, B14 Cambridge IGCSE 0610 Biology - INR, B14 Cambridge IGCSE 0510 English as a Second Language - INR, B14 Cambridge IGCSE 0580 Mathematics - INR</t>
  </si>
  <si>
    <t>We acknowledge the fee payment receipt by Diya Ravipati of INR 10416.25/- for May 2023 on 30 Dec 1899. Updated in the system. Thank you for choosing DivergenCIE Coaching! 💫</t>
  </si>
  <si>
    <t>We acknowledge the fee payment receipt by Diyana Abraham of SAR 250/- for May 2023 on 30 Dec 1899. Updated in the system. Thank you for choosing DivergenCIE Coaching! 💫</t>
  </si>
  <si>
    <t>B14 Cambridge IGCSE 0620 Chemistry - SAR</t>
  </si>
  <si>
    <t>We acknowledge the fee payment receipt by Himani Chourasia of SAR 300/- for May 2023 on 30 Dec 1899. Updated in the system. Thank you for choosing DivergenCIE Coaching! 💫</t>
  </si>
  <si>
    <t>We acknowledge the fee payment receipt by Layan Sahli of SAR 250/- for May 2023 on 30 Dec 1899. Updated in the system. Thank you for choosing DivergenCIE Coaching! 💫</t>
  </si>
  <si>
    <t>We acknowledge the fee payment receipt by Lula Abraham of SAR 500/- for May 2023 on 30 Dec 1899. Updated in the system. Thank you for choosing DivergenCIE Coaching! 💫</t>
  </si>
  <si>
    <t>Trisha Agarwal</t>
  </si>
  <si>
    <t>We acknowledge the fee payment receipt by Menna Aymen of SAR 150/- for May 2023 on 30 Dec 1899. Updated in the system. Thank you for choosing DivergenCIE Coaching! 💫</t>
  </si>
  <si>
    <t>We acknowledge the fee payment receipt by Nairah Noushad of SAR 500/- for May 2023 on 21 Aug 2022. Updated in the system. Thank you for choosing DivergenCIE Coaching! 💫</t>
  </si>
  <si>
    <t>We acknowledge the fee payment receipt by Niranjana Aji of SAR 225/- for May 2023 on 30 Dec 1899. Updated in the system. Thank you for choosing DivergenCIE Coaching! 💫</t>
  </si>
  <si>
    <t>We acknowledge the fee payment receipt by Riza Shaheen of SAR 500/- for May 2023 on 30 Dec 1899. Updated in the system. Thank you for choosing DivergenCIE Coaching! 💫</t>
  </si>
  <si>
    <t>We acknowledge the fee payment receipt by Safa Marwah of SAR 300/- for May 2023 on 30 Dec 1899. Updated in the system. Thank you for choosing DivergenCIE Coaching! 💫</t>
  </si>
  <si>
    <t>We acknowledge the fee payment receipt by Safa Rasheed of SAR 600/- for May 2023 on 30 Dec 1899. Updated in the system. Thank you for choosing DivergenCIE Coaching! 💫</t>
  </si>
  <si>
    <t>? partial payment of may was done. how much and when did he stop? how much is due</t>
  </si>
  <si>
    <t>We acknowledge the fee payment receipt by Shrey Agarwal of INR 7500/- for May 2023 on 30 Dec 1899. Updated in the system. Thank you for choosing DivergenCIE Coaching! 💫</t>
  </si>
  <si>
    <t>We acknowledge the fee payment receipt by Zahra Rasheed of SAR 300/- for May 2023 on 30 Dec 1899. Updated in the system. Thank you for choosing DivergenCIE Coaching! 💫</t>
  </si>
  <si>
    <t>We acknowledge the fee payment receipt by Anas Shareef of INR 2700/- for Apr 2023 on 30 Dec 1899. Updated in the system. Thank you for choosing DivergenCIE Coaching! 💫</t>
  </si>
  <si>
    <t>We acknowledge the fee payment receipt by Dina Ali of SAR 750/- for Apr 2023 on 30 Dec 1899. Updated in the system. Thank you for choosing DivergenCIE Coaching! 💫</t>
  </si>
  <si>
    <t>We acknowledge the fee payment receipt by Diya Ravipati of INR 8333/- for Apr 2023 on 30 Dec 1899. Updated in the system. Thank you for choosing DivergenCIE Coaching! 💫</t>
  </si>
  <si>
    <t>We acknowledge the fee payment receipt by Diyana Abraham of SAR 250/- for Apr 2023 on 30 Dec 1899. Updated in the system. Thank you for choosing DivergenCIE Coaching! 💫</t>
  </si>
  <si>
    <t>We acknowledge the fee payment receipt by Kavish Agarwal of INR 4500/- for Apr 2023 on 30 Dec 1899. Updated in the system. Thank you for choosing DivergenCIE Coaching! 💫</t>
  </si>
  <si>
    <t>We acknowledge the fee payment receipt by Lula Abraham of SAR 500/- for Apr 2023 on 30 Dec 1899. Updated in the system. Thank you for choosing DivergenCIE Coaching! 💫</t>
  </si>
  <si>
    <t>We acknowledge the fee payment receipt by Maram of SAR 250/- for Apr 2023 on 21 Aug 2022. Updated in the system. Thank you for choosing DivergenCIE Coaching! 💫</t>
  </si>
  <si>
    <t>We acknowledge the fee payment receipt by Mawaddah Haitham of SAR 500/- for Apr 2023 on 30 Dec 1899. Updated in the system. Thank you for choosing DivergenCIE Coaching! 💫</t>
  </si>
  <si>
    <t>B8 Cambridge AS-Level 9702 Physics - SAR, B8 Cambridge AS-Level 9701 Chemistry - SAR, B8 Cambridge AS-Level 9709 Mathematics: Pure 1 - SAR</t>
  </si>
  <si>
    <t>We acknowledge the fee payment receipt by Mohammed Abdulmonem of SAR 750/- for Apr 2023 on 30 Dec 1899. Updated in the system. Thank you for choosing DivergenCIE Coaching! 💫</t>
  </si>
  <si>
    <t>We acknowledge the fee payment receipt by Nairah Noushad of SAR 500/- for Apr 2023 on 30 Dec 1899. Updated in the system. Thank you for choosing DivergenCIE Coaching! 💫</t>
  </si>
  <si>
    <t>We acknowledge the fee payment receipt by Niranjana Aji of SAR 300/- for Apr 2023 on 30 Dec 1899. Updated in the system. Thank you for choosing DivergenCIE Coaching! 💫</t>
  </si>
  <si>
    <t>We acknowledge the fee payment receipt by Rawan Naser of SAR 390/- for Apr 2023 on 30 Dec 1899. Updated in the system. Thank you for choosing DivergenCIE Coaching! 💫</t>
  </si>
  <si>
    <t>B14 Cambridge IGCSE 0620 Chemistry - SAR, B14 Cambridge IGCSE 0625 Physics - SAR, B14 Cambridge IGCSE 0580 Mathematics - SAR, B14 Cambridge IGCSE 0510 English as a Second Language - SAR</t>
  </si>
  <si>
    <t>We acknowledge the fee payment receipt by Ritaj Ahmed of SAR 400/- for Apr 2023 on 21 Aug 2022. Updated in the system. Thank you for choosing DivergenCIE Coaching! 💫</t>
  </si>
  <si>
    <t>We acknowledge the fee payment receipt by Ritvik Modani of INR 4500/- for Apr 2023 on 30 Dec 1899. Updated in the system. Thank you for choosing DivergenCIE Coaching! 💫</t>
  </si>
  <si>
    <t>class 9</t>
  </si>
  <si>
    <t>We acknowledge the fee payment receipt by Riza Shaheen of SAR 300/- for Apr 2023 on 30 Dec 1899. Updated in the system. Thank you for choosing DivergenCIE Coaching! 💫</t>
  </si>
  <si>
    <t>We acknowledge the fee payment receipt by Safa Rasheed of SAR 600/- for Apr 2023 on 30 Dec 1899. Updated in the system. Thank you for choosing DivergenCIE Coaching! 💫</t>
  </si>
  <si>
    <t>We acknowledge the fee payment receipt by Yaqeen Idriss of SAR 300/- for Apr 2023 on 30 Dec 1899. Updated in the system. Thank you for choosing DivergenCIE Coaching! 💫</t>
  </si>
  <si>
    <t>We acknowledge the fee payment receipt by Zahra Rasheed of SAR 400/- for Apr 2023 on 30 Dec 1899. Updated in the system. Thank you for choosing DivergenCIE Coaching! 💫</t>
  </si>
  <si>
    <t>Waiting to resume</t>
  </si>
  <si>
    <t>We acknowledge the fee payment receipt by Anas Shareef of INR 2700/- for Mar 2023 on 30 Dec 1899. Updated in the system. Thank you for choosing DivergenCIE Coaching! 💫</t>
  </si>
  <si>
    <t>We acknowledge the fee payment receipt by Ayisha Abdulaziz of SAR 300/- for Mar 2023 on 30 Dec 1899. Updated in the system. Thank you for choosing DivergenCIE Coaching! 💫</t>
  </si>
  <si>
    <t>Cambridge A-Level</t>
  </si>
  <si>
    <t>1000 SCR</t>
  </si>
  <si>
    <t>We acknowledge the fee payment receipt by Coreen Estico of SCR 2000/- for Mar 2023 on 21 Aug 2022. Updated in the system. Thank you for choosing DivergenCIE Coaching! 💫</t>
  </si>
  <si>
    <t>We acknowledge the fee payment receipt by Dina Ali of SAR 1000/- for Mar 2023 on 30 Dec 1899. Updated in the system. Thank you for choosing DivergenCIE Coaching! 💫</t>
  </si>
  <si>
    <t>We acknowledge the fee payment receipt by Diya Ravipati of INR 8333/- for Mar 2023 on 30 Dec 1899. Updated in the system. Thank you for choosing DivergenCIE Coaching! 💫</t>
  </si>
  <si>
    <t>B14 Cambridge IGCSE 0610 Biology - SAR, B14 Cambridge IGCSE 0620 Chemistry - SAR, B14 Cambridge IGCSE 0625 Physics - SAR, B14 Cambridge IGCSE 0580 Mathematics - SAR, B14 Cambridge IGCSE 0510 English as a Second Language - SAR, B14 Cambridge IGCSE 0417 Information &amp; Communication Technology - SAR, B14 Cambridge IGCSE 0417 Information &amp; Communication Technology - INR</t>
  </si>
  <si>
    <t>We acknowledge the fee payment receipt by Diyana Abraham of SAR 250/- for Mar 2023 on 30 Dec 1899. Updated in the system. Thank you for choosing DivergenCIE Coaching! 💫</t>
  </si>
  <si>
    <t>We acknowledge the fee payment receipt by Ellan of SAR 130/- for Mar 2023 on 30 Dec 1899. Updated in the system. Thank you for choosing DivergenCIE Coaching! 💫</t>
  </si>
  <si>
    <t>We acknowledge the fee payment receipt by Lula Abraham of SAR 500/- for Mar 2023 on 30 Dec 1899. Updated in the system. Thank you for choosing DivergenCIE Coaching! 💫</t>
  </si>
  <si>
    <t>???Paid or not, ask for receipt</t>
  </si>
  <si>
    <t>We acknowledge the fee payment receipt by Maram of SAR 250/- for Mar 2023 on 30 Dec 1899. Updated in the system. Thank you for choosing DivergenCIE Coaching! 💫</t>
  </si>
  <si>
    <t>We acknowledge the fee payment receipt by Mawaddah Haitham of SAR 500/- for Mar 2023 on 21 Aug 2022. Updated in the system. Thank you for choosing DivergenCIE Coaching! 💫</t>
  </si>
  <si>
    <t>We acknowledge the fee payment receipt by Mohammed Abdulmonem of SAR 500/- for Mar 2023 on 30 Dec 1899. Updated in the system. Thank you for choosing DivergenCIE Coaching! 💫</t>
  </si>
  <si>
    <t>We acknowledge the fee payment receipt by Nairah Noushad of SAR 500/- for Mar 2023 on 30 Dec 1899. Updated in the system. Thank you for choosing DivergenCIE Coaching! 💫</t>
  </si>
  <si>
    <t>We acknowledge the fee payment receipt by Najla Salih of SAR 500/- for Mar 2023 on 21 Aug 2022. Updated in the system. Thank you for choosing DivergenCIE Coaching! 💫</t>
  </si>
  <si>
    <t>We acknowledge the fee payment receipt by Niranjana Aji of SAR 300/- for Mar 2023 on 30 Dec 1899. Updated in the system. Thank you for choosing DivergenCIE Coaching! 💫</t>
  </si>
  <si>
    <t>We acknowledge the fee payment receipt by Rania Kamel of SAR 300/- for Mar 2023 on 30 Dec 1899. Updated in the system. Thank you for choosing DivergenCIE Coaching! 💫</t>
  </si>
  <si>
    <t>We acknowledge the fee payment receipt by Rawan Naser of SAR 390/- for Mar 2023 on 30 Dec 1899. Updated in the system. Thank you for choosing DivergenCIE Coaching! 💫</t>
  </si>
  <si>
    <t>B14 Cambridge IGCSE 0620 Chemistry - SAR, B14 Cambridge IGCSE 0625 Physics - SAR, B14 Cambridge IGCSE 0580 Mathematics - SAR, B14 Cambridge IGCSE 0610 Biology - SAR</t>
  </si>
  <si>
    <t>We acknowledge the fee payment receipt by Ritaj Ahmed of SAR 400/- for Mar 2023 on 30 Dec 1899. Updated in the system. Thank you for choosing DivergenCIE Coaching! 💫</t>
  </si>
  <si>
    <t>We acknowledge the fee payment receipt by Riza Shaheen of SAR 300/- for Mar 2023 on 30 Dec 1899. Updated in the system. Thank you for choosing DivergenCIE Coaching! 💫</t>
  </si>
  <si>
    <t>5 subs???</t>
  </si>
  <si>
    <t>We acknowledge the fee payment receipt by Safa Rasheed of SAR 600/- for Mar 2023 on 30 Dec 1899. Updated in the system. Thank you for choosing DivergenCIE Coaching! 💫</t>
  </si>
  <si>
    <t>We acknowledge the fee payment receipt by Yaqeen Idriss of SAR 500/- for Mar 2023 on 30 Dec 1899. Updated in the system. Thank you for choosing DivergenCIE Coaching! 💫</t>
  </si>
  <si>
    <t>We acknowledge the fee payment receipt by Zahra Rasheed of SAR 400/- for Mar 2023 on 30 Dec 1899. Updated in the system. Thank you for choosing DivergenCIE Coaching! 💫</t>
  </si>
  <si>
    <t>We acknowledge the fee payment receipt by Anas Shareef of INR 6750/- for Feb 2023 on 30 Dec 1899. Updated in the system. Thank you for choosing DivergenCIE Coaching! 💫</t>
  </si>
  <si>
    <t>We acknowledge the fee payment receipt by Ayisha Abdulaziz of SAR 300/- for Feb 2023 on 30 Dec 1899. Updated in the system. Thank you for choosing DivergenCIE Coaching! 💫</t>
  </si>
  <si>
    <t>We acknowledge the fee payment receipt by Coreen Estico of SCR 2000/- for Feb 2023 on 21 Aug 2022. Updated in the system. Thank you for choosing DivergenCIE Coaching! 💫</t>
  </si>
  <si>
    <t>We acknowledge the fee payment receipt by Dina Ali of SAR 250/- for Feb 2023 on 30 Dec 1899. Updated in the system. Thank you for choosing DivergenCIE Coaching! 💫</t>
  </si>
  <si>
    <t>We acknowledge the fee payment receipt by Diyana Abraham of SAR 250/- for Feb 2023 on 30 Dec 1899. Updated in the system. Thank you for choosing DivergenCIE Coaching! 💫</t>
  </si>
  <si>
    <t>We acknowledge the fee payment receipt by Ellan of SAR 130/- for Feb 2023 on 30 Dec 1899. Updated in the system. Thank you for choosing DivergenCIE Coaching! 💫</t>
  </si>
  <si>
    <t>We acknowledge the fee payment receipt by Jwan Mohammed of SAR 75/- for Feb 2023 on 30 Dec 1899. Updated in the system. Thank you for choosing DivergenCIE Coaching! 💫</t>
  </si>
  <si>
    <t>We acknowledge the fee payment receipt by Lula Abraham of SAR 500/- for Feb 2023 on 30 Dec 1899. Updated in the system. Thank you for choosing DivergenCIE Coaching! 💫</t>
  </si>
  <si>
    <t>We acknowledge the fee payment receipt by Mawaddah Haitham of SAR 500/- for Feb 2023 on 21 Aug 2022. Updated in the system. Thank you for choosing DivergenCIE Coaching! 💫</t>
  </si>
  <si>
    <t>We acknowledge the fee payment receipt by Nairah Noushad of SAR 500/- for Feb 2023 on 30 Dec 1899. Updated in the system. Thank you for choosing DivergenCIE Coaching! 💫</t>
  </si>
  <si>
    <t>We acknowledge the fee payment receipt by Najla Salih of SAR 500/- for Feb 2023 on 21 Aug 2022. Updated in the system. Thank you for choosing DivergenCIE Coaching! 💫</t>
  </si>
  <si>
    <t>We acknowledge the fee payment receipt by Niranjana Aji of SAR 300/- for Feb 2023 on 30 Dec 1899. Updated in the system. Thank you for choosing DivergenCIE Coaching! 💫</t>
  </si>
  <si>
    <t>We acknowledge the fee payment receipt by Rana of SAR 500/- for Feb 2023 on 30 Dec 1899. Updated in the system. Thank you for choosing DivergenCIE Coaching! 💫</t>
  </si>
  <si>
    <t>We acknowledge the fee payment receipt by Rania Kamel of SAR 300/- for Feb 2023 on 30 Dec 1899. Updated in the system. Thank you for choosing DivergenCIE Coaching! 💫</t>
  </si>
  <si>
    <t>We acknowledge the fee payment receipt by Rawan Naser of SAR 390/- for Feb 2023 on 30 Dec 1899. Updated in the system. Thank you for choosing DivergenCIE Coaching! 💫</t>
  </si>
  <si>
    <t>We acknowledge the fee payment receipt by Safa Marwah of SAR 130/- for Feb 2023 on 30 Dec 1899. Updated in the system. Thank you for choosing DivergenCIE Coaching! 💫</t>
  </si>
  <si>
    <t>We acknowledge the fee payment receipt by Safa Rasheed of SAR 500/- for Feb 2023 on 30 Dec 1899. Updated in the system. Thank you for choosing DivergenCIE Coaching! 💫</t>
  </si>
  <si>
    <t>We acknowledge the fee payment receipt by Sumayyah Muhammad of SAR 550/- for Mar 2023 on 30 Dec 1899. Updated in the system. Thank you for choosing DivergenCIE Coaching! 💫</t>
  </si>
  <si>
    <t>We acknowledge the fee payment receipt by Zahra Rasheed of SAR 300/- for Feb 2023 on 30 Dec 1899. Updated in the system. Thank you for choosing DivergenCIE Coaching! 💫</t>
  </si>
  <si>
    <t>We acknowledge the fee payment receipt by Amena Muskan of INR 9000/- for Jan 2023 on 30 Dec 1899. Updated in the system. Thank you for choosing DivergenCIE Coaching! 💫</t>
  </si>
  <si>
    <t>We acknowledge the fee payment receipt by Anas Shareef of INR 6750/- for Jan 2023 on 30 Dec 1899. Updated in the system. Thank you for choosing DivergenCIE Coaching! 💫</t>
  </si>
  <si>
    <t>B14 Cambridge IGCSE 0580 Mathematics - INR, B14 Cambridge IGCSE 0620 Chemistry - INR, B14 Cambridge IGCSE 0625 Physics - INR, B14 Cambridge IGCSE 0417 Information &amp; Communication Technology - INR</t>
  </si>
  <si>
    <t>We acknowledge the fee payment receipt by Ayaan Kanwar of INR 8000/- for Jan 2023 on 30 Dec 1899. Updated in the system. Thank you for choosing DivergenCIE Coaching! 💫</t>
  </si>
  <si>
    <t>We acknowledge the fee payment receipt by Ayisha Abdulaziz of SAR 300/- for Jan 2023 on 30 Dec 1899. Updated in the system. Thank you for choosing DivergenCIE Coaching! 💫</t>
  </si>
  <si>
    <t>We acknowledge the fee payment receipt by Coreen Estico of SCR 2000/- for Jan 2023 on 21 Aug 2022. Updated in the system. Thank you for choosing DivergenCIE Coaching! 💫</t>
  </si>
  <si>
    <t>We acknowledge the fee payment receipt by Dina Ali of SAR 250/- for Jan 2023 on 30 Dec 1899. Updated in the system. Thank you for choosing DivergenCIE Coaching! 💫</t>
  </si>
  <si>
    <t>We acknowledge the fee payment receipt by Diyana Abraham of SAR 250/- for Jan 2023 on 30 Dec 1899. Updated in the system. Thank you for choosing DivergenCIE Coaching! 💫</t>
  </si>
  <si>
    <t>We acknowledge the fee payment receipt by Ellan of SAR 130/- for Jan 2023 on 30 Dec 1899. Updated in the system. Thank you for choosing DivergenCIE Coaching! 💫</t>
  </si>
  <si>
    <t>monem</t>
  </si>
  <si>
    <t>B14 Cambridge IGCSE 0625 Physics - INR, B14 Cambridge IGCSE 0580 Mathematics - INR</t>
  </si>
  <si>
    <t>We acknowledge the fee payment receipt by Hamsini Upadhyayula of SAR 5000/- for Jan 2023 on 30 Dec 1899. Updated in the system. Thank you for choosing DivergenCIE Coaching! 💫</t>
  </si>
  <si>
    <t>We acknowledge the fee payment receipt by Jwan Mohammed of SAR 110/- for Jan 2023 on 30 Dec 1899. Updated in the system. Thank you for choosing DivergenCIE Coaching! 💫</t>
  </si>
  <si>
    <t>We acknowledge the fee payment receipt by Lula Abraham of SAR 500/- for Jan 2023 on 30 Dec 1899. Updated in the system. Thank you for choosing DivergenCIE Coaching! 💫</t>
  </si>
  <si>
    <t>We acknowledge the fee payment receipt by Maanvi Mittal of INR 4500/- for Jan 2023 on 30 Dec 1899. Updated in the system. Thank you for choosing DivergenCIE Coaching! 💫</t>
  </si>
  <si>
    <t>We acknowledge the fee payment receipt by Mawaddah Haitham of SAR 500/- for Jan 2023 on 21 Aug 2022. Updated in the system. Thank you for choosing DivergenCIE Coaching! 💫</t>
  </si>
  <si>
    <t>We acknowledge the fee payment receipt by Najla Salih of SAR 500/- for Jan 2023 on 21 Aug 2022. Updated in the system. Thank you for choosing DivergenCIE Coaching! 💫</t>
  </si>
  <si>
    <t>We acknowledge the fee payment receipt by Niranjana Aji of SAR 300/- for Jan 2023 on 30 Dec 1899. Updated in the system. Thank you for choosing DivergenCIE Coaching! 💫</t>
  </si>
  <si>
    <t>1 Neha Harkut</t>
  </si>
  <si>
    <t>We acknowledge the fee payment receipt by Rana of SAR 500/- for Jan 2023 on 30 Dec 1899. Updated in the system. Thank you for choosing DivergenCIE Coaching! 💫</t>
  </si>
  <si>
    <t>We acknowledge the fee payment receipt by Rania Kamel of SAR 300/- for Jan 2023 on 30 Dec 1899. Updated in the system. Thank you for choosing DivergenCIE Coaching! 💫</t>
  </si>
  <si>
    <t>We acknowledge the fee payment receipt by Rania Sami of SAR /- for Jan 2023 on 30 Dec 1899. Updated in the system. Thank you for choosing DivergenCIE Coaching! 💫</t>
  </si>
  <si>
    <t>We acknowledge the fee payment receipt by Rawan Naser of SAR 390/- for Jan 2023 on 30 Dec 1899. Updated in the system. Thank you for choosing DivergenCIE Coaching! 💫</t>
  </si>
  <si>
    <t>We acknowledge the fee payment receipt by Safa Marwah of SAR 130/- for Jan 2023 on 30 Dec 1899. Updated in the system. Thank you for choosing DivergenCIE Coaching! 💫</t>
  </si>
  <si>
    <t>B14 Cambridge IGCSE 0620 Chemistry - SAR, B14 Cambridge IGCSE 0625 Physics - SAR, B14 Cambridge IGCSE 0580 Mathematics - SAR, B14 Cambridge IGCSE 0417 Information &amp; Communication Technology - SAR</t>
  </si>
  <si>
    <t>We acknowledge the fee payment receipt by Safa Rasheed of SAR 400/- for Jan 2023 on 30 Dec 1899. Updated in the system. Thank you for choosing DivergenCIE Coaching! 💫</t>
  </si>
  <si>
    <t>B14 Cambridge IGCSE 0580 Mathematics - INR, B14 Cambridge IGCSE 0620 Chemistry - INR, B14 Cambridge IGCSE 0625 Physics - INR</t>
  </si>
  <si>
    <t>We acknowledge the fee payment receipt by Sai Hrithika of INR 7500/- for Jan 2023 on 30 Dec 1899. Updated in the system. Thank you for choosing DivergenCIE Coaching! 💫</t>
  </si>
  <si>
    <t>We acknowledge the fee payment receipt by Shrey Agarwal of INR 6000/- for Jan 2023 on 30 Dec 1899. Updated in the system. Thank you for choosing DivergenCIE Coaching! 💫</t>
  </si>
  <si>
    <t>inactive</t>
  </si>
  <si>
    <t>We acknowledge the fee payment receipt by Sumayyah Muhammad of SAR 550/- for Jan 2023 on 30 Dec 1899. Updated in the system. Thank you for choosing DivergenCIE Coaching! 💫</t>
  </si>
  <si>
    <t>We acknowledge the fee payment receipt by Zahra Rasheed of SAR 500/- for Jan 2023 on 30 Dec 1899. Updated in the system. Thank you for choosing DivergenCIE Coaching! 💫</t>
  </si>
  <si>
    <t>B14 Cambridge IGCSE 0580 Mathematics - INR, B14 Cambridge IGCSE 0610 Biology - INR</t>
  </si>
  <si>
    <t>We acknowledge the fee payment receipt by Amena Muskan of INR 5000/- for Dec 2022 on 30 Dec 1899. Updated in the system. Thank you for choosing DivergenCIE Coaching! 💫</t>
  </si>
  <si>
    <t>We acknowledge the fee payment receipt by Anas Shareef of INR 6750/- for Dec 2022 on 30 Dec 1899. Updated in the system. Thank you for choosing DivergenCIE Coaching! 💫</t>
  </si>
  <si>
    <t>We acknowledge the fee payment receipt by Ayaan Kanwar of INR 8000/- for Dec 2022 on 30 Dec 1899. Updated in the system. Thank you for choosing DivergenCIE Coaching! 💫</t>
  </si>
  <si>
    <t>We acknowledge the fee payment receipt by Coreen Estico of SCR 2000/- for Dec 2022 on 21 Aug 2022. Updated in the system. Thank you for choosing DivergenCIE Coaching! 💫</t>
  </si>
  <si>
    <t>We acknowledge the fee payment receipt by Dina Ali of SAR 250/- for Dec 2022 on 30 Dec 1899. Updated in the system. Thank you for choosing DivergenCIE Coaching! 💫</t>
  </si>
  <si>
    <t>We acknowledge the fee payment receipt by Diyana Abraham of SAR 250/- for Dec 2022 on 30 Dec 1899. Updated in the system. Thank you for choosing DivergenCIE Coaching! 💫</t>
  </si>
  <si>
    <t>Cancelled, Active</t>
  </si>
  <si>
    <t>We acknowledge the fee payment receipt by Ellan of  130/- for Dec 2022 on 30 Dec 1899. Updated in the system. Thank you for choosing DivergenCIE Coaching! 💫</t>
  </si>
  <si>
    <t>end 5 dec</t>
  </si>
  <si>
    <t>We acknowledge the fee payment receipt by Faizah of  16.25/- for Dec 2022 on 30 Dec 1899. Updated in the system. Thank you for choosing DivergenCIE Coaching! 💫</t>
  </si>
  <si>
    <t>We acknowledge the fee payment receipt by Fatima of  130/- for Dec 2022 on 30 Dec 1899. Updated in the system. Thank you for choosing DivergenCIE Coaching! 💫</t>
  </si>
  <si>
    <t>We acknowledge the fee payment receipt by Hamsini Upadhyayula of SAR 5000/- for Dec 2022 on 30 Dec 1899. Updated in the system. Thank you for choosing DivergenCIE Coaching! 💫</t>
  </si>
  <si>
    <t>We acknowledge the fee payment receipt by Jwan Mohammed of SAR 150/- for Dec 2022 on 30 Dec 1899. Updated in the system. Thank you for choosing DivergenCIE Coaching! 💫</t>
  </si>
  <si>
    <t>We acknowledge the fee payment receipt by Layan Alhothali of SAR 400/- for Dec 2022 on 30 Dec 1899. Updated in the system. Thank you for choosing DivergenCIE Coaching! 💫</t>
  </si>
  <si>
    <t>We acknowledge the fee payment receipt by Lula Abraham of SAR 500/- for Dec 2022 on 30 Dec 1899. Updated in the system. Thank you for choosing DivergenCIE Coaching! 💫</t>
  </si>
  <si>
    <t>We acknowledge the fee payment receipt by Maanvi Mittal of INR 4500/- for Dec 2022 on 30 Dec 1899. Updated in the system. Thank you for choosing DivergenCIE Coaching! 💫</t>
  </si>
  <si>
    <t>We acknowledge the fee payment receipt by Mawaddah Haitham of SAR 500/- for Dec 2022 on 30 Dec 1899. Updated in the system. Thank you for choosing DivergenCIE Coaching! 💫</t>
  </si>
  <si>
    <t>We acknowledge the fee payment receipt by Najla Salih of SAR 500/- for Dec 2022 on 30 Dec 1899. Updated in the system. Thank you for choosing DivergenCIE Coaching! 💫</t>
  </si>
  <si>
    <t>We acknowledge the fee payment receipt by Niranjana Aji of SAR 300/- for Dec 2022 on 30 Dec 1899. Updated in the system. Thank you for choosing DivergenCIE Coaching! 💫</t>
  </si>
  <si>
    <t>B14 Cambridge IGCSE 0580 Mathematics - INR, B14 Cambridge IGCSE 0620 Chemistry - INR, B14 Cambridge IGCSE 0625 Physics - INR, B14 Cambridge IGCSE 0500 First Language English - INR</t>
  </si>
  <si>
    <t>We acknowledge the fee payment receipt by Rachit Sonthalia of INR 8000/- for Dec 2022 on 30 Dec 1899. Updated in the system. Thank you for choosing DivergenCIE Coaching! 💫</t>
  </si>
  <si>
    <t>We acknowledge the fee payment receipt by Rana of SAR 500/- for Dec 2022 on 30 Dec 1899. Updated in the system. Thank you for choosing DivergenCIE Coaching! 💫</t>
  </si>
  <si>
    <t>We acknowledge the fee payment receipt by Rania Kamel of SAR 360/- for Dec 2022 on 30 Dec 1899. Updated in the system. Thank you for choosing DivergenCIE Coaching! 💫</t>
  </si>
  <si>
    <t>We acknowledge the fee payment receipt by Safa Rasheed of SAR 500/- for Dec 2022 on 30 Dec 1899. Updated in the system. Thank you for choosing DivergenCIE Coaching! 💫</t>
  </si>
  <si>
    <t>We acknowledge the fee payment receipt by Sai Hrithika of INR 7500/- for Dec 2022 on 30 Dec 1899. Updated in the system. Thank you for choosing DivergenCIE Coaching! 💫</t>
  </si>
  <si>
    <t>We acknowledge the fee payment receipt by Shrey Agarwal of INR 6000/- for Dec 2022 on 30 Dec 1899. Updated in the system. Thank you for choosing DivergenCIE Coaching! 💫</t>
  </si>
  <si>
    <t>khamruddin</t>
  </si>
  <si>
    <t>We acknowledge the fee payment receipt by Sumayyah Muhammad of SAR 500/- for Dec 2022 on 30 Dec 1899. Updated in the system. Thank you for choosing DivergenCIE Coaching! 💫</t>
  </si>
  <si>
    <t>We acknowledge the fee payment receipt by Zahra Rasheed of SAR 600/- for Dec 2022 on 30 Dec 1899. Updated in the system. Thank you for choosing DivergenCIE Coaching! 💫</t>
  </si>
  <si>
    <t>B14 Cambridge IGCSE 0478 Computer Science - SAR</t>
  </si>
  <si>
    <t>We acknowledge the fee payment receipt by Adithya Aji of SAR 150/- for Nov 2022 on 30 Dec 1899. Updated in the system. Thank you for choosing DivergenCIE Coaching! 💫</t>
  </si>
  <si>
    <t>We acknowledge the fee payment receipt by Amena Muskan of INR 5000/- for Nov 2022 on 30 Dec 1899. Updated in the system. Thank you for choosing DivergenCIE Coaching! 💫</t>
  </si>
  <si>
    <t>We acknowledge the fee payment receipt by Anas Shareef of INR 6750/- for Nov 2022 on 30 Dec 1899. Updated in the system. Thank you for choosing DivergenCIE Coaching! 💫</t>
  </si>
  <si>
    <t>We acknowledge the fee payment receipt by Ayaan Kanwar of INR 8000/- for Nov 2022 on 30 Dec 1899. Updated in the system. Thank you for choosing DivergenCIE Coaching! 💫</t>
  </si>
  <si>
    <t>We acknowledge the fee payment receipt by Dina Ali of SAR 250/- for Nov 2022 on 30 Dec 1899. Updated in the system. Thank you for choosing DivergenCIE Coaching! 💫</t>
  </si>
  <si>
    <t>We acknowledge the fee payment receipt by Diyana Abraham of SAR 250/- for Nov 2022 on 30 Dec 1899. Updated in the system. Thank you for choosing DivergenCIE Coaching! 💫</t>
  </si>
  <si>
    <t>We acknowledge the fee payment receipt by Jwan Mohammed of SAR 150/- for Nov 2022 on 30 Dec 1899. Updated in the system. Thank you for choosing DivergenCIE Coaching! 💫</t>
  </si>
  <si>
    <t>We acknowledge the fee payment receipt by Khadijah Bako of SAR 100/- for Nov 2022 on 30 Dec 1899. Updated in the system. Thank you for choosing DivergenCIE Coaching! 💫</t>
  </si>
  <si>
    <t>?proof of payment</t>
  </si>
  <si>
    <t>We acknowledge the fee payment receipt by Layan Alhothali of SAR 400/- for Nov 2022 on 30 Dec 1899. Updated in the system. Thank you for choosing DivergenCIE Coaching! 💫</t>
  </si>
  <si>
    <t>We acknowledge the fee payment receipt by Lula Abraham of SAR 500/- for Nov 2022 on 30 Dec 1899. Updated in the system. Thank you for choosing DivergenCIE Coaching! 💫</t>
  </si>
  <si>
    <t>We acknowledge the fee payment receipt by Maanvi Mittal of INR 4500/- for Nov 2022 on 30 Dec 1899. Updated in the system. Thank you for choosing DivergenCIE Coaching! 💫</t>
  </si>
  <si>
    <t>We acknowledge the fee payment receipt by Mawaddah Haitham of SAR 500/- for Nov 2022 on 21 Aug 2022. Updated in the system. Thank you for choosing DivergenCIE Coaching! 💫</t>
  </si>
  <si>
    <t>We acknowledge the fee payment receipt by Najla Salih of SAR 500/- for Nov 2022 on 21 Aug 2022. Updated in the system. Thank you for choosing DivergenCIE Coaching! 💫</t>
  </si>
  <si>
    <t>We acknowledge the fee payment receipt by Niranjana Aji of SAR 300/- for Nov 2022 on 30 Dec 1899. Updated in the system. Thank you for choosing DivergenCIE Coaching! 💫</t>
  </si>
  <si>
    <t>We acknowledge the fee payment receipt by Rachit Sonthalia of INR 6000/- for Nov 2022 on 30 Dec 1899. Updated in the system. Thank you for choosing DivergenCIE Coaching! 💫</t>
  </si>
  <si>
    <t>We acknowledge the fee payment receipt by Rana of SAR 500/- for Nov 2022 on 30 Dec 1899. Updated in the system. Thank you for choosing DivergenCIE Coaching! 💫</t>
  </si>
  <si>
    <t>We acknowledge the fee payment receipt by Rania Kamel of  /- for Nov 2022 on 30 Dec 1899. Updated in the system. Thank you for choosing DivergenCIE Coaching! 💫</t>
  </si>
  <si>
    <t>We acknowledge the fee payment receipt by Safa Rasheed of SAR 500/- for Nov 2022 on 30 Dec 1899. Updated in the system. Thank you for choosing DivergenCIE Coaching! 💫</t>
  </si>
  <si>
    <t>We acknowledge the fee payment receipt by Sai Hrithika of INR 7500/- for Nov 2022 on 30 Dec 1899. Updated in the system. Thank you for choosing DivergenCIE Coaching! 💫</t>
  </si>
  <si>
    <t>paid 5800</t>
  </si>
  <si>
    <t>We acknowledge the fee payment receipt by Shrey Agarwal of INR 6000/- for Nov 2022 on 30 Dec 1899. Updated in the system. Thank you for choosing DivergenCIE Coaching! 💫</t>
  </si>
  <si>
    <t>We acknowledge the fee payment receipt by Sumayyah Muhammad of SAR 500/- for Nov 2022 on 30 Dec 1899. Updated in the system. Thank you for choosing DivergenCIE Coaching! 💫</t>
  </si>
  <si>
    <t>We acknowledge the fee payment receipt by Zahra Rasheed of SAR 500/- for Nov 2022 on 30 Dec 1899. Updated in the system. Thank you for choosing DivergenCIE Coaching! 💫</t>
  </si>
  <si>
    <t>We acknowledge the fee payment receipt by Adithya Aji of SAR 150/- for Oct 2022 on 30 Dec 1899. Updated in the system. Thank you for choosing DivergenCIE Coaching! 💫</t>
  </si>
  <si>
    <t>We acknowledge the fee payment receipt by Amena Muskan of INR 5000/- for Oct 2022 on 30 Dec 1899. Updated in the system. Thank you for choosing DivergenCIE Coaching! 💫</t>
  </si>
  <si>
    <t>We acknowledge the fee payment receipt by Anas Shareef of INR 6750/- for Oct 2022 on 30 Dec 1899. Updated in the system. Thank you for choosing DivergenCIE Coaching! 💫</t>
  </si>
  <si>
    <t>We acknowledge the fee payment receipt by Ayaan Kanwar of INR 8000/- for Oct 2022 on 30 Dec 1899. Updated in the system. Thank you for choosing DivergenCIE Coaching! 💫</t>
  </si>
  <si>
    <t>paid 4000</t>
  </si>
  <si>
    <t>We acknowledge the fee payment receipt by Coreen Estico of SCR 2000/- for Oct 2022 on 21 Aug 2022. Updated in the system. Thank you for choosing DivergenCIE Coaching! 💫</t>
  </si>
  <si>
    <t>We acknowledge the fee payment receipt by Diyana Abraham of SAR 250/- for Oct 2022 on 30 Dec 1899. Updated in the system. Thank you for choosing DivergenCIE Coaching! 💫</t>
  </si>
  <si>
    <t>We acknowledge the fee payment receipt by Lula Abraham of SAR 500/- for Oct 2022 on 30 Dec 1899. Updated in the system. Thank you for choosing DivergenCIE Coaching! 💫</t>
  </si>
  <si>
    <t>We acknowledge the fee payment receipt by Maanvi Mittal of INR 4500/- for Oct 2022 on 30 Dec 1899. Updated in the system. Thank you for choosing DivergenCIE Coaching! 💫</t>
  </si>
  <si>
    <t>6 days 24-30 oct left</t>
  </si>
  <si>
    <t>4/5?</t>
  </si>
  <si>
    <t>2500?</t>
  </si>
  <si>
    <t>We acknowledge the fee payment receipt by Mawaddah Haitham of SAR 500/- for Oct 2022 on 21 Aug 2022. Updated in the system. Thank you for choosing DivergenCIE Coaching! 💫</t>
  </si>
  <si>
    <t>We acknowledge the fee payment receipt by Najla Salih of SAR 500/- for Oct 2022 on 21 Aug 2022. Updated in the system. Thank you for choosing DivergenCIE Coaching! 💫</t>
  </si>
  <si>
    <t>We acknowledge the fee payment receipt by Neha Harkut of INR 4500/- for Oct 2022 on 30 Dec 1899. Updated in the system. Thank you for choosing DivergenCIE Coaching! 💫</t>
  </si>
  <si>
    <t>B14 Cambridge IGCSE 0620 Chemistry - SAR, B14 Cambridge IGCSE 0625 Physics - SAR, B14 Cambridge IGCSE 0580 Mathematics - SAR, B14 Cambridge IGCSE 0510 English as a Second Language - SAR, B14 Cambridge IGCSE 0417 Information &amp; Communication Technology - SAR</t>
  </si>
  <si>
    <t>We acknowledge the fee payment receipt by Niranjana Aji of SAR 400/- for Oct 2022 on 30 Dec 1899. Updated in the system. Thank you for choosing DivergenCIE Coaching! 💫</t>
  </si>
  <si>
    <t>extra 500</t>
  </si>
  <si>
    <t>We acknowledge the fee payment receipt by Rachit Sonthalia of INR 6000/- for Oct 2022 on 30 Dec 1899. Updated in the system. Thank you for choosing DivergenCIE Coaching! 💫</t>
  </si>
  <si>
    <t>We acknowledge the fee payment receipt by Rana of SAR 500/- for Oct 2022 on 30 Dec 1899. Updated in the system. Thank you for choosing DivergenCIE Coaching! 💫</t>
  </si>
  <si>
    <t>We acknowledge the fee payment receipt by Rania Kamel of SAR 150/- for Oct 2022 on 30 Dec 1899. Updated in the system. Thank you for choosing DivergenCIE Coaching! 💫</t>
  </si>
  <si>
    <t>We acknowledge the fee payment receipt by Rania Sami of SAR 475/- for Oct 2022 on 30 Dec 1899. Updated in the system. Thank you for choosing DivergenCIE Coaching! 💫</t>
  </si>
  <si>
    <t>We acknowledge the fee payment receipt by Safa Rasheed of SAR 500/- for Oct 2022 on 30 Dec 1899. Updated in the system. Thank you for choosing DivergenCIE Coaching! 💫</t>
  </si>
  <si>
    <t>paid 5700</t>
  </si>
  <si>
    <t>We acknowledge the fee payment receipt by Shrey Agarwal of INR 6000/- for Oct 2022 on 30 Dec 1899. Updated in the system. Thank you for choosing DivergenCIE Coaching! 💫</t>
  </si>
  <si>
    <t>We acknowledge the fee payment receipt by Sumayyah Muhammad of SAR 500/- for Oct 2022 on 30 Dec 1899. Updated in the system. Thank you for choosing DivergenCIE Coaching! 💫</t>
  </si>
  <si>
    <t>We acknowledge the fee payment receipt by Zahra Rasheed of SAR 600/- for Oct 2022 on 30 Dec 1899. Updated in the system. Thank you for choosing DivergenCIE Coaching! 💫</t>
  </si>
  <si>
    <t>We acknowledge the fee payment receipt by Adithya Aji of SAR 150/- for Sep 2022 on 30 Dec 1899. Updated in the system. Thank you for choosing DivergenCIE Coaching! 💫</t>
  </si>
  <si>
    <t>We acknowledge the fee payment receipt by Anas Shareef of INR 6750/- for Sep 2022 on 30 Dec 1899. Updated in the system. Thank you for choosing DivergenCIE Coaching! 💫</t>
  </si>
  <si>
    <t>We acknowledge the fee payment receipt by Ayaan Kanwar of INR 8000/- for Sep 2022 on 30 Dec 1899. Updated in the system. Thank you for choosing DivergenCIE Coaching! 💫</t>
  </si>
  <si>
    <t>paid 1525</t>
  </si>
  <si>
    <t>We acknowledge the fee payment receipt by Coreen Estico of SCR 2000/- for Sep 2022 on 21 Aug 2022. Updated in the system. Thank you for choosing DivergenCIE Coaching! 💫</t>
  </si>
  <si>
    <t>B14 Cambridge IGCSE 0580 Mathematics - INR, B14 Cambridge IGCSE 0620 Chemistry - INR, B14 Cambridge IGCSE 0625 Physics - INR, B14 Cambridge IGCSE 0610 Biology - SAR</t>
  </si>
  <si>
    <t>We acknowledge the fee payment receipt by Maanvi Mittal of INR 6000/- for Sep 2022 on 30 Dec 1899. Updated in the system. Thank you for choosing DivergenCIE Coaching! 💫</t>
  </si>
  <si>
    <t>We acknowledge the fee payment receipt by Neha Harkut of INR 4000/- for Sep 2022 on 30 Dec 1899. Updated in the system. Thank you for choosing DivergenCIE Coaching! 💫</t>
  </si>
  <si>
    <t>We acknowledge the fee payment receipt by Niranjana Aji of SAR 400/- for Sep 2022 on 30 Dec 1899. Updated in the system. Thank you for choosing DivergenCIE Coaching! 💫</t>
  </si>
  <si>
    <t>(skipped to 10-Oct)</t>
  </si>
  <si>
    <t>We acknowledge the fee payment receipt by Rachit Sonthalia of INR 6000/- for Sep 2022 on 30 Dec 1899. Updated in the system. Thank you for choosing DivergenCIE Coaching! 💫</t>
  </si>
  <si>
    <t>We acknowledge the fee payment receipt by Shrey Agarwal of INR 6000/- for Sep 2022 on 30 Dec 1899. Updated in the system. Thank you for choosing DivergenCIE Coaching! 💫</t>
  </si>
  <si>
    <t>We acknowledge the fee payment receipt by Zahra Rasheed of SAR 598/- for Sep 2022 on 30 Dec 1899. Updated in the system. Thank you for choosing DivergenCIE Coaching! 💫</t>
  </si>
  <si>
    <t>B14 Cambridge IGCSE 0580 Mathematics - INR, B14 Cambridge IGCSE 0620 Chemistry - INR, B14 Cambridge IGCSE 0625 Physics - INR, B14 Cambridge IGCSE 0610 Biology - INR</t>
  </si>
  <si>
    <t>We acknowledge the fee payment receipt by Aditya Bansal of INR 9000/- for Aug 2022 on 30 Dec 1899. Updated in the system. Thank you for choosing DivergenCIE Coaching! 💫</t>
  </si>
  <si>
    <t>We acknowledge the fee payment receipt by Anas Shareef of INR 6750/- for Aug 2022 on 30 Dec 1899. Updated in the system. Thank you for choosing DivergenCIE Coaching! 💫</t>
  </si>
  <si>
    <t>We acknowledge the fee payment receipt by Ayaan Kanwar of INR 6000/- for Aug 2022 on 30 Dec 1899. Updated in the system. Thank you for choosing DivergenCIE Coaching! 💫</t>
  </si>
  <si>
    <t>We acknowledge the fee payment receipt by Coreen Estico of SCR 2000/- for Aug 2022 on 21 Aug 2022. Updated in the system. Thank you for choosing DivergenCIE Coaching! 💫</t>
  </si>
  <si>
    <t>EXTRA - LEFT</t>
  </si>
  <si>
    <t>We acknowledge the fee payment receipt by Dhruv Vamshi of INR 6300/- for Aug 2022 on 30 Dec 1899. Updated in the system. Thank you for choosing DivergenCIE Coaching! 💫</t>
  </si>
  <si>
    <t>We acknowledge the fee payment receipt by Maanvi Mittal of INR 6000/- for Aug 2022 on 30 Dec 1899. Updated in the system. Thank you for choosing DivergenCIE Coaching! 💫</t>
  </si>
  <si>
    <t>We acknowledge the fee payment receipt by Neha Harkut of INR 4500/- for Aug 2022 on 30 Dec 1899. Updated in the system. Thank you for choosing DivergenCIE Coaching! 💫</t>
  </si>
  <si>
    <t>We acknowledge the fee payment receipt by Niranjana Aji of SAR 375/- for Aug 2022 on 30 Dec 1899. Updated in the system. Thank you for choosing DivergenCIE Coaching! 💫</t>
  </si>
  <si>
    <t>We acknowledge the fee payment receipt by Rachit Sonthalia of INR 6000/- for Aug 2022 on 30 Dec 1899. Updated in the system. Thank you for choosing DivergenCIE Coaching! 💫</t>
  </si>
  <si>
    <t>We acknowledge the fee payment receipt by Shrey Agarwal of INR 4800/- for Aug 2022 on 30 Dec 1899. Updated in the system. Thank you for choosing DivergenCIE Coaching! 💫</t>
  </si>
  <si>
    <t>We acknowledge the fee payment receipt by Jotham of  /- for Dec 1899 on 30 Dec 1899. Updated in the system. Thank you for choosing DivergenCIE Coaching! 💫</t>
  </si>
  <si>
    <t>We acknowledge the fee payment receipt by Zahra Rasheed of SAR 498/- for Aug 2022 on 30 Dec 1899. Updated in the system. Thank you for choosing DivergenCIE Coaching! 💫</t>
  </si>
  <si>
    <t>Staff</t>
  </si>
  <si>
    <t>Subjects/hours</t>
  </si>
  <si>
    <t>Started</t>
  </si>
  <si>
    <t>Date done</t>
  </si>
  <si>
    <t>Notes 2</t>
  </si>
  <si>
    <t>Column 15</t>
  </si>
  <si>
    <t>Column 16</t>
  </si>
  <si>
    <t>Column 17</t>
  </si>
  <si>
    <t>Column 18</t>
  </si>
  <si>
    <t>Column 19</t>
  </si>
  <si>
    <t>Column 20</t>
  </si>
  <si>
    <t>Column 21</t>
  </si>
  <si>
    <t>Column 22</t>
  </si>
  <si>
    <t>Column 23</t>
  </si>
  <si>
    <t>Column 24</t>
  </si>
  <si>
    <t>Column 25</t>
  </si>
  <si>
    <t>Column 26</t>
  </si>
  <si>
    <t>Today</t>
  </si>
  <si>
    <t xml:space="preserve">(IGCSE Chemistry, IGCSE Physics, IGCSE Mathematics) 50% for igcse math which started on 3rd jan. </t>
  </si>
  <si>
    <t>Ahmar</t>
  </si>
  <si>
    <t>Rabia N</t>
  </si>
  <si>
    <t>English FL</t>
  </si>
  <si>
    <t>Murtaza</t>
  </si>
  <si>
    <t>Syed Arqam</t>
  </si>
  <si>
    <t>Chirag Kar</t>
  </si>
  <si>
    <t>Aurneela</t>
  </si>
  <si>
    <t>Aisyah</t>
  </si>
  <si>
    <t>Count</t>
  </si>
  <si>
    <t>Total Due</t>
  </si>
  <si>
    <t>50% for igcse math started on 3rd jan</t>
  </si>
  <si>
    <t>IGCSE Biology:5hr  IGCSE Chemistry:7hr</t>
  </si>
  <si>
    <t>16764 (transferred 53,366.60)</t>
  </si>
  <si>
    <t>IGCSE English FL :7 hr</t>
  </si>
  <si>
    <t>IGCSE Pysics 4/8 , IGCSE Maths 3/8 , IGCSE Chem 3/9</t>
  </si>
  <si>
    <t>X</t>
  </si>
  <si>
    <t>15000 PKR</t>
  </si>
  <si>
    <t xml:space="preserve">6600 PKR </t>
  </si>
  <si>
    <t xml:space="preserve">Vaishak:1.5 hr remaining </t>
  </si>
  <si>
    <t>May 2 and Jun 15 (Remaining april:3hr )</t>
  </si>
  <si>
    <t>Muhammad Saddique</t>
  </si>
  <si>
    <t>?Add date</t>
  </si>
  <si>
    <t xml:space="preserve">Shubh:13.5hr SaiN past paper:5hr SaiN session:2.5hr SaiN </t>
  </si>
  <si>
    <t xml:space="preserve">Jun =25+75+37.5. June-2024
IGCSE Chemistry 
2/8 taken out of
IGCSE Mathematics 
6/8 taken out of 
IGCSE Physics 
3/8 taken out of    + Marium (21 classes conducted ) 210 SAR </t>
  </si>
  <si>
    <t>Aug 18 (300)</t>
  </si>
  <si>
    <t>Aug 29 (162)</t>
  </si>
  <si>
    <t xml:space="preserve">PKR 66200 (73800-7600) </t>
  </si>
  <si>
    <t xml:space="preserve">PKR 6640) </t>
  </si>
  <si>
    <t xml:space="preserve">Shubh:12hr Sarah:9.5hr </t>
  </si>
  <si>
    <t>Aug 29 (300), Sep 12 (173)</t>
  </si>
  <si>
    <t>4.5 hrs</t>
  </si>
  <si>
    <t>Maryam</t>
  </si>
  <si>
    <t>Shubh:15hr Sarah:10hr</t>
  </si>
  <si>
    <t>Oct 15 (225), Nov 8 (225)</t>
  </si>
  <si>
    <t>225(50%), 225 (50%)</t>
  </si>
  <si>
    <t>1st: Oct 29, 2024 (PKR 2472)</t>
  </si>
  <si>
    <t>2nd: Dec 10, 2024 (PKR 2498)</t>
  </si>
  <si>
    <t xml:space="preserve">shubh:13.5 hr , no sarah </t>
  </si>
  <si>
    <t>Dec 10, 2024 (PKR 9162)</t>
  </si>
  <si>
    <t>Shubh:14.5 hr , sarah:9.5 hr</t>
  </si>
  <si>
    <t xml:space="preserve">pause from 5-october </t>
  </si>
  <si>
    <t>Mahrukh Altaf</t>
  </si>
  <si>
    <t>Probation</t>
  </si>
  <si>
    <t>Break 21 oct to 31 oct - 11 days - exam</t>
  </si>
  <si>
    <t>Aleena Usman</t>
  </si>
  <si>
    <t>Adithya:7hr, B14: 2 hr</t>
  </si>
  <si>
    <t xml:space="preserve">Sarah:9hr, Shubh:15hr </t>
  </si>
  <si>
    <t>Supposed to be apr 30</t>
  </si>
  <si>
    <t>Dec-11 6000/-</t>
  </si>
  <si>
    <t>Dec-10 PKR 19,674/-</t>
  </si>
  <si>
    <t>Aditya:15hr, B14:</t>
  </si>
  <si>
    <t xml:space="preserve">Sarah:9hr, Shubh:9hr </t>
  </si>
  <si>
    <t>DC Staff Pay: Atiqa Fatima 2024 Jan Surplus 
PKR 44,488 /-
29 Jan, 2025</t>
  </si>
  <si>
    <t>?check</t>
  </si>
  <si>
    <t>Shubh:9.5hr</t>
  </si>
  <si>
    <t>8-days leave detected(total PKR 4400/-)</t>
  </si>
  <si>
    <t>Aleena leave 3-day deetected (total PKR 5400/-)</t>
  </si>
  <si>
    <t>11-Mar(1st Pay: PKR 15,114/-) + 25-Mar(2nd pay: PKR 8410/-)</t>
  </si>
  <si>
    <t>Shubh7.5hr</t>
  </si>
  <si>
    <t xml:space="preserve">? check if payment done or not </t>
  </si>
  <si>
    <t>11-Mar(1st pay: PKR8395/-) + 16-Mar(2nd pay PKR8395/-)</t>
  </si>
  <si>
    <t>Shubh:10.5hr</t>
  </si>
  <si>
    <t>22-Apr (1st pay:PKR 2173/-) 27-Apr(2nd pay:PKR 3827/-)</t>
  </si>
  <si>
    <t>15-Apr (PKR 16,849/-)</t>
  </si>
  <si>
    <t>Harem(PKR 1279/-) + Aleena(PKR 3827/-)</t>
  </si>
  <si>
    <t>!cleared</t>
  </si>
  <si>
    <t>?not updated</t>
  </si>
  <si>
    <t xml:space="preserve">Shubh:15hr, </t>
  </si>
  <si>
    <t>apr 7-21, may1-4 total 19 days</t>
  </si>
  <si>
    <t>1st pay:6-jun (PKR 3,800/-)</t>
  </si>
  <si>
    <t>paid on 10/13/2025</t>
  </si>
  <si>
    <t>PAUSED</t>
  </si>
  <si>
    <t>June of 2025</t>
  </si>
  <si>
    <t>jun 23 scheduled sent, jun 24 started classes with faraz ESL</t>
  </si>
  <si>
    <t>started 2-june</t>
  </si>
  <si>
    <t xml:space="preserve">1-jul(/PKR 6000/-) </t>
  </si>
  <si>
    <t xml:space="preserve">jul 5 started classes with brighty ESL </t>
  </si>
  <si>
    <t>DC Staff Payment 2025 July:
Atiqa Fatima, Deposit, PKR 50,429/- 
Date paid: Jul 4, 2025</t>
  </si>
  <si>
    <t xml:space="preserve">resume on 8-july </t>
  </si>
  <si>
    <t xml:space="preserve"> Officially Resign on 25-Aug 2025</t>
  </si>
  <si>
    <t xml:space="preserve">8-Aug(PKR 6000/-) </t>
  </si>
  <si>
    <t xml:space="preserve">brighty stopped on 30-aug </t>
  </si>
  <si>
    <t xml:space="preserve">leave from 9-30 aug </t>
  </si>
  <si>
    <t xml:space="preserve">faraz stopped on 4-oct </t>
  </si>
  <si>
    <t xml:space="preserve">resign on 20-sep </t>
  </si>
  <si>
    <t>Resign on 25-Aug 2025</t>
  </si>
  <si>
    <t>INTERVIEW POSITION</t>
  </si>
  <si>
    <t>TIME ZONE</t>
  </si>
  <si>
    <t>PHONE NO</t>
  </si>
  <si>
    <t>EMAIL</t>
  </si>
  <si>
    <t>INTERVIEW DATE</t>
  </si>
  <si>
    <t>INTERVIEW TIME</t>
  </si>
  <si>
    <t>STATUS</t>
  </si>
  <si>
    <t>NOTES</t>
  </si>
  <si>
    <t>SKILLS/SUBJECTS</t>
  </si>
  <si>
    <t>EXTRA SKILLS/SUBJECTS</t>
  </si>
  <si>
    <t xml:space="preserve">LINKS </t>
  </si>
  <si>
    <t>QUALIFICATIONS</t>
  </si>
  <si>
    <t>START DATE</t>
  </si>
  <si>
    <t>OFFER LETTER</t>
  </si>
  <si>
    <t>RATE</t>
  </si>
  <si>
    <t>GCR ACCESS</t>
  </si>
  <si>
    <t>CLASS SCHEDULE</t>
  </si>
  <si>
    <t>WORK FOLDER</t>
  </si>
  <si>
    <t>Kiran Saif</t>
  </si>
  <si>
    <t>AS Biology</t>
  </si>
  <si>
    <t>PAKISTAN</t>
  </si>
  <si>
    <t>+923116411685</t>
  </si>
  <si>
    <t>kiransaif.candidate@divergencie.co.uk</t>
  </si>
  <si>
    <t>Unavailable</t>
  </si>
  <si>
    <t>Last 6 yrs govt teachers
Last 3 months A-level on zoom
Masters in zoology,B.ed
teaches while Camera on from physical books/notes 
Little knowledge about whiteboard
Questions/quiz at the end of the class as assessment 
Not fimiliar with Google classroom.
7-9 PM for teaching Fri,Sunday, 8-10$ / hr (expected)</t>
  </si>
  <si>
    <t>https://drive.google.com/file/d/1QPif0D9Wn-SEMO1OjEnuYzBIc8Ojw0Xt/view?usp=drivesdk</t>
  </si>
  <si>
    <t>staff</t>
  </si>
  <si>
    <t>MALAYSIA</t>
  </si>
  <si>
    <t>+60148787010</t>
  </si>
  <si>
    <t>aisyah+staff.email@gmail.com</t>
  </si>
  <si>
    <t xml:space="preserve">International graduate student in university of malaya 
studying  bachelor of english as a secong language
has educational certifications/competitions in indonesian high school, taken workshops for posters but solely learned from university associations 
EXPERIENCE: doing project with university association(international student association,dormitory college as a graphic design team)
FUTURE: work for royal media college , working on university magzine which will out in januarary
PLATFORMS: canva,notion,newcut,google snap sync 
FIMIILIAR WITH: insta(litte about ad havent tried it),facebook,linkedin
TIME: 1-2 hr/daily , TUES/SATURDAY= afternoon , SUNDAY= whole day 
VIDEO EXPERIENCE: had been a part of a video podcast, little knowledge about video editing but have the potential to learn 
MORE INTERESTED: changing DC standards by the brand logo, adding asthetics, uniqueness </t>
  </si>
  <si>
    <t>https://drive.google.com/file/d/1QYkDOTTxEw818Zpxjj85vagthLxcQ4S5/view?usp=drivesdk</t>
  </si>
  <si>
    <t>100-150</t>
  </si>
  <si>
    <t>Rida Ashfaq</t>
  </si>
  <si>
    <t>+92 324 4478756</t>
  </si>
  <si>
    <t>ridaashfaq.candidate@divergencie.co.uk</t>
  </si>
  <si>
    <t>3:30 PM IST</t>
  </si>
  <si>
    <t>Available</t>
  </si>
  <si>
    <t xml:space="preserve">Teaching Experience:  online: Since 2018 , online UK based students, Physical: O-Level Biology Availability: Mon+Tues+Thurs 5:30-9:30 PM IST </t>
  </si>
  <si>
    <t>AQA, O/A LEVEL BIOLOGY</t>
  </si>
  <si>
    <t>Research assistant(COVID+DIABETES FROM LUMS),cohort adviser(PIONEER ACADEMIC RESEARCH INSTITUTE)</t>
  </si>
  <si>
    <t>https://drive.google.com/file/d/1_L7kc2AVVpS2vpTlvsluBa9_J13t4-J_/view?usp=drive_link</t>
  </si>
  <si>
    <t>Bacherlors:Biochemistry Master:Molecular Biology</t>
  </si>
  <si>
    <t>Not Done</t>
  </si>
  <si>
    <t>Pakistan</t>
  </si>
  <si>
    <t>+92 316 5643643</t>
  </si>
  <si>
    <t>haremmir.candidate@divergencie.co.uk</t>
  </si>
  <si>
    <t>12:30 PM IST</t>
  </si>
  <si>
    <t>Teachng Experience: taught 100+ students online at abi dhabi based tutoring company (MTS-my tutor source)  Availability:5:30-10::30 PM IST (any weekdays) Expected rate:: 10-20$)</t>
  </si>
  <si>
    <t xml:space="preserve">Biology(IB,AP,O/A/IGCSE,OCE,AKU,edexcel)   ENGLISH(PRIMARY TO A-LEVEL) HISTORY </t>
  </si>
  <si>
    <t>none</t>
  </si>
  <si>
    <t>https://drive.google.com/file/d/1ajd20T1MSOpZMZyY3kPtYWfmnU-dtfrn/view?usp=drive_link</t>
  </si>
  <si>
    <t>Bachelors:Medicine (MBBS)</t>
  </si>
  <si>
    <t>Tehreem Fatima</t>
  </si>
  <si>
    <t>+92 334 1671378</t>
  </si>
  <si>
    <t>tehreemfatima.candidate@divergencie.co.uk</t>
  </si>
  <si>
    <t>1:00 PM IST</t>
  </si>
  <si>
    <t xml:space="preserve">Teaching Experience: first time teaching online + have taught in person before to students  Availability:5:30-9:30 PM IST  Expected Rate:4$/hr </t>
  </si>
  <si>
    <t>Biology(A-level) Chemistry(lower grades)</t>
  </si>
  <si>
    <t xml:space="preserve">UTUBE channel(Doctor science lab) creating video lectures for 6 months </t>
  </si>
  <si>
    <t>https://drive.google.com/file/d/1anWcd4l2_YTpNcFgn_nj8eoE3u6btA2j/view?usp=drive_link</t>
  </si>
  <si>
    <t>Bachelors:Medicine (MBBS-2 year)</t>
  </si>
  <si>
    <t>Zain Ullah</t>
  </si>
  <si>
    <t>zainullah.candidate@divergencie.co.uk</t>
  </si>
  <si>
    <t>Sajida Begum</t>
  </si>
  <si>
    <t>+92 334 5118248</t>
  </si>
  <si>
    <t>sajidabegum.candidate@divergencie.co.uk</t>
  </si>
  <si>
    <t>1:30 PM IST</t>
  </si>
  <si>
    <t xml:space="preserve">Teaching Experience: more than 15 years physically and 6 months online Availability:4:30-11:30 PM IST everyday  Expected Rate: 10-20$ </t>
  </si>
  <si>
    <t>Biology(0/A - level) garde 6-7: English,chem,physics,</t>
  </si>
  <si>
    <t xml:space="preserve">Can do Research </t>
  </si>
  <si>
    <t>https://drive.google.com/file/d/1asC6hKFW6oML3j2xsuW6V4tbDK0JnZ7z/view?usp=drive_link</t>
  </si>
  <si>
    <t xml:space="preserve">PHD:Biological Sciences </t>
  </si>
  <si>
    <t>Areeb Usama</t>
  </si>
  <si>
    <t>+44 7961 629039</t>
  </si>
  <si>
    <t>areebusama.candidate@divergencie.co.uk</t>
  </si>
  <si>
    <t xml:space="preserve">2:00 PM IST </t>
  </si>
  <si>
    <t xml:space="preserve">Teachiung Experience: taught University students(6-semester) pharmacology physically, online not yet  Availabilty: anytime in the week </t>
  </si>
  <si>
    <t xml:space="preserve">Biology(A-Level) , medical subjects </t>
  </si>
  <si>
    <t>https://drive.google.com/file/d/1au6vkqRUd-wvBpQslKcjBIv-eI3uM25G/view?usp=drive_link</t>
  </si>
  <si>
    <t xml:space="preserve">Bachelors: Pharmacy  MPHIL: Pharmacology </t>
  </si>
  <si>
    <t>4?</t>
  </si>
  <si>
    <t>Emelisa P.</t>
  </si>
  <si>
    <t>teacher</t>
  </si>
  <si>
    <t>emelisa.p+teacher.email@gmail.com</t>
  </si>
  <si>
    <t>Heidi A.</t>
  </si>
  <si>
    <t>heidi.a+teacher.email@gmail.com</t>
  </si>
  <si>
    <t>syed.arqam+teacher.email@gmail.com</t>
  </si>
  <si>
    <t>A-Level Biology, IGCSE Math, Chemistry, ICT, Physics, Biology</t>
  </si>
  <si>
    <t>PKR 1000</t>
  </si>
  <si>
    <t>Cambridge Curriculum Tutor</t>
  </si>
  <si>
    <t>+62 813-9964-0785</t>
  </si>
  <si>
    <t>ahmareya@gmail.com</t>
  </si>
  <si>
    <t>IGCSE Physics, Math, Biology</t>
  </si>
  <si>
    <t>SAR 100</t>
  </si>
  <si>
    <t>+92 300 1234567</t>
  </si>
  <si>
    <t>acca2003.murtaza@gmail.com</t>
  </si>
  <si>
    <t>IGCSE Physics, English, Math, Chemistry</t>
  </si>
  <si>
    <t>Google Meet</t>
  </si>
  <si>
    <t>USD 3-5</t>
  </si>
  <si>
    <t>+91 92050 21468</t>
  </si>
  <si>
    <t>chirag.kar+teacher.email@gmail.com</t>
  </si>
  <si>
    <t>A-Level Math</t>
  </si>
  <si>
    <t>IGCSE Physics, Chemistry</t>
  </si>
  <si>
    <t>Devin</t>
  </si>
  <si>
    <t>+1 (778) 583-4938</t>
  </si>
  <si>
    <t>devin+teacher.email@gmail.com</t>
  </si>
  <si>
    <t>Computer Science, Math</t>
  </si>
  <si>
    <t>Chemistry, Physics</t>
  </si>
  <si>
    <t>USD 15</t>
  </si>
  <si>
    <t>Kanza</t>
  </si>
  <si>
    <t>kanzaiqbal81@gmail.com</t>
  </si>
  <si>
    <t>Business, Economics</t>
  </si>
  <si>
    <t>Muhib Hussain</t>
  </si>
  <si>
    <t>muhibhussain77@gmail.com</t>
  </si>
  <si>
    <t>IGCSE Math, Physics, Chemistry, Biology</t>
  </si>
  <si>
    <t>Maryam S</t>
  </si>
  <si>
    <t>+923047450821</t>
  </si>
  <si>
    <t>maryamsaif7450821@gmail.com</t>
  </si>
  <si>
    <t>Carolina Franco Espinosa</t>
  </si>
  <si>
    <t>carolinaespinosa538@gmail.com</t>
  </si>
  <si>
    <t>Available, issue with offer letter</t>
  </si>
  <si>
    <t>Biology, Environmental Studies</t>
  </si>
  <si>
    <t>Physics, Chemistry</t>
  </si>
  <si>
    <t>aurneelaghosh28@gmail.com</t>
  </si>
  <si>
    <t>AS Business</t>
  </si>
  <si>
    <t>rabianmbutt@gmail.com</t>
  </si>
  <si>
    <t>IGCSE Biology, IGCSE Chemistry</t>
  </si>
  <si>
    <t>USD 5-10</t>
  </si>
  <si>
    <t>+92 300 6344901</t>
  </si>
  <si>
    <t>siddiqueansari100@gmail.com</t>
  </si>
  <si>
    <t>Expensive</t>
  </si>
  <si>
    <t>Business Studies, Economics</t>
  </si>
  <si>
    <t>mahrukh.altaf+staff.email@gmail.com</t>
  </si>
  <si>
    <t>Seher Imtiaz</t>
  </si>
  <si>
    <t>seher.imtiaz+staff.email@gmail.com</t>
  </si>
  <si>
    <t>maryam+teacher.email@gmail.com</t>
  </si>
  <si>
    <t>atiqachattani@gmail.com</t>
  </si>
  <si>
    <t>Munzir Elshareif</t>
  </si>
  <si>
    <t>HR Department (Intern)</t>
  </si>
  <si>
    <t>munzir.gilani@gmail.com</t>
  </si>
  <si>
    <t>https://drive.google.com/file/d/19njXo2baQcV-yZ5GpMAFsTrCrAWTYQnE/view?usp=drive_link</t>
  </si>
  <si>
    <t>Tahmina Sultana</t>
  </si>
  <si>
    <t>Teacher, Teaching Assistant</t>
  </si>
  <si>
    <t>tahminasultanariza@gmail.com</t>
  </si>
  <si>
    <t>8:30 PM IST</t>
  </si>
  <si>
    <t xml:space="preserve">shows more interest in teaching rather in teaching assistant , dedicate 2-3hr/ day and 4 days a week which is quite unrealistic as a university sudent  </t>
  </si>
  <si>
    <t xml:space="preserve">Biology,chem,general science and english </t>
  </si>
  <si>
    <t>research intern, tutor: experience of 3 years</t>
  </si>
  <si>
    <t>https://drive.google.com/file/d/1Jr3oYna3jkzinrUI6tTuBJktYPMz0zk2/view?usp=drive_link</t>
  </si>
  <si>
    <t>Student in Bachelors of biotechnology</t>
  </si>
  <si>
    <t>USD 3-8/hr</t>
  </si>
  <si>
    <t xml:space="preserve">Fairuz Anika Mysha </t>
  </si>
  <si>
    <t xml:space="preserve">Teacher , Assistant social media manager </t>
  </si>
  <si>
    <t>fairuzanikamysha19@gmail.com</t>
  </si>
  <si>
    <t xml:space="preserve">CS , AI computing </t>
  </si>
  <si>
    <t>https://drive.google.com/file/d/1qsbTKRd265ODS2PoAL1cJqxq3JzuesFS/view?usp=drive_link</t>
  </si>
  <si>
    <t xml:space="preserve">Bachelor in CS (AI) </t>
  </si>
  <si>
    <t xml:space="preserve">Khadija Amatullah </t>
  </si>
  <si>
    <t>Teacher</t>
  </si>
  <si>
    <t>Nigeria</t>
  </si>
  <si>
    <t>amatullahsaad22@gmail.com</t>
  </si>
  <si>
    <t>7:45 PM IST</t>
  </si>
  <si>
    <t xml:space="preserve">expcted salary $20/hr , available fri,sat,sun for 4 hrs each </t>
  </si>
  <si>
    <t>physics,maths,chem Cambridge</t>
  </si>
  <si>
    <t xml:space="preserve">https://drive.google.com/file/d/1EfK020TAvMZxP6SeSNffwwPSKxLB-x6f/view?usp=drive_link </t>
  </si>
  <si>
    <t>B.Sc. Energy Systems Engineering</t>
  </si>
  <si>
    <t>Importance</t>
  </si>
  <si>
    <t>Added to Calendar</t>
  </si>
  <si>
    <t>Date Added</t>
  </si>
  <si>
    <t>Added to Calendar 2</t>
  </si>
  <si>
    <t>Additional Task</t>
  </si>
  <si>
    <t>Event</t>
  </si>
  <si>
    <t>Desc</t>
  </si>
  <si>
    <t>Start Time</t>
  </si>
  <si>
    <t>End time</t>
  </si>
  <si>
    <t>Duration / Hours</t>
  </si>
  <si>
    <t>Tag</t>
  </si>
  <si>
    <t>Next Steps</t>
  </si>
  <si>
    <t>Weekday</t>
  </si>
  <si>
    <t>PIC</t>
  </si>
  <si>
    <t>Gant Chart</t>
  </si>
  <si>
    <t>Ticket No.</t>
  </si>
  <si>
    <t>Impact</t>
  </si>
  <si>
    <t>Confidence</t>
  </si>
  <si>
    <t>Ease</t>
  </si>
  <si>
    <t>Staff ID</t>
  </si>
  <si>
    <t>Staff Name</t>
  </si>
  <si>
    <t>Type</t>
  </si>
  <si>
    <t>Department</t>
  </si>
  <si>
    <t>Default Currency</t>
  </si>
  <si>
    <t>Supervisor Tag</t>
  </si>
  <si>
    <t>Role</t>
  </si>
  <si>
    <t>STU001</t>
  </si>
  <si>
    <t>mohammad.shahid.akhtar+teacher.email@gmail.com</t>
  </si>
  <si>
    <t>No</t>
  </si>
  <si>
    <t>Cambridge Curriculum Teacher</t>
  </si>
  <si>
    <t>STU002</t>
  </si>
  <si>
    <t>PR</t>
  </si>
  <si>
    <t>Yes</t>
  </si>
  <si>
    <t>Associate Project Manager</t>
  </si>
  <si>
    <t>STU003</t>
  </si>
  <si>
    <t>STU004</t>
  </si>
  <si>
    <t>aurneela+teacher.email@gmail.com</t>
  </si>
  <si>
    <t>STU005</t>
  </si>
  <si>
    <t>murtaza+teacher.email@gmail.com</t>
  </si>
  <si>
    <t>STU006</t>
  </si>
  <si>
    <t>haremmir+teacher.email@gmail.com</t>
  </si>
  <si>
    <t>STU007</t>
  </si>
  <si>
    <t>STU008</t>
  </si>
  <si>
    <t>STU009</t>
  </si>
  <si>
    <t>Maryam Saif</t>
  </si>
  <si>
    <t>STU010</t>
  </si>
  <si>
    <t>Marketing</t>
  </si>
  <si>
    <t>Social Media Assistant</t>
  </si>
  <si>
    <t>STU011</t>
  </si>
  <si>
    <t>Teaching Assistant</t>
  </si>
  <si>
    <t>STU012</t>
  </si>
  <si>
    <t>Aisyah Noor Fatihah</t>
  </si>
  <si>
    <t>STU013</t>
  </si>
  <si>
    <t>Rabia Nayyar Butt</t>
  </si>
  <si>
    <t>rabia.n+teacher.email@gmail.com</t>
  </si>
  <si>
    <t>STU014</t>
  </si>
  <si>
    <t>saddique+teacher.email@gmail.com</t>
  </si>
  <si>
    <t>STU015</t>
  </si>
  <si>
    <t>aleena+staff.email@gmail.com</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</si>
</sst>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mmm d"/>
    <numFmt numFmtId="165" formatCode="d&quot;-&quot;mmm"/>
    <numFmt numFmtId="166" formatCode="m, d"/>
    <numFmt numFmtId="167" formatCode="m d"/>
    <numFmt numFmtId="168" formatCode="mmm&quot; &quot;d&quot;, &quot;yyyy"/>
    <numFmt numFmtId="169" formatCode="m-d"/>
    <numFmt numFmtId="170" formatCode="h&quot;:&quot;mm&quot; &quot;am/pm"/>
  </numFmts>
  <fonts count="6">
    <font>
      <sz val="12.0"/>
      <color theme="1"/>
      <name val="Calibri"/>
      <scheme val="minor"/>
    </font>
    <font>
      <color theme="1"/>
      <name val="Calibri"/>
      <scheme val="minor"/>
    </font>
    <font>
      <sz val="12.0"/>
      <color theme="1"/>
      <name val="Calibri"/>
    </font>
    <font>
      <u/>
      <sz val="12.0"/>
      <color theme="1"/>
      <name val="Calibri"/>
    </font>
    <font>
      <u/>
      <color rgb="FF0000FF"/>
    </font>
    <font>
      <u/>
      <sz val="12.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2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2" numFmtId="49" xfId="0" applyAlignment="1" applyFont="1" applyNumberFormat="1">
      <alignment horizontal="left" readingOrder="0" shrinkToFit="0" vertical="center" wrapText="0"/>
    </xf>
    <xf borderId="0" fillId="0" fontId="1" numFmtId="0" xfId="0" applyAlignment="1" applyFont="1">
      <alignment shrinkToFit="0" vertical="center" wrapText="0"/>
    </xf>
    <xf borderId="0" fillId="0" fontId="1" numFmtId="0" xfId="0" applyAlignment="1" applyFont="1">
      <alignment shrinkToFit="0" vertical="center" wrapText="0"/>
    </xf>
    <xf borderId="0" fillId="0" fontId="1" numFmtId="0" xfId="0" applyAlignment="1" applyFont="1">
      <alignment readingOrder="0" shrinkToFit="0" vertical="center" wrapText="0"/>
    </xf>
    <xf borderId="0" fillId="0" fontId="1" numFmtId="3" xfId="0" applyAlignment="1" applyFont="1" applyNumberFormat="1">
      <alignment shrinkToFit="0" vertical="center" wrapText="0"/>
    </xf>
    <xf borderId="0" fillId="0" fontId="2" numFmtId="3" xfId="0" applyAlignment="1" applyFont="1" applyNumberFormat="1">
      <alignment shrinkToFit="0" vertical="center" wrapText="0"/>
    </xf>
    <xf borderId="0" fillId="0" fontId="1" numFmtId="0" xfId="0" applyFont="1"/>
    <xf borderId="0" fillId="0" fontId="2" numFmtId="49" xfId="0" applyFont="1" applyNumberFormat="1"/>
    <xf borderId="0" fillId="0" fontId="3" numFmtId="49" xfId="0" applyFont="1" applyNumberFormat="1"/>
    <xf borderId="0" fillId="0" fontId="4" numFmtId="0" xfId="0" applyFont="1"/>
    <xf borderId="0" fillId="0" fontId="2" numFmtId="164" xfId="0" applyFont="1" applyNumberFormat="1"/>
    <xf borderId="0" fillId="0" fontId="2" numFmtId="3" xfId="0" applyFont="1" applyNumberFormat="1"/>
    <xf borderId="0" fillId="0" fontId="5" numFmtId="3" xfId="0" applyFont="1" applyNumberFormat="1"/>
    <xf borderId="0" fillId="0" fontId="2" numFmtId="16" xfId="0" applyFont="1" applyNumberFormat="1"/>
    <xf borderId="0" fillId="0" fontId="2" numFmtId="9" xfId="0" applyFont="1" applyNumberFormat="1"/>
    <xf borderId="0" fillId="0" fontId="2" numFmtId="165" xfId="0" applyFont="1" applyNumberFormat="1"/>
    <xf borderId="0" fillId="0" fontId="2" numFmtId="166" xfId="0" applyFont="1" applyNumberFormat="1"/>
    <xf borderId="0" fillId="0" fontId="2" numFmtId="167" xfId="0" applyFont="1" applyNumberFormat="1"/>
    <xf borderId="0" fillId="0" fontId="2" numFmtId="4" xfId="0" applyFont="1" applyNumberFormat="1"/>
    <xf borderId="0" fillId="0" fontId="2" numFmtId="168" xfId="0" applyFont="1" applyNumberFormat="1"/>
    <xf borderId="0" fillId="0" fontId="2" numFmtId="14" xfId="0" applyFont="1" applyNumberFormat="1"/>
    <xf borderId="0" fillId="0" fontId="2" numFmtId="169" xfId="0" applyFont="1" applyNumberFormat="1"/>
    <xf borderId="0" fillId="0" fontId="2" numFmtId="20" xfId="0" applyFont="1" applyNumberFormat="1"/>
    <xf borderId="0" fillId="0" fontId="2" numFmtId="170" xfId="0" applyFont="1" applyNumberFormat="1"/>
    <xf borderId="0" fillId="0" fontId="1" numFmtId="0" xfId="0" applyAlignment="1" applyFont="1">
      <alignment readingOrder="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Service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20" Type="http://customschemas.google.com/relationships/workbookmetadata" Target="metadata"/><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I171" displayName="Table1" name="Table1" id="1">
  <tableColumns count="9">
    <tableColumn name="Batch" id="1"/>
    <tableColumn name="Board" id="2"/>
    <tableColumn name="Course/Class" id="3"/>
    <tableColumn name="Subject Code" id="4"/>
    <tableColumn name="Subject Name" id="5"/>
    <tableColumn name="Full Subject Name" id="6"/>
    <tableColumn name="Instructor" id="7"/>
    <tableColumn name="Currency" id="8"/>
    <tableColumn name="Rate" id="9"/>
  </tableColumns>
  <tableStyleInfo name="Servic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40" Type="http://schemas.openxmlformats.org/officeDocument/2006/relationships/hyperlink" Target="https://docs.google.com/spreadsheets/d/1q9f6t3Hp6J7hEWlU9wsi3qJRV0rhkSH4vWY7la78dWI/edit?usp=drivesdk" TargetMode="External"/><Relationship Id="rId42" Type="http://schemas.openxmlformats.org/officeDocument/2006/relationships/hyperlink" Target="https://docs.google.com/spreadsheets/d/1yYGyNsw5Pmr4mIL4ssOzhmq99LPPyiPfnq4p2fCs2N0/edit?usp=drivesdk" TargetMode="External"/><Relationship Id="rId41" Type="http://schemas.openxmlformats.org/officeDocument/2006/relationships/hyperlink" Target="https://docs.google.com/spreadsheets/d/1yOYQbvB140S1sodATPZ8pkk7X2Qp6no5ugBZnOInak0/edit?usp=drivesdk" TargetMode="External"/><Relationship Id="rId44" Type="http://schemas.openxmlformats.org/officeDocument/2006/relationships/hyperlink" Target="https://docs.google.com/spreadsheets/d/11l0rmocQ6ecOJtGE4B7OBoKBS4Zlx3CvMh729nHJ-V8/edit?usp=drivesdk" TargetMode="External"/><Relationship Id="rId43" Type="http://schemas.openxmlformats.org/officeDocument/2006/relationships/hyperlink" Target="https://docs.google.com/spreadsheets/d/1K7KUMKAgcoFUeEkpyFI8me0gvPtLG90ClwV_a8rfeHE/edit?usp=drivesdk" TargetMode="External"/><Relationship Id="rId46" Type="http://schemas.openxmlformats.org/officeDocument/2006/relationships/hyperlink" Target="https://docs.google.com/spreadsheets/d/1u-Q_ezGjSTRKa0Z3Vq4rDzaL_AkzAvYyVIdGmfEJmE8/edit?usp=drivesdk" TargetMode="External"/><Relationship Id="rId45" Type="http://schemas.openxmlformats.org/officeDocument/2006/relationships/hyperlink" Target="https://docs.google.com/spreadsheets/d/1Gvqi81bUlLcT-VFNqAC7FKo3Cyx8n1uShDnyt23bNK0/edit?usp=drivesdk" TargetMode="External"/><Relationship Id="rId107" Type="http://schemas.openxmlformats.org/officeDocument/2006/relationships/hyperlink" Target="https://docs.google.com/spreadsheets/d/1NfNK43VThOAPRY86vXL1fFDDG1Ya325H0o5ghvvIyc0/edit?usp=drivesdk" TargetMode="External"/><Relationship Id="rId106" Type="http://schemas.openxmlformats.org/officeDocument/2006/relationships/hyperlink" Target="https://docs.google.com/spreadsheets/d/11hOs-5HHbgUIdxzaTcZbS8gqadtfzouvKYXPfs3io5Y/edit?usp=drivesdk" TargetMode="External"/><Relationship Id="rId105" Type="http://schemas.openxmlformats.org/officeDocument/2006/relationships/hyperlink" Target="https://docs.google.com/spreadsheets/d/1qEIxE1-XuwdnpHzLHoCnr6wBVymn_22mjFNs8HPPq3o/edit?usp=drivesdk" TargetMode="External"/><Relationship Id="rId104" Type="http://schemas.openxmlformats.org/officeDocument/2006/relationships/hyperlink" Target="https://docs.google.com/spreadsheets/d/1dqp5-2Txaznqzg8S3i-M5KtK0-GumZEHYOlhoM9dO9Y/edit?usp=drivesdk" TargetMode="External"/><Relationship Id="rId109" Type="http://schemas.openxmlformats.org/officeDocument/2006/relationships/hyperlink" Target="https://docs.google.com/spreadsheets/d/1fGOCS2u9GKnuriTyDlsKWa5QvsAUpqsH4tZaW1ZIdIk/edit?usp=drivesdk" TargetMode="External"/><Relationship Id="rId108" Type="http://schemas.openxmlformats.org/officeDocument/2006/relationships/hyperlink" Target="https://docs.google.com/spreadsheets/d/1b4aoFP4q9nXBSj11hF0LgLTDFuihtQp6Maj7Je-AQCo/edit?usp=drivesdk" TargetMode="External"/><Relationship Id="rId48" Type="http://schemas.openxmlformats.org/officeDocument/2006/relationships/hyperlink" Target="https://docs.google.com/spreadsheets/d/1iS-85FKqXAky01xMHoHZJOhb18zVgd55Avyu89y0Ibo/edit?usp=drivesdk" TargetMode="External"/><Relationship Id="rId47" Type="http://schemas.openxmlformats.org/officeDocument/2006/relationships/hyperlink" Target="https://docs.google.com/spreadsheets/d/17busmjXSeTjqj3GBv842VhORlC8vqaA3I0f6KyQzYnA/edit?usp=drivesdk" TargetMode="External"/><Relationship Id="rId49" Type="http://schemas.openxmlformats.org/officeDocument/2006/relationships/hyperlink" Target="https://docs.google.com/spreadsheets/d/10wMcNsnUNCYNATIY4khLvhuow6WqyM7MWcQloGd_Xv4/edit?usp=drivesdk" TargetMode="External"/><Relationship Id="rId103" Type="http://schemas.openxmlformats.org/officeDocument/2006/relationships/hyperlink" Target="mailto:sa_dissanayake@yahoo.com" TargetMode="External"/><Relationship Id="rId102" Type="http://schemas.openxmlformats.org/officeDocument/2006/relationships/hyperlink" Target="https://docs.google.com/spreadsheets/d/18fWl5DSpNOvB3Cj142m_mJJQtsqBupm7qnTDCIX-CUc/edit?usp=drivesdk" TargetMode="External"/><Relationship Id="rId101" Type="http://schemas.openxmlformats.org/officeDocument/2006/relationships/hyperlink" Target="https://docs.google.com/spreadsheets/d/1DjM5X2doRmUvWHdtDlMYFtIO3-seoyCPuNTJ2vskrrw/edit?usp=drivesdk" TargetMode="External"/><Relationship Id="rId100" Type="http://schemas.openxmlformats.org/officeDocument/2006/relationships/hyperlink" Target="https://docs.google.com/spreadsheets/d/1xZY6oP8Tq_En3Aq_Ba1YlRIqU74e7WXNpe4X4LmL4qc/edit?usp=drivesdk" TargetMode="External"/><Relationship Id="rId31" Type="http://schemas.openxmlformats.org/officeDocument/2006/relationships/hyperlink" Target="https://docs.google.com/spreadsheets/d/1hFGinuDo7_fec-ilkCDSbAAh4yFHUrBU9Nobrvxj0kw/edit?usp=drivesdk" TargetMode="External"/><Relationship Id="rId30" Type="http://schemas.openxmlformats.org/officeDocument/2006/relationships/hyperlink" Target="https://docs.google.com/spreadsheets/d/1qoNs5wGgkQ0zGHkg_BSzWr_qm0HACR96cxppL2Em4XE/edit?usp=drivesdk" TargetMode="External"/><Relationship Id="rId33" Type="http://schemas.openxmlformats.org/officeDocument/2006/relationships/hyperlink" Target="https://docs.google.com/spreadsheets/d/1KSj3MyMlBkItT-eXU1GMXNrXvp8rxn16WtW764Lw8UE/edit?usp=drivesdk" TargetMode="External"/><Relationship Id="rId32" Type="http://schemas.openxmlformats.org/officeDocument/2006/relationships/hyperlink" Target="https://docs.google.com/spreadsheets/d/1CfYjuK8Ptup8VjgcX4J__BsUNEpkLGq7Ek2cwYADOmc/edit?usp=drivesdk" TargetMode="External"/><Relationship Id="rId35" Type="http://schemas.openxmlformats.org/officeDocument/2006/relationships/hyperlink" Target="https://docs.google.com/spreadsheets/d/1QNhTVKz2iK0TxluRdDC3e7V7PJugAudODITzdDh3LL8/edit?usp=drivesdk" TargetMode="External"/><Relationship Id="rId34" Type="http://schemas.openxmlformats.org/officeDocument/2006/relationships/hyperlink" Target="https://docs.google.com/spreadsheets/d/1ChRP93hH_n9q-IcfbcoFIaCCNovzvuwsiSzQaJQaiWo/edit?usp=drivesdk" TargetMode="External"/><Relationship Id="rId37" Type="http://schemas.openxmlformats.org/officeDocument/2006/relationships/hyperlink" Target="https://docs.google.com/spreadsheets/d/1VCiipQtR7a0qJcVGq5HD8FJfnXsYHU1wL0ajHhnCwIs/edit?usp=drivesdk" TargetMode="External"/><Relationship Id="rId36" Type="http://schemas.openxmlformats.org/officeDocument/2006/relationships/hyperlink" Target="https://docs.google.com/spreadsheets/d/1-7lgoxRNUEfVI3aJmG2jD8ypn8ArwBfsmdcgTmCA3e4/edit?usp=drivesdk" TargetMode="External"/><Relationship Id="rId39" Type="http://schemas.openxmlformats.org/officeDocument/2006/relationships/hyperlink" Target="https://docs.google.com/spreadsheets/d/12Yr2-qPLdKeGjhTBJi_zqFLNClsn3VzBQdBlouMeGpg/edit?usp=drivesdk" TargetMode="External"/><Relationship Id="rId38" Type="http://schemas.openxmlformats.org/officeDocument/2006/relationships/hyperlink" Target="https://docs.google.com/spreadsheets/d/1L4xnVoQk2YtWNXjQscksiHXbBFg9QfbmXNueKFYlROE/edit?usp=drivesdk" TargetMode="External"/><Relationship Id="rId20" Type="http://schemas.openxmlformats.org/officeDocument/2006/relationships/hyperlink" Target="https://docs.google.com/spreadsheets/d/1QUU3GfWrtndX6SNo4udbbmaQlIGEdy9wdNLomC7Jqw8/edit?usp=drivesdk" TargetMode="External"/><Relationship Id="rId22" Type="http://schemas.openxmlformats.org/officeDocument/2006/relationships/hyperlink" Target="https://docs.google.com/spreadsheets/d/1SEaKQUHr3-Vn4yUMQMO3-XuXxwlfupfWiwufbp3hIPg/edit?usp=drivesdk" TargetMode="External"/><Relationship Id="rId21" Type="http://schemas.openxmlformats.org/officeDocument/2006/relationships/hyperlink" Target="https://docs.google.com/spreadsheets/d/1y4KEVOpvwF1yMsK-Ed-JOdp00qz6sHUc5ZzrlpehPkE/edit?usp=drivesdk" TargetMode="External"/><Relationship Id="rId24" Type="http://schemas.openxmlformats.org/officeDocument/2006/relationships/hyperlink" Target="https://docs.google.com/spreadsheets/d/19G-sndFnVeLWXfLRbtDrIctzB12iRtCrOdZNSlnuYMg/edit?usp=drivesdk" TargetMode="External"/><Relationship Id="rId23" Type="http://schemas.openxmlformats.org/officeDocument/2006/relationships/hyperlink" Target="https://docs.google.com/spreadsheets/d/1gduTQ4Ifb4bBbMTskEcbw9ikXxYJ8WWy6mI6VMgX2pM/edit?usp=drivesdk" TargetMode="External"/><Relationship Id="rId129" Type="http://schemas.openxmlformats.org/officeDocument/2006/relationships/hyperlink" Target="https://docs.google.com/spreadsheets/d/1x9d0ljye2OouK7jQWxWkdU_ZcP9j_FEoEutvd9rMi2g/edit?usp=drivesdk" TargetMode="External"/><Relationship Id="rId128" Type="http://schemas.openxmlformats.org/officeDocument/2006/relationships/hyperlink" Target="https://docs.google.com/spreadsheets/d/1O_EewbwPl6zpShmtwmZgN53TR1gUDkbb10JBK6gUQNk/edit?usp=drivesdk" TargetMode="External"/><Relationship Id="rId127" Type="http://schemas.openxmlformats.org/officeDocument/2006/relationships/hyperlink" Target="https://docs.google.com/spreadsheets/d/1VtH5AbLzzfH0wvHOk0f_sWXGVfNET_rGZNjR32SYp3M/edit?usp=drivesdk" TargetMode="External"/><Relationship Id="rId126" Type="http://schemas.openxmlformats.org/officeDocument/2006/relationships/hyperlink" Target="https://docs.google.com/spreadsheets/d/1zO_qMdYJFtbTtcba_aA4EafHeb0CSJKlyem2wzGcbxE/edit?usp=drivesdk" TargetMode="External"/><Relationship Id="rId26" Type="http://schemas.openxmlformats.org/officeDocument/2006/relationships/hyperlink" Target="https://docs.google.com/spreadsheets/d/1DCNDnuNFOdmhskI79IpKpLMxMsj0FBeEU4EGOmMWB2k/edit?usp=drivesdk" TargetMode="External"/><Relationship Id="rId121" Type="http://schemas.openxmlformats.org/officeDocument/2006/relationships/hyperlink" Target="https://docs.google.com/spreadsheets/d/1AYdWptw8Th5KBkwrrYQzc4maswXLsd_NRrCIshh9Y2Q/edit?usp=drivesdk" TargetMode="External"/><Relationship Id="rId25" Type="http://schemas.openxmlformats.org/officeDocument/2006/relationships/hyperlink" Target="https://docs.google.com/spreadsheets/d/1pkA1WzUFsIbjbXRRstnqxCf0IOZZKKwX8lUMcfkVrJ0/edit?usp=drivesdk" TargetMode="External"/><Relationship Id="rId120" Type="http://schemas.openxmlformats.org/officeDocument/2006/relationships/hyperlink" Target="https://docs.google.com/spreadsheets/d/1gkngIjNKKHnMHYnQF_yveZd_JykrlOqtfWZgeNlKtZE/edit?usp=drivesdk" TargetMode="External"/><Relationship Id="rId28" Type="http://schemas.openxmlformats.org/officeDocument/2006/relationships/hyperlink" Target="https://docs.google.com/spreadsheets/d/1AiIVBRVjWW-OdlziE1693QrqA3Qm5rld5-n9rgk0j9s/edit?usp=drivesdk" TargetMode="External"/><Relationship Id="rId27" Type="http://schemas.openxmlformats.org/officeDocument/2006/relationships/hyperlink" Target="https://docs.google.com/spreadsheets/d/1blDJgQyrlCXKQd5dmIRdyd4Bzru8AWDJzbqaMaGK_HM/edit?usp=drivesdk" TargetMode="External"/><Relationship Id="rId125" Type="http://schemas.openxmlformats.org/officeDocument/2006/relationships/hyperlink" Target="https://docs.google.com/spreadsheets/d/15qVa9V-rMyhNao5oMFUMKBAozRIBTSsR4CEOaWRMwXs/edit?usp=drivesdk" TargetMode="External"/><Relationship Id="rId29" Type="http://schemas.openxmlformats.org/officeDocument/2006/relationships/hyperlink" Target="https://docs.google.com/spreadsheets/d/1wa-PIeFaqPbhyxFkIxFLrVJinqwEy2lsM3iE-Iaunk0/edit?usp=drivesdk" TargetMode="External"/><Relationship Id="rId124" Type="http://schemas.openxmlformats.org/officeDocument/2006/relationships/hyperlink" Target="https://docs.google.com/spreadsheets/d/1Oxg8zo2eqK0k9kUPKqT4XDhKEjtKJJLDClpEbpmHPTc/edit?usp=drivesdk" TargetMode="External"/><Relationship Id="rId123" Type="http://schemas.openxmlformats.org/officeDocument/2006/relationships/hyperlink" Target="https://docs.google.com/spreadsheets/d/1wsgxcOMhU6iNHLq7KHLpUgDtyOxlS_8Nnl-wVIKI3os/edit?usp=drivesdk" TargetMode="External"/><Relationship Id="rId122" Type="http://schemas.openxmlformats.org/officeDocument/2006/relationships/hyperlink" Target="https://docs.google.com/spreadsheets/d/1fFSVASXkk4tBraP04s_pzbRRkm2EDQ3mXD-Mi1BOks8/edit?usp=drivesdk" TargetMode="External"/><Relationship Id="rId95" Type="http://schemas.openxmlformats.org/officeDocument/2006/relationships/hyperlink" Target="https://docs.google.com/spreadsheets/d/1hMbJHEOVrEiSfNnD0U3qCnJ0r_w8jR-TBhphadXaBE4/edit?usp=drive_link" TargetMode="External"/><Relationship Id="rId94" Type="http://schemas.openxmlformats.org/officeDocument/2006/relationships/hyperlink" Target="https://docs.google.com/spreadsheets/d/1xcMjmZq4QtdwMJ1nZWVm88e_YNLX1uWOI6BzvpXXfag/edit?usp=drivesdk" TargetMode="External"/><Relationship Id="rId97" Type="http://schemas.openxmlformats.org/officeDocument/2006/relationships/hyperlink" Target="https://docs.google.com/spreadsheets/d/1EcerOxpV2Na3WyJrFgqAZQiMooBBLo6K2mcYcOwDtJ4/edit?usp=drivesdk" TargetMode="External"/><Relationship Id="rId96" Type="http://schemas.openxmlformats.org/officeDocument/2006/relationships/hyperlink" Target="https://docs.google.com/spreadsheets/d/1Ecvrj8YoJjFPYZiZil_1FokNAQP8YXab1NtM3FISgjU/edit?usp=sharing" TargetMode="External"/><Relationship Id="rId11" Type="http://schemas.openxmlformats.org/officeDocument/2006/relationships/hyperlink" Target="https://docs.google.com/spreadsheets/d/12cuzlS9Re5KNBYD1uzsHowB6_GfJEPue3dnH3_-7N_A/edit?usp=drivesdk" TargetMode="External"/><Relationship Id="rId99" Type="http://schemas.openxmlformats.org/officeDocument/2006/relationships/hyperlink" Target="https://docs.google.com/spreadsheets/d/1Cj-xU-9AjtjVaeN9j6NgOjGgwIQaiFsjLPNEx66qz50/edit?usp=drivesdk" TargetMode="External"/><Relationship Id="rId10" Type="http://schemas.openxmlformats.org/officeDocument/2006/relationships/hyperlink" Target="https://docs.google.com/spreadsheets/d/19QvIZ6STExSmer5do2t3kfsDC9-990tKm2gH094a4YQ/edit?usp=drivesdk" TargetMode="External"/><Relationship Id="rId98" Type="http://schemas.openxmlformats.org/officeDocument/2006/relationships/hyperlink" Target="https://docs.google.com/spreadsheets/d/1W2B-wSuM2PC8ux1tnHm-MjrFxzUD22z2KqFTLA4ua-4/edit?usp=drive_link" TargetMode="External"/><Relationship Id="rId13" Type="http://schemas.openxmlformats.org/officeDocument/2006/relationships/hyperlink" Target="https://docs.google.com/spreadsheets/d/1d98j9l1a6mbyHeXQKqOeDyOnrCTXhsUF5oEYxU7rK04/edit?usp=drivesdk" TargetMode="External"/><Relationship Id="rId12" Type="http://schemas.openxmlformats.org/officeDocument/2006/relationships/hyperlink" Target="https://docs.google.com/spreadsheets/d/1-qFC3ijuqkXx-Yktdd5g3RTShhCUhiovMvnOhOWYgtc/edit?usp=drivesdk" TargetMode="External"/><Relationship Id="rId91" Type="http://schemas.openxmlformats.org/officeDocument/2006/relationships/hyperlink" Target="https://docs.google.com/spreadsheets/d/17D0H8LMHSWJdbwWbrNbfMuVYvVrph9GDLZFDcockJm4/edit?usp=drive_link" TargetMode="External"/><Relationship Id="rId90" Type="http://schemas.openxmlformats.org/officeDocument/2006/relationships/hyperlink" Target="https://docs.google.com/spreadsheets/d/1JHMvIS-cRA7FBoTFMzfHluJNg5xfHfzbioJhwQ8HA4U/edit?usp=drivesdk" TargetMode="External"/><Relationship Id="rId93" Type="http://schemas.openxmlformats.org/officeDocument/2006/relationships/hyperlink" Target="https://docs.google.com/spreadsheets/d/1p3kvdU45ASbSd_bCZq2zm69aHlj--HdsW9Xl6lYBd4A/edit?usp=drivesdk" TargetMode="External"/><Relationship Id="rId92" Type="http://schemas.openxmlformats.org/officeDocument/2006/relationships/hyperlink" Target="https://docs.google.com/spreadsheets/d/1XVIDumlA3PATMBV366U9qd-P4fLOt5lMCCKlHUO-is0/edit?usp=drivesdk" TargetMode="External"/><Relationship Id="rId118" Type="http://schemas.openxmlformats.org/officeDocument/2006/relationships/hyperlink" Target="https://docs.google.com/spreadsheets/d/1ofMDPCUpG4mu7S5gAB5DAeYUpO0XhmGLrHbF9mfdzJk/edit?usp=drivesdk" TargetMode="External"/><Relationship Id="rId117" Type="http://schemas.openxmlformats.org/officeDocument/2006/relationships/hyperlink" Target="https://docs.google.com/spreadsheets/d/1ni93iUxoUz_AZU2NKJ0aPh1y6KZYWyi6utg6wU1MZGE/edit?usp=drivesdk" TargetMode="External"/><Relationship Id="rId116" Type="http://schemas.openxmlformats.org/officeDocument/2006/relationships/hyperlink" Target="https://docs.google.com/spreadsheets/d/1T1Gvk_PQPHIlzPBD0nfwxVXcXjfFg4iplhKl-59s8Yg/edit?usp=drivesdk" TargetMode="External"/><Relationship Id="rId115" Type="http://schemas.openxmlformats.org/officeDocument/2006/relationships/hyperlink" Target="https://docs.google.com/spreadsheets/d/1XsGP3ok3b7ScZNvjq7Fn5BJsI6z9C9lebM2FZejpXHI/edit?usp=drivesdk" TargetMode="External"/><Relationship Id="rId119" Type="http://schemas.openxmlformats.org/officeDocument/2006/relationships/hyperlink" Target="https://docs.google.com/spreadsheets/d/13Z2NQyCH8HD25eD415NTjdJOOE64DcgWrqVtRMHpGIU/edit?usp=drivesdk" TargetMode="External"/><Relationship Id="rId15" Type="http://schemas.openxmlformats.org/officeDocument/2006/relationships/hyperlink" Target="https://docs.google.com/spreadsheets/d/14_fQTSTAr-avVBRNFGSNv-iDYOwOQcS5_aMw6Sf8sDU/edit?usp=drivesdk" TargetMode="External"/><Relationship Id="rId110" Type="http://schemas.openxmlformats.org/officeDocument/2006/relationships/hyperlink" Target="https://docs.google.com/spreadsheets/d/1Z7xsqwH3amkElvNdh3Hfa77_Pu8g8UB3GkcU0nStjVI/edit?usp=drivesdk" TargetMode="External"/><Relationship Id="rId14" Type="http://schemas.openxmlformats.org/officeDocument/2006/relationships/hyperlink" Target="https://docs.google.com/spreadsheets/d/1HCAEgGKUH47cqe4_dg9RmSEO6LARaTYcgIeFvwxs46A/edit?usp=drivesdk" TargetMode="External"/><Relationship Id="rId17" Type="http://schemas.openxmlformats.org/officeDocument/2006/relationships/hyperlink" Target="https://docs.google.com/spreadsheets/d/1vmg-8nNwFux-VnzDU8w7onwsE45fBIiwGVUXXsCG4e8/edit?usp=drivesdk" TargetMode="External"/><Relationship Id="rId16" Type="http://schemas.openxmlformats.org/officeDocument/2006/relationships/hyperlink" Target="https://docs.google.com/spreadsheets/d/1KKYzMNIiv6a6DjFgCJoczwtEQHX1DSYD0rjEtEKIyV0/edit?usp=drivesdk" TargetMode="External"/><Relationship Id="rId19" Type="http://schemas.openxmlformats.org/officeDocument/2006/relationships/hyperlink" Target="https://docs.google.com/spreadsheets/d/13pQ3773A5siqJx-TxnAocKKueKbmemH6mPob7FF3q2o/edit?usp=drivesdk" TargetMode="External"/><Relationship Id="rId114" Type="http://schemas.openxmlformats.org/officeDocument/2006/relationships/hyperlink" Target="https://docs.google.com/spreadsheets/d/1O7bTaus7bOrVLpU1M8jYCZIzeH20VkgmsEBcNWBA1OA/edit?usp=drivesdk" TargetMode="External"/><Relationship Id="rId18" Type="http://schemas.openxmlformats.org/officeDocument/2006/relationships/hyperlink" Target="https://docs.google.com/spreadsheets/d/1uxnekuhIZYdtmnmC3GgLoOzIr_A0B2L6dxTumucZMKc/edit?usp=drivesdk" TargetMode="External"/><Relationship Id="rId113" Type="http://schemas.openxmlformats.org/officeDocument/2006/relationships/hyperlink" Target="https://docs.google.com/spreadsheets/d/1KfootIuGJo2DnRwVaCUMwsEZ-lrLmoY7kGT5FUJpQHY/edit?usp=drivesdk" TargetMode="External"/><Relationship Id="rId112" Type="http://schemas.openxmlformats.org/officeDocument/2006/relationships/hyperlink" Target="https://docs.google.com/spreadsheets/d/1iN5PP-Tj7AaJaxz1UL05wchDoeYVTI5MiAvo9WOItmA/edit?usp=drivesdk" TargetMode="External"/><Relationship Id="rId111" Type="http://schemas.openxmlformats.org/officeDocument/2006/relationships/hyperlink" Target="https://docs.google.com/spreadsheets/d/1LSehiUMH4_pHzn11H3j_PBdMzi0I7oNFENMJabfQ4Hw/edit?usp=drivesdk" TargetMode="External"/><Relationship Id="rId84" Type="http://schemas.openxmlformats.org/officeDocument/2006/relationships/hyperlink" Target="https://docs.google.com/spreadsheets/d/1AyUNcORAgM4RXuWSOrNMK4nL0bKK7bJZqEL0YpOZ0qg/edit?usp=drivesdk" TargetMode="External"/><Relationship Id="rId83" Type="http://schemas.openxmlformats.org/officeDocument/2006/relationships/hyperlink" Target="https://docs.google.com/spreadsheets/d/1p1Vvqj825F2ee0qC9FtB7DAE_BbKg24V5-noJFuscZg/edit?usp=drivesdk" TargetMode="External"/><Relationship Id="rId86" Type="http://schemas.openxmlformats.org/officeDocument/2006/relationships/hyperlink" Target="https://docs.google.com/spreadsheets/d/1Wy_5PdDGRNprxEPAVvEJCX0L52gNo_T86AfEnMsR5qo/edit?usp=drivesdk" TargetMode="External"/><Relationship Id="rId85" Type="http://schemas.openxmlformats.org/officeDocument/2006/relationships/hyperlink" Target="https://docs.google.com/spreadsheets/d/1ItKf23mMj0lhg6a6cZ037Q_dPYggL9HZC_zsQpb2o7o/edit?usp=drivesdk" TargetMode="External"/><Relationship Id="rId88" Type="http://schemas.openxmlformats.org/officeDocument/2006/relationships/hyperlink" Target="https://docs.google.com/spreadsheets/d/13FLgMpIsEMyDZU4qymyN4vKorHQ9l_6gjK8lxO_um3U/edit?usp=drivesdk" TargetMode="External"/><Relationship Id="rId87" Type="http://schemas.openxmlformats.org/officeDocument/2006/relationships/hyperlink" Target="https://docs.google.com/spreadsheets/d/1IiZKDKAzysMoyv55T188ECuyI4xipdS4gUrWLGziOOE/edit?usp=drivesdk" TargetMode="External"/><Relationship Id="rId89" Type="http://schemas.openxmlformats.org/officeDocument/2006/relationships/hyperlink" Target="https://docs.google.com/spreadsheets/d/1jmaaXV9T_2HlWQV5L5Gwe-DZBbfsM5PPp2a7yPWFBjM/edit?usp=drivesdk" TargetMode="External"/><Relationship Id="rId80" Type="http://schemas.openxmlformats.org/officeDocument/2006/relationships/hyperlink" Target="https://docs.google.com/spreadsheets/d/1sI4kSiP6Yr_aAiiM00cYSXQdp61jJXGs7fhW6jUpGns/edit?usp=drive_link" TargetMode="External"/><Relationship Id="rId82" Type="http://schemas.openxmlformats.org/officeDocument/2006/relationships/hyperlink" Target="https://docs.google.com/spreadsheets/d/1rk948Ezw59id0VCJehXxJkw5J5yAVv5yAESGwJTOweI/edit?usp=drivesdk" TargetMode="External"/><Relationship Id="rId81" Type="http://schemas.openxmlformats.org/officeDocument/2006/relationships/hyperlink" Target="https://docs.google.com/spreadsheets/d/15HnreLzm-Ecm1ylxMX_5GuDc3yDsCGYDvnaMITyURwo/edit?usp=drivesdk" TargetMode="External"/><Relationship Id="rId1" Type="http://schemas.openxmlformats.org/officeDocument/2006/relationships/hyperlink" Target="https://docs.google.com/spreadsheets/d/1dhv1_0hiSfoJkU5-kznEk8hxhkwQ_PPbDUjKyY-2_FA/edit?usp=drivesdk" TargetMode="External"/><Relationship Id="rId2" Type="http://schemas.openxmlformats.org/officeDocument/2006/relationships/hyperlink" Target="https://docs.google.com/spreadsheets/d/1MBnckGwAVpeOaHqFblCPDekC-O9N-cVpGJwrwnfWZKo/edit?usp=drivesdk" TargetMode="External"/><Relationship Id="rId3" Type="http://schemas.openxmlformats.org/officeDocument/2006/relationships/hyperlink" Target="https://docs.google.com/spreadsheets/d/1Ek1ocKSKtpNFbSRVqwTJR1uKq5PmVlwORzBtT1zUBK8/edit?usp=drivesdk" TargetMode="External"/><Relationship Id="rId4" Type="http://schemas.openxmlformats.org/officeDocument/2006/relationships/hyperlink" Target="https://docs.google.com/spreadsheets/d/1ok1234jufTF6gmNQnYrL3veVUwwWkNf5KBqw1_1fJQI/edit?usp=drivesdk" TargetMode="External"/><Relationship Id="rId9" Type="http://schemas.openxmlformats.org/officeDocument/2006/relationships/hyperlink" Target="https://docs.google.com/spreadsheets/d/1TsKeYt8EVBaix_aaiq1yt2yEz5N-8KWPXI42eZKop48/edit?usp=drivesdk" TargetMode="External"/><Relationship Id="rId5" Type="http://schemas.openxmlformats.org/officeDocument/2006/relationships/hyperlink" Target="https://docs.google.com/spreadsheets/d/1cwlrPtruw_Yxu_yjTUYGpV5y4V1Ss0myVlmQTxmjGNA/edit?usp=drivesdk" TargetMode="External"/><Relationship Id="rId6" Type="http://schemas.openxmlformats.org/officeDocument/2006/relationships/hyperlink" Target="https://docs.google.com/spreadsheets/d/1uSfl89DcmB4vZrOx3slZtMyf0-JRzrd9mFzSYFEuaBI/edit?usp=drivesdk" TargetMode="External"/><Relationship Id="rId7" Type="http://schemas.openxmlformats.org/officeDocument/2006/relationships/hyperlink" Target="https://docs.google.com/spreadsheets/d/13w-mdUlWXCfTCybWBzjAdeK_XcCezFtB3cF6d_D1Xts/edit?usp=drivesdk" TargetMode="External"/><Relationship Id="rId8" Type="http://schemas.openxmlformats.org/officeDocument/2006/relationships/hyperlink" Target="https://docs.google.com/spreadsheets/d/1mrtBKXnkKr7mQSZHJi4Ag6EbVtWFEPlVXMhpkf-mch0/edit?usp=drivesdk" TargetMode="External"/><Relationship Id="rId73" Type="http://schemas.openxmlformats.org/officeDocument/2006/relationships/hyperlink" Target="https://docs.google.com/spreadsheets/d/1fHUMC9Zb-Eb3eGZicgJF43FJJq72bc18ZFh27NZOKDQ/edit?usp=drive_link" TargetMode="External"/><Relationship Id="rId72" Type="http://schemas.openxmlformats.org/officeDocument/2006/relationships/hyperlink" Target="https://docs.google.com/spreadsheets/d/1XFawn1geBhh8OUs2LRzAj4gjoC0wUmzeY48ulRd06dA/edit?usp=drivesdk" TargetMode="External"/><Relationship Id="rId75" Type="http://schemas.openxmlformats.org/officeDocument/2006/relationships/hyperlink" Target="https://docs.google.com/spreadsheets/d/1ZRV4qSwhPvaTveh1JFAR-sGPuaBf36TuhwrY_r20pgk/edit?usp=drivesdk" TargetMode="External"/><Relationship Id="rId74" Type="http://schemas.openxmlformats.org/officeDocument/2006/relationships/hyperlink" Target="https://docs.google.com/spreadsheets/d/1-AzrdbuGYaAOmSPL325zALfR6MzrL1jyPNZRqRoSGDc/edit?usp=drivesdk" TargetMode="External"/><Relationship Id="rId77" Type="http://schemas.openxmlformats.org/officeDocument/2006/relationships/hyperlink" Target="https://docs.google.com/spreadsheets/d/1b1VclikjSZmlVF7niocJKt75qZO7ZDlwWgdk1Jqwz7Y/edit?usp=drivesdk" TargetMode="External"/><Relationship Id="rId76" Type="http://schemas.openxmlformats.org/officeDocument/2006/relationships/hyperlink" Target="https://docs.google.com/spreadsheets/d/1-ofHBsBUG5dDKMVd-h6bqY2yQKAr8rrMA9TKNyDFp-4/edit?usp=drivesdk" TargetMode="External"/><Relationship Id="rId79" Type="http://schemas.openxmlformats.org/officeDocument/2006/relationships/hyperlink" Target="https://docs.google.com/spreadsheets/d/1nWvS3kRwOU1qzAjehRmKQFzjveNqvTt3g39OlO1-f0A/edit?usp=drivesdk" TargetMode="External"/><Relationship Id="rId78" Type="http://schemas.openxmlformats.org/officeDocument/2006/relationships/hyperlink" Target="https://docs.google.com/spreadsheets/d/1dtW7oFfvpElDkllLiiHoaMnt-tS9VEfDmmi2qcmtJww/edit?usp=drivesdk" TargetMode="External"/><Relationship Id="rId71" Type="http://schemas.openxmlformats.org/officeDocument/2006/relationships/hyperlink" Target="https://docs.google.com/spreadsheets/d/1nJVxv-iu--fScZ6mYUq-8GoGoVrbMzABo_VTxMzSv78/edit?usp=drivesdk" TargetMode="External"/><Relationship Id="rId70" Type="http://schemas.openxmlformats.org/officeDocument/2006/relationships/hyperlink" Target="https://docs.google.com/spreadsheets/d/1pBO3p0JrSKUOTfqd8XGwFlwuWLfsPx8rPsFxoipmqCM/edit?usp=drivesdk" TargetMode="External"/><Relationship Id="rId137" Type="http://schemas.openxmlformats.org/officeDocument/2006/relationships/drawing" Target="../drawings/drawing3.xml"/><Relationship Id="rId132" Type="http://schemas.openxmlformats.org/officeDocument/2006/relationships/hyperlink" Target="mailto:shahasrarahmad@gmail.com" TargetMode="External"/><Relationship Id="rId131" Type="http://schemas.openxmlformats.org/officeDocument/2006/relationships/hyperlink" Target="https://docs.google.com/spreadsheets/d/1d1xJhdetWalAbnkfkf1aYCRCjttRkzuGD1niN3TkmvI/edit?usp=drivesdk" TargetMode="External"/><Relationship Id="rId130" Type="http://schemas.openxmlformats.org/officeDocument/2006/relationships/hyperlink" Target="https://docs.google.com/spreadsheets/d/1e5a6Lrqy5r7j3eT5uIQgn4f-FGGnSzS9lV5zGmlGEUA/edit?usp=drivesdk" TargetMode="External"/><Relationship Id="rId136" Type="http://schemas.openxmlformats.org/officeDocument/2006/relationships/hyperlink" Target="https://docs.google.com/spreadsheets/d/1c06h0m2azuC27F6MDdGh9H4MZDF-6BalNfyWvmxNXxw/edit?usp=drivesdk" TargetMode="External"/><Relationship Id="rId135" Type="http://schemas.openxmlformats.org/officeDocument/2006/relationships/hyperlink" Target="https://docs.google.com/spreadsheets/d/1m96alep541rzuOLa1Bq4yZaeuAy9ctxGMk_gJtdxRRY/edit?usp=drivesdk" TargetMode="External"/><Relationship Id="rId134" Type="http://schemas.openxmlformats.org/officeDocument/2006/relationships/hyperlink" Target="mailto:howardklim1510@gmail.com" TargetMode="External"/><Relationship Id="rId133" Type="http://schemas.openxmlformats.org/officeDocument/2006/relationships/hyperlink" Target="https://docs.google.com/spreadsheets/d/1BzglDzgnpOP_fgL48AKnO_Z29ewhXZVbYqvUVR8d3tc/edit?usp=drivesdk" TargetMode="External"/><Relationship Id="rId62" Type="http://schemas.openxmlformats.org/officeDocument/2006/relationships/hyperlink" Target="https://docs.google.com/spreadsheets/d/1WP_b_SX1lgyhjGra453enlXRQNax-mrPJ3QZ5ejjPQw/edit?usp=drivesdk" TargetMode="External"/><Relationship Id="rId61" Type="http://schemas.openxmlformats.org/officeDocument/2006/relationships/hyperlink" Target="https://docs.google.com/spreadsheets/d/16IvJ0Q9cH40lqCFRkw-UyQUxnzXzO08i04cSd8aAGes/edit?usp=drivesdk" TargetMode="External"/><Relationship Id="rId64" Type="http://schemas.openxmlformats.org/officeDocument/2006/relationships/hyperlink" Target="https://docs.google.com/spreadsheets/d/1B8riig5oPmNpYQHcwkoP8GTtDAKzt1QWEMe33GPpKeA/edit?usp=drivesdk" TargetMode="External"/><Relationship Id="rId63" Type="http://schemas.openxmlformats.org/officeDocument/2006/relationships/hyperlink" Target="https://docs.google.com/spreadsheets/d/1oAv2vfrd8Bk06YG3Rc_sI3j660s0lhr_gabP3z7EKAo/edit?usp=drivesdk" TargetMode="External"/><Relationship Id="rId66" Type="http://schemas.openxmlformats.org/officeDocument/2006/relationships/hyperlink" Target="https://docs.google.com/spreadsheets/d/1QKjFGuj08Ddir91PEGmP2dv1lGauwJWaM9TBiU-Wc_w/edit?usp=drivesdk" TargetMode="External"/><Relationship Id="rId65" Type="http://schemas.openxmlformats.org/officeDocument/2006/relationships/hyperlink" Target="https://docs.google.com/spreadsheets/d/1TFlwjmuHePPuyaboxw_QtuFotGbpIyutUw16X7avwwE/edit?usp=drivesdk" TargetMode="External"/><Relationship Id="rId68" Type="http://schemas.openxmlformats.org/officeDocument/2006/relationships/hyperlink" Target="https://docs.google.com/spreadsheets/d/1I8mHOtf8O0PuGuC_nX1GMqyhdMrMs-JjsrzaAvhNMOQ/edit?usp=drivesdk" TargetMode="External"/><Relationship Id="rId67" Type="http://schemas.openxmlformats.org/officeDocument/2006/relationships/hyperlink" Target="https://docs.google.com/spreadsheets/d/1M8KzW0wWCQKGdhO8IS0WfmA0_3PryM17_Dnc0MDPPQk/edit?usp=drivesdk" TargetMode="External"/><Relationship Id="rId60" Type="http://schemas.openxmlformats.org/officeDocument/2006/relationships/hyperlink" Target="https://docs.google.com/spreadsheets/d/1iB02cCfWEki6w71Bzfr2-mqeHeCgsJDHFwQuh59IC_U/edit?usp=drivesdk" TargetMode="External"/><Relationship Id="rId69" Type="http://schemas.openxmlformats.org/officeDocument/2006/relationships/hyperlink" Target="https://docs.google.com/spreadsheets/d/1W_IEXjMfF4jHesT9n_B-Rv60lb0XLxmtfJOcgcemYVA/edit?usp=drivesdk" TargetMode="External"/><Relationship Id="rId51" Type="http://schemas.openxmlformats.org/officeDocument/2006/relationships/hyperlink" Target="https://docs.google.com/spreadsheets/d/1gDEH_58WoA1PWOCwK4G7CEhtjWLGb9vMr24d1jrTaNs/edit?usp=drivesdk" TargetMode="External"/><Relationship Id="rId50" Type="http://schemas.openxmlformats.org/officeDocument/2006/relationships/hyperlink" Target="https://docs.google.com/spreadsheets/d/17F11EfgAyViMwQKDHGSP7uPWudSDPQxYPa6lvtBAp04/edit?usp=drivesdk" TargetMode="External"/><Relationship Id="rId53" Type="http://schemas.openxmlformats.org/officeDocument/2006/relationships/hyperlink" Target="https://docs.google.com/spreadsheets/d/1QPm5e1Ya076_Dhu4uMjyTzVJWTaw_IGlWa1Xonp-8CM/edit?usp=drivesdk" TargetMode="External"/><Relationship Id="rId52" Type="http://schemas.openxmlformats.org/officeDocument/2006/relationships/hyperlink" Target="https://docs.google.com/spreadsheets/d/1gOHNXrx1Hr_fFXFBDc9cBGvWRkrzpA22a8CzWl8B6dk/edit?usp=drivesdk" TargetMode="External"/><Relationship Id="rId55" Type="http://schemas.openxmlformats.org/officeDocument/2006/relationships/hyperlink" Target="https://docs.google.com/spreadsheets/d/1dGG1McBvaiw3fh8JIFQCNX9ABFYkGM1k6RRPI1ZvBdg/edit?usp=drivesdk" TargetMode="External"/><Relationship Id="rId54" Type="http://schemas.openxmlformats.org/officeDocument/2006/relationships/hyperlink" Target="https://docs.google.com/spreadsheets/d/1fspgqGkbhrlKHZeIdscKjA0tty0Xkg4hEQ65jo3HZBQ/edit?usp=drivesdk" TargetMode="External"/><Relationship Id="rId57" Type="http://schemas.openxmlformats.org/officeDocument/2006/relationships/hyperlink" Target="https://docs.google.com/spreadsheets/d/1smW-loNEI835BOq4_d1x188HuB_PEej4_GNTdfk1f-g/edit?usp=drivesdk" TargetMode="External"/><Relationship Id="rId56" Type="http://schemas.openxmlformats.org/officeDocument/2006/relationships/hyperlink" Target="https://docs.google.com/spreadsheets/d/1__bylC8N_ZEHtcpJRl5vrRatcFZKGuSRITcNII5Yj7o/edit?usp=drivesdk" TargetMode="External"/><Relationship Id="rId59" Type="http://schemas.openxmlformats.org/officeDocument/2006/relationships/hyperlink" Target="https://docs.google.com/spreadsheets/d/1oZTGqfvimZ1BHJRzKimTqa0oq-lqLQ2g0EdtbOacyac/edit?usp=drivesdk" TargetMode="External"/><Relationship Id="rId58" Type="http://schemas.openxmlformats.org/officeDocument/2006/relationships/hyperlink" Target="https://docs.google.com/spreadsheets/d/1k-4ffVXpL12XrZI1sEhuVAVFEeXLGm3yFhttD-Zb75k/edit?usp=drivesdk"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www.canva.com/design/DAGj9OE1cKA/77C-82xeGCjyXt_Spi7oew/edit"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40" Type="http://schemas.openxmlformats.org/officeDocument/2006/relationships/hyperlink" Target="https://drive.google.com/open?id=1t86FjeJ2Mtc2W1fHNfKcu4a8dvu9OqwL&amp;amp;usp=drive_copy" TargetMode="External"/><Relationship Id="rId42" Type="http://schemas.openxmlformats.org/officeDocument/2006/relationships/hyperlink" Target="https://drive.google.com/open?id=19XIYTT8FU1o8WW8-OWpAMr72RPgO_6GV&amp;amp;usp=drive_copy" TargetMode="External"/><Relationship Id="rId41" Type="http://schemas.openxmlformats.org/officeDocument/2006/relationships/hyperlink" Target="https://drive.google.com/open?id=1qGgxNoHvmOs2JuJVIq6uutNGOuL1Vzqa&amp;amp;usp=drive_copy" TargetMode="External"/><Relationship Id="rId44" Type="http://schemas.openxmlformats.org/officeDocument/2006/relationships/hyperlink" Target="https://drive.google.com/open?id=1u9H4zsemgSz1s88ZySLxbcAfAUETdT1G&amp;amp;usp=drive_copy" TargetMode="External"/><Relationship Id="rId43" Type="http://schemas.openxmlformats.org/officeDocument/2006/relationships/hyperlink" Target="https://drive.google.com/open?id=11TRytdC6pgi703XwU9ajYW36JZeKbzRW&amp;amp;usp=drive_copy" TargetMode="External"/><Relationship Id="rId46" Type="http://schemas.openxmlformats.org/officeDocument/2006/relationships/hyperlink" Target="https://drive.google.com/open?id=1qeZgPHvGx0U0uEQ1Ls39p6ITlshoSAEw&amp;amp;usp=drive_copy" TargetMode="External"/><Relationship Id="rId45" Type="http://schemas.openxmlformats.org/officeDocument/2006/relationships/hyperlink" Target="https://drive.google.com/open?id=1hPBv57SWsvxUfaZDyCuNjltJyPFuJtmO&amp;amp;usp=drive_copy" TargetMode="External"/><Relationship Id="rId48" Type="http://schemas.openxmlformats.org/officeDocument/2006/relationships/hyperlink" Target="https://drive.google.com/open?id=1ep2vOpkgh1b0qnWN9wO1Jr5WusfcdD9k&amp;amp;usp=drive_copy" TargetMode="External"/><Relationship Id="rId47" Type="http://schemas.openxmlformats.org/officeDocument/2006/relationships/hyperlink" Target="https://drive.google.com/open?id=1REcEQ_4izruILG7bAWuabMp1FQT0OCYJ&amp;amp;usp=drive_copy" TargetMode="External"/><Relationship Id="rId49" Type="http://schemas.openxmlformats.org/officeDocument/2006/relationships/hyperlink" Target="https://drive.google.com/open?id=1cRfZGQCnnk2SBM_YC2Ate6_oCIGDwE83&amp;amp;usp=drive_copy" TargetMode="External"/><Relationship Id="rId31" Type="http://schemas.openxmlformats.org/officeDocument/2006/relationships/hyperlink" Target="https://drive.google.com/open?id=1Cm1FQAzkPle2r1paMENXiupjpAnFVIWd&amp;amp;usp=drive_copy" TargetMode="External"/><Relationship Id="rId30" Type="http://schemas.openxmlformats.org/officeDocument/2006/relationships/hyperlink" Target="https://drive.google.com/open?id=18o3gkTq-uuxqS97XJTItN9iCHFhJZIe6&amp;amp;usp=drive_copy" TargetMode="External"/><Relationship Id="rId33" Type="http://schemas.openxmlformats.org/officeDocument/2006/relationships/hyperlink" Target="https://drive.google.com/open?id=1kF9J3--49s_F-skzpBsndCpepmy5IKaz&amp;amp;usp=drive_copy" TargetMode="External"/><Relationship Id="rId32" Type="http://schemas.openxmlformats.org/officeDocument/2006/relationships/hyperlink" Target="https://drive.google.com/open?id=1q4CzugBLFD5rshZCwDyuVtyODSxuW7qh&amp;amp;usp=drive_copy" TargetMode="External"/><Relationship Id="rId35" Type="http://schemas.openxmlformats.org/officeDocument/2006/relationships/hyperlink" Target="https://drive.google.com/open?id=1QbOR4hSZvxVHGUnwNibUYQ1Cm_gL7Fs5&amp;amp;usp=drive_copy" TargetMode="External"/><Relationship Id="rId34" Type="http://schemas.openxmlformats.org/officeDocument/2006/relationships/hyperlink" Target="https://drive.google.com/open?id=1yk6HnArFVGHbpSlED1MzdwQ5HrILutwX&amp;amp;usp=drive_copy" TargetMode="External"/><Relationship Id="rId37" Type="http://schemas.openxmlformats.org/officeDocument/2006/relationships/hyperlink" Target="https://drive.google.com/open?id=1XYe9k4oWKrt-20pHSuYi6HlQaGKlfi_Y&amp;amp;usp=drive_copy" TargetMode="External"/><Relationship Id="rId36" Type="http://schemas.openxmlformats.org/officeDocument/2006/relationships/hyperlink" Target="https://drive.google.com/open?id=1EisK3kAwwQPbcyDXCO7rgY8DUjrRQkYO&amp;amp;usp=drive_copy" TargetMode="External"/><Relationship Id="rId39" Type="http://schemas.openxmlformats.org/officeDocument/2006/relationships/hyperlink" Target="https://drive.google.com/open?id=1Lf29C2bFsyJUWDEn0akl4Ae5xp5as1qs&amp;amp;usp=drive_copy" TargetMode="External"/><Relationship Id="rId38" Type="http://schemas.openxmlformats.org/officeDocument/2006/relationships/hyperlink" Target="https://drive.google.com/open?id=1grRv5uivMh_SYosiSsTEbFvBbTDeNHhj&amp;amp;usp=drive_copy" TargetMode="External"/><Relationship Id="rId20" Type="http://schemas.openxmlformats.org/officeDocument/2006/relationships/hyperlink" Target="https://drive.google.com/open?id=11wBVFZ9exewG7hAIJHss65iBBykVSGbz&amp;amp;usp=drive_copy" TargetMode="External"/><Relationship Id="rId22" Type="http://schemas.openxmlformats.org/officeDocument/2006/relationships/hyperlink" Target="https://drive.google.com/open?id=1W6s5s3bvUzujESWIq45L-HhhBVyXYp0p&amp;amp;usp=drive_copy" TargetMode="External"/><Relationship Id="rId21" Type="http://schemas.openxmlformats.org/officeDocument/2006/relationships/hyperlink" Target="https://drive.google.com/open?id=1lDnbUr8tjovGzvmBDT4iZpGPMiUkaYHf&amp;amp;usp=drive_copy" TargetMode="External"/><Relationship Id="rId24" Type="http://schemas.openxmlformats.org/officeDocument/2006/relationships/hyperlink" Target="https://drive.google.com/open?id=1PMGJNQwLWKZnfHoY7BYNu_YKI13qk29N&amp;amp;usp=drive_copy" TargetMode="External"/><Relationship Id="rId23" Type="http://schemas.openxmlformats.org/officeDocument/2006/relationships/hyperlink" Target="https://drive.google.com/open?id=17qbmaS27k1KW-gPr93JKg6_f1R1kBxXL&amp;amp;usp=drive_copy" TargetMode="External"/><Relationship Id="rId26" Type="http://schemas.openxmlformats.org/officeDocument/2006/relationships/hyperlink" Target="https://drive.google.com/open?id=1KZNQilMR-AMyWZoqATND9pRJge_OJMQA&amp;amp;usp=drive_copy" TargetMode="External"/><Relationship Id="rId25" Type="http://schemas.openxmlformats.org/officeDocument/2006/relationships/hyperlink" Target="https://drive.google.com/open?id=1jwZxx75YK0SUrq9wGOZXsOkO9jegW41Z&amp;amp;usp=drive_copy" TargetMode="External"/><Relationship Id="rId28" Type="http://schemas.openxmlformats.org/officeDocument/2006/relationships/hyperlink" Target="https://drive.google.com/open?id=1zBPvUXk_ZJRkWO8UprX-pfXoT7CMj3k7&amp;amp;usp=drive_copy" TargetMode="External"/><Relationship Id="rId27" Type="http://schemas.openxmlformats.org/officeDocument/2006/relationships/hyperlink" Target="https://drive.google.com/open?id=1kjLU5Sq1vQrYnt8NWTbcbqpvMIbnQlGB&amp;amp;usp=drive_copy" TargetMode="External"/><Relationship Id="rId29" Type="http://schemas.openxmlformats.org/officeDocument/2006/relationships/hyperlink" Target="https://drive.google.com/open?id=1XIuSYPoo-ZfmRuPjCLOUXnw9mXrK1HAZ&amp;amp;usp=drive_copy" TargetMode="External"/><Relationship Id="rId11" Type="http://schemas.openxmlformats.org/officeDocument/2006/relationships/hyperlink" Target="https://drive.google.com/open?id=1_TjKHVYEIowe2hZzmqxxeXMAT6DfDYtd&amp;amp;usp=drive_copy" TargetMode="External"/><Relationship Id="rId10" Type="http://schemas.openxmlformats.org/officeDocument/2006/relationships/hyperlink" Target="https://drive.google.com/open?id=1Hi7AqeYphV8qTR9wdsS2CRYbS5I2ltLk&amp;amp;usp=drive_copy" TargetMode="External"/><Relationship Id="rId13" Type="http://schemas.openxmlformats.org/officeDocument/2006/relationships/hyperlink" Target="https://drive.google.com/open?id=1XZUjm225y7_n5Ls3eheWfLLWRK0jYP4w&amp;amp;usp=drive_copy" TargetMode="External"/><Relationship Id="rId12" Type="http://schemas.openxmlformats.org/officeDocument/2006/relationships/hyperlink" Target="https://drive.google.com/open?id=1IUsm6tjCQNiJxdC_lFYdh3S4bpnIxNGV&amp;amp;usp=drive_copy" TargetMode="External"/><Relationship Id="rId15" Type="http://schemas.openxmlformats.org/officeDocument/2006/relationships/hyperlink" Target="https://drive.google.com/open?id=1ySSM0IxI7OaYqs6Xr6h_R4SUXciYko5t&amp;amp;usp=drive_copy" TargetMode="External"/><Relationship Id="rId14" Type="http://schemas.openxmlformats.org/officeDocument/2006/relationships/hyperlink" Target="https://drive.google.com/open?id=1OjIFGjLQM7_J1pzyAOu-Q3B0VWGCkT-V&amp;amp;usp=drive_copy" TargetMode="External"/><Relationship Id="rId17" Type="http://schemas.openxmlformats.org/officeDocument/2006/relationships/hyperlink" Target="https://drive.google.com/open?id=15l7LgBluy-sI1ytIBWuxEN6_u1Zx-vjb&amp;amp;usp=drive_copy" TargetMode="External"/><Relationship Id="rId16" Type="http://schemas.openxmlformats.org/officeDocument/2006/relationships/hyperlink" Target="https://drive.google.com/open?id=1HqHL3I3ZKxRpoazV9egjpvYKOE_bZ9TU&amp;amp;usp=drive_copy" TargetMode="External"/><Relationship Id="rId19" Type="http://schemas.openxmlformats.org/officeDocument/2006/relationships/hyperlink" Target="https://drive.google.com/open?id=1fT9U1VP90NgDbRaRw49TZQWiWjIvXqY9&amp;amp;usp=drive_copy" TargetMode="External"/><Relationship Id="rId18" Type="http://schemas.openxmlformats.org/officeDocument/2006/relationships/hyperlink" Target="https://drive.google.com/open?id=11EHi_WVCTTWJUbRX9oFe8keLqu8kvvDk&amp;amp;usp=drive_copy" TargetMode="External"/><Relationship Id="rId1" Type="http://schemas.openxmlformats.org/officeDocument/2006/relationships/hyperlink" Target="https://drive.google.com/open?id=1RqodYI5XyO_euX9_cC38a0laasC6pdji&amp;amp;usp=drive_copy" TargetMode="External"/><Relationship Id="rId2" Type="http://schemas.openxmlformats.org/officeDocument/2006/relationships/hyperlink" Target="https://drive.google.com/open?id=1CdT4ah7XbjXbOeMeYsus3_y5h-zR8h6A&amp;amp;usp=drive_copy" TargetMode="External"/><Relationship Id="rId3" Type="http://schemas.openxmlformats.org/officeDocument/2006/relationships/hyperlink" Target="https://drive.google.com/open?id=1iMPGuONUm2OZbG6mrHAcJQCBFNFlaYEk&amp;amp;usp=drive_copy" TargetMode="External"/><Relationship Id="rId4" Type="http://schemas.openxmlformats.org/officeDocument/2006/relationships/hyperlink" Target="https://drive.google.com/open?id=1sdsSnaFnGjkejvrJnTAE4KOgquRqVq5A&amp;amp;usp=drive_copy" TargetMode="External"/><Relationship Id="rId9" Type="http://schemas.openxmlformats.org/officeDocument/2006/relationships/hyperlink" Target="https://drive.google.com/open?id=1_KwiOtKxn57dV9r_oUVgwb33QLExILvr&amp;amp;usp=drive_copy" TargetMode="External"/><Relationship Id="rId5" Type="http://schemas.openxmlformats.org/officeDocument/2006/relationships/hyperlink" Target="https://drive.google.com/open?id=1LNgkboFgc4d1qQwOst09p6wHPxUS1zTs&amp;amp;usp=drive_copy" TargetMode="External"/><Relationship Id="rId6" Type="http://schemas.openxmlformats.org/officeDocument/2006/relationships/hyperlink" Target="https://drive.google.com/open?id=1yNSrwNxBzZNbYrvAuE0xLxUH0Z1smZ-k&amp;amp;usp=drive_copy" TargetMode="External"/><Relationship Id="rId7" Type="http://schemas.openxmlformats.org/officeDocument/2006/relationships/hyperlink" Target="https://drive.google.com/open?id=1qpUy9DPTYPAhZgPbfVw7h1C8aRCUsnlk&amp;amp;usp=drive_copy" TargetMode="External"/><Relationship Id="rId8" Type="http://schemas.openxmlformats.org/officeDocument/2006/relationships/hyperlink" Target="https://drive.google.com/open?id=1VVOtElMiuDL4-b-x9Viv-7ORiwUEhTwu&amp;amp;usp=drive_copy" TargetMode="External"/><Relationship Id="rId51" Type="http://schemas.openxmlformats.org/officeDocument/2006/relationships/hyperlink" Target="https://drive.google.com/open?id=1bD8vEEBog0nW8r4NXjj3SPKPsRqAkuzP&amp;amp;usp=drive_copy" TargetMode="External"/><Relationship Id="rId50" Type="http://schemas.openxmlformats.org/officeDocument/2006/relationships/hyperlink" Target="https://drive.google.com/open?id=1DOBBEixhUvKRdgi8xk-t9X0Vga4DIOiI&amp;amp;usp=drive_copy" TargetMode="External"/><Relationship Id="rId53" Type="http://schemas.openxmlformats.org/officeDocument/2006/relationships/hyperlink" Target="https://drive.google.com/open?id=1k-wbvhMfQebJMTbf-ImdUUjoDg9YJnBK&amp;amp;usp=drive_copy" TargetMode="External"/><Relationship Id="rId52" Type="http://schemas.openxmlformats.org/officeDocument/2006/relationships/hyperlink" Target="https://drive.google.com/open?id=1uQcDn6gsbVoqaxMnHvDs-nMTAtom9W6g&amp;amp;usp=drive_copy" TargetMode="External"/><Relationship Id="rId55" Type="http://schemas.openxmlformats.org/officeDocument/2006/relationships/hyperlink" Target="https://drive.google.com/open?id=1SHzPn0Ubn2gz0biZpHHK0aIqfIt9U_43&amp;amp;usp=drive_copy" TargetMode="External"/><Relationship Id="rId54" Type="http://schemas.openxmlformats.org/officeDocument/2006/relationships/hyperlink" Target="https://drive.google.com/open?id=1MAhMqzoASPAPH7EuWvoFF3roM6USKvpu&amp;amp;usp=drive_copy" TargetMode="External"/><Relationship Id="rId57" Type="http://schemas.openxmlformats.org/officeDocument/2006/relationships/hyperlink" Target="https://drive.google.com/open?id=1S-HIPW61b_r556U2dy1HvVI3odepeSQk&amp;amp;usp=drive_copy" TargetMode="External"/><Relationship Id="rId56" Type="http://schemas.openxmlformats.org/officeDocument/2006/relationships/hyperlink" Target="https://drive.google.com/open?id=1jZSqWghJ_--3Jplk12kvfw-Q2Ul67Arx&amp;amp;usp=drive_copy" TargetMode="External"/><Relationship Id="rId59" Type="http://schemas.openxmlformats.org/officeDocument/2006/relationships/drawing" Target="../drawings/drawing9.xml"/><Relationship Id="rId58" Type="http://schemas.openxmlformats.org/officeDocument/2006/relationships/hyperlink" Target="https://drive.google.com/open?id=1FwxYTh-cKYlEpKwi3djVZ7bagpQNqCt_&amp;amp;usp=drive_copy" TargetMode="External"/></Relationships>
</file>

<file path=xl/worksheets/_rels/sheet10.xml.rels><?xml version="1.0" encoding="UTF-8" standalone="yes"?><Relationships xmlns="http://schemas.openxmlformats.org/package/2006/relationships"><Relationship Id="rId20" Type="http://schemas.openxmlformats.org/officeDocument/2006/relationships/hyperlink" Target="https://classroom.google.com/c/NjAwNjc3MjQwMDEx?cjc=czl7gvx" TargetMode="External"/><Relationship Id="rId22" Type="http://schemas.openxmlformats.org/officeDocument/2006/relationships/hyperlink" Target="https://classroom.google.com/c/NjAwNjc3NzM0NjQ0?cjc=wsertwv" TargetMode="External"/><Relationship Id="rId21" Type="http://schemas.openxmlformats.org/officeDocument/2006/relationships/hyperlink" Target="https://classroom.google.com/c/NjAwNjc3NDE0MDgz?cjc=ohprv5x" TargetMode="External"/><Relationship Id="rId24" Type="http://schemas.openxmlformats.org/officeDocument/2006/relationships/hyperlink" Target="https://classroom.google.com/c/NjAyMTA4NTk5MDMx?cjc=4begxe5" TargetMode="External"/><Relationship Id="rId23" Type="http://schemas.openxmlformats.org/officeDocument/2006/relationships/hyperlink" Target="https://classroom.google.com/c/NTIzMDYwNjkwODAz?cjc=pwwe55y" TargetMode="External"/><Relationship Id="rId26" Type="http://schemas.openxmlformats.org/officeDocument/2006/relationships/hyperlink" Target="https://classroom.google.com/c/NjAyMTA4NTM5NDU3?cjc=wumuez7" TargetMode="External"/><Relationship Id="rId25" Type="http://schemas.openxmlformats.org/officeDocument/2006/relationships/hyperlink" Target="https://classroom.google.com/c/NjAyMTA5NDg1MTcw?cjc=3ruggkk" TargetMode="External"/><Relationship Id="rId28" Type="http://schemas.openxmlformats.org/officeDocument/2006/relationships/drawing" Target="../drawings/drawing10.xml"/><Relationship Id="rId27" Type="http://schemas.openxmlformats.org/officeDocument/2006/relationships/hyperlink" Target="https://classroom.google.com/c/NTU0NDQ0Nzc5Mjk5?cjc=uoyptjr" TargetMode="External"/><Relationship Id="rId11" Type="http://schemas.openxmlformats.org/officeDocument/2006/relationships/hyperlink" Target="https://classroom.google.com/c/NDg1MjM1ODA3NzU2?cjc=cwwqk7s" TargetMode="External"/><Relationship Id="rId10" Type="http://schemas.openxmlformats.org/officeDocument/2006/relationships/hyperlink" Target="https://classroom.google.com/c/NDk5ODk3NjcyNTE4?cjc=epmuvg3" TargetMode="External"/><Relationship Id="rId13" Type="http://schemas.openxmlformats.org/officeDocument/2006/relationships/hyperlink" Target="https://classroom.google.com/c/NjA5MjAxMzYzODcz?cjc=phgpsbw" TargetMode="External"/><Relationship Id="rId12" Type="http://schemas.openxmlformats.org/officeDocument/2006/relationships/hyperlink" Target="https://classroom.google.com/c/NDg1MjM1ODA3OTk3?cjc=ly7nqxb" TargetMode="External"/><Relationship Id="rId15" Type="http://schemas.openxmlformats.org/officeDocument/2006/relationships/hyperlink" Target="https://classroom.google.com/c/NjA5MjAyNDc3NTc0?cjc=nlp7nio" TargetMode="External"/><Relationship Id="rId14" Type="http://schemas.openxmlformats.org/officeDocument/2006/relationships/hyperlink" Target="https://classroom.google.com/c/NjA5MjAxNjk2MzIw?cjc=a4wkx5z" TargetMode="External"/><Relationship Id="rId17" Type="http://schemas.openxmlformats.org/officeDocument/2006/relationships/hyperlink" Target="https://classroom.google.com/c/NjA5MjAyODUwMzE5?cjc=rc4tsjz" TargetMode="External"/><Relationship Id="rId16" Type="http://schemas.openxmlformats.org/officeDocument/2006/relationships/hyperlink" Target="https://classroom.google.com/c/NDg1MjM1ODA3NjM5?cjc=yknmgdq" TargetMode="External"/><Relationship Id="rId19" Type="http://schemas.openxmlformats.org/officeDocument/2006/relationships/hyperlink" Target="https://classroom.google.com/c/NTE3Nzg2ODY3MTQ5?cjc=nsvgvfx" TargetMode="External"/><Relationship Id="rId18" Type="http://schemas.openxmlformats.org/officeDocument/2006/relationships/hyperlink" Target="https://classroom.google.com/c/NDk5ODk3NjcyNTE4?cjc=epmuvg3" TargetMode="External"/><Relationship Id="rId1" Type="http://schemas.openxmlformats.org/officeDocument/2006/relationships/hyperlink" Target="https://classroom.google.com/c/NTQ0ODU4MDA4ODAx?cjc=clfiiv3" TargetMode="External"/><Relationship Id="rId2" Type="http://schemas.openxmlformats.org/officeDocument/2006/relationships/hyperlink" Target="https://classroom.google.com/c/NTA1NDkwOTAyNjUz?cjc=yevhdcd" TargetMode="External"/><Relationship Id="rId3" Type="http://schemas.openxmlformats.org/officeDocument/2006/relationships/hyperlink" Target="https://classroom.google.com/c/NDg1MjM1NzcxOTA3?cjc=eakxznf" TargetMode="External"/><Relationship Id="rId4" Type="http://schemas.openxmlformats.org/officeDocument/2006/relationships/hyperlink" Target="https://classroom.google.com/c/NDk5MTkwNDIzMzMx?cjc=oxidcmn" TargetMode="External"/><Relationship Id="rId9" Type="http://schemas.openxmlformats.org/officeDocument/2006/relationships/hyperlink" Target="https://classroom.google.com/c/NDg0NDQ2MzQ5NTg4?cjc=afkzsgm" TargetMode="External"/><Relationship Id="rId5" Type="http://schemas.openxmlformats.org/officeDocument/2006/relationships/hyperlink" Target="https://classroom.google.com/c/NDg1MjM1NzcxNjc3?cjc=hllc5uf" TargetMode="External"/><Relationship Id="rId6" Type="http://schemas.openxmlformats.org/officeDocument/2006/relationships/hyperlink" Target="https://classroom.google.com/c/NDg1MjM1NzcxMjIz?cjc=hwc7zoa" TargetMode="External"/><Relationship Id="rId7" Type="http://schemas.openxmlformats.org/officeDocument/2006/relationships/hyperlink" Target="https://classroom.google.com/c/NTM4OTc4NzI0OTUw?cjc=rmheb46" TargetMode="External"/><Relationship Id="rId8" Type="http://schemas.openxmlformats.org/officeDocument/2006/relationships/hyperlink" Target="https://classroom.google.com/c/NDg1MjM1ODA3ODE0?cjc=pc34vd7" TargetMode="External"/></Relationships>
</file>

<file path=xl/worksheets/_rels/sheet11.xml.rels><?xml version="1.0" encoding="UTF-8" standalone="yes"?><Relationships xmlns="http://schemas.openxmlformats.org/package/2006/relationships"><Relationship Id="rId40" Type="http://schemas.openxmlformats.org/officeDocument/2006/relationships/hyperlink" Target="https://drive.google.com/uc?export=download&amp;amp;id=1eRfIc0bnamR3MzOIvE-QR1ViCHoVbPan" TargetMode="External"/><Relationship Id="rId190" Type="http://schemas.openxmlformats.org/officeDocument/2006/relationships/hyperlink" Target="https://drive.google.com/uc?export=download&amp;amp;id=1ZeuSh37euTyGnDbm22yoSctyIRQ0RiZh" TargetMode="External"/><Relationship Id="rId42" Type="http://schemas.openxmlformats.org/officeDocument/2006/relationships/hyperlink" Target="https://drive.google.com/uc?export=download&amp;amp;id=1tm7z6CP-06Y9FR6q7SJDrdKsovLpwZ7J" TargetMode="External"/><Relationship Id="rId41" Type="http://schemas.openxmlformats.org/officeDocument/2006/relationships/hyperlink" Target="https://drive.google.com/uc?export=download&amp;amp;id=1DSEjonLTx6_LZG5OZHXWAzPOQDJCqmHW" TargetMode="External"/><Relationship Id="rId44" Type="http://schemas.openxmlformats.org/officeDocument/2006/relationships/hyperlink" Target="https://drive.google.com/uc?export=download&amp;amp;id=1vsvmHaqatPeR_ZtA1qZjUjlwxPZyQWiQ" TargetMode="External"/><Relationship Id="rId194" Type="http://schemas.openxmlformats.org/officeDocument/2006/relationships/hyperlink" Target="https://drive.google.com/uc?export=download&amp;amp;id=1OnJSFIYvb_Qf6AU9CIneVHqtSFux_kDE" TargetMode="External"/><Relationship Id="rId43" Type="http://schemas.openxmlformats.org/officeDocument/2006/relationships/hyperlink" Target="https://drive.google.com/uc?export=download&amp;amp;id=1kG4HcX3KCmHk3BzOqZxI3WIh9mmrgbEk" TargetMode="External"/><Relationship Id="rId193" Type="http://schemas.openxmlformats.org/officeDocument/2006/relationships/hyperlink" Target="https://drive.google.com/uc?export=download&amp;amp;id=1DqWtamb-HUDDoR_NFQ2f7VmyVN1ssmZG" TargetMode="External"/><Relationship Id="rId46" Type="http://schemas.openxmlformats.org/officeDocument/2006/relationships/hyperlink" Target="https://drive.google.com/uc?export=download&amp;amp;id=18xRzww95Ev0Xju9KCjCVrCchYqO9PRTf" TargetMode="External"/><Relationship Id="rId192" Type="http://schemas.openxmlformats.org/officeDocument/2006/relationships/hyperlink" Target="https://drive.google.com/uc?export=download&amp;amp;id=1ETEE--kbF4ANfCK0IMXPqdoTxasV6Un7" TargetMode="External"/><Relationship Id="rId45" Type="http://schemas.openxmlformats.org/officeDocument/2006/relationships/hyperlink" Target="https://drive.google.com/uc?export=download&amp;amp;id=1wFAJUiaI_raRpj6caY7vIKrjWp326KFq" TargetMode="External"/><Relationship Id="rId191" Type="http://schemas.openxmlformats.org/officeDocument/2006/relationships/hyperlink" Target="https://drive.google.com/uc?export=download&amp;amp;id=1RmZTHl9gj9-e-cQpYNOsNn_j7onE1JhU" TargetMode="External"/><Relationship Id="rId48" Type="http://schemas.openxmlformats.org/officeDocument/2006/relationships/hyperlink" Target="https://drive.google.com/uc?export=download&amp;amp;id=1VKhKPZe207jjGtlgMqZXDdmwHBV7V_mp" TargetMode="External"/><Relationship Id="rId187" Type="http://schemas.openxmlformats.org/officeDocument/2006/relationships/hyperlink" Target="https://drive.google.com/uc?export=download&amp;amp;id=1kuEkURgQgJfEc7S14j0n4ZLHqLQD7uv9" TargetMode="External"/><Relationship Id="rId47" Type="http://schemas.openxmlformats.org/officeDocument/2006/relationships/hyperlink" Target="https://drive.google.com/uc?export=download&amp;amp;id=1hPdFbNJ1rEOh3ithhFMbS3OU5G9wR43a" TargetMode="External"/><Relationship Id="rId186" Type="http://schemas.openxmlformats.org/officeDocument/2006/relationships/hyperlink" Target="https://drive.google.com/uc?export=download&amp;amp;id=1TBuUYe3M5HMY3Q2grdnf2EDGcRCie-K1" TargetMode="External"/><Relationship Id="rId185" Type="http://schemas.openxmlformats.org/officeDocument/2006/relationships/hyperlink" Target="https://drive.google.com/uc?export=download&amp;amp;id=1IdKqiKS7d1iwzNHDp8ZLJmAoKqnLeC1a" TargetMode="External"/><Relationship Id="rId49" Type="http://schemas.openxmlformats.org/officeDocument/2006/relationships/hyperlink" Target="https://drive.google.com/uc?export=download&amp;amp;id=1XAFx8ifGrsywzDafdzof5_t8L_5CE8qN" TargetMode="External"/><Relationship Id="rId184" Type="http://schemas.openxmlformats.org/officeDocument/2006/relationships/hyperlink" Target="https://drive.google.com/uc?export=download&amp;amp;id=1zSY19QhNh2awoS5lrF_1r53Iq4nIeetn" TargetMode="External"/><Relationship Id="rId189" Type="http://schemas.openxmlformats.org/officeDocument/2006/relationships/hyperlink" Target="https://drive.google.com/uc?export=download&amp;amp;id=1RZ_yRziZuseeNFdRaG25qmE7I84ixKBA" TargetMode="External"/><Relationship Id="rId188" Type="http://schemas.openxmlformats.org/officeDocument/2006/relationships/hyperlink" Target="https://drive.google.com/uc?export=download&amp;amp;id=1NTzalU4sEAWJ8A-CjgFmdLCjiODpYW_g" TargetMode="External"/><Relationship Id="rId31" Type="http://schemas.openxmlformats.org/officeDocument/2006/relationships/hyperlink" Target="https://drive.google.com/uc?export=download&amp;amp;id=10XDJQGE_aNASXkUENrSxXoM9c30zIheQ" TargetMode="External"/><Relationship Id="rId30" Type="http://schemas.openxmlformats.org/officeDocument/2006/relationships/hyperlink" Target="https://drive.google.com/uc?export=download&amp;amp;id=1_xIzQg-s43EcYBWwJ_LujZNQSXVsGOVl" TargetMode="External"/><Relationship Id="rId33" Type="http://schemas.openxmlformats.org/officeDocument/2006/relationships/hyperlink" Target="https://drive.google.com/uc?export=download&amp;amp;id=1Xs9NHEcb3JNMlyTOSxbXpPRYcnyEpbGN" TargetMode="External"/><Relationship Id="rId183" Type="http://schemas.openxmlformats.org/officeDocument/2006/relationships/hyperlink" Target="https://drive.google.com/uc?export=download&amp;amp;id=14rTSC3IL4939JVyOOauo1XsRYyBGhexn" TargetMode="External"/><Relationship Id="rId32" Type="http://schemas.openxmlformats.org/officeDocument/2006/relationships/hyperlink" Target="https://drive.google.com/uc?export=download&amp;amp;id=1ffeiCrVbZmIFq0qZVGyPixHc2nnL9QFx" TargetMode="External"/><Relationship Id="rId182" Type="http://schemas.openxmlformats.org/officeDocument/2006/relationships/hyperlink" Target="https://drive.google.com/uc?export=download&amp;amp;id=1afj2uq_SdjiokTnRKmukWR8zNQ5UfGDQ" TargetMode="External"/><Relationship Id="rId35" Type="http://schemas.openxmlformats.org/officeDocument/2006/relationships/hyperlink" Target="https://drive.google.com/uc?export=download&amp;amp;id=1mEz71N459Rs9cvK8vdeBxkKsYX5bstSG" TargetMode="External"/><Relationship Id="rId181" Type="http://schemas.openxmlformats.org/officeDocument/2006/relationships/hyperlink" Target="https://drive.google.com/uc?export=download&amp;amp;id=1GeYmLAXESG1YH-Fr5nJfkb9xkjgZDt3N" TargetMode="External"/><Relationship Id="rId34" Type="http://schemas.openxmlformats.org/officeDocument/2006/relationships/hyperlink" Target="https://drive.google.com/uc?export=download&amp;amp;id=1dq0JDZCy6e_s3EnqfYt-Crd9NLyI_3kT" TargetMode="External"/><Relationship Id="rId180" Type="http://schemas.openxmlformats.org/officeDocument/2006/relationships/hyperlink" Target="https://drive.google.com/uc?export=download&amp;amp;id=1aVXDUGJlGb6eptenxhj2XyDMZ5T3CNQ3" TargetMode="External"/><Relationship Id="rId37" Type="http://schemas.openxmlformats.org/officeDocument/2006/relationships/hyperlink" Target="https://drive.google.com/uc?export=download&amp;amp;id=1aJcFDzLYs716o-IFrgQGErWq3n0lE-aG" TargetMode="External"/><Relationship Id="rId176" Type="http://schemas.openxmlformats.org/officeDocument/2006/relationships/hyperlink" Target="https://drive.google.com/uc?export=download&amp;amp;id=1UFi3YAIF3x_IjS6q_NEKFhZiZJwNk0FQ" TargetMode="External"/><Relationship Id="rId36" Type="http://schemas.openxmlformats.org/officeDocument/2006/relationships/hyperlink" Target="https://drive.google.com/uc?export=download&amp;amp;id=1EggZZpB7IuEuh0dPqf10AduCN5nUidH3" TargetMode="External"/><Relationship Id="rId175" Type="http://schemas.openxmlformats.org/officeDocument/2006/relationships/hyperlink" Target="https://drive.google.com/uc?export=download&amp;amp;id=1rPsmGu0lvKemoU5AhTB5z37gJprVID7w" TargetMode="External"/><Relationship Id="rId39" Type="http://schemas.openxmlformats.org/officeDocument/2006/relationships/hyperlink" Target="https://drive.google.com/uc?export=download&amp;amp;id=194OPNiqILOk3wRhL3AN0Vm0JqX7rPkAG" TargetMode="External"/><Relationship Id="rId174" Type="http://schemas.openxmlformats.org/officeDocument/2006/relationships/hyperlink" Target="https://drive.google.com/uc?export=download&amp;amp;id=1h0abKsvSTO9D9EDANwEPJJhdBUlfxLIp" TargetMode="External"/><Relationship Id="rId38" Type="http://schemas.openxmlformats.org/officeDocument/2006/relationships/hyperlink" Target="https://drive.google.com/uc?export=download&amp;amp;id=1BFJSV5MFK-4eXrSxOxoby-iIeo-2TMhw" TargetMode="External"/><Relationship Id="rId173" Type="http://schemas.openxmlformats.org/officeDocument/2006/relationships/hyperlink" Target="https://drive.google.com/uc?export=download&amp;amp;id=1XqguQBOs92Zl9jA-Dt96G3JQ9glDNyoH" TargetMode="External"/><Relationship Id="rId179" Type="http://schemas.openxmlformats.org/officeDocument/2006/relationships/hyperlink" Target="https://drive.google.com/uc?export=download&amp;amp;id=1_vqRlSSRz-ynkd6Aq2MotH60mQlEl2Lq" TargetMode="External"/><Relationship Id="rId178" Type="http://schemas.openxmlformats.org/officeDocument/2006/relationships/hyperlink" Target="https://drive.google.com/uc?export=download&amp;amp;id=1i8qFt69pXuUPboANfemLFFCof1xFYq9w" TargetMode="External"/><Relationship Id="rId177" Type="http://schemas.openxmlformats.org/officeDocument/2006/relationships/hyperlink" Target="https://drive.google.com/uc?export=download&amp;amp;id=10l1PHGc8cpGHZxUl0BsK7KY9oOmuhx5-" TargetMode="External"/><Relationship Id="rId20" Type="http://schemas.openxmlformats.org/officeDocument/2006/relationships/hyperlink" Target="https://drive.google.com/uc?export=download&amp;amp;id=1JcG-eQdIgxmxuJiGCYlULj_jLsFMJpv6" TargetMode="External"/><Relationship Id="rId22" Type="http://schemas.openxmlformats.org/officeDocument/2006/relationships/hyperlink" Target="https://drive.google.com/uc?export=download&amp;amp;id=10D8LXybESj_6q5M28W0sxpb2W49n4igc" TargetMode="External"/><Relationship Id="rId21" Type="http://schemas.openxmlformats.org/officeDocument/2006/relationships/hyperlink" Target="https://drive.google.com/uc?export=download&amp;amp;id=153z284Spb4wIU_OKNntVWyEaALsKxmwB" TargetMode="External"/><Relationship Id="rId24" Type="http://schemas.openxmlformats.org/officeDocument/2006/relationships/hyperlink" Target="https://drive.google.com/uc?export=download&amp;amp;id=1ICmW1_YtZntzEAVbCf-jR68mD8U5l5um" TargetMode="External"/><Relationship Id="rId23" Type="http://schemas.openxmlformats.org/officeDocument/2006/relationships/hyperlink" Target="https://drive.google.com/uc?export=download&amp;amp;id=1pBup5Ji0DXKDU0M59j7sHhH8bZ2N8lZC" TargetMode="External"/><Relationship Id="rId26" Type="http://schemas.openxmlformats.org/officeDocument/2006/relationships/hyperlink" Target="https://drive.google.com/uc?export=download&amp;amp;id=1sgIktUlDlJD1re_mMRzGT8zw7eRVcKFA" TargetMode="External"/><Relationship Id="rId25" Type="http://schemas.openxmlformats.org/officeDocument/2006/relationships/hyperlink" Target="https://drive.google.com/uc?export=download&amp;amp;id=1URNCHvESrUbbUL3jqKfZ2j0YvAkzwMNT" TargetMode="External"/><Relationship Id="rId28" Type="http://schemas.openxmlformats.org/officeDocument/2006/relationships/hyperlink" Target="https://drive.google.com/uc?export=download&amp;amp;id=1YXjdcm6wJF3lXANKxnHqBZSLm0M-oBgS" TargetMode="External"/><Relationship Id="rId27" Type="http://schemas.openxmlformats.org/officeDocument/2006/relationships/hyperlink" Target="https://drive.google.com/uc?export=download&amp;amp;id=12mcDsQ5vB6Y4d9vbfbIE26MuNgs8Fzf2" TargetMode="External"/><Relationship Id="rId29" Type="http://schemas.openxmlformats.org/officeDocument/2006/relationships/hyperlink" Target="https://drive.google.com/uc?export=download&amp;amp;id=112HEtIYx7o2kBGc8eMRLHNbYIEhlb_cJ" TargetMode="External"/><Relationship Id="rId11" Type="http://schemas.openxmlformats.org/officeDocument/2006/relationships/hyperlink" Target="https://drive.google.com/uc?export=download&amp;amp;id=1poWCyiQI1NAfgId8cHCAfFKh3aDctSur" TargetMode="External"/><Relationship Id="rId10" Type="http://schemas.openxmlformats.org/officeDocument/2006/relationships/hyperlink" Target="https://drive.google.com/uc?export=download&amp;amp;id=1YZ0-k8RWMS4VRd-OZlVesqaYrpF__AMs" TargetMode="External"/><Relationship Id="rId13" Type="http://schemas.openxmlformats.org/officeDocument/2006/relationships/hyperlink" Target="https://drive.google.com/uc?export=download&amp;amp;id=1bxHNrmDqsP5z2gq-vbxbwfRNR1Gn_GwR" TargetMode="External"/><Relationship Id="rId12" Type="http://schemas.openxmlformats.org/officeDocument/2006/relationships/hyperlink" Target="https://drive.google.com/uc?export=download&amp;amp;id=1PZaSnN2_fAELgomwTZsUxWssnh5DMLP5" TargetMode="External"/><Relationship Id="rId15" Type="http://schemas.openxmlformats.org/officeDocument/2006/relationships/hyperlink" Target="https://drive.google.com/uc?export=download&amp;amp;id=1afWojJXX0LVQCLQcS0iSM6sFKgR6VrvP" TargetMode="External"/><Relationship Id="rId198" Type="http://schemas.openxmlformats.org/officeDocument/2006/relationships/hyperlink" Target="https://drive.google.com/uc?export=download&amp;amp;id=1fUTOIB8fv80OMFHUPWJ9Ko41f1bBZWe_" TargetMode="External"/><Relationship Id="rId14" Type="http://schemas.openxmlformats.org/officeDocument/2006/relationships/hyperlink" Target="https://drive.google.com/uc?export=download&amp;amp;id=1_7KmgK9PTWMjlbjshlo3wl0rhyOC2eOa" TargetMode="External"/><Relationship Id="rId197" Type="http://schemas.openxmlformats.org/officeDocument/2006/relationships/hyperlink" Target="https://drive.google.com/uc?export=download&amp;amp;id=1CxYfb-mQkuo6ZAinJKtyYdRJI74NfeYb" TargetMode="External"/><Relationship Id="rId17" Type="http://schemas.openxmlformats.org/officeDocument/2006/relationships/hyperlink" Target="https://drive.google.com/uc?export=download&amp;amp;id=1Z7lZg30IvWH_XiQcv73uT-Ed2l3K6no7" TargetMode="External"/><Relationship Id="rId196" Type="http://schemas.openxmlformats.org/officeDocument/2006/relationships/hyperlink" Target="https://drive.google.com/uc?export=download&amp;amp;id=1lpX7fTx-z-rAvRD1sK3mWpJw7VIOq7lF" TargetMode="External"/><Relationship Id="rId16" Type="http://schemas.openxmlformats.org/officeDocument/2006/relationships/hyperlink" Target="https://drive.google.com/uc?export=download&amp;amp;id=16hjKv4-4aMy7uA_bC0wRVe4hqkHCLh0D" TargetMode="External"/><Relationship Id="rId195" Type="http://schemas.openxmlformats.org/officeDocument/2006/relationships/hyperlink" Target="https://drive.google.com/uc?export=download&amp;amp;id=1ToulPvLSzjhOJyMpgSGARtSOYGJiZ-DS" TargetMode="External"/><Relationship Id="rId19" Type="http://schemas.openxmlformats.org/officeDocument/2006/relationships/hyperlink" Target="https://drive.google.com/uc?export=download&amp;amp;id=1QRLXtX3ix_a3ypD4YGUV-3QrTQNhBmKv" TargetMode="External"/><Relationship Id="rId18" Type="http://schemas.openxmlformats.org/officeDocument/2006/relationships/hyperlink" Target="https://drive.google.com/uc?export=download&amp;amp;id=1XS9wlE17OiUBUJWcmvxaPOYdhvlK2I3S" TargetMode="External"/><Relationship Id="rId199" Type="http://schemas.openxmlformats.org/officeDocument/2006/relationships/hyperlink" Target="https://drive.google.com/uc?export=download&amp;amp;id=1LSA6ggUU7sf_6WnlNKSTY4HqVI7qCwgN" TargetMode="External"/><Relationship Id="rId84" Type="http://schemas.openxmlformats.org/officeDocument/2006/relationships/hyperlink" Target="https://drive.google.com/uc?export=download&amp;amp;id=1uMe-gFQ7KuD8kmnHjY3zlxNwoIpBoP66" TargetMode="External"/><Relationship Id="rId83" Type="http://schemas.openxmlformats.org/officeDocument/2006/relationships/hyperlink" Target="https://drive.google.com/uc?export=download&amp;amp;id=1FBo5vG9dsr43MRJIoVCnEd9HpdN1m7yj" TargetMode="External"/><Relationship Id="rId86" Type="http://schemas.openxmlformats.org/officeDocument/2006/relationships/hyperlink" Target="https://drive.google.com/uc?export=download&amp;amp;id=12dhZudqz_SzJySmIUqcQuSmTSbhkD7AS" TargetMode="External"/><Relationship Id="rId85" Type="http://schemas.openxmlformats.org/officeDocument/2006/relationships/hyperlink" Target="https://drive.google.com/uc?export=download&amp;amp;id=1Tq3JDPKSPWJG2Yck2pN3ehOQb0sp9dtM" TargetMode="External"/><Relationship Id="rId88" Type="http://schemas.openxmlformats.org/officeDocument/2006/relationships/hyperlink" Target="https://drive.google.com/uc?export=download&amp;amp;id=13whL7D9cw_HL5l7erwCktEWbAbonmtTS" TargetMode="External"/><Relationship Id="rId150" Type="http://schemas.openxmlformats.org/officeDocument/2006/relationships/hyperlink" Target="https://drive.google.com/uc?export=download&amp;amp;id=1YpM7zbBYroeDKj1REZIyMfzgHUwaIbKV" TargetMode="External"/><Relationship Id="rId87" Type="http://schemas.openxmlformats.org/officeDocument/2006/relationships/hyperlink" Target="https://drive.google.com/uc?export=download&amp;amp;id=1PkSasPVJ-gT7CCjmTjvIEU19BRu6i2Qd" TargetMode="External"/><Relationship Id="rId89" Type="http://schemas.openxmlformats.org/officeDocument/2006/relationships/hyperlink" Target="https://drive.google.com/uc?export=download&amp;amp;id=183z3HHSmRiZ05Xh5Xg5ZLuuKmEYabF9H" TargetMode="External"/><Relationship Id="rId80" Type="http://schemas.openxmlformats.org/officeDocument/2006/relationships/hyperlink" Target="https://drive.google.com/uc?export=download&amp;amp;id=1tpQnYDB450GuuG1h7CQVh6xVxfQUuEuv" TargetMode="External"/><Relationship Id="rId82" Type="http://schemas.openxmlformats.org/officeDocument/2006/relationships/hyperlink" Target="https://drive.google.com/uc?export=download&amp;amp;id=1l74m_cvxykJDpkf7D10B0ghmtBgA_W0v" TargetMode="External"/><Relationship Id="rId81" Type="http://schemas.openxmlformats.org/officeDocument/2006/relationships/hyperlink" Target="https://drive.google.com/uc?export=download&amp;amp;id=1nFTL5KQhEx5Yt-4diAORqyH2y5f4TyhU" TargetMode="External"/><Relationship Id="rId1" Type="http://schemas.openxmlformats.org/officeDocument/2006/relationships/hyperlink" Target="https://drive.google.com/uc?export=download&amp;amp;id=17qq9kEMiuR8-ertx5uE6htAr8LckFO73" TargetMode="External"/><Relationship Id="rId2" Type="http://schemas.openxmlformats.org/officeDocument/2006/relationships/hyperlink" Target="https://drive.google.com/uc?export=download&amp;amp;id=1fzMJIMb8LNeUDs7FAKV2AK5HafXma9pI" TargetMode="External"/><Relationship Id="rId3" Type="http://schemas.openxmlformats.org/officeDocument/2006/relationships/hyperlink" Target="https://drive.google.com/uc?export=download&amp;amp;id=1gO4_Z7KEtTbD7dVB5J-HOraGmBX8deIZ" TargetMode="External"/><Relationship Id="rId149" Type="http://schemas.openxmlformats.org/officeDocument/2006/relationships/hyperlink" Target="https://drive.google.com/uc?export=download&amp;amp;id=1RWpWm16kjNtyXBALynM1ZSR8eO-ybhfi" TargetMode="External"/><Relationship Id="rId4" Type="http://schemas.openxmlformats.org/officeDocument/2006/relationships/hyperlink" Target="https://drive.google.com/uc?export=download&amp;amp;id=1pM__mxsxLWk72C98iHrqIt7PGICEZvlK" TargetMode="External"/><Relationship Id="rId148" Type="http://schemas.openxmlformats.org/officeDocument/2006/relationships/hyperlink" Target="https://drive.google.com/uc?export=download&amp;amp;id=1JgfQINk_tU-xy4gEAJt5coiBqmlwY73b" TargetMode="External"/><Relationship Id="rId9" Type="http://schemas.openxmlformats.org/officeDocument/2006/relationships/hyperlink" Target="https://drive.google.com/uc?export=download&amp;amp;id=165iyYUcFP-hTbewpV2QlmCM30m7eZqtP" TargetMode="External"/><Relationship Id="rId143" Type="http://schemas.openxmlformats.org/officeDocument/2006/relationships/hyperlink" Target="https://drive.google.com/uc?export=download&amp;amp;id=1f05QZvbIasfmMZGastnOGPaGQxdIfoPR" TargetMode="External"/><Relationship Id="rId142" Type="http://schemas.openxmlformats.org/officeDocument/2006/relationships/hyperlink" Target="https://drive.google.com/uc?export=download&amp;amp;id=1lL-EUhnvAqyxLQTFlBfPdnR_I1gLCGzs" TargetMode="External"/><Relationship Id="rId141" Type="http://schemas.openxmlformats.org/officeDocument/2006/relationships/hyperlink" Target="https://drive.google.com/uc?export=download&amp;amp;id=1d8jcJUSFAk18ey4WhABpy2WBLKxKqZVE" TargetMode="External"/><Relationship Id="rId140" Type="http://schemas.openxmlformats.org/officeDocument/2006/relationships/hyperlink" Target="https://drive.google.com/uc?export=download&amp;amp;id=1L_GRcuCkKDEqp9_3xYjkkM3pZuuwwTct" TargetMode="External"/><Relationship Id="rId5" Type="http://schemas.openxmlformats.org/officeDocument/2006/relationships/hyperlink" Target="https://drive.google.com/uc?export=download&amp;amp;id=1KGrlwPH5PlP4WFNMGbh0LejCEjn0S_o_" TargetMode="External"/><Relationship Id="rId147" Type="http://schemas.openxmlformats.org/officeDocument/2006/relationships/hyperlink" Target="https://drive.google.com/uc?export=download&amp;amp;id=1Uqo09FCLzcrViMOqK5eAiVQToAf7xUec" TargetMode="External"/><Relationship Id="rId6" Type="http://schemas.openxmlformats.org/officeDocument/2006/relationships/hyperlink" Target="https://drive.google.com/uc?export=download&amp;amp;id=156jWy6oCRz-zBvvtS6L-g8jLnU0lR_Ys" TargetMode="External"/><Relationship Id="rId146" Type="http://schemas.openxmlformats.org/officeDocument/2006/relationships/hyperlink" Target="https://drive.google.com/uc?export=download&amp;amp;id=1EDcEnvClGO_3AINwCtBkRO_ZDag_dbKM" TargetMode="External"/><Relationship Id="rId7" Type="http://schemas.openxmlformats.org/officeDocument/2006/relationships/hyperlink" Target="https://drive.google.com/uc?export=download&amp;amp;id=1nFWORDLYwAAsciJftWI7CS8EZR2LFOBa" TargetMode="External"/><Relationship Id="rId145" Type="http://schemas.openxmlformats.org/officeDocument/2006/relationships/hyperlink" Target="https://drive.google.com/uc?export=download&amp;amp;id=18tV2PKxJMZEgkqRWabEomuNXnBA4Qkns" TargetMode="External"/><Relationship Id="rId8" Type="http://schemas.openxmlformats.org/officeDocument/2006/relationships/hyperlink" Target="https://drive.google.com/uc?export=download&amp;amp;id=1equaoJIIS6tqH02umxrONRoDhPq_hJkc" TargetMode="External"/><Relationship Id="rId144" Type="http://schemas.openxmlformats.org/officeDocument/2006/relationships/hyperlink" Target="https://drive.google.com/uc?export=download&amp;amp;id=1RVektJ87bS43VyX2qCXVWl6m8pjIYOs1" TargetMode="External"/><Relationship Id="rId73" Type="http://schemas.openxmlformats.org/officeDocument/2006/relationships/hyperlink" Target="https://drive.google.com/uc?export=download&amp;amp;id=1yrIWOqROOXvS4FrTb5j_HznRDiJwyyEk" TargetMode="External"/><Relationship Id="rId72" Type="http://schemas.openxmlformats.org/officeDocument/2006/relationships/hyperlink" Target="https://drive.google.com/uc?export=download&amp;amp;id=17a_X6Sp2oltsPRhTBXgnPXeSheZ1A9IF" TargetMode="External"/><Relationship Id="rId75" Type="http://schemas.openxmlformats.org/officeDocument/2006/relationships/hyperlink" Target="https://drive.google.com/uc?export=download&amp;amp;id=1Gk9hCi5OWj22kl7fWjFYnHwIyoZ1skah" TargetMode="External"/><Relationship Id="rId74" Type="http://schemas.openxmlformats.org/officeDocument/2006/relationships/hyperlink" Target="https://drive.google.com/uc?export=download&amp;amp;id=1M5aTLw1jCx7dn9DoyHMxaKNjaPEZTKpJ" TargetMode="External"/><Relationship Id="rId77" Type="http://schemas.openxmlformats.org/officeDocument/2006/relationships/hyperlink" Target="https://drive.google.com/uc?export=download&amp;amp;id=1fDQhPuNcgmOBQWzGrgxyOxE7MAQYLL4n" TargetMode="External"/><Relationship Id="rId76" Type="http://schemas.openxmlformats.org/officeDocument/2006/relationships/hyperlink" Target="https://drive.google.com/uc?export=download&amp;amp;id=1i7_ONqBXBszEFZ57aEP_QFe4J8f2lSyr" TargetMode="External"/><Relationship Id="rId79" Type="http://schemas.openxmlformats.org/officeDocument/2006/relationships/hyperlink" Target="https://drive.google.com/uc?export=download&amp;amp;id=1SBjGzKUOuvoXwcfRGHTu8lU41bE2vrC1" TargetMode="External"/><Relationship Id="rId78" Type="http://schemas.openxmlformats.org/officeDocument/2006/relationships/hyperlink" Target="https://drive.google.com/uc?export=download&amp;amp;id=1I4mHFhV1mFuC7Zp1Ksnz24AC5lVfleKI" TargetMode="External"/><Relationship Id="rId71" Type="http://schemas.openxmlformats.org/officeDocument/2006/relationships/hyperlink" Target="https://drive.google.com/uc?export=download&amp;amp;id=1PkFRE6953ymxG4w5igPYu9GKhME_Y00X" TargetMode="External"/><Relationship Id="rId70" Type="http://schemas.openxmlformats.org/officeDocument/2006/relationships/hyperlink" Target="https://drive.google.com/uc?export=download&amp;amp;id=144eJ4P0Jcybqt9G_vC4A7lJ8jou0D7fK" TargetMode="External"/><Relationship Id="rId139" Type="http://schemas.openxmlformats.org/officeDocument/2006/relationships/hyperlink" Target="https://drive.google.com/uc?export=download&amp;amp;id=1IH-qVp2UJYpZJTF6j8BiN-lPO-E8luk8" TargetMode="External"/><Relationship Id="rId138" Type="http://schemas.openxmlformats.org/officeDocument/2006/relationships/hyperlink" Target="https://drive.google.com/uc?export=download&amp;amp;id=1UOhCJ1XWg3XgNNb_xKuKioIMTLP33yHU" TargetMode="External"/><Relationship Id="rId137" Type="http://schemas.openxmlformats.org/officeDocument/2006/relationships/hyperlink" Target="https://drive.google.com/uc?export=download&amp;amp;id=1lpTQHWldeNrZk_Tkq6OIOdyDC5p8-CkK" TargetMode="External"/><Relationship Id="rId132" Type="http://schemas.openxmlformats.org/officeDocument/2006/relationships/hyperlink" Target="https://drive.google.com/uc?export=download&amp;amp;id=1mDnbfYqvnsgK6mlVcXwQc-VH4OOPhpav" TargetMode="External"/><Relationship Id="rId131" Type="http://schemas.openxmlformats.org/officeDocument/2006/relationships/hyperlink" Target="https://drive.google.com/uc?export=download&amp;amp;id=1PnoSKBrfxUYnW0z2aP7lS7cmO-J9uYsC" TargetMode="External"/><Relationship Id="rId130" Type="http://schemas.openxmlformats.org/officeDocument/2006/relationships/hyperlink" Target="https://drive.google.com/uc?export=download&amp;amp;id=1ZTWpPF1zL-S09CDrmHTHKST9sIXmgZrE" TargetMode="External"/><Relationship Id="rId136" Type="http://schemas.openxmlformats.org/officeDocument/2006/relationships/hyperlink" Target="https://drive.google.com/uc?export=download&amp;amp;id=17QyAwwwzDItXen7PjvQlh4i5r34y3H97" TargetMode="External"/><Relationship Id="rId135" Type="http://schemas.openxmlformats.org/officeDocument/2006/relationships/hyperlink" Target="https://drive.google.com/uc?export=download&amp;amp;id=18oGejKc0R26LApZuFW5uVaQt_M3_wxWP" TargetMode="External"/><Relationship Id="rId134" Type="http://schemas.openxmlformats.org/officeDocument/2006/relationships/hyperlink" Target="https://drive.google.com/uc?export=download&amp;amp;id=1vPLe_5nIyJ59226E7aC3Ckn5u1F7HmoH" TargetMode="External"/><Relationship Id="rId133" Type="http://schemas.openxmlformats.org/officeDocument/2006/relationships/hyperlink" Target="https://drive.google.com/uc?export=download&amp;amp;id=1eze2MLSHsQ7HPp8EN0d_UON2fS6DRxfo" TargetMode="External"/><Relationship Id="rId62" Type="http://schemas.openxmlformats.org/officeDocument/2006/relationships/hyperlink" Target="https://drive.google.com/uc?export=download&amp;amp;id=1YqhF_WdyHtgITJ8tTgzOGS9FyTv9R3WE" TargetMode="External"/><Relationship Id="rId61" Type="http://schemas.openxmlformats.org/officeDocument/2006/relationships/hyperlink" Target="https://drive.google.com/uc?export=download&amp;amp;id=1_Azw7EfQe-6Haf7Kqby2BvurpY3MrvIa" TargetMode="External"/><Relationship Id="rId64" Type="http://schemas.openxmlformats.org/officeDocument/2006/relationships/hyperlink" Target="https://drive.google.com/uc?export=download&amp;amp;id=1i17NWRT4Xwggc1GasTEZsKjphp4DeJ3K" TargetMode="External"/><Relationship Id="rId63" Type="http://schemas.openxmlformats.org/officeDocument/2006/relationships/hyperlink" Target="https://drive.google.com/uc?export=download&amp;amp;id=1t-WvZJFHX9XZeRORYyV6dDi4dQOmuuFD" TargetMode="External"/><Relationship Id="rId66" Type="http://schemas.openxmlformats.org/officeDocument/2006/relationships/hyperlink" Target="https://drive.google.com/uc?export=download&amp;amp;id=1rqHcFom77k1NK-xzdXSp3PH0pp8XMyDJ" TargetMode="External"/><Relationship Id="rId172" Type="http://schemas.openxmlformats.org/officeDocument/2006/relationships/hyperlink" Target="https://drive.google.com/uc?export=download&amp;amp;id=1AlP9pEa1boFxkl-OVNdGDz7LAJNz0XUp" TargetMode="External"/><Relationship Id="rId65" Type="http://schemas.openxmlformats.org/officeDocument/2006/relationships/hyperlink" Target="https://drive.google.com/uc?export=download&amp;amp;id=1wI8wuWOybMsFQh0nTrPUNpfdawE668o7" TargetMode="External"/><Relationship Id="rId171" Type="http://schemas.openxmlformats.org/officeDocument/2006/relationships/hyperlink" Target="https://drive.google.com/uc?export=download&amp;amp;id=1MzuV0iGjGU8y5ir9b9M79j4RoaGHekc8" TargetMode="External"/><Relationship Id="rId68" Type="http://schemas.openxmlformats.org/officeDocument/2006/relationships/hyperlink" Target="https://drive.google.com/uc?export=download&amp;amp;id=14lVzcF6kKowmS-nXBHJsOYHX3l6Pn9al" TargetMode="External"/><Relationship Id="rId170" Type="http://schemas.openxmlformats.org/officeDocument/2006/relationships/hyperlink" Target="https://drive.google.com/uc?export=download&amp;amp;id=1j1q1efDiX4uAQH86ofabm-uSz5UIozNm" TargetMode="External"/><Relationship Id="rId67" Type="http://schemas.openxmlformats.org/officeDocument/2006/relationships/hyperlink" Target="https://drive.google.com/uc?export=download&amp;amp;id=1UECCn0y9oyxdWNZb8YABGCaAQEdb_5AJ" TargetMode="External"/><Relationship Id="rId60" Type="http://schemas.openxmlformats.org/officeDocument/2006/relationships/hyperlink" Target="https://drive.google.com/uc?export=download&amp;amp;id=1vV1601pWMRBB9JUzTQM6JHB-LDyISp-3" TargetMode="External"/><Relationship Id="rId165" Type="http://schemas.openxmlformats.org/officeDocument/2006/relationships/hyperlink" Target="https://drive.google.com/uc?export=download&amp;amp;id=1i06ea4yXoePzpGtXf2qc15Z7BR_qJbvm" TargetMode="External"/><Relationship Id="rId69" Type="http://schemas.openxmlformats.org/officeDocument/2006/relationships/hyperlink" Target="https://drive.google.com/uc?export=download&amp;amp;id=1dzjvaW0hsEo6xiUSYpBdo_u1xuJvVO6m" TargetMode="External"/><Relationship Id="rId164" Type="http://schemas.openxmlformats.org/officeDocument/2006/relationships/hyperlink" Target="https://drive.google.com/uc?export=download&amp;amp;id=1JNQu9uW-RuIZZ7x9wLA4oCRDFZ1PHybg" TargetMode="External"/><Relationship Id="rId163" Type="http://schemas.openxmlformats.org/officeDocument/2006/relationships/hyperlink" Target="https://drive.google.com/uc?export=download&amp;amp;id=1Y4WUlqJaTLU0hZW3OPEzYqPAupizto5B" TargetMode="External"/><Relationship Id="rId162" Type="http://schemas.openxmlformats.org/officeDocument/2006/relationships/hyperlink" Target="https://drive.google.com/uc?export=download&amp;amp;id=1isJdxa0ulxG8IQ-9KYlYs1hL_N_9jvFp" TargetMode="External"/><Relationship Id="rId169" Type="http://schemas.openxmlformats.org/officeDocument/2006/relationships/hyperlink" Target="https://drive.google.com/uc?export=download&amp;amp;id=1P-HRaVIKpqXK27AuVfs6F6Q6OwOMMlX5" TargetMode="External"/><Relationship Id="rId168" Type="http://schemas.openxmlformats.org/officeDocument/2006/relationships/hyperlink" Target="https://drive.google.com/uc?export=download&amp;amp;id=18QvnCYV8k3U615GKYThS2e0Qe2HnRPjL" TargetMode="External"/><Relationship Id="rId167" Type="http://schemas.openxmlformats.org/officeDocument/2006/relationships/hyperlink" Target="https://drive.google.com/uc?export=download&amp;amp;id=1Qmbk280JW3NihLcZ__rrHwoneYmwvPkE" TargetMode="External"/><Relationship Id="rId166" Type="http://schemas.openxmlformats.org/officeDocument/2006/relationships/hyperlink" Target="https://drive.google.com/uc?export=download&amp;amp;id=1MDHE_bhwc6ptn8omhZQumogs-tI8iQRL" TargetMode="External"/><Relationship Id="rId51" Type="http://schemas.openxmlformats.org/officeDocument/2006/relationships/hyperlink" Target="https://drive.google.com/uc?export=download&amp;amp;id=1HIQCD72_F3ALZzUZeKFIQH6OUbOo2tkS" TargetMode="External"/><Relationship Id="rId50" Type="http://schemas.openxmlformats.org/officeDocument/2006/relationships/hyperlink" Target="https://drive.google.com/uc?export=download&amp;amp;id=1vBZn9xlzBH8Nqd8wEkJQaG045ULRxsCu" TargetMode="External"/><Relationship Id="rId53" Type="http://schemas.openxmlformats.org/officeDocument/2006/relationships/hyperlink" Target="https://drive.google.com/uc?export=download&amp;amp;id=1ihCBMg7iEHvpE7mFcM_acvV4iLRdQoj1" TargetMode="External"/><Relationship Id="rId52" Type="http://schemas.openxmlformats.org/officeDocument/2006/relationships/hyperlink" Target="https://drive.google.com/uc?export=download&amp;amp;id=1polk47bfTacc4ambBQXWxrkTU6auWnXH" TargetMode="External"/><Relationship Id="rId55" Type="http://schemas.openxmlformats.org/officeDocument/2006/relationships/hyperlink" Target="https://drive.google.com/uc?export=download&amp;amp;id=1CqrJsOINaEBD6J0WanLT9ZsE61FxgoH4" TargetMode="External"/><Relationship Id="rId161" Type="http://schemas.openxmlformats.org/officeDocument/2006/relationships/hyperlink" Target="https://drive.google.com/uc?export=download&amp;amp;id=10rRuDbo2Tn2stMmf67TZy9g8f-Jv11CD" TargetMode="External"/><Relationship Id="rId54" Type="http://schemas.openxmlformats.org/officeDocument/2006/relationships/hyperlink" Target="https://drive.google.com/uc?export=download&amp;amp;id=1Ifgp1VieCQ-zgVvXUVraGfaRvcXVD4zL" TargetMode="External"/><Relationship Id="rId160" Type="http://schemas.openxmlformats.org/officeDocument/2006/relationships/hyperlink" Target="https://drive.google.com/uc?export=download&amp;amp;id=1bHPbB6vX3dvp0QSWKOn_SDHI9niyrbZz" TargetMode="External"/><Relationship Id="rId57" Type="http://schemas.openxmlformats.org/officeDocument/2006/relationships/hyperlink" Target="https://drive.google.com/uc?export=download&amp;amp;id=1KfM_tTDQWLAMGNBpFfPQ9gc7Kcmx83ev" TargetMode="External"/><Relationship Id="rId56" Type="http://schemas.openxmlformats.org/officeDocument/2006/relationships/hyperlink" Target="https://drive.google.com/uc?export=download&amp;amp;id=17hBeyjaOCaLD9iAUJmhWe3pcAQBqoPU8" TargetMode="External"/><Relationship Id="rId159" Type="http://schemas.openxmlformats.org/officeDocument/2006/relationships/hyperlink" Target="https://drive.google.com/uc?export=download&amp;amp;id=1xOAwTpAEUgINDoAAzitOPSAf3nK-q8u_" TargetMode="External"/><Relationship Id="rId59" Type="http://schemas.openxmlformats.org/officeDocument/2006/relationships/hyperlink" Target="https://drive.google.com/uc?export=download&amp;amp;id=1s5-HCNubcB2HqwCvlrXcrc443VITbJ9y" TargetMode="External"/><Relationship Id="rId154" Type="http://schemas.openxmlformats.org/officeDocument/2006/relationships/hyperlink" Target="https://drive.google.com/uc?export=download&amp;amp;id=1h3uTgpyZifb7ozwaiXhboLLgBZper01z" TargetMode="External"/><Relationship Id="rId58" Type="http://schemas.openxmlformats.org/officeDocument/2006/relationships/hyperlink" Target="https://drive.google.com/uc?export=download&amp;amp;id=1sjay79hIVcoFCgSjn84xWf8F-hkG3yA7" TargetMode="External"/><Relationship Id="rId153" Type="http://schemas.openxmlformats.org/officeDocument/2006/relationships/hyperlink" Target="https://drive.google.com/uc?export=download&amp;amp;id=1_gv2PzxpEagII-RILY_ev_y45WogJ0lu" TargetMode="External"/><Relationship Id="rId152" Type="http://schemas.openxmlformats.org/officeDocument/2006/relationships/hyperlink" Target="https://drive.google.com/uc?export=download&amp;amp;id=1h-CAIx6CEeeAEMIUntP_K-FMJcO8KK21" TargetMode="External"/><Relationship Id="rId151" Type="http://schemas.openxmlformats.org/officeDocument/2006/relationships/hyperlink" Target="https://drive.google.com/uc?export=download&amp;amp;id=1NnyiE0RQtAsaBn5sETQbiTeoI1dRLL6D" TargetMode="External"/><Relationship Id="rId158" Type="http://schemas.openxmlformats.org/officeDocument/2006/relationships/hyperlink" Target="https://drive.google.com/uc?export=download&amp;amp;id=1rZNBih6Dd6sJXV3Kno-7BFFV67PWtK7E" TargetMode="External"/><Relationship Id="rId157" Type="http://schemas.openxmlformats.org/officeDocument/2006/relationships/hyperlink" Target="https://drive.google.com/uc?export=download&amp;amp;id=15VqnrehvkWm3P_JTAQrkmYsEw9PigTbb" TargetMode="External"/><Relationship Id="rId156" Type="http://schemas.openxmlformats.org/officeDocument/2006/relationships/hyperlink" Target="https://drive.google.com/uc?export=download&amp;amp;id=1cYTd2HhxAtEbUQ1dkUTL7AP9cLy_Ezt8" TargetMode="External"/><Relationship Id="rId155" Type="http://schemas.openxmlformats.org/officeDocument/2006/relationships/hyperlink" Target="https://drive.google.com/uc?export=download&amp;amp;id=1FI3eEGa9SlC4qDf5xDpqOc3NnkHYC8aT" TargetMode="External"/><Relationship Id="rId107" Type="http://schemas.openxmlformats.org/officeDocument/2006/relationships/hyperlink" Target="https://drive.google.com/uc?export=download&amp;amp;id=1VrhoyHEnplN3hh2oayAU0vU91aIs8jjD" TargetMode="External"/><Relationship Id="rId106" Type="http://schemas.openxmlformats.org/officeDocument/2006/relationships/hyperlink" Target="https://drive.google.com/uc?export=download&amp;amp;id=1ziYIvWjiFW4EOb2pvr0mzpreawwfceQa" TargetMode="External"/><Relationship Id="rId105" Type="http://schemas.openxmlformats.org/officeDocument/2006/relationships/hyperlink" Target="https://drive.google.com/uc?export=download&amp;amp;id=1anvifhRuw7Gic3IGaVcTTK2fPXXaygpJ" TargetMode="External"/><Relationship Id="rId104" Type="http://schemas.openxmlformats.org/officeDocument/2006/relationships/hyperlink" Target="https://drive.google.com/uc?export=download&amp;amp;id=1iLlW4ohMkHyUNZD8Zgmj2nk1gOUZku-n" TargetMode="External"/><Relationship Id="rId109" Type="http://schemas.openxmlformats.org/officeDocument/2006/relationships/hyperlink" Target="https://drive.google.com/uc?export=download&amp;amp;id=1NtnXLNLqRIcGgjNf3hiCF0JrT36emqd6" TargetMode="External"/><Relationship Id="rId108" Type="http://schemas.openxmlformats.org/officeDocument/2006/relationships/hyperlink" Target="https://drive.google.com/uc?export=download&amp;amp;id=12StQIInkSsH3o0x8dZhykJNCVagq_bq-" TargetMode="External"/><Relationship Id="rId103" Type="http://schemas.openxmlformats.org/officeDocument/2006/relationships/hyperlink" Target="https://drive.google.com/uc?export=download&amp;amp;id=1p2nW-vvTuwe3BOeApzZ_-1S2Tun7GGal" TargetMode="External"/><Relationship Id="rId102" Type="http://schemas.openxmlformats.org/officeDocument/2006/relationships/hyperlink" Target="https://drive.google.com/uc?export=download&amp;amp;id=1fA50LIeTRoE8DHU8PIsk2V_VFc8grGwr" TargetMode="External"/><Relationship Id="rId101" Type="http://schemas.openxmlformats.org/officeDocument/2006/relationships/hyperlink" Target="https://drive.google.com/uc?export=download&amp;amp;id=1ffhVD0Xu5Z-I8On2jDnc5bGRxJ9RxLKj" TargetMode="External"/><Relationship Id="rId100" Type="http://schemas.openxmlformats.org/officeDocument/2006/relationships/hyperlink" Target="https://drive.google.com/uc?export=download&amp;amp;id=1xXCrSLUM6B0rSeva-QAOkH-r8NijBQ3T" TargetMode="External"/><Relationship Id="rId214" Type="http://schemas.openxmlformats.org/officeDocument/2006/relationships/drawing" Target="../drawings/drawing11.xml"/><Relationship Id="rId213" Type="http://schemas.openxmlformats.org/officeDocument/2006/relationships/hyperlink" Target="https://drive.google.com/uc?export=download&amp;amp;id=1c3__ZFm2rO1Lr8rkR9-3Bn9thHJwVlwg" TargetMode="External"/><Relationship Id="rId212" Type="http://schemas.openxmlformats.org/officeDocument/2006/relationships/hyperlink" Target="https://drive.google.com/uc?export=download&amp;amp;id=1H2SKCirDFvndg_9oYIg00lDSYiGcM7AU" TargetMode="External"/><Relationship Id="rId211" Type="http://schemas.openxmlformats.org/officeDocument/2006/relationships/hyperlink" Target="https://drive.google.com/uc?export=download&amp;amp;id=1ViebM5paT0n0VJrvPk3V6uxO-6GAk5R7" TargetMode="External"/><Relationship Id="rId210" Type="http://schemas.openxmlformats.org/officeDocument/2006/relationships/hyperlink" Target="https://drive.google.com/uc?export=download&amp;amp;id=1iF9qtb6p63TigM-2kz2G74546bqK5M6c" TargetMode="External"/><Relationship Id="rId129" Type="http://schemas.openxmlformats.org/officeDocument/2006/relationships/hyperlink" Target="https://drive.google.com/uc?export=download&amp;amp;id=1qxUA2BOs-BJPXXB1hU0erIdBgd9RoYqo" TargetMode="External"/><Relationship Id="rId128" Type="http://schemas.openxmlformats.org/officeDocument/2006/relationships/hyperlink" Target="https://drive.google.com/uc?export=download&amp;amp;id=1MJ3l_yKP-7LOsbNRZWR_C7a0xAaGkq-J" TargetMode="External"/><Relationship Id="rId127" Type="http://schemas.openxmlformats.org/officeDocument/2006/relationships/hyperlink" Target="https://drive.google.com/uc?export=download&amp;amp;id=1uyt-pInNj51w5HVjdNl_ws1uIcj4X8qZ" TargetMode="External"/><Relationship Id="rId126" Type="http://schemas.openxmlformats.org/officeDocument/2006/relationships/hyperlink" Target="https://drive.google.com/uc?export=download&amp;amp;id=1jAGtFEOIqVwzyL7a88NaiWnpCxkQID_K" TargetMode="External"/><Relationship Id="rId121" Type="http://schemas.openxmlformats.org/officeDocument/2006/relationships/hyperlink" Target="https://drive.google.com/uc?export=download&amp;amp;id=1Y7b-SI3ncOVqlcv9qt8QrUumU6hoHyv3" TargetMode="External"/><Relationship Id="rId120" Type="http://schemas.openxmlformats.org/officeDocument/2006/relationships/hyperlink" Target="https://drive.google.com/uc?export=download&amp;amp;id=1CTKN7U1jZ1Lsgar6vj3GF6b2MjxjDSEK" TargetMode="External"/><Relationship Id="rId125" Type="http://schemas.openxmlformats.org/officeDocument/2006/relationships/hyperlink" Target="https://drive.google.com/uc?export=download&amp;amp;id=1TCzktAH8_c7A98bPdM-F5U8f1kzzaXZ7" TargetMode="External"/><Relationship Id="rId124" Type="http://schemas.openxmlformats.org/officeDocument/2006/relationships/hyperlink" Target="https://drive.google.com/uc?export=download&amp;amp;id=1pJusIeLqujTI1CHJxRdx8lVl2Pn_ei6i" TargetMode="External"/><Relationship Id="rId123" Type="http://schemas.openxmlformats.org/officeDocument/2006/relationships/hyperlink" Target="https://drive.google.com/uc?export=download&amp;amp;id=1QEKXAGaHVEGK1yLFBWn3rFlEDRgVY8rg" TargetMode="External"/><Relationship Id="rId122" Type="http://schemas.openxmlformats.org/officeDocument/2006/relationships/hyperlink" Target="https://drive.google.com/uc?export=download&amp;amp;id=1NyqfCHeBBz4cJV7kpLcNC-mw2WMySTNI" TargetMode="External"/><Relationship Id="rId95" Type="http://schemas.openxmlformats.org/officeDocument/2006/relationships/hyperlink" Target="https://drive.google.com/uc?export=download&amp;amp;id=1WvXojoC-Jt0NnaV7BUkX5eNda2mkD6W5" TargetMode="External"/><Relationship Id="rId94" Type="http://schemas.openxmlformats.org/officeDocument/2006/relationships/hyperlink" Target="https://drive.google.com/uc?export=download&amp;amp;id=1lm0qIkVetYWGGR4mljDb2RbHTvNz4yOg" TargetMode="External"/><Relationship Id="rId97" Type="http://schemas.openxmlformats.org/officeDocument/2006/relationships/hyperlink" Target="https://drive.google.com/uc?export=download&amp;amp;id=1urMUSaBDkyT3ulgpolk_YqVsrOGqcq_3" TargetMode="External"/><Relationship Id="rId96" Type="http://schemas.openxmlformats.org/officeDocument/2006/relationships/hyperlink" Target="https://drive.google.com/uc?export=download&amp;amp;id=1gGf-bNutF1-6reInhELrYj6WfE4l90ju" TargetMode="External"/><Relationship Id="rId99" Type="http://schemas.openxmlformats.org/officeDocument/2006/relationships/hyperlink" Target="https://drive.google.com/uc?export=download&amp;amp;id=1Nfs7A7-fwErWop3EShM3lpbJ3nHZbcOA" TargetMode="External"/><Relationship Id="rId98" Type="http://schemas.openxmlformats.org/officeDocument/2006/relationships/hyperlink" Target="https://drive.google.com/uc?export=download&amp;amp;id=1GghWb2gPmVZfFDeqovIYXlc4efWPoBeM" TargetMode="External"/><Relationship Id="rId91" Type="http://schemas.openxmlformats.org/officeDocument/2006/relationships/hyperlink" Target="https://drive.google.com/uc?export=download&amp;amp;id=19NuuUZIGeE-SfLh02BmzSRfj1Kqug9nx" TargetMode="External"/><Relationship Id="rId90" Type="http://schemas.openxmlformats.org/officeDocument/2006/relationships/hyperlink" Target="https://drive.google.com/uc?export=download&amp;amp;id=1odb_Tqv-c_9KOFb7fnJ9XOkA49zh76kK" TargetMode="External"/><Relationship Id="rId93" Type="http://schemas.openxmlformats.org/officeDocument/2006/relationships/hyperlink" Target="https://drive.google.com/uc?export=download&amp;amp;id=1HR-2ZdRUpwbEkAjAE_KuilXwg0gPYVDu" TargetMode="External"/><Relationship Id="rId92" Type="http://schemas.openxmlformats.org/officeDocument/2006/relationships/hyperlink" Target="https://drive.google.com/uc?export=download&amp;amp;id=12jlxRlGA8FFr34vcDIrn1mtHQjHShM-9" TargetMode="External"/><Relationship Id="rId118" Type="http://schemas.openxmlformats.org/officeDocument/2006/relationships/hyperlink" Target="https://drive.google.com/uc?export=download&amp;amp;id=1PTw8rmpHkcnaeAp0kmsk4B-WbXQVcBlh" TargetMode="External"/><Relationship Id="rId117" Type="http://schemas.openxmlformats.org/officeDocument/2006/relationships/hyperlink" Target="https://drive.google.com/uc?export=download&amp;amp;id=1VmkmAnup-6yXZR7DmxN7yWvEIuSzxuLi" TargetMode="External"/><Relationship Id="rId116" Type="http://schemas.openxmlformats.org/officeDocument/2006/relationships/hyperlink" Target="https://drive.google.com/uc?export=download&amp;amp;id=10EeYRKI48IQpl2TVUTtSgwEPkAii0n0Z" TargetMode="External"/><Relationship Id="rId115" Type="http://schemas.openxmlformats.org/officeDocument/2006/relationships/hyperlink" Target="https://drive.google.com/uc?export=download&amp;amp;id=1vZEETvNrraN5oepNkInOlR_GeF4sRxV1" TargetMode="External"/><Relationship Id="rId119" Type="http://schemas.openxmlformats.org/officeDocument/2006/relationships/hyperlink" Target="https://drive.google.com/uc?export=download&amp;amp;id=1MrARLQ9o-rhJvSzqg1YwL757FXLOkMDA" TargetMode="External"/><Relationship Id="rId110" Type="http://schemas.openxmlformats.org/officeDocument/2006/relationships/hyperlink" Target="https://drive.google.com/uc?export=download&amp;amp;id=1RoeUv5owCzCopaDPo3yyxi8fK1z7Zdqy" TargetMode="External"/><Relationship Id="rId114" Type="http://schemas.openxmlformats.org/officeDocument/2006/relationships/hyperlink" Target="https://drive.google.com/uc?export=download&amp;amp;id=1Evuxditvi8A3nKBEcV27_ZWGjIU6oBTR" TargetMode="External"/><Relationship Id="rId113" Type="http://schemas.openxmlformats.org/officeDocument/2006/relationships/hyperlink" Target="https://drive.google.com/uc?export=download&amp;amp;id=1zJLflDpXA3xox41B7_VbRGPLQzl6xb_S" TargetMode="External"/><Relationship Id="rId112" Type="http://schemas.openxmlformats.org/officeDocument/2006/relationships/hyperlink" Target="https://drive.google.com/uc?export=download&amp;amp;id=19rPf0NTwN00JR6SrI-f0iD4wKEa-OMTI" TargetMode="External"/><Relationship Id="rId111" Type="http://schemas.openxmlformats.org/officeDocument/2006/relationships/hyperlink" Target="https://drive.google.com/uc?export=download&amp;amp;id=1eI0IfmucWmNsx3Kbo3CnKF9i6QInVCHf" TargetMode="External"/><Relationship Id="rId206" Type="http://schemas.openxmlformats.org/officeDocument/2006/relationships/hyperlink" Target="https://drive.google.com/uc?export=download&amp;amp;id=1FPzbDVLZV5V6nhjSLUeaUFCqS-e9JABN" TargetMode="External"/><Relationship Id="rId205" Type="http://schemas.openxmlformats.org/officeDocument/2006/relationships/hyperlink" Target="https://drive.google.com/uc?export=download&amp;amp;id=1yozViHZmOTu7B5KjR9L4TUFmq9MCcmJh" TargetMode="External"/><Relationship Id="rId204" Type="http://schemas.openxmlformats.org/officeDocument/2006/relationships/hyperlink" Target="https://drive.google.com/uc?export=download&amp;amp;id=1GpwJMgdIW9q9JCHSLKvQtOcqwF5OfDjg" TargetMode="External"/><Relationship Id="rId203" Type="http://schemas.openxmlformats.org/officeDocument/2006/relationships/hyperlink" Target="https://drive.google.com/uc?export=download&amp;amp;id=17pZ0LsEDd6QchJiF0J3Lr4bIHvaZmIVc" TargetMode="External"/><Relationship Id="rId209" Type="http://schemas.openxmlformats.org/officeDocument/2006/relationships/hyperlink" Target="https://drive.google.com/uc?export=download&amp;amp;id=1XQxDfdhIwzXJPA5Wt_-5S9HCcwhXTbLm" TargetMode="External"/><Relationship Id="rId208" Type="http://schemas.openxmlformats.org/officeDocument/2006/relationships/hyperlink" Target="https://drive.google.com/uc?export=download&amp;amp;id=1v3UBBeRn_Yu3n7fOhGuKAKplUygZuEXQ" TargetMode="External"/><Relationship Id="rId207" Type="http://schemas.openxmlformats.org/officeDocument/2006/relationships/hyperlink" Target="https://drive.google.com/uc?export=download&amp;amp;id=1MuZJnTEneCbT2OE7zM4YMsZ12mLJapmk" TargetMode="External"/><Relationship Id="rId202" Type="http://schemas.openxmlformats.org/officeDocument/2006/relationships/hyperlink" Target="https://drive.google.com/uc?export=download&amp;amp;id=11XajQNSq7vkXbbiSQVC8g_UlXMjfyL7t" TargetMode="External"/><Relationship Id="rId201" Type="http://schemas.openxmlformats.org/officeDocument/2006/relationships/hyperlink" Target="https://drive.google.com/uc?export=download&amp;amp;id=1ZOcfu1vDT1T5k0Uu_JqG3bEpoWn4GoXA" TargetMode="External"/><Relationship Id="rId200" Type="http://schemas.openxmlformats.org/officeDocument/2006/relationships/hyperlink" Target="https://drive.google.com/uc?export=download&amp;amp;id=1vQTxclsk06lCt5Jt92wgvttvAlVO5zBn" TargetMode="Externa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1" Type="http://schemas.openxmlformats.org/officeDocument/2006/relationships/hyperlink" Target="https://meet.google.com/xwx-qmib-nhx" TargetMode="External"/><Relationship Id="rId10" Type="http://schemas.openxmlformats.org/officeDocument/2006/relationships/hyperlink" Target="https://meet.google.com/bxu-zhcn-hnv" TargetMode="External"/><Relationship Id="rId13" Type="http://schemas.openxmlformats.org/officeDocument/2006/relationships/hyperlink" Target="https://meet.google.com/xij-anvq-mcq" TargetMode="External"/><Relationship Id="rId12" Type="http://schemas.openxmlformats.org/officeDocument/2006/relationships/hyperlink" Target="https://meet.google.com/hfj-unky-bjf" TargetMode="External"/><Relationship Id="rId15" Type="http://schemas.openxmlformats.org/officeDocument/2006/relationships/hyperlink" Target="https://drive.google.com/file/d/1Jr3oYna3jkzinrUI6tTuBJktYPMz0zk2/view?usp=drive_link" TargetMode="External"/><Relationship Id="rId14" Type="http://schemas.openxmlformats.org/officeDocument/2006/relationships/hyperlink" Target="https://drive.google.com/file/d/19njXo2baQcV-yZ5GpMAFsTrCrAWTYQnE/view?usp=drive_link" TargetMode="External"/><Relationship Id="rId17" Type="http://schemas.openxmlformats.org/officeDocument/2006/relationships/hyperlink" Target="https://drive.google.com/file/d/1EfK020TAvMZxP6SeSNffwwPSKxLB-x6f/view?usp=drive_link" TargetMode="External"/><Relationship Id="rId16" Type="http://schemas.openxmlformats.org/officeDocument/2006/relationships/hyperlink" Target="https://drive.google.com/file/d/1qsbTKRd265ODS2PoAL1cJqxq3JzuesFS/view?usp=drive_link" TargetMode="External"/><Relationship Id="rId18" Type="http://schemas.openxmlformats.org/officeDocument/2006/relationships/drawing" Target="../drawings/drawing13.xml"/><Relationship Id="rId1" Type="http://schemas.openxmlformats.org/officeDocument/2006/relationships/hyperlink" Target="https://drive.google.com/file/d/1QPif0D9Wn-SEMO1OjEnuYzBIc8Ojw0Xt/view?usp=drivesdk" TargetMode="External"/><Relationship Id="rId2" Type="http://schemas.openxmlformats.org/officeDocument/2006/relationships/hyperlink" Target="https://drive.google.com/file/d/1QYkDOTTxEw818Zpxjj85vagthLxcQ4S5/view?usp=drivesdk" TargetMode="External"/><Relationship Id="rId3" Type="http://schemas.openxmlformats.org/officeDocument/2006/relationships/hyperlink" Target="https://drive.google.com/file/d/1_L7kc2AVVpS2vpTlvsluBa9_J13t4-J_/view?usp=drive_link" TargetMode="External"/><Relationship Id="rId4" Type="http://schemas.openxmlformats.org/officeDocument/2006/relationships/hyperlink" Target="https://drive.google.com/file/d/1ajd20T1MSOpZMZyY3kPtYWfmnU-dtfrn/view?usp=drive_link" TargetMode="External"/><Relationship Id="rId9" Type="http://schemas.openxmlformats.org/officeDocument/2006/relationships/hyperlink" Target="https://meet.google.com/xxq-rkkt-yxn" TargetMode="External"/><Relationship Id="rId5" Type="http://schemas.openxmlformats.org/officeDocument/2006/relationships/hyperlink" Target="https://drive.google.com/file/d/1anWcd4l2_YTpNcFgn_nj8eoE3u6btA2j/view?usp=drive_link" TargetMode="External"/><Relationship Id="rId6" Type="http://schemas.openxmlformats.org/officeDocument/2006/relationships/hyperlink" Target="https://drive.google.com/file/d/1asC6hKFW6oML3j2xsuW6V4tbDK0JnZ7z/view?usp=drive_link" TargetMode="External"/><Relationship Id="rId7" Type="http://schemas.openxmlformats.org/officeDocument/2006/relationships/hyperlink" Target="https://drive.google.com/file/d/1au6vkqRUd-wvBpQslKcjBIv-eI3uM25G/view?usp=drive_link" TargetMode="External"/><Relationship Id="rId8" Type="http://schemas.openxmlformats.org/officeDocument/2006/relationships/hyperlink" Target="https://meet.google.com/sci-qeiu-gor" TargetMode="Externa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pane ySplit="1.0" topLeftCell="A2" activePane="bottomLeft" state="frozen"/>
      <selection activeCell="B3" sqref="B3" pane="bottomLeft"/>
    </sheetView>
  </sheetViews>
  <sheetFormatPr customHeight="1" defaultColWidth="11.22" defaultRowHeight="15.0"/>
  <cols>
    <col customWidth="1" min="1" max="6" width="11.67"/>
    <col customWidth="1" min="7" max="7" width="26.33"/>
    <col customWidth="1" min="8" max="26" width="11.67"/>
  </cols>
  <sheetData>
    <row r="1" ht="22.5" customHeight="1">
      <c r="A1" s="1" t="s">
        <v>0</v>
      </c>
      <c r="B1" s="2" t="s">
        <v>1</v>
      </c>
      <c r="C1" s="1" t="s">
        <v>2</v>
      </c>
      <c r="D1" s="2" t="s">
        <v>3</v>
      </c>
      <c r="E1" s="1" t="s">
        <v>4</v>
      </c>
      <c r="F1" s="1" t="s">
        <v>5</v>
      </c>
      <c r="G1" s="2" t="s">
        <v>6</v>
      </c>
      <c r="H1" s="2" t="s">
        <v>7</v>
      </c>
      <c r="I1" s="1" t="s">
        <v>8</v>
      </c>
    </row>
    <row r="2" ht="22.5" customHeight="1">
      <c r="A2" s="3" t="s">
        <v>9</v>
      </c>
      <c r="B2" s="3" t="s">
        <v>10</v>
      </c>
      <c r="C2" s="3" t="s">
        <v>11</v>
      </c>
      <c r="D2" s="3" t="s">
        <v>12</v>
      </c>
      <c r="E2" s="4" t="s">
        <v>13</v>
      </c>
      <c r="F2" s="4" t="str">
        <f t="shared" ref="F2:F64" si="1">IF(H2="",TEXTJOIN(" ", TRUE, A2, B2, C2, D2, E2),TEXTJOIN(" ", TRUE, A2, B2, C2, D2, E2) &amp; " - " &amp; H2)</f>
        <v>T2 Cambridge IGCSE 0417 Information &amp; Communication Technology - PKR</v>
      </c>
      <c r="G2" s="5" t="s">
        <v>14</v>
      </c>
      <c r="H2" s="3" t="s">
        <v>15</v>
      </c>
      <c r="I2" s="6">
        <v>15000.0</v>
      </c>
    </row>
    <row r="3" ht="22.5" customHeight="1">
      <c r="A3" s="3" t="s">
        <v>9</v>
      </c>
      <c r="B3" s="3" t="s">
        <v>10</v>
      </c>
      <c r="C3" s="3" t="s">
        <v>11</v>
      </c>
      <c r="D3" s="3" t="s">
        <v>16</v>
      </c>
      <c r="E3" s="4" t="s">
        <v>17</v>
      </c>
      <c r="F3" s="4" t="str">
        <f t="shared" si="1"/>
        <v>T2 Cambridge IGCSE 0450 Business Studies - PKR</v>
      </c>
      <c r="G3" s="5" t="s">
        <v>14</v>
      </c>
      <c r="H3" s="3" t="s">
        <v>15</v>
      </c>
      <c r="I3" s="6">
        <v>15000.0</v>
      </c>
    </row>
    <row r="4" ht="22.5" customHeight="1">
      <c r="A4" s="3" t="s">
        <v>9</v>
      </c>
      <c r="B4" s="3" t="s">
        <v>10</v>
      </c>
      <c r="C4" s="3" t="s">
        <v>11</v>
      </c>
      <c r="D4" s="3" t="s">
        <v>18</v>
      </c>
      <c r="E4" s="4" t="s">
        <v>19</v>
      </c>
      <c r="F4" s="4" t="str">
        <f t="shared" si="1"/>
        <v>T2 Cambridge IGCSE 0455 Economics - PKR</v>
      </c>
      <c r="G4" s="5" t="s">
        <v>14</v>
      </c>
      <c r="H4" s="3" t="s">
        <v>15</v>
      </c>
      <c r="I4" s="6">
        <v>15000.0</v>
      </c>
    </row>
    <row r="5" ht="22.5" customHeight="1">
      <c r="A5" s="3" t="s">
        <v>9</v>
      </c>
      <c r="B5" s="3" t="s">
        <v>10</v>
      </c>
      <c r="C5" s="3" t="s">
        <v>11</v>
      </c>
      <c r="D5" s="3" t="s">
        <v>20</v>
      </c>
      <c r="E5" s="4" t="s">
        <v>21</v>
      </c>
      <c r="F5" s="4" t="str">
        <f t="shared" si="1"/>
        <v>T2 Cambridge IGCSE 0478 Computer Science - PKR</v>
      </c>
      <c r="G5" s="5" t="s">
        <v>14</v>
      </c>
      <c r="H5" s="3" t="s">
        <v>15</v>
      </c>
      <c r="I5" s="6">
        <v>15000.0</v>
      </c>
    </row>
    <row r="6" ht="22.5" customHeight="1">
      <c r="A6" s="3" t="s">
        <v>9</v>
      </c>
      <c r="B6" s="3" t="s">
        <v>10</v>
      </c>
      <c r="C6" s="3" t="s">
        <v>11</v>
      </c>
      <c r="D6" s="3" t="s">
        <v>22</v>
      </c>
      <c r="E6" s="4" t="s">
        <v>23</v>
      </c>
      <c r="F6" s="4" t="str">
        <f t="shared" si="1"/>
        <v>T2 Cambridge IGCSE 0500 First Language English - PKR</v>
      </c>
      <c r="G6" s="5" t="s">
        <v>14</v>
      </c>
      <c r="H6" s="3" t="s">
        <v>15</v>
      </c>
      <c r="I6" s="6">
        <v>15000.0</v>
      </c>
    </row>
    <row r="7" ht="22.5" customHeight="1">
      <c r="A7" s="3" t="s">
        <v>9</v>
      </c>
      <c r="B7" s="3" t="s">
        <v>10</v>
      </c>
      <c r="C7" s="3" t="s">
        <v>11</v>
      </c>
      <c r="D7" s="3" t="s">
        <v>24</v>
      </c>
      <c r="E7" s="4" t="s">
        <v>25</v>
      </c>
      <c r="F7" s="4" t="str">
        <f t="shared" si="1"/>
        <v>T2 Cambridge IGCSE 0510 English as a Second Language - PKR</v>
      </c>
      <c r="G7" s="5" t="s">
        <v>14</v>
      </c>
      <c r="H7" s="3" t="s">
        <v>15</v>
      </c>
      <c r="I7" s="6">
        <v>15000.0</v>
      </c>
    </row>
    <row r="8" ht="22.5" customHeight="1">
      <c r="A8" s="3" t="s">
        <v>9</v>
      </c>
      <c r="B8" s="3" t="s">
        <v>10</v>
      </c>
      <c r="C8" s="3" t="s">
        <v>11</v>
      </c>
      <c r="D8" s="3" t="s">
        <v>26</v>
      </c>
      <c r="E8" s="4" t="s">
        <v>27</v>
      </c>
      <c r="F8" s="4" t="str">
        <f t="shared" si="1"/>
        <v>T2 Cambridge IGCSE 0580 Mathematics - PKR</v>
      </c>
      <c r="G8" s="5" t="s">
        <v>14</v>
      </c>
      <c r="H8" s="3" t="s">
        <v>15</v>
      </c>
      <c r="I8" s="6">
        <v>15000.0</v>
      </c>
    </row>
    <row r="9" ht="22.5" customHeight="1">
      <c r="A9" s="3" t="s">
        <v>28</v>
      </c>
      <c r="B9" s="3" t="s">
        <v>10</v>
      </c>
      <c r="C9" s="3" t="s">
        <v>11</v>
      </c>
      <c r="D9" s="3" t="s">
        <v>26</v>
      </c>
      <c r="E9" s="4" t="s">
        <v>27</v>
      </c>
      <c r="F9" s="4" t="str">
        <f t="shared" si="1"/>
        <v>T3 Cambridge IGCSE 0580 Mathematics - SAR</v>
      </c>
      <c r="G9" s="5" t="s">
        <v>14</v>
      </c>
      <c r="H9" s="3" t="s">
        <v>29</v>
      </c>
      <c r="I9" s="6">
        <v>150.0</v>
      </c>
    </row>
    <row r="10" ht="22.5" customHeight="1">
      <c r="A10" s="3" t="s">
        <v>9</v>
      </c>
      <c r="B10" s="3" t="s">
        <v>10</v>
      </c>
      <c r="C10" s="3" t="s">
        <v>11</v>
      </c>
      <c r="D10" s="3" t="s">
        <v>30</v>
      </c>
      <c r="E10" s="4" t="s">
        <v>31</v>
      </c>
      <c r="F10" s="4" t="str">
        <f t="shared" si="1"/>
        <v>T2 Cambridge IGCSE 0610 Biology - PKR</v>
      </c>
      <c r="G10" s="5" t="s">
        <v>14</v>
      </c>
      <c r="H10" s="3" t="s">
        <v>15</v>
      </c>
      <c r="I10" s="6">
        <v>15000.0</v>
      </c>
    </row>
    <row r="11" ht="22.5" customHeight="1">
      <c r="A11" s="3" t="s">
        <v>9</v>
      </c>
      <c r="B11" s="3" t="s">
        <v>10</v>
      </c>
      <c r="C11" s="3" t="s">
        <v>11</v>
      </c>
      <c r="D11" s="3" t="s">
        <v>32</v>
      </c>
      <c r="E11" s="4" t="s">
        <v>33</v>
      </c>
      <c r="F11" s="4" t="str">
        <f t="shared" si="1"/>
        <v>T2 Cambridge IGCSE 0620 Chemistry - PKR</v>
      </c>
      <c r="G11" s="5" t="s">
        <v>14</v>
      </c>
      <c r="H11" s="3" t="s">
        <v>15</v>
      </c>
      <c r="I11" s="6">
        <v>15000.0</v>
      </c>
    </row>
    <row r="12" ht="22.5" customHeight="1">
      <c r="A12" s="3" t="s">
        <v>28</v>
      </c>
      <c r="B12" s="3" t="s">
        <v>10</v>
      </c>
      <c r="C12" s="3" t="s">
        <v>11</v>
      </c>
      <c r="D12" s="3" t="s">
        <v>32</v>
      </c>
      <c r="E12" s="4" t="s">
        <v>33</v>
      </c>
      <c r="F12" s="4" t="str">
        <f t="shared" si="1"/>
        <v>T3 Cambridge IGCSE 0620 Chemistry - SAR</v>
      </c>
      <c r="G12" s="5" t="s">
        <v>14</v>
      </c>
      <c r="H12" s="3" t="s">
        <v>29</v>
      </c>
      <c r="I12" s="6">
        <v>150.0</v>
      </c>
    </row>
    <row r="13" ht="22.5" customHeight="1">
      <c r="A13" s="3" t="s">
        <v>9</v>
      </c>
      <c r="B13" s="3" t="s">
        <v>10</v>
      </c>
      <c r="C13" s="3" t="s">
        <v>11</v>
      </c>
      <c r="D13" s="3" t="s">
        <v>34</v>
      </c>
      <c r="E13" s="4" t="s">
        <v>35</v>
      </c>
      <c r="F13" s="4" t="str">
        <f t="shared" si="1"/>
        <v>T2 Cambridge IGCSE 0625 Physics - PKR</v>
      </c>
      <c r="G13" s="5" t="s">
        <v>14</v>
      </c>
      <c r="H13" s="3" t="s">
        <v>15</v>
      </c>
      <c r="I13" s="6">
        <v>15000.0</v>
      </c>
    </row>
    <row r="14" ht="22.5" customHeight="1">
      <c r="A14" s="3" t="s">
        <v>28</v>
      </c>
      <c r="B14" s="3" t="s">
        <v>10</v>
      </c>
      <c r="C14" s="3" t="s">
        <v>11</v>
      </c>
      <c r="D14" s="3" t="s">
        <v>34</v>
      </c>
      <c r="E14" s="4" t="s">
        <v>35</v>
      </c>
      <c r="F14" s="4" t="str">
        <f t="shared" si="1"/>
        <v>T3 Cambridge IGCSE 0625 Physics - SAR</v>
      </c>
      <c r="G14" s="5" t="s">
        <v>14</v>
      </c>
      <c r="H14" s="3" t="s">
        <v>29</v>
      </c>
      <c r="I14" s="6">
        <v>150.0</v>
      </c>
    </row>
    <row r="15" ht="22.5" customHeight="1">
      <c r="A15" s="3" t="s">
        <v>36</v>
      </c>
      <c r="B15" s="3" t="s">
        <v>10</v>
      </c>
      <c r="C15" s="3" t="s">
        <v>11</v>
      </c>
      <c r="D15" s="3" t="s">
        <v>24</v>
      </c>
      <c r="E15" s="4" t="s">
        <v>37</v>
      </c>
      <c r="F15" s="4" t="str">
        <f t="shared" si="1"/>
        <v>T4 Cambridge IGCSE 0510 English - SAR</v>
      </c>
      <c r="G15" s="5" t="s">
        <v>14</v>
      </c>
      <c r="H15" s="3" t="s">
        <v>29</v>
      </c>
      <c r="I15" s="6">
        <v>150.0</v>
      </c>
    </row>
    <row r="16" ht="22.5" customHeight="1">
      <c r="A16" s="3" t="s">
        <v>36</v>
      </c>
      <c r="B16" s="3" t="s">
        <v>10</v>
      </c>
      <c r="C16" s="3" t="s">
        <v>11</v>
      </c>
      <c r="D16" s="3" t="s">
        <v>24</v>
      </c>
      <c r="E16" s="4" t="s">
        <v>37</v>
      </c>
      <c r="F16" s="4" t="str">
        <f t="shared" si="1"/>
        <v>T4 Cambridge IGCSE 0510 English - INR</v>
      </c>
      <c r="G16" s="5" t="s">
        <v>14</v>
      </c>
      <c r="H16" s="3" t="s">
        <v>38</v>
      </c>
      <c r="I16" s="6">
        <v>3000.0</v>
      </c>
    </row>
    <row r="17" ht="22.5" customHeight="1">
      <c r="A17" s="3" t="s">
        <v>36</v>
      </c>
      <c r="B17" s="3" t="s">
        <v>10</v>
      </c>
      <c r="C17" s="3" t="s">
        <v>11</v>
      </c>
      <c r="D17" s="3" t="s">
        <v>26</v>
      </c>
      <c r="E17" s="4" t="s">
        <v>27</v>
      </c>
      <c r="F17" s="4" t="str">
        <f t="shared" si="1"/>
        <v>T4 Cambridge IGCSE 0580 Mathematics - SAR</v>
      </c>
      <c r="G17" s="5" t="s">
        <v>14</v>
      </c>
      <c r="H17" s="3" t="s">
        <v>29</v>
      </c>
      <c r="I17" s="6">
        <v>150.0</v>
      </c>
    </row>
    <row r="18" ht="22.5" customHeight="1">
      <c r="A18" s="3" t="s">
        <v>36</v>
      </c>
      <c r="B18" s="3" t="s">
        <v>10</v>
      </c>
      <c r="C18" s="3" t="s">
        <v>11</v>
      </c>
      <c r="D18" s="3" t="s">
        <v>26</v>
      </c>
      <c r="E18" s="4" t="s">
        <v>27</v>
      </c>
      <c r="F18" s="4" t="str">
        <f t="shared" si="1"/>
        <v>T4 Cambridge IGCSE 0580 Mathematics - INR</v>
      </c>
      <c r="G18" s="5" t="s">
        <v>14</v>
      </c>
      <c r="H18" s="3" t="s">
        <v>38</v>
      </c>
      <c r="I18" s="6">
        <v>3000.0</v>
      </c>
    </row>
    <row r="19" ht="22.5" customHeight="1">
      <c r="A19" s="3" t="s">
        <v>36</v>
      </c>
      <c r="B19" s="3" t="s">
        <v>10</v>
      </c>
      <c r="C19" s="3" t="s">
        <v>11</v>
      </c>
      <c r="D19" s="3"/>
      <c r="E19" s="4" t="s">
        <v>39</v>
      </c>
      <c r="F19" s="4" t="str">
        <f t="shared" si="1"/>
        <v>T4 Cambridge IGCSE Science - SAR</v>
      </c>
      <c r="G19" s="5" t="s">
        <v>14</v>
      </c>
      <c r="H19" s="3" t="s">
        <v>29</v>
      </c>
      <c r="I19" s="6">
        <v>150.0</v>
      </c>
    </row>
    <row r="20" ht="22.5" customHeight="1">
      <c r="A20" s="3" t="s">
        <v>36</v>
      </c>
      <c r="B20" s="3" t="s">
        <v>10</v>
      </c>
      <c r="C20" s="3" t="s">
        <v>11</v>
      </c>
      <c r="D20" s="3"/>
      <c r="E20" s="4" t="s">
        <v>39</v>
      </c>
      <c r="F20" s="4" t="str">
        <f t="shared" si="1"/>
        <v>T4 Cambridge IGCSE Science - INR</v>
      </c>
      <c r="G20" s="5" t="s">
        <v>14</v>
      </c>
      <c r="H20" s="3" t="s">
        <v>38</v>
      </c>
      <c r="I20" s="6">
        <v>3000.0</v>
      </c>
    </row>
    <row r="21" ht="22.5" customHeight="1">
      <c r="A21" s="3" t="s">
        <v>40</v>
      </c>
      <c r="B21" s="3" t="s">
        <v>10</v>
      </c>
      <c r="C21" s="3" t="s">
        <v>41</v>
      </c>
      <c r="D21" s="3" t="s">
        <v>42</v>
      </c>
      <c r="E21" s="4" t="s">
        <v>43</v>
      </c>
      <c r="F21" s="4" t="str">
        <f t="shared" si="1"/>
        <v>B18 Cambridge AS-Level 9609 Business - INR</v>
      </c>
      <c r="G21" s="5" t="s">
        <v>44</v>
      </c>
      <c r="H21" s="3" t="s">
        <v>38</v>
      </c>
      <c r="I21" s="6">
        <v>9000.0</v>
      </c>
    </row>
    <row r="22" ht="22.5" customHeight="1">
      <c r="A22" s="3" t="s">
        <v>40</v>
      </c>
      <c r="B22" s="3" t="s">
        <v>10</v>
      </c>
      <c r="C22" s="3" t="s">
        <v>41</v>
      </c>
      <c r="D22" s="3" t="s">
        <v>42</v>
      </c>
      <c r="E22" s="4" t="s">
        <v>43</v>
      </c>
      <c r="F22" s="4" t="str">
        <f t="shared" si="1"/>
        <v>B18 Cambridge AS-Level 9609 Business - SAR</v>
      </c>
      <c r="G22" s="5" t="s">
        <v>44</v>
      </c>
      <c r="H22" s="3" t="s">
        <v>29</v>
      </c>
      <c r="I22" s="6">
        <v>450.0</v>
      </c>
    </row>
    <row r="23" ht="22.5" customHeight="1">
      <c r="A23" s="3" t="s">
        <v>45</v>
      </c>
      <c r="B23" s="3" t="s">
        <v>10</v>
      </c>
      <c r="C23" s="3" t="s">
        <v>46</v>
      </c>
      <c r="D23" s="3" t="s">
        <v>42</v>
      </c>
      <c r="E23" s="4" t="s">
        <v>43</v>
      </c>
      <c r="F23" s="4" t="str">
        <f t="shared" si="1"/>
        <v>B8 Cambridge A-Level 9609 Business - INR</v>
      </c>
      <c r="G23" s="5" t="s">
        <v>44</v>
      </c>
      <c r="H23" s="3" t="s">
        <v>38</v>
      </c>
      <c r="I23" s="6">
        <v>9000.0</v>
      </c>
    </row>
    <row r="24" ht="22.5" customHeight="1">
      <c r="A24" s="3" t="s">
        <v>45</v>
      </c>
      <c r="B24" s="3" t="s">
        <v>10</v>
      </c>
      <c r="C24" s="3" t="s">
        <v>46</v>
      </c>
      <c r="D24" s="3" t="s">
        <v>42</v>
      </c>
      <c r="E24" s="4" t="s">
        <v>43</v>
      </c>
      <c r="F24" s="4" t="str">
        <f t="shared" si="1"/>
        <v>B8 Cambridge A-Level 9609 Business - SAR</v>
      </c>
      <c r="G24" s="5" t="s">
        <v>44</v>
      </c>
      <c r="H24" s="3" t="s">
        <v>29</v>
      </c>
      <c r="I24" s="6">
        <v>450.0</v>
      </c>
    </row>
    <row r="25" ht="22.5" customHeight="1">
      <c r="A25" s="3" t="s">
        <v>45</v>
      </c>
      <c r="B25" s="3" t="s">
        <v>10</v>
      </c>
      <c r="C25" s="3" t="s">
        <v>41</v>
      </c>
      <c r="D25" s="3" t="s">
        <v>42</v>
      </c>
      <c r="E25" s="4" t="s">
        <v>43</v>
      </c>
      <c r="F25" s="4" t="str">
        <f t="shared" si="1"/>
        <v>B8 Cambridge AS-Level 9609 Business - INR</v>
      </c>
      <c r="G25" s="5" t="s">
        <v>44</v>
      </c>
      <c r="H25" s="3" t="s">
        <v>38</v>
      </c>
      <c r="I25" s="6">
        <v>9000.0</v>
      </c>
    </row>
    <row r="26" ht="22.5" customHeight="1">
      <c r="A26" s="3" t="s">
        <v>45</v>
      </c>
      <c r="B26" s="3" t="s">
        <v>10</v>
      </c>
      <c r="C26" s="3" t="s">
        <v>41</v>
      </c>
      <c r="D26" s="3" t="s">
        <v>42</v>
      </c>
      <c r="E26" s="4" t="s">
        <v>43</v>
      </c>
      <c r="F26" s="4" t="str">
        <f t="shared" si="1"/>
        <v>B8 Cambridge AS-Level 9609 Business - SAR</v>
      </c>
      <c r="G26" s="5" t="s">
        <v>44</v>
      </c>
      <c r="H26" s="3" t="s">
        <v>29</v>
      </c>
      <c r="I26" s="6">
        <v>450.0</v>
      </c>
    </row>
    <row r="27" ht="22.5" customHeight="1">
      <c r="A27" s="3" t="s">
        <v>40</v>
      </c>
      <c r="B27" s="3" t="s">
        <v>10</v>
      </c>
      <c r="C27" s="3" t="s">
        <v>41</v>
      </c>
      <c r="D27" s="3" t="s">
        <v>47</v>
      </c>
      <c r="E27" s="4" t="s">
        <v>19</v>
      </c>
      <c r="F27" s="4" t="str">
        <f t="shared" si="1"/>
        <v>B18 Cambridge AS-Level 9708 Economics - INR</v>
      </c>
      <c r="G27" s="5" t="s">
        <v>44</v>
      </c>
      <c r="H27" s="3" t="s">
        <v>38</v>
      </c>
      <c r="I27" s="6">
        <v>9000.0</v>
      </c>
    </row>
    <row r="28" ht="22.5" customHeight="1">
      <c r="A28" s="3" t="s">
        <v>40</v>
      </c>
      <c r="B28" s="3" t="s">
        <v>10</v>
      </c>
      <c r="C28" s="3" t="s">
        <v>41</v>
      </c>
      <c r="D28" s="3" t="s">
        <v>47</v>
      </c>
      <c r="E28" s="4" t="s">
        <v>19</v>
      </c>
      <c r="F28" s="4" t="str">
        <f t="shared" si="1"/>
        <v>B18 Cambridge AS-Level 9708 Economics - SAR</v>
      </c>
      <c r="G28" s="5" t="s">
        <v>44</v>
      </c>
      <c r="H28" s="3" t="s">
        <v>29</v>
      </c>
      <c r="I28" s="6">
        <v>450.0</v>
      </c>
    </row>
    <row r="29" ht="22.5" customHeight="1">
      <c r="A29" s="3" t="s">
        <v>45</v>
      </c>
      <c r="B29" s="3" t="s">
        <v>10</v>
      </c>
      <c r="C29" s="3" t="s">
        <v>46</v>
      </c>
      <c r="D29" s="3" t="s">
        <v>47</v>
      </c>
      <c r="E29" s="4" t="s">
        <v>19</v>
      </c>
      <c r="F29" s="4" t="str">
        <f t="shared" si="1"/>
        <v>B8 Cambridge A-Level 9708 Economics - INR</v>
      </c>
      <c r="G29" s="5" t="s">
        <v>44</v>
      </c>
      <c r="H29" s="3" t="s">
        <v>38</v>
      </c>
      <c r="I29" s="6">
        <v>9000.0</v>
      </c>
    </row>
    <row r="30" ht="22.5" customHeight="1">
      <c r="A30" s="3" t="s">
        <v>45</v>
      </c>
      <c r="B30" s="3" t="s">
        <v>10</v>
      </c>
      <c r="C30" s="3" t="s">
        <v>46</v>
      </c>
      <c r="D30" s="3" t="s">
        <v>47</v>
      </c>
      <c r="E30" s="4" t="s">
        <v>19</v>
      </c>
      <c r="F30" s="4" t="str">
        <f t="shared" si="1"/>
        <v>B8 Cambridge A-Level 9708 Economics - SAR</v>
      </c>
      <c r="G30" s="5" t="s">
        <v>44</v>
      </c>
      <c r="H30" s="3" t="s">
        <v>29</v>
      </c>
      <c r="I30" s="6">
        <v>450.0</v>
      </c>
    </row>
    <row r="31" ht="22.5" customHeight="1">
      <c r="A31" s="3" t="s">
        <v>45</v>
      </c>
      <c r="B31" s="3" t="s">
        <v>10</v>
      </c>
      <c r="C31" s="3" t="s">
        <v>41</v>
      </c>
      <c r="D31" s="3" t="s">
        <v>47</v>
      </c>
      <c r="E31" s="4" t="s">
        <v>19</v>
      </c>
      <c r="F31" s="4" t="str">
        <f t="shared" si="1"/>
        <v>B8 Cambridge AS-Level 9708 Economics - INR</v>
      </c>
      <c r="G31" s="5" t="s">
        <v>44</v>
      </c>
      <c r="H31" s="3" t="s">
        <v>38</v>
      </c>
      <c r="I31" s="6">
        <v>9000.0</v>
      </c>
    </row>
    <row r="32" ht="22.5" customHeight="1">
      <c r="A32" s="3" t="s">
        <v>45</v>
      </c>
      <c r="B32" s="3" t="s">
        <v>10</v>
      </c>
      <c r="C32" s="3" t="s">
        <v>41</v>
      </c>
      <c r="D32" s="3" t="s">
        <v>47</v>
      </c>
      <c r="E32" s="4" t="s">
        <v>19</v>
      </c>
      <c r="F32" s="4" t="str">
        <f t="shared" si="1"/>
        <v>B8 Cambridge AS-Level 9708 Economics - SAR</v>
      </c>
      <c r="G32" s="5" t="s">
        <v>44</v>
      </c>
      <c r="H32" s="3" t="s">
        <v>29</v>
      </c>
      <c r="I32" s="6">
        <v>450.0</v>
      </c>
    </row>
    <row r="33" ht="22.5" customHeight="1">
      <c r="A33" s="3" t="s">
        <v>45</v>
      </c>
      <c r="B33" s="3" t="s">
        <v>48</v>
      </c>
      <c r="C33" s="3" t="s">
        <v>49</v>
      </c>
      <c r="D33" s="3"/>
      <c r="E33" s="4" t="s">
        <v>19</v>
      </c>
      <c r="F33" s="4" t="str">
        <f t="shared" si="1"/>
        <v>B8 IB DP Economics - USD</v>
      </c>
      <c r="G33" s="5" t="s">
        <v>44</v>
      </c>
      <c r="H33" s="3" t="s">
        <v>50</v>
      </c>
      <c r="I33" s="6">
        <v>12.0</v>
      </c>
    </row>
    <row r="34" ht="22.5" customHeight="1">
      <c r="A34" s="3" t="s">
        <v>51</v>
      </c>
      <c r="B34" s="3" t="s">
        <v>10</v>
      </c>
      <c r="C34" s="3" t="s">
        <v>11</v>
      </c>
      <c r="D34" s="3" t="s">
        <v>16</v>
      </c>
      <c r="E34" s="4" t="s">
        <v>17</v>
      </c>
      <c r="F34" s="4" t="str">
        <f t="shared" si="1"/>
        <v>B14 Cambridge IGCSE 0450 Business Studies - SAR</v>
      </c>
      <c r="G34" s="5" t="s">
        <v>44</v>
      </c>
      <c r="H34" s="3" t="s">
        <v>29</v>
      </c>
      <c r="I34" s="6">
        <v>200.0</v>
      </c>
    </row>
    <row r="35" ht="22.5" customHeight="1">
      <c r="A35" s="3" t="s">
        <v>51</v>
      </c>
      <c r="B35" s="3" t="s">
        <v>10</v>
      </c>
      <c r="C35" s="3" t="s">
        <v>11</v>
      </c>
      <c r="D35" s="3" t="s">
        <v>16</v>
      </c>
      <c r="E35" s="4" t="s">
        <v>17</v>
      </c>
      <c r="F35" s="4" t="str">
        <f t="shared" si="1"/>
        <v>B14 Cambridge IGCSE 0450 Business Studies - INR</v>
      </c>
      <c r="G35" s="5" t="s">
        <v>44</v>
      </c>
      <c r="H35" s="3" t="s">
        <v>38</v>
      </c>
      <c r="I35" s="6">
        <v>4000.0</v>
      </c>
    </row>
    <row r="36" ht="22.5" customHeight="1">
      <c r="A36" s="3" t="s">
        <v>51</v>
      </c>
      <c r="B36" s="3" t="s">
        <v>10</v>
      </c>
      <c r="C36" s="3" t="s">
        <v>11</v>
      </c>
      <c r="D36" s="3" t="s">
        <v>52</v>
      </c>
      <c r="E36" s="4" t="s">
        <v>53</v>
      </c>
      <c r="F36" s="4" t="str">
        <f t="shared" si="1"/>
        <v>B14 Cambridge IGCSE 0452 Accounting - SAR</v>
      </c>
      <c r="G36" s="5" t="s">
        <v>44</v>
      </c>
      <c r="H36" s="3" t="s">
        <v>29</v>
      </c>
      <c r="I36" s="6">
        <v>200.0</v>
      </c>
    </row>
    <row r="37" ht="22.5" customHeight="1">
      <c r="A37" s="3" t="s">
        <v>51</v>
      </c>
      <c r="B37" s="3" t="s">
        <v>10</v>
      </c>
      <c r="C37" s="3" t="s">
        <v>11</v>
      </c>
      <c r="D37" s="3" t="s">
        <v>52</v>
      </c>
      <c r="E37" s="4" t="s">
        <v>53</v>
      </c>
      <c r="F37" s="4" t="str">
        <f t="shared" si="1"/>
        <v>B14 Cambridge IGCSE 0452 Accounting - INR</v>
      </c>
      <c r="G37" s="5" t="s">
        <v>44</v>
      </c>
      <c r="H37" s="3" t="s">
        <v>38</v>
      </c>
      <c r="I37" s="6">
        <v>4000.0</v>
      </c>
    </row>
    <row r="38" ht="22.5" customHeight="1">
      <c r="A38" s="3" t="s">
        <v>51</v>
      </c>
      <c r="B38" s="3" t="s">
        <v>10</v>
      </c>
      <c r="C38" s="3" t="s">
        <v>11</v>
      </c>
      <c r="D38" s="3" t="s">
        <v>18</v>
      </c>
      <c r="E38" s="4" t="s">
        <v>19</v>
      </c>
      <c r="F38" s="4" t="str">
        <f t="shared" si="1"/>
        <v>B14 Cambridge IGCSE 0455 Economics - SAR</v>
      </c>
      <c r="G38" s="5" t="s">
        <v>44</v>
      </c>
      <c r="H38" s="3" t="s">
        <v>29</v>
      </c>
      <c r="I38" s="6">
        <v>200.0</v>
      </c>
    </row>
    <row r="39" ht="22.5" customHeight="1">
      <c r="A39" s="3" t="s">
        <v>51</v>
      </c>
      <c r="B39" s="3" t="s">
        <v>10</v>
      </c>
      <c r="C39" s="3" t="s">
        <v>11</v>
      </c>
      <c r="D39" s="3" t="s">
        <v>18</v>
      </c>
      <c r="E39" s="4" t="s">
        <v>19</v>
      </c>
      <c r="F39" s="4" t="str">
        <f t="shared" si="1"/>
        <v>B14 Cambridge IGCSE 0455 Economics - INR</v>
      </c>
      <c r="G39" s="5" t="s">
        <v>44</v>
      </c>
      <c r="H39" s="3" t="s">
        <v>38</v>
      </c>
      <c r="I39" s="6">
        <v>4000.0</v>
      </c>
    </row>
    <row r="40" ht="22.5" customHeight="1">
      <c r="A40" s="3" t="s">
        <v>40</v>
      </c>
      <c r="B40" s="3" t="s">
        <v>10</v>
      </c>
      <c r="C40" s="3" t="s">
        <v>41</v>
      </c>
      <c r="D40" s="3" t="s">
        <v>54</v>
      </c>
      <c r="E40" s="4" t="s">
        <v>31</v>
      </c>
      <c r="F40" s="4" t="str">
        <f t="shared" si="1"/>
        <v>B18 Cambridge AS-Level 9700 Biology - INR</v>
      </c>
      <c r="G40" s="4" t="s">
        <v>55</v>
      </c>
      <c r="H40" s="3" t="s">
        <v>38</v>
      </c>
      <c r="I40" s="6">
        <v>9000.0</v>
      </c>
    </row>
    <row r="41" ht="22.5" customHeight="1">
      <c r="A41" s="3" t="s">
        <v>40</v>
      </c>
      <c r="B41" s="3" t="s">
        <v>10</v>
      </c>
      <c r="C41" s="3" t="s">
        <v>41</v>
      </c>
      <c r="D41" s="3" t="s">
        <v>54</v>
      </c>
      <c r="E41" s="4" t="s">
        <v>31</v>
      </c>
      <c r="F41" s="4" t="str">
        <f t="shared" si="1"/>
        <v>B18 Cambridge AS-Level 9700 Biology - SAR</v>
      </c>
      <c r="G41" s="4" t="s">
        <v>55</v>
      </c>
      <c r="H41" s="3" t="s">
        <v>29</v>
      </c>
      <c r="I41" s="6">
        <v>450.0</v>
      </c>
    </row>
    <row r="42" ht="22.5" customHeight="1">
      <c r="A42" s="3" t="s">
        <v>45</v>
      </c>
      <c r="B42" s="3" t="s">
        <v>10</v>
      </c>
      <c r="C42" s="3" t="s">
        <v>46</v>
      </c>
      <c r="D42" s="3" t="s">
        <v>54</v>
      </c>
      <c r="E42" s="4" t="s">
        <v>31</v>
      </c>
      <c r="F42" s="4" t="str">
        <f t="shared" si="1"/>
        <v>B8 Cambridge A-Level 9700 Biology - INR</v>
      </c>
      <c r="G42" s="4" t="s">
        <v>55</v>
      </c>
      <c r="H42" s="3" t="s">
        <v>38</v>
      </c>
      <c r="I42" s="6">
        <v>8999.0</v>
      </c>
    </row>
    <row r="43" ht="22.5" customHeight="1">
      <c r="A43" s="3" t="s">
        <v>45</v>
      </c>
      <c r="B43" s="3" t="s">
        <v>10</v>
      </c>
      <c r="C43" s="3" t="s">
        <v>46</v>
      </c>
      <c r="D43" s="3" t="s">
        <v>54</v>
      </c>
      <c r="E43" s="4" t="s">
        <v>31</v>
      </c>
      <c r="F43" s="4" t="str">
        <f t="shared" si="1"/>
        <v>B8 Cambridge A-Level 9700 Biology - SAR</v>
      </c>
      <c r="G43" s="4" t="s">
        <v>55</v>
      </c>
      <c r="H43" s="3" t="s">
        <v>29</v>
      </c>
      <c r="I43" s="6">
        <v>450.0</v>
      </c>
    </row>
    <row r="44" ht="22.5" customHeight="1">
      <c r="A44" s="3" t="s">
        <v>45</v>
      </c>
      <c r="B44" s="3" t="s">
        <v>10</v>
      </c>
      <c r="C44" s="3" t="s">
        <v>41</v>
      </c>
      <c r="D44" s="3" t="s">
        <v>54</v>
      </c>
      <c r="E44" s="4" t="s">
        <v>31</v>
      </c>
      <c r="F44" s="4" t="str">
        <f t="shared" si="1"/>
        <v>B8 Cambridge AS-Level 9700 Biology - INR</v>
      </c>
      <c r="G44" s="4" t="s">
        <v>55</v>
      </c>
      <c r="H44" s="3" t="s">
        <v>38</v>
      </c>
      <c r="I44" s="6">
        <v>9000.0</v>
      </c>
    </row>
    <row r="45" ht="22.5" customHeight="1">
      <c r="A45" s="3" t="s">
        <v>45</v>
      </c>
      <c r="B45" s="3" t="s">
        <v>10</v>
      </c>
      <c r="C45" s="3" t="s">
        <v>41</v>
      </c>
      <c r="D45" s="3" t="s">
        <v>54</v>
      </c>
      <c r="E45" s="4" t="s">
        <v>31</v>
      </c>
      <c r="F45" s="4" t="str">
        <f t="shared" si="1"/>
        <v>B8 Cambridge AS-Level 9700 Biology - SAR</v>
      </c>
      <c r="G45" s="4" t="s">
        <v>55</v>
      </c>
      <c r="H45" s="3" t="s">
        <v>29</v>
      </c>
      <c r="I45" s="6">
        <v>450.0</v>
      </c>
    </row>
    <row r="46" ht="22.5" customHeight="1">
      <c r="A46" s="3" t="s">
        <v>51</v>
      </c>
      <c r="B46" s="3" t="s">
        <v>10</v>
      </c>
      <c r="C46" s="3" t="s">
        <v>11</v>
      </c>
      <c r="D46" s="3" t="s">
        <v>12</v>
      </c>
      <c r="E46" s="4" t="s">
        <v>13</v>
      </c>
      <c r="F46" s="4" t="str">
        <f t="shared" si="1"/>
        <v>B14 Cambridge IGCSE 0417 Information &amp; Communication Technology - SAR</v>
      </c>
      <c r="G46" s="4" t="s">
        <v>56</v>
      </c>
      <c r="H46" s="3" t="s">
        <v>29</v>
      </c>
      <c r="I46" s="6">
        <v>200.0</v>
      </c>
    </row>
    <row r="47" ht="22.5" customHeight="1">
      <c r="A47" s="3" t="s">
        <v>51</v>
      </c>
      <c r="B47" s="3" t="s">
        <v>10</v>
      </c>
      <c r="C47" s="3" t="s">
        <v>11</v>
      </c>
      <c r="D47" s="3" t="s">
        <v>12</v>
      </c>
      <c r="E47" s="4" t="s">
        <v>13</v>
      </c>
      <c r="F47" s="4" t="str">
        <f t="shared" si="1"/>
        <v>B14 Cambridge IGCSE 0417 Information &amp; Communication Technology - AED</v>
      </c>
      <c r="G47" s="4" t="s">
        <v>56</v>
      </c>
      <c r="H47" s="3" t="s">
        <v>57</v>
      </c>
      <c r="I47" s="6">
        <v>200.0</v>
      </c>
    </row>
    <row r="48" ht="22.5" customHeight="1">
      <c r="A48" s="3" t="s">
        <v>51</v>
      </c>
      <c r="B48" s="3" t="s">
        <v>10</v>
      </c>
      <c r="C48" s="3" t="s">
        <v>11</v>
      </c>
      <c r="D48" s="3" t="s">
        <v>12</v>
      </c>
      <c r="E48" s="4" t="s">
        <v>13</v>
      </c>
      <c r="F48" s="4" t="str">
        <f t="shared" si="1"/>
        <v>B14 Cambridge IGCSE 0417 Information &amp; Communication Technology - INR</v>
      </c>
      <c r="G48" s="4" t="s">
        <v>56</v>
      </c>
      <c r="H48" s="3" t="s">
        <v>38</v>
      </c>
      <c r="I48" s="6">
        <v>4000.0</v>
      </c>
    </row>
    <row r="49" ht="22.5" customHeight="1">
      <c r="A49" s="3" t="s">
        <v>58</v>
      </c>
      <c r="B49" s="3" t="s">
        <v>10</v>
      </c>
      <c r="C49" s="3" t="s">
        <v>11</v>
      </c>
      <c r="D49" s="3" t="s">
        <v>12</v>
      </c>
      <c r="E49" s="4" t="s">
        <v>13</v>
      </c>
      <c r="F49" s="4" t="str">
        <f t="shared" si="1"/>
        <v>C13 Cambridge IGCSE 0417 Information &amp; Communication Technology - GBP</v>
      </c>
      <c r="G49" s="4" t="s">
        <v>56</v>
      </c>
      <c r="H49" s="3" t="s">
        <v>59</v>
      </c>
      <c r="I49" s="6">
        <v>10.0</v>
      </c>
    </row>
    <row r="50" ht="22.5" customHeight="1">
      <c r="A50" s="3" t="s">
        <v>51</v>
      </c>
      <c r="B50" s="3" t="s">
        <v>10</v>
      </c>
      <c r="C50" s="3" t="s">
        <v>11</v>
      </c>
      <c r="D50" s="3" t="s">
        <v>20</v>
      </c>
      <c r="E50" s="4" t="s">
        <v>21</v>
      </c>
      <c r="F50" s="4" t="str">
        <f t="shared" si="1"/>
        <v>B14 Cambridge IGCSE 0478 Computer Science - SAR</v>
      </c>
      <c r="G50" s="4" t="s">
        <v>56</v>
      </c>
      <c r="H50" s="3" t="s">
        <v>29</v>
      </c>
      <c r="I50" s="6">
        <v>200.0</v>
      </c>
    </row>
    <row r="51" ht="22.5" customHeight="1">
      <c r="A51" s="3" t="s">
        <v>51</v>
      </c>
      <c r="B51" s="3" t="s">
        <v>10</v>
      </c>
      <c r="C51" s="3" t="s">
        <v>11</v>
      </c>
      <c r="D51" s="3" t="s">
        <v>22</v>
      </c>
      <c r="E51" s="4" t="s">
        <v>23</v>
      </c>
      <c r="F51" s="4" t="str">
        <f t="shared" si="1"/>
        <v>B14 Cambridge IGCSE 0500 First Language English - SAR</v>
      </c>
      <c r="G51" s="4" t="s">
        <v>56</v>
      </c>
      <c r="H51" s="3" t="s">
        <v>29</v>
      </c>
      <c r="I51" s="6">
        <v>200.0</v>
      </c>
    </row>
    <row r="52" ht="22.5" customHeight="1">
      <c r="A52" s="3" t="s">
        <v>51</v>
      </c>
      <c r="B52" s="3" t="s">
        <v>10</v>
      </c>
      <c r="C52" s="3" t="s">
        <v>11</v>
      </c>
      <c r="D52" s="3" t="s">
        <v>22</v>
      </c>
      <c r="E52" s="4" t="s">
        <v>23</v>
      </c>
      <c r="F52" s="4" t="str">
        <f t="shared" si="1"/>
        <v>B14 Cambridge IGCSE 0500 First Language English - INR</v>
      </c>
      <c r="G52" s="4" t="s">
        <v>56</v>
      </c>
      <c r="H52" s="3" t="s">
        <v>38</v>
      </c>
      <c r="I52" s="6">
        <v>4000.0</v>
      </c>
    </row>
    <row r="53" ht="22.5" customHeight="1">
      <c r="A53" s="3" t="s">
        <v>60</v>
      </c>
      <c r="B53" s="3" t="s">
        <v>10</v>
      </c>
      <c r="C53" s="3" t="s">
        <v>11</v>
      </c>
      <c r="D53" s="3" t="s">
        <v>22</v>
      </c>
      <c r="E53" s="4" t="s">
        <v>23</v>
      </c>
      <c r="F53" s="4" t="str">
        <f t="shared" si="1"/>
        <v>C16 Cambridge IGCSE 0500 First Language English - GBP</v>
      </c>
      <c r="G53" s="4" t="s">
        <v>56</v>
      </c>
      <c r="H53" s="3" t="s">
        <v>59</v>
      </c>
      <c r="I53" s="6">
        <v>15.0</v>
      </c>
    </row>
    <row r="54" ht="22.5" customHeight="1">
      <c r="A54" s="3" t="s">
        <v>61</v>
      </c>
      <c r="B54" s="3" t="s">
        <v>10</v>
      </c>
      <c r="C54" s="3" t="s">
        <v>11</v>
      </c>
      <c r="D54" s="3" t="s">
        <v>22</v>
      </c>
      <c r="E54" s="4" t="s">
        <v>23</v>
      </c>
      <c r="F54" s="4" t="str">
        <f t="shared" si="1"/>
        <v>T5 Cambridge IGCSE 0500 First Language English - INR</v>
      </c>
      <c r="G54" s="4" t="s">
        <v>56</v>
      </c>
      <c r="H54" s="3" t="s">
        <v>38</v>
      </c>
      <c r="I54" s="6">
        <v>2000.0</v>
      </c>
    </row>
    <row r="55" ht="22.5" customHeight="1">
      <c r="A55" s="3" t="s">
        <v>51</v>
      </c>
      <c r="B55" s="3" t="s">
        <v>10</v>
      </c>
      <c r="C55" s="3" t="s">
        <v>11</v>
      </c>
      <c r="D55" s="3" t="s">
        <v>24</v>
      </c>
      <c r="E55" s="4" t="s">
        <v>25</v>
      </c>
      <c r="F55" s="4" t="str">
        <f t="shared" si="1"/>
        <v>B14 Cambridge IGCSE 0510 English as a Second Language - SAR</v>
      </c>
      <c r="G55" s="4" t="s">
        <v>56</v>
      </c>
      <c r="H55" s="3" t="s">
        <v>29</v>
      </c>
      <c r="I55" s="6">
        <v>200.0</v>
      </c>
    </row>
    <row r="56" ht="22.5" customHeight="1">
      <c r="A56" s="3" t="s">
        <v>51</v>
      </c>
      <c r="B56" s="3" t="s">
        <v>10</v>
      </c>
      <c r="C56" s="3" t="s">
        <v>11</v>
      </c>
      <c r="D56" s="3" t="s">
        <v>24</v>
      </c>
      <c r="E56" s="4" t="s">
        <v>25</v>
      </c>
      <c r="F56" s="4" t="str">
        <f t="shared" si="1"/>
        <v>B14 Cambridge IGCSE 0510 English as a Second Language - INR</v>
      </c>
      <c r="G56" s="4" t="s">
        <v>56</v>
      </c>
      <c r="H56" s="3" t="s">
        <v>38</v>
      </c>
      <c r="I56" s="6">
        <v>4000.0</v>
      </c>
    </row>
    <row r="57" ht="22.5" customHeight="1">
      <c r="A57" s="3" t="s">
        <v>51</v>
      </c>
      <c r="B57" s="3" t="s">
        <v>10</v>
      </c>
      <c r="C57" s="3" t="s">
        <v>11</v>
      </c>
      <c r="D57" s="3" t="s">
        <v>24</v>
      </c>
      <c r="E57" s="4" t="s">
        <v>62</v>
      </c>
      <c r="F57" s="4" t="str">
        <f t="shared" si="1"/>
        <v>B14 Cambridge IGCSE 0510 English as a Second language - MYR</v>
      </c>
      <c r="G57" s="4" t="s">
        <v>56</v>
      </c>
      <c r="H57" s="3" t="s">
        <v>63</v>
      </c>
      <c r="I57" s="6">
        <v>40.0</v>
      </c>
    </row>
    <row r="58" ht="22.5" customHeight="1">
      <c r="A58" s="3" t="s">
        <v>51</v>
      </c>
      <c r="B58" s="3" t="s">
        <v>10</v>
      </c>
      <c r="C58" s="3" t="s">
        <v>11</v>
      </c>
      <c r="D58" s="3" t="s">
        <v>26</v>
      </c>
      <c r="E58" s="4" t="s">
        <v>27</v>
      </c>
      <c r="F58" s="4" t="str">
        <f t="shared" si="1"/>
        <v>B14 Cambridge IGCSE 0580 Mathematics - SAR</v>
      </c>
      <c r="G58" s="4" t="s">
        <v>56</v>
      </c>
      <c r="H58" s="3" t="s">
        <v>29</v>
      </c>
      <c r="I58" s="6">
        <v>200.0</v>
      </c>
    </row>
    <row r="59" ht="22.5" customHeight="1">
      <c r="A59" s="3" t="s">
        <v>51</v>
      </c>
      <c r="B59" s="3" t="s">
        <v>10</v>
      </c>
      <c r="C59" s="3" t="s">
        <v>11</v>
      </c>
      <c r="D59" s="3" t="s">
        <v>26</v>
      </c>
      <c r="E59" s="4" t="s">
        <v>27</v>
      </c>
      <c r="F59" s="4" t="str">
        <f t="shared" si="1"/>
        <v>B14 Cambridge IGCSE 0580 Mathematics - INR</v>
      </c>
      <c r="G59" s="4" t="s">
        <v>56</v>
      </c>
      <c r="H59" s="3" t="s">
        <v>38</v>
      </c>
      <c r="I59" s="6">
        <v>4000.0</v>
      </c>
    </row>
    <row r="60" ht="22.5" customHeight="1">
      <c r="A60" s="3" t="s">
        <v>51</v>
      </c>
      <c r="B60" s="3" t="s">
        <v>10</v>
      </c>
      <c r="C60" s="3" t="s">
        <v>11</v>
      </c>
      <c r="D60" s="3" t="s">
        <v>30</v>
      </c>
      <c r="E60" s="4" t="s">
        <v>31</v>
      </c>
      <c r="F60" s="4" t="str">
        <f t="shared" si="1"/>
        <v>B14 Cambridge IGCSE 0610 Biology - SAR</v>
      </c>
      <c r="G60" s="4" t="s">
        <v>56</v>
      </c>
      <c r="H60" s="3" t="s">
        <v>29</v>
      </c>
      <c r="I60" s="6">
        <v>200.0</v>
      </c>
    </row>
    <row r="61" ht="22.5" customHeight="1">
      <c r="A61" s="3" t="s">
        <v>51</v>
      </c>
      <c r="B61" s="3" t="s">
        <v>10</v>
      </c>
      <c r="C61" s="3" t="s">
        <v>11</v>
      </c>
      <c r="D61" s="3" t="s">
        <v>30</v>
      </c>
      <c r="E61" s="4" t="s">
        <v>31</v>
      </c>
      <c r="F61" s="4" t="str">
        <f t="shared" si="1"/>
        <v>B14 Cambridge IGCSE 0610 Biology - INR</v>
      </c>
      <c r="G61" s="4" t="s">
        <v>56</v>
      </c>
      <c r="H61" s="3" t="s">
        <v>38</v>
      </c>
      <c r="I61" s="6">
        <v>4000.0</v>
      </c>
    </row>
    <row r="62" ht="22.5" customHeight="1">
      <c r="A62" s="3" t="s">
        <v>51</v>
      </c>
      <c r="B62" s="3" t="s">
        <v>10</v>
      </c>
      <c r="C62" s="3" t="s">
        <v>11</v>
      </c>
      <c r="D62" s="3" t="s">
        <v>32</v>
      </c>
      <c r="E62" s="4" t="s">
        <v>33</v>
      </c>
      <c r="F62" s="4" t="str">
        <f t="shared" si="1"/>
        <v>B14 Cambridge IGCSE 0620 Chemistry - SAR</v>
      </c>
      <c r="G62" s="4" t="s">
        <v>56</v>
      </c>
      <c r="H62" s="3" t="s">
        <v>29</v>
      </c>
      <c r="I62" s="6">
        <v>200.0</v>
      </c>
    </row>
    <row r="63" ht="22.5" customHeight="1">
      <c r="A63" s="3" t="s">
        <v>51</v>
      </c>
      <c r="B63" s="3" t="s">
        <v>10</v>
      </c>
      <c r="C63" s="3" t="s">
        <v>11</v>
      </c>
      <c r="D63" s="3" t="s">
        <v>32</v>
      </c>
      <c r="E63" s="4" t="s">
        <v>33</v>
      </c>
      <c r="F63" s="4" t="str">
        <f t="shared" si="1"/>
        <v>B14 Cambridge IGCSE 0620 Chemistry - AED</v>
      </c>
      <c r="G63" s="4" t="s">
        <v>56</v>
      </c>
      <c r="H63" s="3" t="s">
        <v>57</v>
      </c>
      <c r="I63" s="6">
        <v>200.0</v>
      </c>
    </row>
    <row r="64" ht="22.5" customHeight="1">
      <c r="A64" s="3" t="s">
        <v>51</v>
      </c>
      <c r="B64" s="3" t="s">
        <v>10</v>
      </c>
      <c r="C64" s="3" t="s">
        <v>11</v>
      </c>
      <c r="D64" s="3" t="s">
        <v>32</v>
      </c>
      <c r="E64" s="4" t="s">
        <v>33</v>
      </c>
      <c r="F64" s="4" t="str">
        <f t="shared" si="1"/>
        <v>B14 Cambridge IGCSE 0620 Chemistry - INR</v>
      </c>
      <c r="G64" s="4" t="s">
        <v>56</v>
      </c>
      <c r="H64" s="3" t="s">
        <v>38</v>
      </c>
      <c r="I64" s="6">
        <v>4000.0</v>
      </c>
    </row>
    <row r="65" ht="22.5" customHeight="1">
      <c r="A65" s="3" t="s">
        <v>51</v>
      </c>
      <c r="B65" s="3" t="s">
        <v>10</v>
      </c>
      <c r="C65" s="3" t="s">
        <v>11</v>
      </c>
      <c r="D65" s="3" t="s">
        <v>32</v>
      </c>
      <c r="E65" s="4" t="s">
        <v>33</v>
      </c>
      <c r="F65" s="4" t="s">
        <v>64</v>
      </c>
      <c r="G65" s="4" t="s">
        <v>56</v>
      </c>
      <c r="H65" s="3" t="s">
        <v>38</v>
      </c>
      <c r="I65" s="6">
        <v>1000.0</v>
      </c>
    </row>
    <row r="66" ht="22.5" customHeight="1">
      <c r="A66" s="3" t="s">
        <v>51</v>
      </c>
      <c r="B66" s="3" t="s">
        <v>10</v>
      </c>
      <c r="C66" s="3" t="s">
        <v>11</v>
      </c>
      <c r="D66" s="3" t="s">
        <v>34</v>
      </c>
      <c r="E66" s="4" t="s">
        <v>35</v>
      </c>
      <c r="F66" s="4" t="str">
        <f t="shared" ref="F66:F71" si="2">IF(H66="",TEXTJOIN(" ", TRUE, A66, B66, C66, D66, E66),TEXTJOIN(" ", TRUE, A66, B66, C66, D66, E66) &amp; " - " &amp; H66)</f>
        <v>B14 Cambridge IGCSE 0625 Physics - SAR</v>
      </c>
      <c r="G66" s="4" t="s">
        <v>56</v>
      </c>
      <c r="H66" s="3" t="s">
        <v>29</v>
      </c>
      <c r="I66" s="6">
        <v>200.0</v>
      </c>
    </row>
    <row r="67" ht="22.5" customHeight="1">
      <c r="A67" s="3" t="s">
        <v>51</v>
      </c>
      <c r="B67" s="3" t="s">
        <v>10</v>
      </c>
      <c r="C67" s="3" t="s">
        <v>11</v>
      </c>
      <c r="D67" s="3" t="s">
        <v>34</v>
      </c>
      <c r="E67" s="4" t="s">
        <v>35</v>
      </c>
      <c r="F67" s="4" t="str">
        <f t="shared" si="2"/>
        <v>B14 Cambridge IGCSE 0625 Physics - INR</v>
      </c>
      <c r="G67" s="4" t="s">
        <v>56</v>
      </c>
      <c r="H67" s="3" t="s">
        <v>38</v>
      </c>
      <c r="I67" s="6">
        <v>4000.0</v>
      </c>
    </row>
    <row r="68" ht="22.5" customHeight="1">
      <c r="A68" s="3" t="s">
        <v>51</v>
      </c>
      <c r="B68" s="3" t="s">
        <v>10</v>
      </c>
      <c r="C68" s="3" t="s">
        <v>11</v>
      </c>
      <c r="D68" s="3" t="s">
        <v>34</v>
      </c>
      <c r="E68" s="4" t="s">
        <v>35</v>
      </c>
      <c r="F68" s="4" t="str">
        <f t="shared" si="2"/>
        <v>B14 Cambridge IGCSE 0625 Physics - MYR</v>
      </c>
      <c r="G68" s="4" t="s">
        <v>56</v>
      </c>
      <c r="H68" s="3" t="s">
        <v>63</v>
      </c>
      <c r="I68" s="6">
        <v>40.0</v>
      </c>
    </row>
    <row r="69" ht="22.5" customHeight="1">
      <c r="A69" s="3" t="s">
        <v>40</v>
      </c>
      <c r="B69" s="3" t="s">
        <v>10</v>
      </c>
      <c r="C69" s="3" t="s">
        <v>41</v>
      </c>
      <c r="D69" s="3" t="s">
        <v>65</v>
      </c>
      <c r="E69" s="4" t="s">
        <v>66</v>
      </c>
      <c r="F69" s="4" t="str">
        <f t="shared" si="2"/>
        <v>B18 Cambridge AS-Level 8021 English General Paper - INR</v>
      </c>
      <c r="G69" s="4" t="s">
        <v>56</v>
      </c>
      <c r="H69" s="3" t="s">
        <v>38</v>
      </c>
      <c r="I69" s="6">
        <v>8000.0</v>
      </c>
    </row>
    <row r="70" ht="22.5" customHeight="1">
      <c r="A70" s="3" t="s">
        <v>40</v>
      </c>
      <c r="B70" s="3" t="s">
        <v>10</v>
      </c>
      <c r="C70" s="3" t="s">
        <v>41</v>
      </c>
      <c r="D70" s="3" t="s">
        <v>65</v>
      </c>
      <c r="E70" s="4" t="s">
        <v>66</v>
      </c>
      <c r="F70" s="4" t="str">
        <f t="shared" si="2"/>
        <v>B18 Cambridge AS-Level 8021 English General Paper - GBP</v>
      </c>
      <c r="G70" s="4" t="s">
        <v>56</v>
      </c>
      <c r="H70" s="3" t="s">
        <v>59</v>
      </c>
      <c r="I70" s="6">
        <v>75.0</v>
      </c>
    </row>
    <row r="71" ht="22.5" customHeight="1">
      <c r="A71" s="3" t="s">
        <v>45</v>
      </c>
      <c r="B71" s="3" t="s">
        <v>10</v>
      </c>
      <c r="C71" s="3" t="s">
        <v>41</v>
      </c>
      <c r="D71" s="3" t="s">
        <v>65</v>
      </c>
      <c r="E71" s="4" t="s">
        <v>66</v>
      </c>
      <c r="F71" s="4" t="str">
        <f t="shared" si="2"/>
        <v>B8 Cambridge AS-Level 8021 English General Paper - INR</v>
      </c>
      <c r="G71" s="4" t="s">
        <v>56</v>
      </c>
      <c r="H71" s="3" t="s">
        <v>38</v>
      </c>
      <c r="I71" s="6">
        <v>8000.0</v>
      </c>
    </row>
    <row r="72" ht="22.5" customHeight="1">
      <c r="A72" s="3" t="s">
        <v>45</v>
      </c>
      <c r="B72" s="3" t="s">
        <v>10</v>
      </c>
      <c r="C72" s="3" t="s">
        <v>41</v>
      </c>
      <c r="D72" s="3" t="s">
        <v>65</v>
      </c>
      <c r="E72" s="4" t="s">
        <v>66</v>
      </c>
      <c r="F72" s="4" t="s">
        <v>67</v>
      </c>
      <c r="G72" s="4" t="s">
        <v>56</v>
      </c>
      <c r="H72" s="3" t="s">
        <v>59</v>
      </c>
      <c r="I72" s="6">
        <v>75.0</v>
      </c>
    </row>
    <row r="73" ht="22.5" customHeight="1">
      <c r="A73" s="3" t="s">
        <v>40</v>
      </c>
      <c r="B73" s="3" t="s">
        <v>10</v>
      </c>
      <c r="C73" s="3" t="s">
        <v>41</v>
      </c>
      <c r="D73" s="3" t="s">
        <v>68</v>
      </c>
      <c r="E73" s="4" t="s">
        <v>69</v>
      </c>
      <c r="F73" s="4" t="str">
        <f t="shared" ref="F73:F107" si="3">IF(H73="",TEXTJOIN(" ", TRUE, A73, B73, C73, D73, E73),TEXTJOIN(" ", TRUE, A73, B73, C73, D73, E73) &amp; " - " &amp; H73)</f>
        <v>B18 Cambridge AS-Level 9093 English Language - INR</v>
      </c>
      <c r="G73" s="4" t="s">
        <v>56</v>
      </c>
      <c r="H73" s="3" t="s">
        <v>38</v>
      </c>
      <c r="I73" s="6">
        <v>8000.0</v>
      </c>
    </row>
    <row r="74" ht="22.5" customHeight="1">
      <c r="A74" s="3" t="s">
        <v>40</v>
      </c>
      <c r="B74" s="3" t="s">
        <v>10</v>
      </c>
      <c r="C74" s="3" t="s">
        <v>41</v>
      </c>
      <c r="D74" s="3" t="s">
        <v>68</v>
      </c>
      <c r="E74" s="4" t="s">
        <v>69</v>
      </c>
      <c r="F74" s="4" t="str">
        <f t="shared" si="3"/>
        <v>B18 Cambridge AS-Level 9093 English Language - SAR</v>
      </c>
      <c r="G74" s="4" t="s">
        <v>56</v>
      </c>
      <c r="H74" s="3" t="s">
        <v>29</v>
      </c>
      <c r="I74" s="6">
        <v>300.0</v>
      </c>
    </row>
    <row r="75" ht="22.5" customHeight="1">
      <c r="A75" s="3" t="s">
        <v>45</v>
      </c>
      <c r="B75" s="3" t="s">
        <v>10</v>
      </c>
      <c r="C75" s="3" t="s">
        <v>46</v>
      </c>
      <c r="D75" s="3" t="s">
        <v>68</v>
      </c>
      <c r="E75" s="4" t="s">
        <v>69</v>
      </c>
      <c r="F75" s="4" t="str">
        <f t="shared" si="3"/>
        <v>B8 Cambridge A-Level 9093 English Language - INR</v>
      </c>
      <c r="G75" s="4" t="s">
        <v>56</v>
      </c>
      <c r="H75" s="3" t="s">
        <v>38</v>
      </c>
      <c r="I75" s="6">
        <v>8000.0</v>
      </c>
    </row>
    <row r="76" ht="22.5" customHeight="1">
      <c r="A76" s="3" t="s">
        <v>45</v>
      </c>
      <c r="B76" s="3" t="s">
        <v>10</v>
      </c>
      <c r="C76" s="3" t="s">
        <v>46</v>
      </c>
      <c r="D76" s="3" t="s">
        <v>68</v>
      </c>
      <c r="E76" s="4" t="s">
        <v>69</v>
      </c>
      <c r="F76" s="4" t="str">
        <f t="shared" si="3"/>
        <v>B8 Cambridge A-Level 9093 English Language - SAR</v>
      </c>
      <c r="G76" s="4" t="s">
        <v>56</v>
      </c>
      <c r="H76" s="3" t="s">
        <v>29</v>
      </c>
      <c r="I76" s="6">
        <v>300.0</v>
      </c>
    </row>
    <row r="77" ht="22.5" customHeight="1">
      <c r="A77" s="3" t="s">
        <v>45</v>
      </c>
      <c r="B77" s="3" t="s">
        <v>10</v>
      </c>
      <c r="C77" s="3" t="s">
        <v>41</v>
      </c>
      <c r="D77" s="3" t="s">
        <v>68</v>
      </c>
      <c r="E77" s="4" t="s">
        <v>69</v>
      </c>
      <c r="F77" s="4" t="str">
        <f t="shared" si="3"/>
        <v>B8 Cambridge AS-Level 9093 English Language - SAR</v>
      </c>
      <c r="G77" s="4" t="s">
        <v>56</v>
      </c>
      <c r="H77" s="3" t="s">
        <v>29</v>
      </c>
      <c r="I77" s="6">
        <v>300.0</v>
      </c>
    </row>
    <row r="78" ht="22.5" customHeight="1">
      <c r="A78" s="3" t="s">
        <v>40</v>
      </c>
      <c r="B78" s="3" t="s">
        <v>10</v>
      </c>
      <c r="C78" s="3" t="s">
        <v>41</v>
      </c>
      <c r="D78" s="3" t="s">
        <v>70</v>
      </c>
      <c r="E78" s="4" t="s">
        <v>71</v>
      </c>
      <c r="F78" s="4" t="str">
        <f t="shared" si="3"/>
        <v>B18 Cambridge AS-Level 9239 Global Perspectives &amp; Research - INR</v>
      </c>
      <c r="G78" s="4" t="s">
        <v>56</v>
      </c>
      <c r="H78" s="3" t="s">
        <v>38</v>
      </c>
      <c r="I78" s="6">
        <v>7000.0</v>
      </c>
    </row>
    <row r="79" ht="22.5" customHeight="1">
      <c r="A79" s="3" t="s">
        <v>45</v>
      </c>
      <c r="B79" s="3" t="s">
        <v>10</v>
      </c>
      <c r="C79" s="3" t="s">
        <v>41</v>
      </c>
      <c r="D79" s="3" t="s">
        <v>70</v>
      </c>
      <c r="E79" s="4" t="s">
        <v>71</v>
      </c>
      <c r="F79" s="4" t="str">
        <f t="shared" si="3"/>
        <v>B8 Cambridge AS-Level 9239 Global Perspectives &amp; Research - INR</v>
      </c>
      <c r="G79" s="4" t="s">
        <v>56</v>
      </c>
      <c r="H79" s="3" t="s">
        <v>38</v>
      </c>
      <c r="I79" s="6">
        <v>9000.0</v>
      </c>
    </row>
    <row r="80" ht="22.5" customHeight="1">
      <c r="A80" s="3" t="s">
        <v>40</v>
      </c>
      <c r="B80" s="3" t="s">
        <v>10</v>
      </c>
      <c r="C80" s="3" t="s">
        <v>41</v>
      </c>
      <c r="D80" s="3" t="s">
        <v>72</v>
      </c>
      <c r="E80" s="4" t="s">
        <v>21</v>
      </c>
      <c r="F80" s="4" t="str">
        <f t="shared" si="3"/>
        <v>B18 Cambridge AS-Level 9618 Computer Science - INR</v>
      </c>
      <c r="G80" s="4" t="s">
        <v>56</v>
      </c>
      <c r="H80" s="3" t="s">
        <v>38</v>
      </c>
      <c r="I80" s="6">
        <v>8000.0</v>
      </c>
    </row>
    <row r="81" ht="22.5" customHeight="1">
      <c r="A81" s="3" t="s">
        <v>40</v>
      </c>
      <c r="B81" s="3" t="s">
        <v>10</v>
      </c>
      <c r="C81" s="3" t="s">
        <v>41</v>
      </c>
      <c r="D81" s="3" t="s">
        <v>72</v>
      </c>
      <c r="E81" s="4" t="s">
        <v>21</v>
      </c>
      <c r="F81" s="4" t="str">
        <f t="shared" si="3"/>
        <v>B18 Cambridge AS-Level 9618 Computer Science - SAR</v>
      </c>
      <c r="G81" s="4" t="s">
        <v>56</v>
      </c>
      <c r="H81" s="3" t="s">
        <v>29</v>
      </c>
      <c r="I81" s="6">
        <v>300.0</v>
      </c>
    </row>
    <row r="82" ht="22.5" customHeight="1">
      <c r="A82" s="3" t="s">
        <v>45</v>
      </c>
      <c r="B82" s="3" t="s">
        <v>10</v>
      </c>
      <c r="C82" s="3" t="s">
        <v>46</v>
      </c>
      <c r="D82" s="3" t="s">
        <v>72</v>
      </c>
      <c r="E82" s="4" t="s">
        <v>21</v>
      </c>
      <c r="F82" s="4" t="str">
        <f t="shared" si="3"/>
        <v>B8 Cambridge A-Level 9618 Computer Science - INR</v>
      </c>
      <c r="G82" s="4" t="s">
        <v>56</v>
      </c>
      <c r="H82" s="3" t="s">
        <v>38</v>
      </c>
      <c r="I82" s="6">
        <v>8000.0</v>
      </c>
    </row>
    <row r="83" ht="22.5" customHeight="1">
      <c r="A83" s="3" t="s">
        <v>45</v>
      </c>
      <c r="B83" s="3" t="s">
        <v>10</v>
      </c>
      <c r="C83" s="3" t="s">
        <v>46</v>
      </c>
      <c r="D83" s="3" t="s">
        <v>72</v>
      </c>
      <c r="E83" s="4" t="s">
        <v>21</v>
      </c>
      <c r="F83" s="4" t="str">
        <f t="shared" si="3"/>
        <v>B8 Cambridge A-Level 9618 Computer Science - SAR</v>
      </c>
      <c r="G83" s="4" t="s">
        <v>56</v>
      </c>
      <c r="H83" s="3" t="s">
        <v>29</v>
      </c>
      <c r="I83" s="6">
        <v>300.0</v>
      </c>
    </row>
    <row r="84" ht="22.5" customHeight="1">
      <c r="A84" s="3" t="s">
        <v>45</v>
      </c>
      <c r="B84" s="3" t="s">
        <v>10</v>
      </c>
      <c r="C84" s="3" t="s">
        <v>41</v>
      </c>
      <c r="D84" s="3" t="s">
        <v>72</v>
      </c>
      <c r="E84" s="4" t="s">
        <v>21</v>
      </c>
      <c r="F84" s="4" t="str">
        <f t="shared" si="3"/>
        <v>B8 Cambridge AS-Level 9618 Computer Science - INR</v>
      </c>
      <c r="G84" s="4" t="s">
        <v>56</v>
      </c>
      <c r="H84" s="3" t="s">
        <v>38</v>
      </c>
      <c r="I84" s="6">
        <v>8000.0</v>
      </c>
    </row>
    <row r="85" ht="22.5" customHeight="1">
      <c r="A85" s="3" t="s">
        <v>45</v>
      </c>
      <c r="B85" s="3" t="s">
        <v>10</v>
      </c>
      <c r="C85" s="3" t="s">
        <v>41</v>
      </c>
      <c r="D85" s="3" t="s">
        <v>72</v>
      </c>
      <c r="E85" s="4" t="s">
        <v>21</v>
      </c>
      <c r="F85" s="4" t="str">
        <f t="shared" si="3"/>
        <v>B8 Cambridge AS-Level 9618 Computer Science - SAR</v>
      </c>
      <c r="G85" s="4" t="s">
        <v>56</v>
      </c>
      <c r="H85" s="3" t="s">
        <v>29</v>
      </c>
      <c r="I85" s="6">
        <v>300.0</v>
      </c>
    </row>
    <row r="86" ht="22.5" customHeight="1">
      <c r="A86" s="3" t="s">
        <v>45</v>
      </c>
      <c r="B86" s="3" t="s">
        <v>10</v>
      </c>
      <c r="C86" s="3" t="s">
        <v>46</v>
      </c>
      <c r="D86" s="3" t="s">
        <v>72</v>
      </c>
      <c r="E86" s="4" t="s">
        <v>21</v>
      </c>
      <c r="F86" s="4" t="str">
        <f t="shared" si="3"/>
        <v>B8 Cambridge A-Level 9618 Computer Science - GBP</v>
      </c>
      <c r="G86" s="4" t="s">
        <v>56</v>
      </c>
      <c r="H86" s="3" t="s">
        <v>59</v>
      </c>
      <c r="I86" s="6">
        <v>15.0</v>
      </c>
    </row>
    <row r="87" ht="22.5" customHeight="1">
      <c r="A87" s="3" t="s">
        <v>40</v>
      </c>
      <c r="B87" s="3" t="s">
        <v>10</v>
      </c>
      <c r="C87" s="3" t="s">
        <v>41</v>
      </c>
      <c r="D87" s="3" t="s">
        <v>73</v>
      </c>
      <c r="E87" s="4" t="s">
        <v>74</v>
      </c>
      <c r="F87" s="4" t="str">
        <f t="shared" si="3"/>
        <v>B18 Cambridge AS-Level 9626 Information Technology - INR</v>
      </c>
      <c r="G87" s="4" t="s">
        <v>56</v>
      </c>
      <c r="H87" s="3" t="s">
        <v>38</v>
      </c>
      <c r="I87" s="6">
        <v>8000.0</v>
      </c>
    </row>
    <row r="88" ht="22.5" customHeight="1">
      <c r="A88" s="3" t="s">
        <v>40</v>
      </c>
      <c r="B88" s="3" t="s">
        <v>10</v>
      </c>
      <c r="C88" s="3" t="s">
        <v>41</v>
      </c>
      <c r="D88" s="3" t="s">
        <v>73</v>
      </c>
      <c r="E88" s="4" t="s">
        <v>74</v>
      </c>
      <c r="F88" s="4" t="str">
        <f t="shared" si="3"/>
        <v>B18 Cambridge AS-Level 9626 Information Technology - SAR</v>
      </c>
      <c r="G88" s="4" t="s">
        <v>56</v>
      </c>
      <c r="H88" s="3" t="s">
        <v>29</v>
      </c>
      <c r="I88" s="6">
        <v>300.0</v>
      </c>
    </row>
    <row r="89" ht="22.5" customHeight="1">
      <c r="A89" s="3" t="s">
        <v>45</v>
      </c>
      <c r="B89" s="3" t="s">
        <v>10</v>
      </c>
      <c r="C89" s="3" t="s">
        <v>46</v>
      </c>
      <c r="D89" s="3" t="s">
        <v>73</v>
      </c>
      <c r="E89" s="4" t="s">
        <v>74</v>
      </c>
      <c r="F89" s="4" t="str">
        <f t="shared" si="3"/>
        <v>B8 Cambridge A-Level 9626 Information Technology - INR</v>
      </c>
      <c r="G89" s="4" t="s">
        <v>56</v>
      </c>
      <c r="H89" s="3" t="s">
        <v>38</v>
      </c>
      <c r="I89" s="6">
        <v>9000.0</v>
      </c>
    </row>
    <row r="90" ht="22.5" customHeight="1">
      <c r="A90" s="3" t="s">
        <v>45</v>
      </c>
      <c r="B90" s="3" t="s">
        <v>10</v>
      </c>
      <c r="C90" s="3" t="s">
        <v>46</v>
      </c>
      <c r="D90" s="3" t="s">
        <v>73</v>
      </c>
      <c r="E90" s="4" t="s">
        <v>74</v>
      </c>
      <c r="F90" s="4" t="str">
        <f t="shared" si="3"/>
        <v>B8 Cambridge A-Level 9626 Information Technology - SAR</v>
      </c>
      <c r="G90" s="4" t="s">
        <v>56</v>
      </c>
      <c r="H90" s="3" t="s">
        <v>29</v>
      </c>
      <c r="I90" s="6">
        <v>450.0</v>
      </c>
    </row>
    <row r="91" ht="22.5" customHeight="1">
      <c r="A91" s="3" t="s">
        <v>45</v>
      </c>
      <c r="B91" s="3" t="s">
        <v>10</v>
      </c>
      <c r="C91" s="3" t="s">
        <v>41</v>
      </c>
      <c r="D91" s="3" t="s">
        <v>73</v>
      </c>
      <c r="E91" s="4" t="s">
        <v>74</v>
      </c>
      <c r="F91" s="4" t="str">
        <f t="shared" si="3"/>
        <v>B8 Cambridge AS-Level 9626 Information Technology - INR</v>
      </c>
      <c r="G91" s="4" t="s">
        <v>56</v>
      </c>
      <c r="H91" s="3" t="s">
        <v>38</v>
      </c>
      <c r="I91" s="6">
        <v>9000.0</v>
      </c>
    </row>
    <row r="92" ht="22.5" customHeight="1">
      <c r="A92" s="3" t="s">
        <v>45</v>
      </c>
      <c r="B92" s="3" t="s">
        <v>10</v>
      </c>
      <c r="C92" s="3" t="s">
        <v>41</v>
      </c>
      <c r="D92" s="3" t="s">
        <v>73</v>
      </c>
      <c r="E92" s="4" t="s">
        <v>74</v>
      </c>
      <c r="F92" s="4" t="str">
        <f t="shared" si="3"/>
        <v>B8 Cambridge AS-Level 9626 Information Technology - SAR</v>
      </c>
      <c r="G92" s="4" t="s">
        <v>56</v>
      </c>
      <c r="H92" s="3" t="s">
        <v>29</v>
      </c>
      <c r="I92" s="6">
        <v>300.0</v>
      </c>
    </row>
    <row r="93" ht="22.5" customHeight="1">
      <c r="A93" s="3" t="s">
        <v>40</v>
      </c>
      <c r="B93" s="3" t="s">
        <v>10</v>
      </c>
      <c r="C93" s="3" t="s">
        <v>41</v>
      </c>
      <c r="D93" s="3" t="s">
        <v>75</v>
      </c>
      <c r="E93" s="4" t="s">
        <v>76</v>
      </c>
      <c r="F93" s="4" t="str">
        <f t="shared" si="3"/>
        <v>B18 Cambridge AS-Level 9695 Literature in English - SAR</v>
      </c>
      <c r="G93" s="4" t="s">
        <v>56</v>
      </c>
      <c r="H93" s="3" t="s">
        <v>29</v>
      </c>
      <c r="I93" s="6">
        <v>300.0</v>
      </c>
    </row>
    <row r="94" ht="22.5" customHeight="1">
      <c r="A94" s="3" t="s">
        <v>45</v>
      </c>
      <c r="B94" s="3" t="s">
        <v>10</v>
      </c>
      <c r="C94" s="3" t="s">
        <v>46</v>
      </c>
      <c r="D94" s="3" t="s">
        <v>75</v>
      </c>
      <c r="E94" s="4" t="s">
        <v>76</v>
      </c>
      <c r="F94" s="4" t="str">
        <f t="shared" si="3"/>
        <v>B8 Cambridge A-Level 9695 Literature in English - INR</v>
      </c>
      <c r="G94" s="4" t="s">
        <v>56</v>
      </c>
      <c r="H94" s="3" t="s">
        <v>38</v>
      </c>
      <c r="I94" s="6">
        <v>8000.0</v>
      </c>
    </row>
    <row r="95" ht="22.5" customHeight="1">
      <c r="A95" s="3" t="s">
        <v>45</v>
      </c>
      <c r="B95" s="3" t="s">
        <v>10</v>
      </c>
      <c r="C95" s="3" t="s">
        <v>46</v>
      </c>
      <c r="D95" s="3" t="s">
        <v>75</v>
      </c>
      <c r="E95" s="4" t="s">
        <v>76</v>
      </c>
      <c r="F95" s="4" t="str">
        <f t="shared" si="3"/>
        <v>B8 Cambridge A-Level 9695 Literature in English - SAR</v>
      </c>
      <c r="G95" s="4" t="s">
        <v>56</v>
      </c>
      <c r="H95" s="3" t="s">
        <v>29</v>
      </c>
      <c r="I95" s="6">
        <v>300.0</v>
      </c>
    </row>
    <row r="96" ht="22.5" customHeight="1">
      <c r="A96" s="3" t="s">
        <v>45</v>
      </c>
      <c r="B96" s="3" t="s">
        <v>10</v>
      </c>
      <c r="C96" s="3" t="s">
        <v>41</v>
      </c>
      <c r="D96" s="3" t="s">
        <v>75</v>
      </c>
      <c r="E96" s="4" t="s">
        <v>76</v>
      </c>
      <c r="F96" s="4" t="str">
        <f t="shared" si="3"/>
        <v>B8 Cambridge AS-Level 9695 Literature in English - SAR</v>
      </c>
      <c r="G96" s="4" t="s">
        <v>56</v>
      </c>
      <c r="H96" s="3" t="s">
        <v>29</v>
      </c>
      <c r="I96" s="6">
        <v>300.0</v>
      </c>
    </row>
    <row r="97" ht="22.5" customHeight="1">
      <c r="A97" s="3" t="s">
        <v>45</v>
      </c>
      <c r="B97" s="3" t="s">
        <v>10</v>
      </c>
      <c r="C97" s="3" t="s">
        <v>41</v>
      </c>
      <c r="D97" s="3" t="s">
        <v>75</v>
      </c>
      <c r="E97" s="4" t="s">
        <v>77</v>
      </c>
      <c r="F97" s="4" t="str">
        <f t="shared" si="3"/>
        <v>B8 Cambridge AS-Level 9695 English Literature - INR</v>
      </c>
      <c r="G97" s="4" t="s">
        <v>56</v>
      </c>
      <c r="H97" s="3" t="s">
        <v>38</v>
      </c>
      <c r="I97" s="6">
        <v>8000.0</v>
      </c>
    </row>
    <row r="98" ht="22.5" customHeight="1">
      <c r="A98" s="3" t="s">
        <v>45</v>
      </c>
      <c r="B98" s="3" t="s">
        <v>10</v>
      </c>
      <c r="C98" s="3" t="s">
        <v>41</v>
      </c>
      <c r="D98" s="3" t="s">
        <v>75</v>
      </c>
      <c r="E98" s="4" t="s">
        <v>77</v>
      </c>
      <c r="F98" s="4" t="str">
        <f t="shared" si="3"/>
        <v>B8 Cambridge AS-Level 9695 English Literature - SAR</v>
      </c>
      <c r="G98" s="4" t="s">
        <v>56</v>
      </c>
      <c r="H98" s="3" t="s">
        <v>29</v>
      </c>
      <c r="I98" s="6">
        <v>400.0</v>
      </c>
    </row>
    <row r="99" ht="22.5" customHeight="1">
      <c r="A99" s="3" t="s">
        <v>40</v>
      </c>
      <c r="B99" s="3" t="s">
        <v>10</v>
      </c>
      <c r="C99" s="3" t="s">
        <v>41</v>
      </c>
      <c r="D99" s="3" t="s">
        <v>78</v>
      </c>
      <c r="E99" s="4" t="s">
        <v>33</v>
      </c>
      <c r="F99" s="4" t="str">
        <f t="shared" si="3"/>
        <v>B18 Cambridge AS-Level 9701 Chemistry - INR</v>
      </c>
      <c r="G99" s="4" t="s">
        <v>56</v>
      </c>
      <c r="H99" s="3" t="s">
        <v>38</v>
      </c>
      <c r="I99" s="6">
        <v>8000.0</v>
      </c>
    </row>
    <row r="100" ht="22.5" customHeight="1">
      <c r="A100" s="3" t="s">
        <v>40</v>
      </c>
      <c r="B100" s="3" t="s">
        <v>10</v>
      </c>
      <c r="C100" s="3" t="s">
        <v>41</v>
      </c>
      <c r="D100" s="3" t="s">
        <v>78</v>
      </c>
      <c r="E100" s="4" t="s">
        <v>33</v>
      </c>
      <c r="F100" s="4" t="str">
        <f t="shared" si="3"/>
        <v>B18 Cambridge AS-Level 9701 Chemistry - SAR</v>
      </c>
      <c r="G100" s="4" t="s">
        <v>56</v>
      </c>
      <c r="H100" s="3" t="s">
        <v>29</v>
      </c>
      <c r="I100" s="6">
        <v>300.0</v>
      </c>
    </row>
    <row r="101" ht="22.5" customHeight="1">
      <c r="A101" s="3" t="s">
        <v>45</v>
      </c>
      <c r="B101" s="3" t="s">
        <v>10</v>
      </c>
      <c r="C101" s="3" t="s">
        <v>46</v>
      </c>
      <c r="D101" s="3" t="s">
        <v>78</v>
      </c>
      <c r="E101" s="4" t="s">
        <v>33</v>
      </c>
      <c r="F101" s="4" t="str">
        <f t="shared" si="3"/>
        <v>B8 Cambridge A-Level 9701 Chemistry - INR</v>
      </c>
      <c r="G101" s="4" t="s">
        <v>56</v>
      </c>
      <c r="H101" s="3" t="s">
        <v>38</v>
      </c>
      <c r="I101" s="6">
        <v>8000.0</v>
      </c>
    </row>
    <row r="102" ht="22.5" customHeight="1">
      <c r="A102" s="3" t="s">
        <v>45</v>
      </c>
      <c r="B102" s="3" t="s">
        <v>10</v>
      </c>
      <c r="C102" s="3" t="s">
        <v>46</v>
      </c>
      <c r="D102" s="3" t="s">
        <v>78</v>
      </c>
      <c r="E102" s="4" t="s">
        <v>33</v>
      </c>
      <c r="F102" s="4" t="str">
        <f t="shared" si="3"/>
        <v>B8 Cambridge A-Level 9701 Chemistry - SAR</v>
      </c>
      <c r="G102" s="4" t="s">
        <v>56</v>
      </c>
      <c r="H102" s="3" t="s">
        <v>29</v>
      </c>
      <c r="I102" s="6">
        <v>250.0</v>
      </c>
    </row>
    <row r="103" ht="22.5" customHeight="1">
      <c r="A103" s="3" t="s">
        <v>45</v>
      </c>
      <c r="B103" s="3" t="s">
        <v>10</v>
      </c>
      <c r="C103" s="3" t="s">
        <v>41</v>
      </c>
      <c r="D103" s="3" t="s">
        <v>78</v>
      </c>
      <c r="E103" s="4" t="s">
        <v>33</v>
      </c>
      <c r="F103" s="4" t="str">
        <f t="shared" si="3"/>
        <v>B8 Cambridge AS-Level 9701 Chemistry - INR</v>
      </c>
      <c r="G103" s="4" t="s">
        <v>56</v>
      </c>
      <c r="H103" s="3" t="s">
        <v>38</v>
      </c>
      <c r="I103" s="6">
        <v>8000.0</v>
      </c>
    </row>
    <row r="104" ht="22.5" customHeight="1">
      <c r="A104" s="3" t="s">
        <v>45</v>
      </c>
      <c r="B104" s="3" t="s">
        <v>10</v>
      </c>
      <c r="C104" s="3" t="s">
        <v>41</v>
      </c>
      <c r="D104" s="3" t="s">
        <v>78</v>
      </c>
      <c r="E104" s="4" t="s">
        <v>33</v>
      </c>
      <c r="F104" s="4" t="str">
        <f t="shared" si="3"/>
        <v>B8 Cambridge AS-Level 9701 Chemistry - SAR</v>
      </c>
      <c r="G104" s="4" t="s">
        <v>56</v>
      </c>
      <c r="H104" s="3" t="s">
        <v>29</v>
      </c>
      <c r="I104" s="6">
        <v>250.0</v>
      </c>
    </row>
    <row r="105" ht="22.5" customHeight="1">
      <c r="A105" s="3" t="s">
        <v>79</v>
      </c>
      <c r="B105" s="3" t="s">
        <v>10</v>
      </c>
      <c r="C105" s="3" t="s">
        <v>41</v>
      </c>
      <c r="D105" s="3" t="s">
        <v>78</v>
      </c>
      <c r="E105" s="4" t="s">
        <v>33</v>
      </c>
      <c r="F105" s="4" t="str">
        <f t="shared" si="3"/>
        <v>C15 Cambridge AS-Level 9701 Chemistry - GBP</v>
      </c>
      <c r="G105" s="4" t="s">
        <v>56</v>
      </c>
      <c r="H105" s="3" t="s">
        <v>59</v>
      </c>
      <c r="I105" s="6">
        <v>15.0</v>
      </c>
    </row>
    <row r="106" ht="22.5" customHeight="1">
      <c r="A106" s="3" t="s">
        <v>79</v>
      </c>
      <c r="B106" s="3" t="s">
        <v>10</v>
      </c>
      <c r="C106" s="3" t="s">
        <v>46</v>
      </c>
      <c r="D106" s="3" t="s">
        <v>78</v>
      </c>
      <c r="E106" s="4" t="s">
        <v>33</v>
      </c>
      <c r="F106" s="4" t="str">
        <f t="shared" si="3"/>
        <v>C15 Cambridge A-Level 9701 Chemistry - GBP</v>
      </c>
      <c r="G106" s="4" t="s">
        <v>56</v>
      </c>
      <c r="H106" s="3" t="s">
        <v>59</v>
      </c>
      <c r="I106" s="6">
        <v>15.0</v>
      </c>
    </row>
    <row r="107" ht="22.5" customHeight="1">
      <c r="A107" s="3" t="s">
        <v>80</v>
      </c>
      <c r="B107" s="3" t="s">
        <v>81</v>
      </c>
      <c r="C107" s="3" t="s">
        <v>46</v>
      </c>
      <c r="D107" s="3" t="s">
        <v>78</v>
      </c>
      <c r="E107" s="4" t="s">
        <v>33</v>
      </c>
      <c r="F107" s="4" t="str">
        <f t="shared" si="3"/>
        <v>C17 Edexcel A-Level 9701 Chemistry - GBP</v>
      </c>
      <c r="G107" s="4" t="s">
        <v>56</v>
      </c>
      <c r="H107" s="3" t="s">
        <v>59</v>
      </c>
      <c r="I107" s="6">
        <v>15.0</v>
      </c>
    </row>
    <row r="108" ht="22.5" customHeight="1">
      <c r="A108" s="3" t="s">
        <v>82</v>
      </c>
      <c r="B108" s="3" t="s">
        <v>10</v>
      </c>
      <c r="C108" s="3" t="s">
        <v>46</v>
      </c>
      <c r="D108" s="3" t="s">
        <v>78</v>
      </c>
      <c r="E108" s="4" t="s">
        <v>33</v>
      </c>
      <c r="F108" s="4" t="s">
        <v>83</v>
      </c>
      <c r="G108" s="4" t="s">
        <v>56</v>
      </c>
      <c r="H108" s="3" t="s">
        <v>59</v>
      </c>
      <c r="I108" s="6">
        <v>15.0</v>
      </c>
    </row>
    <row r="109" ht="22.5" customHeight="1">
      <c r="A109" s="3" t="s">
        <v>84</v>
      </c>
      <c r="B109" s="3" t="s">
        <v>81</v>
      </c>
      <c r="C109" s="3" t="s">
        <v>46</v>
      </c>
      <c r="D109" s="3" t="s">
        <v>78</v>
      </c>
      <c r="E109" s="4" t="s">
        <v>33</v>
      </c>
      <c r="F109" s="4" t="str">
        <f t="shared" ref="F109:F177" si="4">IF(H109="",TEXTJOIN(" ", TRUE, A109, B109, C109, D109, E109),TEXTJOIN(" ", TRUE, A109, B109, C109, D109, E109) &amp; " - " &amp; H109)</f>
        <v>C19 Edexcel A-Level 9701 Chemistry - GBP</v>
      </c>
      <c r="G109" s="4" t="s">
        <v>56</v>
      </c>
      <c r="H109" s="3" t="s">
        <v>59</v>
      </c>
      <c r="I109" s="6">
        <v>15.0</v>
      </c>
    </row>
    <row r="110" ht="22.5" customHeight="1">
      <c r="A110" s="3" t="s">
        <v>40</v>
      </c>
      <c r="B110" s="3" t="s">
        <v>10</v>
      </c>
      <c r="C110" s="3" t="s">
        <v>41</v>
      </c>
      <c r="D110" s="3" t="s">
        <v>85</v>
      </c>
      <c r="E110" s="4" t="s">
        <v>35</v>
      </c>
      <c r="F110" s="4" t="str">
        <f t="shared" si="4"/>
        <v>B18 Cambridge AS-Level 9702 Physics - INR</v>
      </c>
      <c r="G110" s="4" t="s">
        <v>56</v>
      </c>
      <c r="H110" s="3" t="s">
        <v>38</v>
      </c>
      <c r="I110" s="6">
        <v>8000.0</v>
      </c>
    </row>
    <row r="111" ht="22.5" customHeight="1">
      <c r="A111" s="3" t="s">
        <v>40</v>
      </c>
      <c r="B111" s="3" t="s">
        <v>10</v>
      </c>
      <c r="C111" s="3" t="s">
        <v>41</v>
      </c>
      <c r="D111" s="3" t="s">
        <v>85</v>
      </c>
      <c r="E111" s="4" t="s">
        <v>35</v>
      </c>
      <c r="F111" s="4" t="str">
        <f t="shared" si="4"/>
        <v>B18 Cambridge AS-Level 9702 Physics - SAR</v>
      </c>
      <c r="G111" s="4" t="s">
        <v>56</v>
      </c>
      <c r="H111" s="3" t="s">
        <v>29</v>
      </c>
      <c r="I111" s="6">
        <v>300.0</v>
      </c>
    </row>
    <row r="112" ht="22.5" customHeight="1">
      <c r="A112" s="3" t="s">
        <v>45</v>
      </c>
      <c r="B112" s="3" t="s">
        <v>10</v>
      </c>
      <c r="C112" s="3" t="s">
        <v>46</v>
      </c>
      <c r="D112" s="3" t="s">
        <v>85</v>
      </c>
      <c r="E112" s="4" t="s">
        <v>35</v>
      </c>
      <c r="F112" s="4" t="str">
        <f t="shared" si="4"/>
        <v>B8 Cambridge A-Level 9702 Physics - INR</v>
      </c>
      <c r="G112" s="4" t="s">
        <v>56</v>
      </c>
      <c r="H112" s="3" t="s">
        <v>38</v>
      </c>
      <c r="I112" s="6">
        <v>8000.0</v>
      </c>
    </row>
    <row r="113" ht="22.5" customHeight="1">
      <c r="A113" s="3" t="s">
        <v>45</v>
      </c>
      <c r="B113" s="3" t="s">
        <v>10</v>
      </c>
      <c r="C113" s="3" t="s">
        <v>46</v>
      </c>
      <c r="D113" s="3" t="s">
        <v>85</v>
      </c>
      <c r="E113" s="4" t="s">
        <v>35</v>
      </c>
      <c r="F113" s="4" t="str">
        <f t="shared" si="4"/>
        <v>B8 Cambridge A-Level 9702 Physics - SAR</v>
      </c>
      <c r="G113" s="4" t="s">
        <v>56</v>
      </c>
      <c r="H113" s="3" t="s">
        <v>29</v>
      </c>
      <c r="I113" s="6">
        <v>300.0</v>
      </c>
    </row>
    <row r="114" ht="22.5" customHeight="1">
      <c r="A114" s="3" t="s">
        <v>45</v>
      </c>
      <c r="B114" s="3" t="s">
        <v>10</v>
      </c>
      <c r="C114" s="3" t="s">
        <v>41</v>
      </c>
      <c r="D114" s="3" t="s">
        <v>85</v>
      </c>
      <c r="E114" s="4" t="s">
        <v>35</v>
      </c>
      <c r="F114" s="4" t="str">
        <f t="shared" si="4"/>
        <v>B8 Cambridge AS-Level 9702 Physics - INR</v>
      </c>
      <c r="G114" s="4" t="s">
        <v>56</v>
      </c>
      <c r="H114" s="3" t="s">
        <v>38</v>
      </c>
      <c r="I114" s="6">
        <v>8000.0</v>
      </c>
    </row>
    <row r="115" ht="22.5" customHeight="1">
      <c r="A115" s="3" t="s">
        <v>45</v>
      </c>
      <c r="B115" s="3" t="s">
        <v>10</v>
      </c>
      <c r="C115" s="3" t="s">
        <v>41</v>
      </c>
      <c r="D115" s="3" t="s">
        <v>85</v>
      </c>
      <c r="E115" s="4" t="s">
        <v>35</v>
      </c>
      <c r="F115" s="4" t="str">
        <f t="shared" si="4"/>
        <v>B8 Cambridge AS-Level 9702 Physics - SAR</v>
      </c>
      <c r="G115" s="4" t="s">
        <v>56</v>
      </c>
      <c r="H115" s="3" t="s">
        <v>29</v>
      </c>
      <c r="I115" s="6">
        <v>300.0</v>
      </c>
    </row>
    <row r="116" ht="22.5" customHeight="1">
      <c r="A116" s="3" t="s">
        <v>86</v>
      </c>
      <c r="B116" s="3" t="s">
        <v>10</v>
      </c>
      <c r="C116" s="3" t="s">
        <v>46</v>
      </c>
      <c r="D116" s="3" t="s">
        <v>85</v>
      </c>
      <c r="E116" s="4" t="s">
        <v>35</v>
      </c>
      <c r="F116" s="4" t="str">
        <f t="shared" si="4"/>
        <v>C14 Cambridge A-Level 9702 Physics - GBP</v>
      </c>
      <c r="G116" s="4" t="s">
        <v>56</v>
      </c>
      <c r="H116" s="3" t="s">
        <v>59</v>
      </c>
      <c r="I116" s="6">
        <v>15.0</v>
      </c>
    </row>
    <row r="117" ht="22.5" customHeight="1">
      <c r="A117" s="3" t="s">
        <v>79</v>
      </c>
      <c r="B117" s="3" t="s">
        <v>10</v>
      </c>
      <c r="C117" s="3" t="s">
        <v>41</v>
      </c>
      <c r="D117" s="3" t="s">
        <v>85</v>
      </c>
      <c r="E117" s="4" t="s">
        <v>35</v>
      </c>
      <c r="F117" s="4" t="str">
        <f t="shared" si="4"/>
        <v>C15 Cambridge AS-Level 9702 Physics - GBP</v>
      </c>
      <c r="G117" s="4" t="s">
        <v>56</v>
      </c>
      <c r="H117" s="3" t="s">
        <v>59</v>
      </c>
      <c r="I117" s="6">
        <v>15.0</v>
      </c>
    </row>
    <row r="118" ht="22.5" customHeight="1">
      <c r="A118" s="3" t="s">
        <v>79</v>
      </c>
      <c r="B118" s="3" t="s">
        <v>10</v>
      </c>
      <c r="C118" s="3" t="s">
        <v>46</v>
      </c>
      <c r="D118" s="3" t="s">
        <v>85</v>
      </c>
      <c r="E118" s="4" t="s">
        <v>35</v>
      </c>
      <c r="F118" s="4" t="str">
        <f t="shared" si="4"/>
        <v>C15 Cambridge A-Level 9702 Physics - GBP</v>
      </c>
      <c r="G118" s="4" t="s">
        <v>56</v>
      </c>
      <c r="H118" s="3" t="s">
        <v>59</v>
      </c>
      <c r="I118" s="6">
        <v>15.0</v>
      </c>
    </row>
    <row r="119" ht="22.5" customHeight="1">
      <c r="A119" s="3" t="s">
        <v>40</v>
      </c>
      <c r="B119" s="3" t="s">
        <v>10</v>
      </c>
      <c r="C119" s="3" t="s">
        <v>41</v>
      </c>
      <c r="D119" s="3" t="s">
        <v>87</v>
      </c>
      <c r="E119" s="4" t="s">
        <v>88</v>
      </c>
      <c r="F119" s="4" t="str">
        <f t="shared" si="4"/>
        <v>B18 Cambridge AS-Level 9709 Further Mathematics - INR</v>
      </c>
      <c r="G119" s="4" t="s">
        <v>56</v>
      </c>
      <c r="H119" s="3" t="s">
        <v>38</v>
      </c>
      <c r="I119" s="6">
        <v>8000.0</v>
      </c>
    </row>
    <row r="120" ht="22.5" customHeight="1">
      <c r="A120" s="3" t="s">
        <v>40</v>
      </c>
      <c r="B120" s="3" t="s">
        <v>10</v>
      </c>
      <c r="C120" s="3" t="s">
        <v>41</v>
      </c>
      <c r="D120" s="3" t="s">
        <v>87</v>
      </c>
      <c r="E120" s="4" t="s">
        <v>88</v>
      </c>
      <c r="F120" s="4" t="str">
        <f t="shared" si="4"/>
        <v>B18 Cambridge AS-Level 9709 Further Mathematics - SAR</v>
      </c>
      <c r="G120" s="4" t="s">
        <v>56</v>
      </c>
      <c r="H120" s="3" t="s">
        <v>29</v>
      </c>
      <c r="I120" s="6">
        <v>300.0</v>
      </c>
    </row>
    <row r="121" ht="22.5" customHeight="1">
      <c r="A121" s="3" t="s">
        <v>40</v>
      </c>
      <c r="B121" s="3" t="s">
        <v>10</v>
      </c>
      <c r="C121" s="3" t="s">
        <v>46</v>
      </c>
      <c r="D121" s="3" t="s">
        <v>87</v>
      </c>
      <c r="E121" s="4" t="s">
        <v>89</v>
      </c>
      <c r="F121" s="4" t="str">
        <f t="shared" si="4"/>
        <v>B18 Cambridge A-Level 9709 Mathematics: Mechanics 1 - INR</v>
      </c>
      <c r="G121" s="4" t="s">
        <v>56</v>
      </c>
      <c r="H121" s="3" t="s">
        <v>38</v>
      </c>
      <c r="I121" s="6">
        <v>8000.0</v>
      </c>
    </row>
    <row r="122" ht="22.5" customHeight="1">
      <c r="A122" s="3" t="s">
        <v>40</v>
      </c>
      <c r="B122" s="3" t="s">
        <v>10</v>
      </c>
      <c r="C122" s="3" t="s">
        <v>41</v>
      </c>
      <c r="D122" s="3" t="s">
        <v>87</v>
      </c>
      <c r="E122" s="4" t="s">
        <v>89</v>
      </c>
      <c r="F122" s="4" t="str">
        <f t="shared" si="4"/>
        <v>B18 Cambridge AS-Level 9709 Mathematics: Mechanics 1 - INR</v>
      </c>
      <c r="G122" s="4" t="s">
        <v>56</v>
      </c>
      <c r="H122" s="3" t="s">
        <v>38</v>
      </c>
      <c r="I122" s="6">
        <v>8000.0</v>
      </c>
    </row>
    <row r="123" ht="22.5" customHeight="1">
      <c r="A123" s="3" t="s">
        <v>40</v>
      </c>
      <c r="B123" s="3" t="s">
        <v>10</v>
      </c>
      <c r="C123" s="3" t="s">
        <v>46</v>
      </c>
      <c r="D123" s="3" t="s">
        <v>87</v>
      </c>
      <c r="E123" s="4" t="s">
        <v>90</v>
      </c>
      <c r="F123" s="4" t="str">
        <f t="shared" si="4"/>
        <v>B18 Cambridge A-Level 9709 Mathematics: Pure 1 - SAR</v>
      </c>
      <c r="G123" s="4" t="s">
        <v>56</v>
      </c>
      <c r="H123" s="3" t="s">
        <v>29</v>
      </c>
      <c r="I123" s="6">
        <v>300.0</v>
      </c>
    </row>
    <row r="124" ht="22.5" customHeight="1">
      <c r="A124" s="3" t="s">
        <v>40</v>
      </c>
      <c r="B124" s="3" t="s">
        <v>10</v>
      </c>
      <c r="C124" s="3" t="s">
        <v>41</v>
      </c>
      <c r="D124" s="3" t="s">
        <v>87</v>
      </c>
      <c r="E124" s="4" t="s">
        <v>90</v>
      </c>
      <c r="F124" s="4" t="str">
        <f t="shared" si="4"/>
        <v>B18 Cambridge AS-Level 9709 Mathematics: Pure 1 - INR</v>
      </c>
      <c r="G124" s="4" t="s">
        <v>56</v>
      </c>
      <c r="H124" s="3" t="s">
        <v>38</v>
      </c>
      <c r="I124" s="6">
        <v>8000.0</v>
      </c>
    </row>
    <row r="125" ht="22.5" customHeight="1">
      <c r="A125" s="3" t="s">
        <v>40</v>
      </c>
      <c r="B125" s="3" t="s">
        <v>10</v>
      </c>
      <c r="C125" s="3" t="s">
        <v>46</v>
      </c>
      <c r="D125" s="3" t="s">
        <v>87</v>
      </c>
      <c r="E125" s="4" t="s">
        <v>91</v>
      </c>
      <c r="F125" s="4" t="str">
        <f t="shared" si="4"/>
        <v>B18 Cambridge A-Level 9709 Mathematics: Pure 3 - INR</v>
      </c>
      <c r="G125" s="4" t="s">
        <v>56</v>
      </c>
      <c r="H125" s="3" t="s">
        <v>38</v>
      </c>
      <c r="I125" s="6">
        <v>8000.0</v>
      </c>
    </row>
    <row r="126" ht="22.5" customHeight="1">
      <c r="A126" s="3" t="s">
        <v>40</v>
      </c>
      <c r="B126" s="3" t="s">
        <v>10</v>
      </c>
      <c r="C126" s="3" t="s">
        <v>46</v>
      </c>
      <c r="D126" s="3" t="s">
        <v>87</v>
      </c>
      <c r="E126" s="4" t="s">
        <v>92</v>
      </c>
      <c r="F126" s="4" t="str">
        <f t="shared" si="4"/>
        <v>B18 Cambridge A-Level 9709 Mathematics: Statistics 1 - INR</v>
      </c>
      <c r="G126" s="4" t="s">
        <v>56</v>
      </c>
      <c r="H126" s="3" t="s">
        <v>38</v>
      </c>
      <c r="I126" s="6">
        <v>8000.0</v>
      </c>
    </row>
    <row r="127" ht="22.5" customHeight="1">
      <c r="A127" s="3" t="s">
        <v>45</v>
      </c>
      <c r="B127" s="3" t="s">
        <v>10</v>
      </c>
      <c r="C127" s="3" t="s">
        <v>46</v>
      </c>
      <c r="D127" s="3" t="s">
        <v>87</v>
      </c>
      <c r="E127" s="4" t="s">
        <v>88</v>
      </c>
      <c r="F127" s="4" t="str">
        <f t="shared" si="4"/>
        <v>B8 Cambridge A-Level 9709 Further Mathematics - INR</v>
      </c>
      <c r="G127" s="4" t="s">
        <v>56</v>
      </c>
      <c r="H127" s="3" t="s">
        <v>38</v>
      </c>
      <c r="I127" s="6">
        <v>8000.0</v>
      </c>
    </row>
    <row r="128" ht="22.5" customHeight="1">
      <c r="A128" s="3" t="s">
        <v>45</v>
      </c>
      <c r="B128" s="3" t="s">
        <v>10</v>
      </c>
      <c r="C128" s="3" t="s">
        <v>46</v>
      </c>
      <c r="D128" s="3" t="s">
        <v>87</v>
      </c>
      <c r="E128" s="4" t="s">
        <v>88</v>
      </c>
      <c r="F128" s="4" t="str">
        <f t="shared" si="4"/>
        <v>B8 Cambridge A-Level 9709 Further Mathematics - SAR</v>
      </c>
      <c r="G128" s="4" t="s">
        <v>56</v>
      </c>
      <c r="H128" s="3" t="s">
        <v>29</v>
      </c>
      <c r="I128" s="6">
        <v>300.0</v>
      </c>
    </row>
    <row r="129" ht="22.5" customHeight="1">
      <c r="A129" s="3" t="s">
        <v>45</v>
      </c>
      <c r="B129" s="3" t="s">
        <v>10</v>
      </c>
      <c r="C129" s="3" t="s">
        <v>41</v>
      </c>
      <c r="D129" s="3" t="s">
        <v>87</v>
      </c>
      <c r="E129" s="4" t="s">
        <v>88</v>
      </c>
      <c r="F129" s="4" t="str">
        <f t="shared" si="4"/>
        <v>B8 Cambridge AS-Level 9709 Further Mathematics - INR</v>
      </c>
      <c r="G129" s="4" t="s">
        <v>56</v>
      </c>
      <c r="H129" s="3" t="s">
        <v>38</v>
      </c>
      <c r="I129" s="6">
        <v>8000.0</v>
      </c>
    </row>
    <row r="130" ht="22.5" customHeight="1">
      <c r="A130" s="3" t="s">
        <v>45</v>
      </c>
      <c r="B130" s="3" t="s">
        <v>10</v>
      </c>
      <c r="C130" s="3" t="s">
        <v>41</v>
      </c>
      <c r="D130" s="3" t="s">
        <v>87</v>
      </c>
      <c r="E130" s="4" t="s">
        <v>88</v>
      </c>
      <c r="F130" s="4" t="str">
        <f t="shared" si="4"/>
        <v>B8 Cambridge AS-Level 9709 Further Mathematics - SAR</v>
      </c>
      <c r="G130" s="4" t="s">
        <v>56</v>
      </c>
      <c r="H130" s="3" t="s">
        <v>29</v>
      </c>
      <c r="I130" s="6">
        <v>300.0</v>
      </c>
    </row>
    <row r="131" ht="22.5" customHeight="1">
      <c r="A131" s="3" t="s">
        <v>45</v>
      </c>
      <c r="B131" s="3" t="s">
        <v>10</v>
      </c>
      <c r="C131" s="3" t="s">
        <v>46</v>
      </c>
      <c r="D131" s="3" t="s">
        <v>87</v>
      </c>
      <c r="E131" s="4" t="s">
        <v>89</v>
      </c>
      <c r="F131" s="4" t="str">
        <f t="shared" si="4"/>
        <v>B8 Cambridge A-Level 9709 Mathematics: Mechanics 1 - INR</v>
      </c>
      <c r="G131" s="4" t="s">
        <v>56</v>
      </c>
      <c r="H131" s="3" t="s">
        <v>38</v>
      </c>
      <c r="I131" s="6">
        <v>8000.0</v>
      </c>
    </row>
    <row r="132" ht="22.5" customHeight="1">
      <c r="A132" s="3" t="s">
        <v>45</v>
      </c>
      <c r="B132" s="3" t="s">
        <v>10</v>
      </c>
      <c r="C132" s="3" t="s">
        <v>46</v>
      </c>
      <c r="D132" s="3" t="s">
        <v>87</v>
      </c>
      <c r="E132" s="4" t="s">
        <v>89</v>
      </c>
      <c r="F132" s="4" t="str">
        <f t="shared" si="4"/>
        <v>B8 Cambridge A-Level 9709 Mathematics: Mechanics 1 - SAR</v>
      </c>
      <c r="G132" s="4" t="s">
        <v>56</v>
      </c>
      <c r="H132" s="3" t="s">
        <v>29</v>
      </c>
      <c r="I132" s="6">
        <v>300.0</v>
      </c>
    </row>
    <row r="133" ht="22.5" customHeight="1">
      <c r="A133" s="3" t="s">
        <v>45</v>
      </c>
      <c r="B133" s="3" t="s">
        <v>10</v>
      </c>
      <c r="C133" s="3" t="s">
        <v>41</v>
      </c>
      <c r="D133" s="3" t="s">
        <v>87</v>
      </c>
      <c r="E133" s="4" t="s">
        <v>90</v>
      </c>
      <c r="F133" s="4" t="str">
        <f t="shared" si="4"/>
        <v>B8 Cambridge AS-Level 9709 Mathematics: Pure 1 - INR</v>
      </c>
      <c r="G133" s="4" t="s">
        <v>56</v>
      </c>
      <c r="H133" s="3" t="s">
        <v>38</v>
      </c>
      <c r="I133" s="6">
        <v>8000.0</v>
      </c>
    </row>
    <row r="134" ht="22.5" customHeight="1">
      <c r="A134" s="3" t="s">
        <v>45</v>
      </c>
      <c r="B134" s="3" t="s">
        <v>10</v>
      </c>
      <c r="C134" s="3" t="s">
        <v>41</v>
      </c>
      <c r="D134" s="3" t="s">
        <v>87</v>
      </c>
      <c r="E134" s="4" t="s">
        <v>90</v>
      </c>
      <c r="F134" s="4" t="str">
        <f t="shared" si="4"/>
        <v>B8 Cambridge AS-Level 9709 Mathematics: Pure 1 - SAR</v>
      </c>
      <c r="G134" s="4" t="s">
        <v>56</v>
      </c>
      <c r="H134" s="3" t="s">
        <v>29</v>
      </c>
      <c r="I134" s="6">
        <v>300.0</v>
      </c>
    </row>
    <row r="135" ht="22.5" customHeight="1">
      <c r="A135" s="3" t="s">
        <v>45</v>
      </c>
      <c r="B135" s="3" t="s">
        <v>10</v>
      </c>
      <c r="C135" s="3" t="s">
        <v>46</v>
      </c>
      <c r="D135" s="3" t="s">
        <v>87</v>
      </c>
      <c r="E135" s="4" t="s">
        <v>91</v>
      </c>
      <c r="F135" s="4" t="str">
        <f t="shared" si="4"/>
        <v>B8 Cambridge A-Level 9709 Mathematics: Pure 3 - INR</v>
      </c>
      <c r="G135" s="4" t="s">
        <v>56</v>
      </c>
      <c r="H135" s="3" t="s">
        <v>38</v>
      </c>
      <c r="I135" s="6">
        <v>8000.0</v>
      </c>
    </row>
    <row r="136" ht="22.5" customHeight="1">
      <c r="A136" s="3" t="s">
        <v>45</v>
      </c>
      <c r="B136" s="3" t="s">
        <v>10</v>
      </c>
      <c r="C136" s="3" t="s">
        <v>46</v>
      </c>
      <c r="D136" s="3" t="s">
        <v>87</v>
      </c>
      <c r="E136" s="4" t="s">
        <v>91</v>
      </c>
      <c r="F136" s="4" t="str">
        <f t="shared" si="4"/>
        <v>B8 Cambridge A-Level 9709 Mathematics: Pure 3 - SAR</v>
      </c>
      <c r="G136" s="4" t="s">
        <v>56</v>
      </c>
      <c r="H136" s="3" t="s">
        <v>29</v>
      </c>
      <c r="I136" s="6">
        <v>300.0</v>
      </c>
    </row>
    <row r="137" ht="22.5" customHeight="1">
      <c r="A137" s="3" t="s">
        <v>45</v>
      </c>
      <c r="B137" s="3" t="s">
        <v>10</v>
      </c>
      <c r="C137" s="3" t="s">
        <v>46</v>
      </c>
      <c r="D137" s="3" t="s">
        <v>87</v>
      </c>
      <c r="E137" s="4" t="s">
        <v>92</v>
      </c>
      <c r="F137" s="4" t="str">
        <f t="shared" si="4"/>
        <v>B8 Cambridge A-Level 9709 Mathematics: Statistics 1 - INR</v>
      </c>
      <c r="G137" s="4" t="s">
        <v>56</v>
      </c>
      <c r="H137" s="3" t="s">
        <v>38</v>
      </c>
      <c r="I137" s="6">
        <v>8000.0</v>
      </c>
    </row>
    <row r="138" ht="22.5" customHeight="1">
      <c r="A138" s="3" t="s">
        <v>45</v>
      </c>
      <c r="B138" s="3" t="s">
        <v>10</v>
      </c>
      <c r="C138" s="3" t="s">
        <v>46</v>
      </c>
      <c r="D138" s="3" t="s">
        <v>87</v>
      </c>
      <c r="E138" s="4" t="s">
        <v>92</v>
      </c>
      <c r="F138" s="4" t="str">
        <f t="shared" si="4"/>
        <v>B8 Cambridge A-Level 9709 Mathematics: Statistics 1 - SAR</v>
      </c>
      <c r="G138" s="4" t="s">
        <v>56</v>
      </c>
      <c r="H138" s="3" t="s">
        <v>29</v>
      </c>
      <c r="I138" s="6">
        <v>300.0</v>
      </c>
    </row>
    <row r="139" ht="22.5" customHeight="1">
      <c r="A139" s="3" t="s">
        <v>45</v>
      </c>
      <c r="B139" s="3" t="s">
        <v>10</v>
      </c>
      <c r="C139" s="3" t="s">
        <v>46</v>
      </c>
      <c r="D139" s="3" t="s">
        <v>87</v>
      </c>
      <c r="E139" s="4" t="s">
        <v>93</v>
      </c>
      <c r="F139" s="4" t="str">
        <f t="shared" si="4"/>
        <v>B8 Cambridge A-Level 9709 Mathematics: Statistics 2 - INR</v>
      </c>
      <c r="G139" s="4" t="s">
        <v>56</v>
      </c>
      <c r="H139" s="3" t="s">
        <v>38</v>
      </c>
      <c r="I139" s="6">
        <v>8000.0</v>
      </c>
    </row>
    <row r="140" ht="22.5" customHeight="1">
      <c r="A140" s="3" t="s">
        <v>45</v>
      </c>
      <c r="B140" s="3" t="s">
        <v>10</v>
      </c>
      <c r="C140" s="3" t="s">
        <v>46</v>
      </c>
      <c r="D140" s="3" t="s">
        <v>87</v>
      </c>
      <c r="E140" s="4" t="s">
        <v>93</v>
      </c>
      <c r="F140" s="4" t="str">
        <f t="shared" si="4"/>
        <v>B8 Cambridge A-Level 9709 Mathematics: Statistics 2 - SAR</v>
      </c>
      <c r="G140" s="4" t="s">
        <v>56</v>
      </c>
      <c r="H140" s="3" t="s">
        <v>29</v>
      </c>
      <c r="I140" s="6">
        <v>300.0</v>
      </c>
    </row>
    <row r="141" ht="22.5" customHeight="1">
      <c r="A141" s="3" t="s">
        <v>45</v>
      </c>
      <c r="B141" s="3" t="s">
        <v>10</v>
      </c>
      <c r="C141" s="3" t="s">
        <v>41</v>
      </c>
      <c r="D141" s="3" t="s">
        <v>87</v>
      </c>
      <c r="E141" s="4" t="s">
        <v>91</v>
      </c>
      <c r="F141" s="4" t="str">
        <f t="shared" si="4"/>
        <v>B8 Cambridge AS-Level 9709 Mathematics: Pure 3 - INR</v>
      </c>
      <c r="G141" s="4" t="s">
        <v>56</v>
      </c>
      <c r="H141" s="3" t="s">
        <v>38</v>
      </c>
      <c r="I141" s="6">
        <v>8000.0</v>
      </c>
    </row>
    <row r="142" ht="22.5" customHeight="1">
      <c r="A142" s="3" t="s">
        <v>94</v>
      </c>
      <c r="B142" s="3" t="s">
        <v>95</v>
      </c>
      <c r="C142" s="3" t="s">
        <v>96</v>
      </c>
      <c r="D142" s="3" t="s">
        <v>97</v>
      </c>
      <c r="E142" s="4" t="s">
        <v>21</v>
      </c>
      <c r="F142" s="4" t="str">
        <f t="shared" si="4"/>
        <v>C3 OCR GCSE J277 Computer Science - GBP</v>
      </c>
      <c r="G142" s="4" t="s">
        <v>56</v>
      </c>
      <c r="H142" s="3" t="s">
        <v>59</v>
      </c>
      <c r="I142" s="6">
        <v>12.0</v>
      </c>
    </row>
    <row r="143" ht="22.5" customHeight="1">
      <c r="A143" s="3" t="s">
        <v>98</v>
      </c>
      <c r="B143" s="3" t="s">
        <v>99</v>
      </c>
      <c r="C143" s="3" t="s">
        <v>100</v>
      </c>
      <c r="D143" s="3"/>
      <c r="E143" s="4" t="s">
        <v>37</v>
      </c>
      <c r="F143" s="4" t="str">
        <f t="shared" si="4"/>
        <v>B13 KSA Qudrat GAT English - SAR</v>
      </c>
      <c r="G143" s="4" t="s">
        <v>56</v>
      </c>
      <c r="H143" s="3" t="s">
        <v>29</v>
      </c>
      <c r="I143" s="6">
        <v>250.0</v>
      </c>
    </row>
    <row r="144" ht="22.5" customHeight="1">
      <c r="A144" s="3" t="s">
        <v>98</v>
      </c>
      <c r="B144" s="3" t="s">
        <v>99</v>
      </c>
      <c r="C144" s="3" t="s">
        <v>100</v>
      </c>
      <c r="D144" s="3"/>
      <c r="E144" s="4" t="s">
        <v>101</v>
      </c>
      <c r="F144" s="4" t="str">
        <f t="shared" si="4"/>
        <v>B13 KSA Qudrat GAT Math - SAR</v>
      </c>
      <c r="G144" s="4" t="s">
        <v>56</v>
      </c>
      <c r="H144" s="3" t="s">
        <v>29</v>
      </c>
      <c r="I144" s="6">
        <v>250.0</v>
      </c>
    </row>
    <row r="145" ht="22.5" customHeight="1">
      <c r="A145" s="3" t="s">
        <v>98</v>
      </c>
      <c r="B145" s="3" t="s">
        <v>99</v>
      </c>
      <c r="C145" s="3" t="s">
        <v>100</v>
      </c>
      <c r="D145" s="3"/>
      <c r="F145" s="4" t="str">
        <f t="shared" si="4"/>
        <v>B13 KSA Qudrat GAT - SAR</v>
      </c>
      <c r="G145" s="4" t="s">
        <v>56</v>
      </c>
      <c r="H145" s="3" t="s">
        <v>29</v>
      </c>
      <c r="I145" s="6">
        <v>250.0</v>
      </c>
    </row>
    <row r="146" ht="22.5" customHeight="1">
      <c r="A146" s="3" t="s">
        <v>102</v>
      </c>
      <c r="B146" s="3" t="s">
        <v>103</v>
      </c>
      <c r="C146" s="3" t="s">
        <v>104</v>
      </c>
      <c r="D146" s="3"/>
      <c r="F146" s="4" t="str">
        <f t="shared" si="4"/>
        <v>C11 College Board SAT - INR</v>
      </c>
      <c r="G146" s="4" t="s">
        <v>56</v>
      </c>
      <c r="H146" s="3" t="s">
        <v>38</v>
      </c>
      <c r="I146" s="6">
        <v>6000.0</v>
      </c>
    </row>
    <row r="147" ht="22.5" customHeight="1">
      <c r="A147" s="3" t="s">
        <v>105</v>
      </c>
      <c r="B147" s="3" t="s">
        <v>103</v>
      </c>
      <c r="C147" s="3" t="s">
        <v>104</v>
      </c>
      <c r="D147" s="3"/>
      <c r="F147" s="4" t="str">
        <f t="shared" si="4"/>
        <v>C12 College Board SAT - SAR</v>
      </c>
      <c r="G147" s="4" t="s">
        <v>56</v>
      </c>
      <c r="H147" s="3" t="s">
        <v>29</v>
      </c>
      <c r="I147" s="6">
        <v>250.0</v>
      </c>
    </row>
    <row r="148" ht="22.5" customHeight="1">
      <c r="A148" s="3" t="s">
        <v>86</v>
      </c>
      <c r="B148" s="3" t="s">
        <v>95</v>
      </c>
      <c r="C148" s="3" t="s">
        <v>41</v>
      </c>
      <c r="D148" s="3"/>
      <c r="E148" s="4" t="s">
        <v>21</v>
      </c>
      <c r="F148" s="4" t="str">
        <f t="shared" si="4"/>
        <v>C14 OCR AS-Level Computer Science - GBP</v>
      </c>
      <c r="G148" s="4" t="s">
        <v>56</v>
      </c>
      <c r="H148" s="3" t="s">
        <v>59</v>
      </c>
      <c r="I148" s="6">
        <v>10.0</v>
      </c>
    </row>
    <row r="149" ht="22.5" customHeight="1">
      <c r="A149" s="3" t="s">
        <v>106</v>
      </c>
      <c r="B149" s="3" t="s">
        <v>107</v>
      </c>
      <c r="C149" s="3"/>
      <c r="D149" s="3"/>
      <c r="E149" s="4" t="s">
        <v>108</v>
      </c>
      <c r="F149" s="4" t="str">
        <f t="shared" si="4"/>
        <v>C4 DC Quantum AI - SGD</v>
      </c>
      <c r="G149" s="4" t="s">
        <v>56</v>
      </c>
      <c r="H149" s="3" t="s">
        <v>109</v>
      </c>
      <c r="I149" s="6">
        <v>25.0</v>
      </c>
    </row>
    <row r="150" ht="22.5" customHeight="1">
      <c r="A150" s="3" t="s">
        <v>110</v>
      </c>
      <c r="B150" s="3" t="s">
        <v>111</v>
      </c>
      <c r="C150" s="3" t="s">
        <v>46</v>
      </c>
      <c r="D150" s="3"/>
      <c r="E150" s="4" t="s">
        <v>27</v>
      </c>
      <c r="F150" s="4" t="str">
        <f t="shared" si="4"/>
        <v>C6 Singapore A-Level Mathematics - SGD</v>
      </c>
      <c r="G150" s="4" t="s">
        <v>56</v>
      </c>
      <c r="H150" s="3" t="s">
        <v>109</v>
      </c>
      <c r="I150" s="6">
        <v>30.0</v>
      </c>
    </row>
    <row r="151" ht="22.5" customHeight="1">
      <c r="A151" s="3" t="s">
        <v>84</v>
      </c>
      <c r="B151" s="3"/>
      <c r="C151" s="3" t="s">
        <v>112</v>
      </c>
      <c r="D151" s="3"/>
      <c r="F151" s="4" t="str">
        <f t="shared" si="4"/>
        <v>C19 ACT - GBP</v>
      </c>
      <c r="G151" s="4" t="s">
        <v>56</v>
      </c>
      <c r="H151" s="3" t="s">
        <v>59</v>
      </c>
      <c r="I151" s="6">
        <v>15.0</v>
      </c>
    </row>
    <row r="152" ht="22.5" customHeight="1">
      <c r="A152" s="3" t="s">
        <v>113</v>
      </c>
      <c r="B152" s="3" t="s">
        <v>99</v>
      </c>
      <c r="C152" s="3" t="s">
        <v>100</v>
      </c>
      <c r="D152" s="3"/>
      <c r="F152" s="4" t="str">
        <f t="shared" si="4"/>
        <v>C20 KSA Qudrat GAT - SAR</v>
      </c>
      <c r="G152" s="4" t="s">
        <v>56</v>
      </c>
      <c r="H152" s="3" t="s">
        <v>29</v>
      </c>
      <c r="I152" s="6">
        <v>250.0</v>
      </c>
    </row>
    <row r="153" ht="22.5" customHeight="1">
      <c r="A153" s="3" t="s">
        <v>114</v>
      </c>
      <c r="B153" s="3" t="s">
        <v>81</v>
      </c>
      <c r="C153" s="3" t="s">
        <v>11</v>
      </c>
      <c r="D153" s="3"/>
      <c r="E153" s="4" t="s">
        <v>115</v>
      </c>
      <c r="F153" s="4" t="str">
        <f t="shared" si="4"/>
        <v>C21 Edexcel IGCSE ICT - GBP</v>
      </c>
      <c r="G153" s="4" t="s">
        <v>56</v>
      </c>
      <c r="H153" s="3" t="s">
        <v>59</v>
      </c>
      <c r="I153" s="6">
        <v>10.0</v>
      </c>
    </row>
    <row r="154" ht="22.5" customHeight="1">
      <c r="A154" s="3" t="s">
        <v>106</v>
      </c>
      <c r="B154" s="3" t="s">
        <v>103</v>
      </c>
      <c r="C154" s="3"/>
      <c r="D154" s="3"/>
      <c r="E154" s="4" t="s">
        <v>27</v>
      </c>
      <c r="F154" s="4" t="str">
        <f t="shared" si="4"/>
        <v>C4 College Board Mathematics - SGD</v>
      </c>
      <c r="G154" s="4" t="s">
        <v>56</v>
      </c>
      <c r="H154" s="3" t="s">
        <v>109</v>
      </c>
      <c r="I154" s="6">
        <v>25.0</v>
      </c>
    </row>
    <row r="155" ht="22.5" customHeight="1">
      <c r="A155" s="3" t="s">
        <v>106</v>
      </c>
      <c r="B155" s="3" t="s">
        <v>107</v>
      </c>
      <c r="C155" s="3"/>
      <c r="D155" s="3"/>
      <c r="E155" s="4" t="s">
        <v>116</v>
      </c>
      <c r="F155" s="4" t="str">
        <f t="shared" si="4"/>
        <v>C4 DC IMO Mathematics - SGD</v>
      </c>
      <c r="G155" s="4" t="s">
        <v>56</v>
      </c>
      <c r="H155" s="3" t="s">
        <v>109</v>
      </c>
      <c r="I155" s="6">
        <v>25.0</v>
      </c>
    </row>
    <row r="156" ht="22.5" customHeight="1">
      <c r="A156" s="3" t="s">
        <v>106</v>
      </c>
      <c r="B156" s="3" t="s">
        <v>103</v>
      </c>
      <c r="C156" s="3"/>
      <c r="D156" s="3"/>
      <c r="E156" s="4" t="s">
        <v>35</v>
      </c>
      <c r="F156" s="4" t="str">
        <f t="shared" si="4"/>
        <v>C4 College Board Physics - SGD</v>
      </c>
      <c r="G156" s="4" t="s">
        <v>56</v>
      </c>
      <c r="H156" s="3" t="s">
        <v>109</v>
      </c>
      <c r="I156" s="6">
        <v>25.0</v>
      </c>
    </row>
    <row r="157" ht="22.5" customHeight="1">
      <c r="A157" s="3" t="s">
        <v>117</v>
      </c>
      <c r="B157" s="3" t="s">
        <v>118</v>
      </c>
      <c r="C157" s="3" t="s">
        <v>119</v>
      </c>
      <c r="D157" s="3"/>
      <c r="F157" s="4" t="str">
        <f t="shared" si="4"/>
        <v>C22 DTU BTech - INR</v>
      </c>
      <c r="G157" s="4" t="s">
        <v>56</v>
      </c>
      <c r="H157" s="3" t="s">
        <v>38</v>
      </c>
      <c r="I157" s="7">
        <v>26000.0</v>
      </c>
    </row>
    <row r="158" ht="22.5" customHeight="1">
      <c r="A158" s="3" t="s">
        <v>120</v>
      </c>
      <c r="B158" s="3" t="s">
        <v>121</v>
      </c>
      <c r="C158" s="3"/>
      <c r="D158" s="3"/>
      <c r="F158" s="4" t="str">
        <f t="shared" si="4"/>
        <v>C23 IMAT - GBP</v>
      </c>
      <c r="G158" s="4" t="s">
        <v>56</v>
      </c>
      <c r="H158" s="3" t="s">
        <v>59</v>
      </c>
      <c r="I158" s="6">
        <v>12.5</v>
      </c>
    </row>
    <row r="159" ht="22.5" customHeight="1">
      <c r="A159" s="3" t="s">
        <v>40</v>
      </c>
      <c r="B159" s="3" t="s">
        <v>10</v>
      </c>
      <c r="C159" s="3" t="s">
        <v>41</v>
      </c>
      <c r="D159" s="3" t="s">
        <v>87</v>
      </c>
      <c r="E159" s="4" t="s">
        <v>90</v>
      </c>
      <c r="F159" s="4" t="str">
        <f t="shared" si="4"/>
        <v>B18 Cambridge AS-Level 9709 Mathematics: Pure 1 - USD</v>
      </c>
      <c r="G159" s="4" t="s">
        <v>56</v>
      </c>
      <c r="H159" s="3" t="s">
        <v>50</v>
      </c>
      <c r="I159" s="6">
        <v>40.0</v>
      </c>
    </row>
    <row r="160" ht="22.5" customHeight="1">
      <c r="A160" s="3" t="s">
        <v>40</v>
      </c>
      <c r="B160" s="3" t="s">
        <v>10</v>
      </c>
      <c r="C160" s="3" t="s">
        <v>41</v>
      </c>
      <c r="D160" s="3" t="s">
        <v>87</v>
      </c>
      <c r="E160" s="4" t="s">
        <v>92</v>
      </c>
      <c r="F160" s="4" t="str">
        <f t="shared" si="4"/>
        <v>B18 Cambridge AS-Level 9709 Mathematics: Statistics 1 - USD</v>
      </c>
      <c r="G160" s="4" t="s">
        <v>56</v>
      </c>
      <c r="H160" s="3" t="s">
        <v>50</v>
      </c>
      <c r="I160" s="6">
        <v>40.0</v>
      </c>
    </row>
    <row r="161" ht="22.5" customHeight="1">
      <c r="A161" s="3" t="s">
        <v>122</v>
      </c>
      <c r="B161" s="3" t="s">
        <v>123</v>
      </c>
      <c r="C161" s="3" t="s">
        <v>46</v>
      </c>
      <c r="D161" s="3"/>
      <c r="E161" s="4" t="s">
        <v>21</v>
      </c>
      <c r="F161" s="4" t="str">
        <f t="shared" si="4"/>
        <v>C24 AQA A-Level Computer Science - GBP</v>
      </c>
      <c r="G161" s="4" t="s">
        <v>56</v>
      </c>
      <c r="H161" s="3" t="s">
        <v>59</v>
      </c>
      <c r="I161" s="6">
        <v>25.0</v>
      </c>
    </row>
    <row r="162" ht="22.5" customHeight="1">
      <c r="A162" s="3" t="s">
        <v>106</v>
      </c>
      <c r="B162" s="3" t="s">
        <v>124</v>
      </c>
      <c r="C162" s="3"/>
      <c r="D162" s="3"/>
      <c r="E162" s="4" t="s">
        <v>125</v>
      </c>
      <c r="F162" s="4" t="str">
        <f t="shared" si="4"/>
        <v>C4 AP Computer Science Priniciples - SGD</v>
      </c>
      <c r="G162" s="4" t="s">
        <v>56</v>
      </c>
      <c r="H162" s="3" t="s">
        <v>109</v>
      </c>
      <c r="I162" s="6">
        <v>30.0</v>
      </c>
    </row>
    <row r="163" ht="22.5" customHeight="1">
      <c r="A163" s="3" t="s">
        <v>51</v>
      </c>
      <c r="B163" s="3" t="s">
        <v>10</v>
      </c>
      <c r="C163" s="3" t="s">
        <v>11</v>
      </c>
      <c r="D163" s="3" t="s">
        <v>20</v>
      </c>
      <c r="E163" s="4" t="s">
        <v>21</v>
      </c>
      <c r="F163" s="4" t="str">
        <f t="shared" si="4"/>
        <v>B14 Cambridge IGCSE 0478 Computer Science - GBP</v>
      </c>
      <c r="G163" s="4" t="s">
        <v>56</v>
      </c>
      <c r="H163" s="3" t="s">
        <v>59</v>
      </c>
      <c r="I163" s="6">
        <v>10.0</v>
      </c>
    </row>
    <row r="164" ht="22.5" customHeight="1">
      <c r="A164" s="3"/>
      <c r="B164" s="3" t="s">
        <v>126</v>
      </c>
      <c r="C164" s="3" t="s">
        <v>127</v>
      </c>
      <c r="D164" s="3"/>
      <c r="E164" s="4" t="s">
        <v>37</v>
      </c>
      <c r="F164" s="4" t="str">
        <f t="shared" si="4"/>
        <v>IDP IELTS English - INR</v>
      </c>
      <c r="G164" s="4" t="s">
        <v>56</v>
      </c>
      <c r="H164" s="3" t="s">
        <v>38</v>
      </c>
      <c r="I164" s="6">
        <v>8000.0</v>
      </c>
    </row>
    <row r="165" ht="22.5" customHeight="1">
      <c r="A165" s="3"/>
      <c r="B165" s="3" t="s">
        <v>103</v>
      </c>
      <c r="C165" s="3" t="s">
        <v>104</v>
      </c>
      <c r="D165" s="3"/>
      <c r="E165" s="4" t="s">
        <v>37</v>
      </c>
      <c r="F165" s="4" t="str">
        <f t="shared" si="4"/>
        <v>College Board SAT English - INR</v>
      </c>
      <c r="G165" s="4" t="s">
        <v>56</v>
      </c>
      <c r="H165" s="3" t="s">
        <v>38</v>
      </c>
      <c r="I165" s="6">
        <v>300.0</v>
      </c>
    </row>
    <row r="166" ht="22.5" customHeight="1">
      <c r="A166" s="3"/>
      <c r="B166" s="3" t="s">
        <v>103</v>
      </c>
      <c r="C166" s="3" t="s">
        <v>104</v>
      </c>
      <c r="D166" s="3"/>
      <c r="E166" s="4" t="s">
        <v>101</v>
      </c>
      <c r="F166" s="4" t="str">
        <f t="shared" si="4"/>
        <v>College Board SAT Math - INR</v>
      </c>
      <c r="G166" s="4" t="s">
        <v>56</v>
      </c>
      <c r="H166" s="3" t="s">
        <v>38</v>
      </c>
      <c r="I166" s="6">
        <v>6000.0</v>
      </c>
    </row>
    <row r="167" ht="22.5" customHeight="1">
      <c r="A167" s="3"/>
      <c r="B167" s="3" t="s">
        <v>10</v>
      </c>
      <c r="C167" s="3" t="s">
        <v>46</v>
      </c>
      <c r="D167" s="3"/>
      <c r="F167" s="4" t="str">
        <f t="shared" si="4"/>
        <v>Cambridge A-Level - GBP</v>
      </c>
      <c r="G167" s="4" t="s">
        <v>56</v>
      </c>
      <c r="H167" s="3" t="s">
        <v>59</v>
      </c>
      <c r="I167" s="6">
        <v>20.0</v>
      </c>
    </row>
    <row r="168" ht="22.5" customHeight="1">
      <c r="A168" s="3"/>
      <c r="B168" s="3" t="s">
        <v>10</v>
      </c>
      <c r="C168" s="3" t="s">
        <v>41</v>
      </c>
      <c r="D168" s="3"/>
      <c r="F168" s="4" t="str">
        <f t="shared" si="4"/>
        <v>Cambridge AS-Level - GBP</v>
      </c>
      <c r="G168" s="4" t="s">
        <v>56</v>
      </c>
      <c r="H168" s="3" t="s">
        <v>59</v>
      </c>
      <c r="I168" s="6">
        <v>15.0</v>
      </c>
    </row>
    <row r="169" ht="22.5" customHeight="1">
      <c r="A169" s="3"/>
      <c r="B169" s="3" t="s">
        <v>10</v>
      </c>
      <c r="C169" s="3" t="s">
        <v>11</v>
      </c>
      <c r="D169" s="3"/>
      <c r="F169" s="4" t="str">
        <f t="shared" si="4"/>
        <v>Cambridge IGCSE - GBP</v>
      </c>
      <c r="G169" s="4" t="s">
        <v>56</v>
      </c>
      <c r="H169" s="3" t="s">
        <v>59</v>
      </c>
      <c r="I169" s="6">
        <v>10.0</v>
      </c>
    </row>
    <row r="170" ht="22.5" customHeight="1">
      <c r="A170" s="3"/>
      <c r="B170" s="3" t="s">
        <v>10</v>
      </c>
      <c r="C170" s="3" t="s">
        <v>46</v>
      </c>
      <c r="D170" s="3"/>
      <c r="E170" s="4" t="s">
        <v>128</v>
      </c>
      <c r="F170" s="4" t="str">
        <f t="shared" si="4"/>
        <v>Cambridge A-Level Counseling Session - GBP</v>
      </c>
      <c r="G170" s="5" t="s">
        <v>129</v>
      </c>
      <c r="H170" s="3" t="s">
        <v>59</v>
      </c>
      <c r="I170" s="6">
        <v>15.0</v>
      </c>
    </row>
    <row r="171" ht="22.5" customHeight="1">
      <c r="A171" s="3" t="s">
        <v>28</v>
      </c>
      <c r="B171" s="3" t="s">
        <v>10</v>
      </c>
      <c r="C171" s="3" t="s">
        <v>11</v>
      </c>
      <c r="D171" s="3" t="s">
        <v>24</v>
      </c>
      <c r="E171" s="4" t="s">
        <v>25</v>
      </c>
      <c r="F171" s="4" t="str">
        <f t="shared" si="4"/>
        <v>T3 Cambridge IGCSE 0510 English as a Second Language - SAR</v>
      </c>
      <c r="G171" s="5" t="s">
        <v>130</v>
      </c>
      <c r="H171" s="3" t="s">
        <v>29</v>
      </c>
      <c r="I171" s="6">
        <v>150.0</v>
      </c>
    </row>
    <row r="172" ht="22.5" customHeight="1">
      <c r="F172" s="8" t="str">
        <f t="shared" si="4"/>
        <v/>
      </c>
    </row>
    <row r="173" ht="22.5" customHeight="1">
      <c r="F173" s="8" t="str">
        <f t="shared" si="4"/>
        <v/>
      </c>
    </row>
    <row r="174" ht="22.5" customHeight="1">
      <c r="F174" s="8" t="str">
        <f t="shared" si="4"/>
        <v/>
      </c>
    </row>
    <row r="175" ht="22.5" customHeight="1">
      <c r="F175" s="8" t="str">
        <f t="shared" si="4"/>
        <v/>
      </c>
    </row>
    <row r="176" ht="22.5" customHeight="1">
      <c r="F176" s="8" t="str">
        <f t="shared" si="4"/>
        <v/>
      </c>
    </row>
    <row r="177" ht="22.5" customHeight="1">
      <c r="F177" s="8" t="str">
        <f t="shared" si="4"/>
        <v/>
      </c>
    </row>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DropDown="1" showErrorMessage="1" sqref="D2:D171">
      <formula1>"0417,0450,0452,0455,0478,0500,0510,0580,0610,0620,0625,8021,9093,9239,9609,9618,9626,9695,9700,9701,9702,9708,9709,J277"</formula1>
    </dataValidation>
    <dataValidation type="list" allowBlank="1" showDropDown="1" showErrorMessage="1" sqref="B2:B171">
      <formula1>"Cambridge,Edexcel,OCR,KSA,IB,College Board,DC,Singapore,IDP,DTU,IMAT,AQA,AP"</formula1>
    </dataValidation>
    <dataValidation type="list" allowBlank="1" showDropDown="1" showErrorMessage="1" sqref="A2:A171">
      <formula1>"B14,C13,T2,C16,T5,T3,B18,B8,C15,C17,C18,C19,C14,C3,B13,C11,C12,C4,C6,T4,C20,C21,C22,C23,C24"</formula1>
    </dataValidation>
    <dataValidation type="custom" allowBlank="1" showDropDown="1" sqref="I2:I171">
      <formula1>AND(ISNUMBER(I2),(NOT(OR(NOT(ISERROR(DATEVALUE(I2))), AND(ISNUMBER(I2), LEFT(CELL("format", I2))="D")))))</formula1>
    </dataValidation>
    <dataValidation type="list" allowBlank="1" showDropDown="1" showErrorMessage="1" sqref="H2:H171">
      <formula1>"SAR,AED,INR,GBP,PKR,MYR,USD,SGD"</formula1>
    </dataValidation>
    <dataValidation type="list" allowBlank="1" showDropDown="1" showErrorMessage="1" sqref="C2:C171">
      <formula1>"IGCSE,AS-Level,A-Level,GCSE,Qudrat GAT,DP,SAT,IELTS,ACT,BTech"</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sheetData>
    <row r="1" ht="22.5" customHeight="1">
      <c r="A1" s="8" t="s">
        <v>131</v>
      </c>
      <c r="B1" s="8" t="s">
        <v>2</v>
      </c>
      <c r="C1" s="8" t="s">
        <v>0</v>
      </c>
      <c r="D1" s="8" t="s">
        <v>132</v>
      </c>
    </row>
    <row r="2" ht="22.5" customHeight="1">
      <c r="C2" s="9" t="s">
        <v>133</v>
      </c>
    </row>
    <row r="3" ht="22.5" customHeight="1">
      <c r="C3" s="9" t="s">
        <v>134</v>
      </c>
    </row>
    <row r="4" ht="22.5" customHeight="1">
      <c r="C4" s="9" t="s">
        <v>135</v>
      </c>
    </row>
    <row r="5" ht="22.5" customHeight="1">
      <c r="C5" s="9" t="s">
        <v>98</v>
      </c>
    </row>
    <row r="6" ht="22.5" customHeight="1">
      <c r="A6" s="8" t="s">
        <v>136</v>
      </c>
      <c r="B6" s="8" t="s">
        <v>11</v>
      </c>
      <c r="C6" s="9" t="s">
        <v>51</v>
      </c>
      <c r="D6" s="8" t="s">
        <v>137</v>
      </c>
    </row>
    <row r="7" ht="22.5" customHeight="1">
      <c r="C7" s="9" t="s">
        <v>138</v>
      </c>
    </row>
    <row r="8" ht="22.5" customHeight="1">
      <c r="C8" s="9" t="s">
        <v>139</v>
      </c>
    </row>
    <row r="9" ht="22.5" customHeight="1">
      <c r="A9" s="8" t="s">
        <v>136</v>
      </c>
      <c r="B9" s="8" t="s">
        <v>46</v>
      </c>
      <c r="C9" s="9" t="s">
        <v>40</v>
      </c>
    </row>
    <row r="10" ht="22.5" customHeight="1">
      <c r="A10" s="8" t="s">
        <v>140</v>
      </c>
      <c r="B10" s="8" t="s">
        <v>11</v>
      </c>
      <c r="C10" s="9" t="s">
        <v>141</v>
      </c>
      <c r="D10" s="8" t="s">
        <v>142</v>
      </c>
    </row>
    <row r="11" ht="22.5" customHeight="1">
      <c r="A11" s="8" t="s">
        <v>136</v>
      </c>
      <c r="B11" s="8" t="s">
        <v>46</v>
      </c>
      <c r="C11" s="9" t="s">
        <v>45</v>
      </c>
      <c r="D11" s="8" t="s">
        <v>143</v>
      </c>
    </row>
    <row r="12" ht="22.5" customHeight="1">
      <c r="C12" s="9" t="s">
        <v>144</v>
      </c>
    </row>
    <row r="13" ht="22.5" customHeight="1">
      <c r="C13" s="9" t="s">
        <v>145</v>
      </c>
    </row>
    <row r="14" ht="22.5" customHeight="1">
      <c r="C14" s="9" t="s">
        <v>146</v>
      </c>
    </row>
    <row r="15" ht="22.5" customHeight="1">
      <c r="C15" s="9" t="s">
        <v>102</v>
      </c>
    </row>
    <row r="16" ht="22.5" customHeight="1">
      <c r="C16" s="9" t="s">
        <v>105</v>
      </c>
    </row>
    <row r="17" ht="22.5" customHeight="1">
      <c r="C17" s="9" t="s">
        <v>58</v>
      </c>
    </row>
    <row r="18" ht="22.5" customHeight="1">
      <c r="C18" s="9" t="s">
        <v>86</v>
      </c>
    </row>
    <row r="19" ht="22.5" customHeight="1">
      <c r="C19" s="9" t="s">
        <v>79</v>
      </c>
      <c r="D19" s="8" t="s">
        <v>147</v>
      </c>
    </row>
    <row r="20" ht="22.5" customHeight="1">
      <c r="C20" s="9" t="s">
        <v>60</v>
      </c>
    </row>
    <row r="21" ht="22.5" customHeight="1">
      <c r="C21" s="9" t="s">
        <v>80</v>
      </c>
      <c r="D21" s="8" t="s">
        <v>148</v>
      </c>
    </row>
    <row r="22" ht="22.5" customHeight="1">
      <c r="C22" s="9" t="s">
        <v>82</v>
      </c>
      <c r="D22" s="8" t="s">
        <v>149</v>
      </c>
    </row>
    <row r="23" ht="22.5" customHeight="1">
      <c r="C23" s="9" t="s">
        <v>84</v>
      </c>
    </row>
    <row r="24" ht="22.5" customHeight="1">
      <c r="C24" s="9" t="s">
        <v>150</v>
      </c>
    </row>
    <row r="25" ht="22.5" customHeight="1">
      <c r="C25" s="9" t="s">
        <v>113</v>
      </c>
      <c r="D25" s="8" t="s">
        <v>151</v>
      </c>
    </row>
    <row r="26" ht="22.5" customHeight="1">
      <c r="C26" s="9" t="s">
        <v>114</v>
      </c>
      <c r="D26" s="8" t="s">
        <v>152</v>
      </c>
    </row>
    <row r="27" ht="22.5" customHeight="1">
      <c r="C27" s="9" t="s">
        <v>117</v>
      </c>
      <c r="D27" s="8" t="s">
        <v>153</v>
      </c>
    </row>
    <row r="28" ht="22.5" customHeight="1">
      <c r="C28" s="9" t="s">
        <v>120</v>
      </c>
      <c r="D28" s="8" t="s">
        <v>154</v>
      </c>
    </row>
    <row r="29" ht="22.5" customHeight="1">
      <c r="C29" s="9" t="s">
        <v>122</v>
      </c>
    </row>
    <row r="30" ht="22.5" customHeight="1">
      <c r="C30" s="9" t="s">
        <v>94</v>
      </c>
    </row>
    <row r="31" ht="22.5" customHeight="1">
      <c r="C31" s="9" t="s">
        <v>106</v>
      </c>
    </row>
    <row r="32" ht="22.5" customHeight="1">
      <c r="C32" s="9" t="s">
        <v>155</v>
      </c>
    </row>
    <row r="33" ht="22.5" customHeight="1">
      <c r="C33" s="9" t="s">
        <v>110</v>
      </c>
    </row>
    <row r="34" ht="22.5" customHeight="1">
      <c r="C34" s="9" t="s">
        <v>156</v>
      </c>
    </row>
    <row r="35" ht="22.5" customHeight="1">
      <c r="C35" s="9" t="s">
        <v>157</v>
      </c>
    </row>
    <row r="36" ht="22.5" customHeight="1">
      <c r="C36" s="9" t="s">
        <v>158</v>
      </c>
    </row>
    <row r="37" ht="22.5" customHeight="1">
      <c r="C37" s="9" t="s">
        <v>9</v>
      </c>
    </row>
    <row r="38" ht="22.5" customHeight="1">
      <c r="C38" s="9" t="s">
        <v>28</v>
      </c>
    </row>
    <row r="39" ht="22.5" customHeight="1">
      <c r="C39" s="9" t="s">
        <v>36</v>
      </c>
      <c r="D39" s="8" t="s">
        <v>159</v>
      </c>
    </row>
    <row r="40" ht="22.5" customHeight="1">
      <c r="C40" s="9" t="s">
        <v>61</v>
      </c>
      <c r="D40" s="8" t="s">
        <v>160</v>
      </c>
    </row>
    <row r="41" ht="22.5" customHeight="1">
      <c r="C41" s="9" t="s">
        <v>161</v>
      </c>
    </row>
    <row r="42" ht="22.5" customHeight="1">
      <c r="C42" s="9" t="s">
        <v>162</v>
      </c>
    </row>
    <row r="43" ht="22.5" customHeight="1">
      <c r="C43" s="9" t="s">
        <v>163</v>
      </c>
    </row>
    <row r="44" ht="22.5" customHeight="1">
      <c r="C44" s="9" t="s">
        <v>164</v>
      </c>
    </row>
    <row r="45" ht="22.5" customHeight="1">
      <c r="C45" s="9" t="s">
        <v>165</v>
      </c>
    </row>
    <row r="46" ht="22.5" customHeight="1">
      <c r="C46" s="9" t="s">
        <v>166</v>
      </c>
    </row>
    <row r="47" ht="22.5" customHeight="1">
      <c r="C47" s="9" t="s">
        <v>167</v>
      </c>
    </row>
    <row r="48" ht="22.5" customHeight="1">
      <c r="C48" s="9" t="s">
        <v>168</v>
      </c>
    </row>
    <row r="49" ht="22.5" customHeight="1">
      <c r="C49" s="9" t="s">
        <v>169</v>
      </c>
    </row>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sheetData>
    <row r="1" ht="22.5" customHeight="1">
      <c r="A1" s="8" t="s">
        <v>170</v>
      </c>
      <c r="B1" s="8" t="s">
        <v>171</v>
      </c>
      <c r="C1" s="8" t="s">
        <v>0</v>
      </c>
      <c r="D1" s="8" t="s">
        <v>7</v>
      </c>
      <c r="E1" s="8" t="s">
        <v>172</v>
      </c>
      <c r="F1" s="8" t="s">
        <v>173</v>
      </c>
      <c r="G1" s="8" t="s">
        <v>174</v>
      </c>
      <c r="H1" s="8" t="s">
        <v>175</v>
      </c>
      <c r="I1" s="8" t="s">
        <v>176</v>
      </c>
      <c r="J1" s="8" t="s">
        <v>177</v>
      </c>
      <c r="K1" s="8" t="s">
        <v>178</v>
      </c>
      <c r="L1" s="8" t="s">
        <v>179</v>
      </c>
      <c r="M1" s="8" t="s">
        <v>180</v>
      </c>
      <c r="N1" s="8" t="s">
        <v>181</v>
      </c>
      <c r="O1" s="8" t="s">
        <v>182</v>
      </c>
      <c r="P1" s="8" t="s">
        <v>183</v>
      </c>
    </row>
    <row r="2" ht="22.5" customHeight="1">
      <c r="A2" s="8">
        <v>1.0</v>
      </c>
      <c r="B2" s="9" t="s">
        <v>184</v>
      </c>
      <c r="C2" s="9" t="s">
        <v>141</v>
      </c>
      <c r="D2" s="9" t="s">
        <v>29</v>
      </c>
      <c r="E2" s="10" t="s">
        <v>185</v>
      </c>
      <c r="I2" s="8" t="s">
        <v>186</v>
      </c>
      <c r="K2" s="8" t="b">
        <v>0</v>
      </c>
      <c r="L2" s="8" t="b">
        <v>0</v>
      </c>
      <c r="M2" s="8" t="b">
        <v>0</v>
      </c>
    </row>
    <row r="3" ht="22.5" customHeight="1">
      <c r="A3" s="8">
        <v>2.0</v>
      </c>
      <c r="B3" s="9" t="s">
        <v>187</v>
      </c>
      <c r="D3" s="9" t="s">
        <v>188</v>
      </c>
      <c r="E3" s="10" t="s">
        <v>189</v>
      </c>
      <c r="I3" s="8" t="s">
        <v>190</v>
      </c>
      <c r="K3" s="8" t="b">
        <v>0</v>
      </c>
      <c r="L3" s="8" t="b">
        <v>0</v>
      </c>
      <c r="M3" s="8" t="b">
        <v>0</v>
      </c>
    </row>
    <row r="4" ht="22.5" customHeight="1">
      <c r="A4" s="8">
        <v>3.0</v>
      </c>
      <c r="B4" s="9" t="s">
        <v>191</v>
      </c>
      <c r="C4" s="9" t="s">
        <v>192</v>
      </c>
      <c r="D4" s="9" t="s">
        <v>29</v>
      </c>
      <c r="E4" s="10" t="s">
        <v>193</v>
      </c>
      <c r="I4" s="8" t="s">
        <v>194</v>
      </c>
      <c r="K4" s="8" t="b">
        <v>0</v>
      </c>
      <c r="L4" s="8" t="b">
        <v>0</v>
      </c>
      <c r="M4" s="8" t="b">
        <v>0</v>
      </c>
    </row>
    <row r="5" ht="22.5" customHeight="1">
      <c r="A5" s="8">
        <v>4.0</v>
      </c>
      <c r="B5" s="9" t="s">
        <v>195</v>
      </c>
      <c r="C5" s="9" t="s">
        <v>192</v>
      </c>
      <c r="D5" s="9" t="s">
        <v>38</v>
      </c>
      <c r="E5" s="10" t="s">
        <v>196</v>
      </c>
      <c r="I5" s="8" t="s">
        <v>197</v>
      </c>
      <c r="K5" s="8" t="b">
        <v>0</v>
      </c>
      <c r="L5" s="8" t="b">
        <v>0</v>
      </c>
      <c r="M5" s="8" t="b">
        <v>0</v>
      </c>
    </row>
    <row r="6" ht="22.5" customHeight="1">
      <c r="A6" s="8">
        <v>5.0</v>
      </c>
      <c r="B6" s="9" t="s">
        <v>198</v>
      </c>
      <c r="D6" s="9" t="s">
        <v>29</v>
      </c>
      <c r="E6" s="10" t="s">
        <v>199</v>
      </c>
      <c r="I6" s="8" t="s">
        <v>200</v>
      </c>
      <c r="K6" s="8" t="b">
        <v>0</v>
      </c>
      <c r="L6" s="8" t="b">
        <v>0</v>
      </c>
      <c r="M6" s="8" t="b">
        <v>0</v>
      </c>
    </row>
    <row r="7" ht="22.5" customHeight="1">
      <c r="A7" s="8">
        <v>6.0</v>
      </c>
      <c r="B7" s="9" t="s">
        <v>201</v>
      </c>
      <c r="D7" s="9" t="s">
        <v>38</v>
      </c>
      <c r="E7" s="10" t="s">
        <v>202</v>
      </c>
      <c r="I7" s="8" t="s">
        <v>203</v>
      </c>
      <c r="K7" s="8" t="b">
        <v>0</v>
      </c>
      <c r="L7" s="8" t="b">
        <v>0</v>
      </c>
      <c r="M7" s="8" t="b">
        <v>0</v>
      </c>
    </row>
    <row r="8" ht="22.5" customHeight="1">
      <c r="A8" s="8">
        <v>7.0</v>
      </c>
      <c r="B8" s="9" t="s">
        <v>204</v>
      </c>
      <c r="D8" s="9" t="s">
        <v>38</v>
      </c>
      <c r="E8" s="10" t="s">
        <v>205</v>
      </c>
      <c r="I8" s="8" t="s">
        <v>206</v>
      </c>
      <c r="K8" s="8" t="b">
        <v>0</v>
      </c>
      <c r="L8" s="8" t="b">
        <v>0</v>
      </c>
      <c r="M8" s="8" t="b">
        <v>0</v>
      </c>
    </row>
    <row r="9" ht="22.5" customHeight="1">
      <c r="A9" s="8">
        <v>8.0</v>
      </c>
      <c r="B9" s="9" t="s">
        <v>142</v>
      </c>
      <c r="D9" s="9" t="s">
        <v>29</v>
      </c>
      <c r="E9" s="10" t="s">
        <v>207</v>
      </c>
      <c r="I9" s="8" t="s">
        <v>208</v>
      </c>
      <c r="K9" s="8" t="b">
        <v>0</v>
      </c>
      <c r="L9" s="8" t="b">
        <v>0</v>
      </c>
      <c r="M9" s="8" t="b">
        <v>0</v>
      </c>
    </row>
    <row r="10" ht="22.5" customHeight="1">
      <c r="A10" s="8">
        <v>9.0</v>
      </c>
      <c r="B10" s="9" t="s">
        <v>209</v>
      </c>
      <c r="D10" s="9" t="s">
        <v>38</v>
      </c>
      <c r="E10" s="10" t="s">
        <v>210</v>
      </c>
      <c r="I10" s="8" t="s">
        <v>211</v>
      </c>
      <c r="K10" s="8" t="b">
        <v>0</v>
      </c>
      <c r="L10" s="8" t="b">
        <v>0</v>
      </c>
      <c r="M10" s="8" t="b">
        <v>0</v>
      </c>
    </row>
    <row r="11" ht="22.5" customHeight="1">
      <c r="A11" s="8">
        <v>10.0</v>
      </c>
      <c r="B11" s="9" t="s">
        <v>212</v>
      </c>
      <c r="D11" s="9" t="s">
        <v>38</v>
      </c>
      <c r="E11" s="10" t="s">
        <v>213</v>
      </c>
      <c r="I11" s="8" t="s">
        <v>214</v>
      </c>
      <c r="K11" s="8" t="b">
        <v>0</v>
      </c>
      <c r="L11" s="8" t="b">
        <v>0</v>
      </c>
      <c r="M11" s="8" t="b">
        <v>0</v>
      </c>
    </row>
    <row r="12" ht="22.5" customHeight="1">
      <c r="A12" s="8">
        <v>11.0</v>
      </c>
      <c r="B12" s="9" t="s">
        <v>215</v>
      </c>
      <c r="D12" s="9" t="s">
        <v>38</v>
      </c>
      <c r="E12" s="10" t="s">
        <v>216</v>
      </c>
      <c r="I12" s="8" t="s">
        <v>217</v>
      </c>
      <c r="K12" s="8" t="b">
        <v>0</v>
      </c>
      <c r="L12" s="8" t="b">
        <v>0</v>
      </c>
      <c r="M12" s="8" t="b">
        <v>0</v>
      </c>
    </row>
    <row r="13" ht="22.5" customHeight="1">
      <c r="A13" s="8">
        <v>12.0</v>
      </c>
      <c r="B13" s="9" t="s">
        <v>218</v>
      </c>
      <c r="D13" s="9" t="s">
        <v>38</v>
      </c>
      <c r="E13" s="10" t="s">
        <v>219</v>
      </c>
      <c r="I13" s="8" t="s">
        <v>220</v>
      </c>
      <c r="K13" s="8" t="b">
        <v>0</v>
      </c>
      <c r="L13" s="8" t="b">
        <v>0</v>
      </c>
      <c r="M13" s="8" t="b">
        <v>0</v>
      </c>
    </row>
    <row r="14" ht="22.5" customHeight="1">
      <c r="A14" s="8">
        <v>13.0</v>
      </c>
      <c r="B14" s="9" t="s">
        <v>221</v>
      </c>
      <c r="D14" s="9" t="s">
        <v>38</v>
      </c>
      <c r="E14" s="10" t="s">
        <v>222</v>
      </c>
      <c r="I14" s="8" t="s">
        <v>223</v>
      </c>
      <c r="K14" s="8" t="b">
        <v>0</v>
      </c>
      <c r="L14" s="8" t="b">
        <v>0</v>
      </c>
      <c r="M14" s="8" t="b">
        <v>0</v>
      </c>
    </row>
    <row r="15" ht="22.5" customHeight="1">
      <c r="A15" s="8">
        <v>14.0</v>
      </c>
      <c r="B15" s="9" t="s">
        <v>224</v>
      </c>
      <c r="D15" s="9" t="s">
        <v>29</v>
      </c>
      <c r="E15" s="10" t="s">
        <v>225</v>
      </c>
      <c r="I15" s="8" t="s">
        <v>226</v>
      </c>
      <c r="K15" s="8" t="b">
        <v>0</v>
      </c>
      <c r="L15" s="8" t="b">
        <v>0</v>
      </c>
      <c r="M15" s="8" t="b">
        <v>0</v>
      </c>
    </row>
    <row r="16" ht="22.5" customHeight="1">
      <c r="A16" s="8">
        <v>15.0</v>
      </c>
      <c r="B16" s="9" t="s">
        <v>227</v>
      </c>
      <c r="D16" s="9" t="s">
        <v>38</v>
      </c>
      <c r="E16" s="10" t="s">
        <v>228</v>
      </c>
      <c r="I16" s="8" t="s">
        <v>229</v>
      </c>
      <c r="K16" s="8" t="b">
        <v>0</v>
      </c>
      <c r="L16" s="8" t="b">
        <v>0</v>
      </c>
      <c r="M16" s="8" t="b">
        <v>0</v>
      </c>
    </row>
    <row r="17" ht="22.5" customHeight="1">
      <c r="A17" s="8">
        <v>16.0</v>
      </c>
      <c r="B17" s="9" t="s">
        <v>230</v>
      </c>
      <c r="D17" s="9" t="s">
        <v>29</v>
      </c>
      <c r="E17" s="10" t="s">
        <v>231</v>
      </c>
      <c r="I17" s="8" t="s">
        <v>232</v>
      </c>
      <c r="K17" s="8" t="b">
        <v>0</v>
      </c>
      <c r="L17" s="8" t="b">
        <v>0</v>
      </c>
      <c r="M17" s="8" t="b">
        <v>0</v>
      </c>
    </row>
    <row r="18" ht="22.5" customHeight="1">
      <c r="A18" s="8">
        <v>17.0</v>
      </c>
      <c r="B18" s="9" t="s">
        <v>233</v>
      </c>
      <c r="D18" s="9" t="s">
        <v>29</v>
      </c>
      <c r="E18" s="10" t="s">
        <v>234</v>
      </c>
      <c r="I18" s="8" t="s">
        <v>235</v>
      </c>
      <c r="K18" s="8" t="b">
        <v>0</v>
      </c>
      <c r="L18" s="8" t="b">
        <v>0</v>
      </c>
      <c r="M18" s="8" t="b">
        <v>0</v>
      </c>
    </row>
    <row r="19" ht="22.5" customHeight="1">
      <c r="A19" s="8">
        <v>18.0</v>
      </c>
      <c r="B19" s="9" t="s">
        <v>236</v>
      </c>
      <c r="D19" s="9" t="s">
        <v>29</v>
      </c>
      <c r="E19" s="10" t="s">
        <v>237</v>
      </c>
      <c r="I19" s="8" t="s">
        <v>238</v>
      </c>
      <c r="K19" s="8" t="b">
        <v>0</v>
      </c>
      <c r="L19" s="8" t="b">
        <v>0</v>
      </c>
      <c r="M19" s="8" t="b">
        <v>0</v>
      </c>
    </row>
    <row r="20" ht="22.5" customHeight="1">
      <c r="A20" s="8">
        <v>19.0</v>
      </c>
      <c r="B20" s="9" t="s">
        <v>239</v>
      </c>
      <c r="D20" s="9" t="s">
        <v>29</v>
      </c>
      <c r="E20" s="10" t="s">
        <v>240</v>
      </c>
      <c r="I20" s="8" t="s">
        <v>241</v>
      </c>
      <c r="K20" s="8" t="b">
        <v>0</v>
      </c>
      <c r="L20" s="8" t="b">
        <v>0</v>
      </c>
      <c r="M20" s="8" t="b">
        <v>0</v>
      </c>
    </row>
    <row r="21" ht="22.5" customHeight="1">
      <c r="A21" s="8">
        <v>20.0</v>
      </c>
      <c r="B21" s="9" t="s">
        <v>242</v>
      </c>
      <c r="D21" s="9" t="s">
        <v>29</v>
      </c>
      <c r="E21" s="10" t="s">
        <v>243</v>
      </c>
      <c r="I21" s="8" t="s">
        <v>244</v>
      </c>
      <c r="K21" s="8" t="b">
        <v>0</v>
      </c>
      <c r="L21" s="8" t="b">
        <v>0</v>
      </c>
      <c r="M21" s="8" t="b">
        <v>0</v>
      </c>
    </row>
    <row r="22" ht="22.5" customHeight="1">
      <c r="A22" s="8">
        <v>21.0</v>
      </c>
      <c r="B22" s="9" t="s">
        <v>245</v>
      </c>
      <c r="D22" s="9" t="s">
        <v>38</v>
      </c>
      <c r="E22" s="10" t="s">
        <v>246</v>
      </c>
      <c r="I22" s="8" t="s">
        <v>247</v>
      </c>
      <c r="K22" s="8" t="b">
        <v>0</v>
      </c>
      <c r="L22" s="8" t="b">
        <v>0</v>
      </c>
      <c r="M22" s="8" t="b">
        <v>0</v>
      </c>
    </row>
    <row r="23" ht="22.5" customHeight="1">
      <c r="A23" s="8">
        <v>22.0</v>
      </c>
      <c r="B23" s="9" t="s">
        <v>248</v>
      </c>
      <c r="D23" s="9" t="s">
        <v>29</v>
      </c>
      <c r="E23" s="10" t="s">
        <v>249</v>
      </c>
      <c r="I23" s="8" t="s">
        <v>250</v>
      </c>
      <c r="K23" s="8" t="b">
        <v>0</v>
      </c>
      <c r="L23" s="8" t="b">
        <v>0</v>
      </c>
      <c r="M23" s="8" t="b">
        <v>0</v>
      </c>
    </row>
    <row r="24" ht="22.5" customHeight="1">
      <c r="A24" s="8">
        <v>23.0</v>
      </c>
      <c r="B24" s="9" t="s">
        <v>251</v>
      </c>
      <c r="D24" s="9" t="s">
        <v>29</v>
      </c>
      <c r="E24" s="10" t="s">
        <v>252</v>
      </c>
      <c r="I24" s="8" t="s">
        <v>253</v>
      </c>
      <c r="K24" s="8" t="b">
        <v>0</v>
      </c>
      <c r="L24" s="8" t="b">
        <v>0</v>
      </c>
      <c r="M24" s="8" t="b">
        <v>0</v>
      </c>
    </row>
    <row r="25" ht="22.5" customHeight="1">
      <c r="A25" s="8">
        <v>24.0</v>
      </c>
      <c r="B25" s="9" t="s">
        <v>254</v>
      </c>
      <c r="D25" s="9" t="s">
        <v>29</v>
      </c>
      <c r="E25" s="10" t="s">
        <v>255</v>
      </c>
      <c r="I25" s="8" t="s">
        <v>256</v>
      </c>
      <c r="K25" s="8" t="b">
        <v>0</v>
      </c>
      <c r="L25" s="8" t="b">
        <v>0</v>
      </c>
      <c r="M25" s="8" t="b">
        <v>0</v>
      </c>
    </row>
    <row r="26" ht="22.5" customHeight="1">
      <c r="A26" s="8">
        <v>25.0</v>
      </c>
      <c r="B26" s="9" t="s">
        <v>257</v>
      </c>
      <c r="D26" s="9" t="s">
        <v>29</v>
      </c>
      <c r="E26" s="10" t="s">
        <v>258</v>
      </c>
      <c r="I26" s="8" t="s">
        <v>259</v>
      </c>
      <c r="K26" s="8" t="b">
        <v>0</v>
      </c>
      <c r="L26" s="8" t="b">
        <v>0</v>
      </c>
      <c r="M26" s="8" t="b">
        <v>0</v>
      </c>
    </row>
    <row r="27" ht="22.5" customHeight="1">
      <c r="A27" s="8">
        <v>26.0</v>
      </c>
      <c r="B27" s="9" t="s">
        <v>260</v>
      </c>
      <c r="D27" s="9" t="s">
        <v>38</v>
      </c>
      <c r="E27" s="10" t="s">
        <v>261</v>
      </c>
      <c r="I27" s="8" t="s">
        <v>262</v>
      </c>
      <c r="K27" s="8" t="b">
        <v>0</v>
      </c>
      <c r="L27" s="8" t="b">
        <v>0</v>
      </c>
      <c r="M27" s="8" t="b">
        <v>0</v>
      </c>
    </row>
    <row r="28" ht="22.5" customHeight="1">
      <c r="A28" s="8">
        <v>27.0</v>
      </c>
      <c r="B28" s="9" t="s">
        <v>263</v>
      </c>
      <c r="D28" s="9" t="s">
        <v>29</v>
      </c>
      <c r="E28" s="10" t="s">
        <v>264</v>
      </c>
      <c r="I28" s="8" t="s">
        <v>265</v>
      </c>
      <c r="K28" s="8" t="b">
        <v>0</v>
      </c>
      <c r="L28" s="8" t="b">
        <v>0</v>
      </c>
      <c r="M28" s="8" t="b">
        <v>0</v>
      </c>
    </row>
    <row r="29" ht="22.5" customHeight="1">
      <c r="A29" s="8">
        <v>28.0</v>
      </c>
      <c r="B29" s="9" t="s">
        <v>266</v>
      </c>
      <c r="D29" s="9" t="s">
        <v>29</v>
      </c>
      <c r="E29" s="10" t="s">
        <v>267</v>
      </c>
      <c r="I29" s="8" t="s">
        <v>268</v>
      </c>
      <c r="K29" s="8" t="b">
        <v>0</v>
      </c>
      <c r="L29" s="8" t="b">
        <v>0</v>
      </c>
      <c r="M29" s="8" t="b">
        <v>0</v>
      </c>
    </row>
    <row r="30" ht="22.5" customHeight="1">
      <c r="A30" s="8">
        <v>29.0</v>
      </c>
      <c r="B30" s="9" t="s">
        <v>269</v>
      </c>
      <c r="D30" s="9" t="s">
        <v>29</v>
      </c>
      <c r="E30" s="10" t="s">
        <v>270</v>
      </c>
      <c r="I30" s="8" t="s">
        <v>271</v>
      </c>
      <c r="K30" s="8" t="b">
        <v>0</v>
      </c>
      <c r="L30" s="8" t="b">
        <v>0</v>
      </c>
      <c r="M30" s="8" t="b">
        <v>0</v>
      </c>
    </row>
    <row r="31" ht="22.5" customHeight="1">
      <c r="A31" s="8">
        <v>30.0</v>
      </c>
      <c r="B31" s="9" t="s">
        <v>272</v>
      </c>
      <c r="D31" s="9" t="s">
        <v>29</v>
      </c>
      <c r="E31" s="10" t="s">
        <v>273</v>
      </c>
      <c r="I31" s="8" t="s">
        <v>274</v>
      </c>
      <c r="K31" s="8" t="b">
        <v>0</v>
      </c>
      <c r="L31" s="8" t="b">
        <v>0</v>
      </c>
      <c r="M31" s="8" t="b">
        <v>0</v>
      </c>
    </row>
    <row r="32" ht="22.5" customHeight="1">
      <c r="A32" s="8">
        <v>31.0</v>
      </c>
      <c r="B32" s="9" t="s">
        <v>275</v>
      </c>
      <c r="D32" s="9" t="s">
        <v>29</v>
      </c>
      <c r="E32" s="10" t="s">
        <v>276</v>
      </c>
      <c r="I32" s="8" t="s">
        <v>277</v>
      </c>
      <c r="K32" s="8" t="b">
        <v>0</v>
      </c>
      <c r="L32" s="8" t="b">
        <v>0</v>
      </c>
      <c r="M32" s="8" t="b">
        <v>0</v>
      </c>
    </row>
    <row r="33" ht="22.5" customHeight="1">
      <c r="A33" s="8">
        <v>32.0</v>
      </c>
      <c r="B33" s="9" t="s">
        <v>278</v>
      </c>
      <c r="D33" s="9" t="s">
        <v>29</v>
      </c>
      <c r="E33" s="10" t="s">
        <v>279</v>
      </c>
      <c r="I33" s="8" t="s">
        <v>280</v>
      </c>
      <c r="K33" s="8" t="b">
        <v>0</v>
      </c>
      <c r="L33" s="8" t="b">
        <v>0</v>
      </c>
      <c r="M33" s="8" t="b">
        <v>0</v>
      </c>
    </row>
    <row r="34" ht="22.5" customHeight="1">
      <c r="A34" s="8">
        <v>33.0</v>
      </c>
      <c r="B34" s="9" t="s">
        <v>281</v>
      </c>
      <c r="D34" s="9" t="s">
        <v>29</v>
      </c>
      <c r="E34" s="10" t="s">
        <v>282</v>
      </c>
      <c r="I34" s="8" t="s">
        <v>283</v>
      </c>
      <c r="K34" s="8" t="b">
        <v>0</v>
      </c>
      <c r="L34" s="8" t="b">
        <v>0</v>
      </c>
      <c r="M34" s="8" t="b">
        <v>0</v>
      </c>
    </row>
    <row r="35" ht="22.5" customHeight="1">
      <c r="A35" s="8">
        <v>34.0</v>
      </c>
      <c r="B35" s="9" t="s">
        <v>284</v>
      </c>
      <c r="D35" s="9" t="s">
        <v>29</v>
      </c>
      <c r="E35" s="10" t="s">
        <v>285</v>
      </c>
      <c r="I35" s="8" t="s">
        <v>286</v>
      </c>
      <c r="K35" s="8" t="b">
        <v>0</v>
      </c>
      <c r="L35" s="8" t="b">
        <v>0</v>
      </c>
      <c r="M35" s="8" t="b">
        <v>0</v>
      </c>
    </row>
    <row r="36" ht="22.5" customHeight="1">
      <c r="A36" s="8">
        <v>35.0</v>
      </c>
      <c r="B36" s="9" t="s">
        <v>287</v>
      </c>
      <c r="D36" s="9" t="s">
        <v>29</v>
      </c>
      <c r="E36" s="10" t="s">
        <v>288</v>
      </c>
      <c r="I36" s="8" t="s">
        <v>289</v>
      </c>
      <c r="K36" s="8" t="b">
        <v>0</v>
      </c>
      <c r="L36" s="8" t="b">
        <v>0</v>
      </c>
      <c r="M36" s="8" t="b">
        <v>0</v>
      </c>
    </row>
    <row r="37" ht="22.5" customHeight="1">
      <c r="A37" s="8">
        <v>36.0</v>
      </c>
      <c r="B37" s="9" t="s">
        <v>290</v>
      </c>
      <c r="D37" s="9" t="s">
        <v>29</v>
      </c>
      <c r="E37" s="10" t="s">
        <v>291</v>
      </c>
      <c r="I37" s="8" t="s">
        <v>292</v>
      </c>
      <c r="K37" s="8" t="b">
        <v>0</v>
      </c>
      <c r="L37" s="8" t="b">
        <v>0</v>
      </c>
      <c r="M37" s="8" t="b">
        <v>0</v>
      </c>
    </row>
    <row r="38" ht="22.5" customHeight="1">
      <c r="A38" s="8">
        <v>37.0</v>
      </c>
      <c r="B38" s="9" t="s">
        <v>293</v>
      </c>
      <c r="D38" s="9" t="s">
        <v>29</v>
      </c>
      <c r="E38" s="10" t="s">
        <v>294</v>
      </c>
      <c r="I38" s="8" t="s">
        <v>295</v>
      </c>
      <c r="K38" s="8" t="b">
        <v>0</v>
      </c>
      <c r="L38" s="8" t="b">
        <v>0</v>
      </c>
      <c r="M38" s="8" t="b">
        <v>0</v>
      </c>
    </row>
    <row r="39" ht="22.5" customHeight="1">
      <c r="A39" s="8">
        <v>38.0</v>
      </c>
      <c r="B39" s="9" t="s">
        <v>296</v>
      </c>
      <c r="D39" s="9" t="s">
        <v>29</v>
      </c>
      <c r="E39" s="10" t="s">
        <v>297</v>
      </c>
      <c r="I39" s="8" t="s">
        <v>298</v>
      </c>
      <c r="K39" s="8" t="b">
        <v>0</v>
      </c>
      <c r="L39" s="8" t="b">
        <v>0</v>
      </c>
      <c r="M39" s="8" t="b">
        <v>0</v>
      </c>
    </row>
    <row r="40" ht="22.5" customHeight="1">
      <c r="A40" s="8">
        <v>39.0</v>
      </c>
      <c r="B40" s="9" t="s">
        <v>299</v>
      </c>
      <c r="D40" s="9" t="s">
        <v>29</v>
      </c>
      <c r="E40" s="10" t="s">
        <v>300</v>
      </c>
      <c r="I40" s="8" t="s">
        <v>301</v>
      </c>
      <c r="K40" s="8" t="b">
        <v>0</v>
      </c>
      <c r="L40" s="8" t="b">
        <v>0</v>
      </c>
      <c r="M40" s="8" t="b">
        <v>0</v>
      </c>
    </row>
    <row r="41" ht="22.5" customHeight="1">
      <c r="A41" s="8">
        <v>40.0</v>
      </c>
      <c r="B41" s="9" t="s">
        <v>302</v>
      </c>
      <c r="D41" s="9" t="s">
        <v>29</v>
      </c>
      <c r="E41" s="10" t="s">
        <v>303</v>
      </c>
      <c r="I41" s="8" t="s">
        <v>304</v>
      </c>
      <c r="K41" s="8" t="b">
        <v>0</v>
      </c>
      <c r="L41" s="8" t="b">
        <v>0</v>
      </c>
      <c r="M41" s="8" t="b">
        <v>0</v>
      </c>
    </row>
    <row r="42" ht="22.5" customHeight="1">
      <c r="A42" s="8">
        <v>41.0</v>
      </c>
      <c r="B42" s="9" t="s">
        <v>305</v>
      </c>
      <c r="D42" s="9" t="s">
        <v>38</v>
      </c>
      <c r="E42" s="10" t="s">
        <v>306</v>
      </c>
      <c r="I42" s="8" t="s">
        <v>307</v>
      </c>
      <c r="K42" s="8" t="b">
        <v>0</v>
      </c>
      <c r="L42" s="8" t="b">
        <v>0</v>
      </c>
      <c r="M42" s="8" t="b">
        <v>0</v>
      </c>
    </row>
    <row r="43" ht="22.5" customHeight="1">
      <c r="A43" s="8">
        <v>42.0</v>
      </c>
      <c r="B43" s="9" t="s">
        <v>308</v>
      </c>
      <c r="D43" s="9" t="s">
        <v>29</v>
      </c>
      <c r="E43" s="10" t="s">
        <v>309</v>
      </c>
      <c r="I43" s="8" t="s">
        <v>310</v>
      </c>
      <c r="K43" s="8" t="b">
        <v>0</v>
      </c>
      <c r="L43" s="8" t="b">
        <v>0</v>
      </c>
      <c r="M43" s="8" t="b">
        <v>0</v>
      </c>
    </row>
    <row r="44" ht="22.5" customHeight="1">
      <c r="A44" s="8">
        <v>43.0</v>
      </c>
      <c r="B44" s="9" t="s">
        <v>311</v>
      </c>
      <c r="D44" s="9" t="s">
        <v>29</v>
      </c>
      <c r="E44" s="10" t="s">
        <v>312</v>
      </c>
      <c r="I44" s="8" t="s">
        <v>313</v>
      </c>
      <c r="K44" s="8" t="b">
        <v>0</v>
      </c>
      <c r="L44" s="8" t="b">
        <v>0</v>
      </c>
      <c r="M44" s="8" t="b">
        <v>0</v>
      </c>
    </row>
    <row r="45" ht="22.5" customHeight="1">
      <c r="A45" s="8">
        <v>44.0</v>
      </c>
      <c r="B45" s="9" t="s">
        <v>314</v>
      </c>
      <c r="D45" s="9" t="s">
        <v>29</v>
      </c>
      <c r="E45" s="10" t="s">
        <v>315</v>
      </c>
      <c r="I45" s="8" t="s">
        <v>316</v>
      </c>
      <c r="K45" s="8" t="b">
        <v>0</v>
      </c>
      <c r="L45" s="8" t="b">
        <v>0</v>
      </c>
      <c r="M45" s="8" t="b">
        <v>0</v>
      </c>
    </row>
    <row r="46" ht="22.5" customHeight="1">
      <c r="A46" s="8">
        <v>45.0</v>
      </c>
      <c r="B46" s="9" t="s">
        <v>317</v>
      </c>
      <c r="D46" s="9" t="s">
        <v>38</v>
      </c>
      <c r="E46" s="10" t="s">
        <v>318</v>
      </c>
      <c r="I46" s="8" t="s">
        <v>319</v>
      </c>
      <c r="K46" s="8" t="b">
        <v>0</v>
      </c>
      <c r="L46" s="8" t="b">
        <v>0</v>
      </c>
      <c r="M46" s="8" t="b">
        <v>0</v>
      </c>
    </row>
    <row r="47" ht="22.5" customHeight="1">
      <c r="A47" s="8">
        <v>46.0</v>
      </c>
      <c r="B47" s="9" t="s">
        <v>320</v>
      </c>
      <c r="D47" s="9" t="s">
        <v>38</v>
      </c>
      <c r="E47" s="10" t="s">
        <v>321</v>
      </c>
      <c r="I47" s="8" t="s">
        <v>322</v>
      </c>
      <c r="K47" s="8" t="b">
        <v>0</v>
      </c>
      <c r="L47" s="8" t="b">
        <v>0</v>
      </c>
      <c r="M47" s="8" t="b">
        <v>0</v>
      </c>
    </row>
    <row r="48" ht="22.5" customHeight="1">
      <c r="A48" s="8">
        <v>47.0</v>
      </c>
      <c r="B48" s="9" t="s">
        <v>323</v>
      </c>
      <c r="D48" s="9" t="s">
        <v>29</v>
      </c>
      <c r="E48" s="10" t="s">
        <v>324</v>
      </c>
      <c r="I48" s="8" t="s">
        <v>325</v>
      </c>
      <c r="K48" s="8" t="b">
        <v>0</v>
      </c>
      <c r="L48" s="8" t="b">
        <v>0</v>
      </c>
      <c r="M48" s="8" t="b">
        <v>0</v>
      </c>
    </row>
    <row r="49" ht="22.5" customHeight="1">
      <c r="A49" s="8">
        <v>48.0</v>
      </c>
      <c r="B49" s="9" t="s">
        <v>326</v>
      </c>
      <c r="D49" s="9" t="s">
        <v>29</v>
      </c>
      <c r="E49" s="10" t="s">
        <v>327</v>
      </c>
      <c r="I49" s="8" t="s">
        <v>328</v>
      </c>
      <c r="K49" s="8" t="b">
        <v>0</v>
      </c>
      <c r="L49" s="8" t="b">
        <v>0</v>
      </c>
      <c r="M49" s="8" t="b">
        <v>0</v>
      </c>
    </row>
    <row r="50" ht="22.5" customHeight="1">
      <c r="A50" s="8">
        <v>49.0</v>
      </c>
      <c r="B50" s="9" t="s">
        <v>329</v>
      </c>
      <c r="D50" s="9" t="s">
        <v>29</v>
      </c>
      <c r="E50" s="10" t="s">
        <v>330</v>
      </c>
      <c r="I50" s="8" t="s">
        <v>331</v>
      </c>
      <c r="K50" s="8" t="b">
        <v>0</v>
      </c>
      <c r="L50" s="8" t="b">
        <v>0</v>
      </c>
      <c r="M50" s="8" t="b">
        <v>0</v>
      </c>
    </row>
    <row r="51" ht="22.5" customHeight="1">
      <c r="A51" s="8">
        <v>50.0</v>
      </c>
      <c r="B51" s="9" t="s">
        <v>332</v>
      </c>
      <c r="D51" s="9" t="s">
        <v>29</v>
      </c>
      <c r="E51" s="10" t="s">
        <v>333</v>
      </c>
      <c r="I51" s="8" t="s">
        <v>334</v>
      </c>
      <c r="K51" s="8" t="b">
        <v>0</v>
      </c>
      <c r="L51" s="8" t="b">
        <v>0</v>
      </c>
      <c r="M51" s="8" t="b">
        <v>0</v>
      </c>
    </row>
    <row r="52" ht="22.5" customHeight="1">
      <c r="A52" s="8">
        <v>51.0</v>
      </c>
      <c r="B52" s="9" t="s">
        <v>335</v>
      </c>
      <c r="D52" s="9" t="s">
        <v>29</v>
      </c>
      <c r="E52" s="10" t="s">
        <v>336</v>
      </c>
      <c r="I52" s="8" t="s">
        <v>337</v>
      </c>
      <c r="K52" s="8" t="b">
        <v>0</v>
      </c>
      <c r="L52" s="8" t="b">
        <v>0</v>
      </c>
      <c r="M52" s="8" t="b">
        <v>0</v>
      </c>
    </row>
    <row r="53" ht="22.5" customHeight="1">
      <c r="A53" s="8">
        <v>52.0</v>
      </c>
      <c r="B53" s="9" t="s">
        <v>338</v>
      </c>
      <c r="D53" s="9" t="s">
        <v>29</v>
      </c>
      <c r="E53" s="10" t="s">
        <v>339</v>
      </c>
      <c r="I53" s="8" t="s">
        <v>340</v>
      </c>
      <c r="K53" s="8" t="b">
        <v>0</v>
      </c>
      <c r="L53" s="8" t="b">
        <v>0</v>
      </c>
      <c r="M53" s="8" t="b">
        <v>0</v>
      </c>
    </row>
    <row r="54" ht="22.5" customHeight="1">
      <c r="A54" s="8">
        <v>53.0</v>
      </c>
      <c r="B54" s="9" t="s">
        <v>341</v>
      </c>
      <c r="D54" s="9" t="s">
        <v>29</v>
      </c>
      <c r="E54" s="10" t="s">
        <v>342</v>
      </c>
      <c r="I54" s="8" t="s">
        <v>343</v>
      </c>
      <c r="K54" s="8" t="b">
        <v>0</v>
      </c>
      <c r="L54" s="8" t="b">
        <v>0</v>
      </c>
      <c r="M54" s="8" t="b">
        <v>0</v>
      </c>
    </row>
    <row r="55" ht="22.5" customHeight="1">
      <c r="A55" s="8">
        <v>54.0</v>
      </c>
      <c r="B55" s="9" t="s">
        <v>344</v>
      </c>
      <c r="D55" s="9" t="s">
        <v>38</v>
      </c>
      <c r="E55" s="10" t="s">
        <v>345</v>
      </c>
      <c r="I55" s="8" t="s">
        <v>346</v>
      </c>
      <c r="K55" s="8" t="b">
        <v>0</v>
      </c>
      <c r="L55" s="8" t="b">
        <v>0</v>
      </c>
      <c r="M55" s="8" t="b">
        <v>0</v>
      </c>
    </row>
    <row r="56" ht="22.5" customHeight="1">
      <c r="A56" s="8">
        <v>55.0</v>
      </c>
      <c r="B56" s="9" t="s">
        <v>347</v>
      </c>
      <c r="D56" s="9" t="s">
        <v>38</v>
      </c>
      <c r="E56" s="10" t="s">
        <v>348</v>
      </c>
      <c r="I56" s="8" t="s">
        <v>349</v>
      </c>
      <c r="K56" s="8" t="b">
        <v>0</v>
      </c>
      <c r="L56" s="8" t="b">
        <v>0</v>
      </c>
      <c r="M56" s="8" t="b">
        <v>0</v>
      </c>
    </row>
    <row r="57" ht="22.5" customHeight="1">
      <c r="A57" s="8">
        <v>56.0</v>
      </c>
      <c r="B57" s="9" t="s">
        <v>350</v>
      </c>
      <c r="D57" s="9" t="s">
        <v>38</v>
      </c>
      <c r="E57" s="10" t="s">
        <v>351</v>
      </c>
      <c r="I57" s="8" t="s">
        <v>352</v>
      </c>
      <c r="K57" s="8" t="b">
        <v>0</v>
      </c>
      <c r="L57" s="8" t="b">
        <v>0</v>
      </c>
      <c r="M57" s="8" t="b">
        <v>0</v>
      </c>
    </row>
    <row r="58" ht="22.5" customHeight="1">
      <c r="A58" s="8">
        <v>57.0</v>
      </c>
      <c r="B58" s="9" t="s">
        <v>353</v>
      </c>
      <c r="D58" s="9" t="s">
        <v>38</v>
      </c>
      <c r="E58" s="10" t="s">
        <v>354</v>
      </c>
      <c r="I58" s="8" t="s">
        <v>355</v>
      </c>
      <c r="K58" s="8" t="b">
        <v>0</v>
      </c>
      <c r="L58" s="8" t="b">
        <v>0</v>
      </c>
      <c r="M58" s="8" t="b">
        <v>0</v>
      </c>
    </row>
    <row r="59" ht="22.5" customHeight="1">
      <c r="A59" s="8">
        <v>59.0</v>
      </c>
      <c r="B59" s="9" t="s">
        <v>356</v>
      </c>
      <c r="D59" s="9" t="s">
        <v>29</v>
      </c>
      <c r="E59" s="10" t="s">
        <v>357</v>
      </c>
      <c r="I59" s="8" t="s">
        <v>358</v>
      </c>
      <c r="K59" s="8" t="b">
        <v>0</v>
      </c>
      <c r="L59" s="8" t="b">
        <v>0</v>
      </c>
      <c r="M59" s="8" t="b">
        <v>0</v>
      </c>
    </row>
    <row r="60" ht="22.5" customHeight="1">
      <c r="A60" s="8">
        <v>60.0</v>
      </c>
      <c r="B60" s="9" t="s">
        <v>359</v>
      </c>
      <c r="D60" s="9" t="s">
        <v>38</v>
      </c>
      <c r="E60" s="10" t="s">
        <v>360</v>
      </c>
      <c r="I60" s="8" t="s">
        <v>361</v>
      </c>
      <c r="K60" s="8" t="b">
        <v>0</v>
      </c>
      <c r="L60" s="8" t="b">
        <v>0</v>
      </c>
      <c r="M60" s="8" t="b">
        <v>0</v>
      </c>
    </row>
    <row r="61" ht="22.5" customHeight="1">
      <c r="A61" s="8">
        <v>61.0</v>
      </c>
      <c r="B61" s="9" t="s">
        <v>362</v>
      </c>
      <c r="D61" s="9" t="s">
        <v>29</v>
      </c>
      <c r="E61" s="10" t="s">
        <v>363</v>
      </c>
      <c r="I61" s="8" t="s">
        <v>364</v>
      </c>
      <c r="K61" s="8" t="b">
        <v>0</v>
      </c>
      <c r="L61" s="8" t="b">
        <v>0</v>
      </c>
      <c r="M61" s="8" t="b">
        <v>0</v>
      </c>
    </row>
    <row r="62" ht="22.5" customHeight="1">
      <c r="A62" s="8">
        <v>62.0</v>
      </c>
      <c r="B62" s="9" t="s">
        <v>365</v>
      </c>
      <c r="D62" s="9" t="s">
        <v>38</v>
      </c>
      <c r="E62" s="10" t="s">
        <v>366</v>
      </c>
      <c r="I62" s="8" t="s">
        <v>367</v>
      </c>
      <c r="K62" s="8" t="b">
        <v>0</v>
      </c>
      <c r="L62" s="8" t="b">
        <v>0</v>
      </c>
      <c r="M62" s="8" t="b">
        <v>0</v>
      </c>
    </row>
    <row r="63" ht="22.5" customHeight="1">
      <c r="A63" s="8">
        <v>63.0</v>
      </c>
      <c r="B63" s="9" t="s">
        <v>368</v>
      </c>
      <c r="D63" s="9" t="s">
        <v>29</v>
      </c>
      <c r="E63" s="10" t="s">
        <v>369</v>
      </c>
      <c r="I63" s="8" t="s">
        <v>370</v>
      </c>
      <c r="K63" s="8" t="b">
        <v>0</v>
      </c>
      <c r="L63" s="8" t="b">
        <v>0</v>
      </c>
      <c r="M63" s="8" t="b">
        <v>0</v>
      </c>
    </row>
    <row r="64" ht="22.5" customHeight="1">
      <c r="A64" s="8">
        <v>64.0</v>
      </c>
      <c r="B64" s="9" t="s">
        <v>371</v>
      </c>
      <c r="D64" s="9" t="s">
        <v>38</v>
      </c>
      <c r="E64" s="10" t="s">
        <v>372</v>
      </c>
      <c r="G64" s="8">
        <v>9.650675507E9</v>
      </c>
      <c r="I64" s="8" t="s">
        <v>373</v>
      </c>
      <c r="K64" s="8" t="b">
        <v>0</v>
      </c>
      <c r="L64" s="8" t="b">
        <v>0</v>
      </c>
      <c r="M64" s="8" t="b">
        <v>0</v>
      </c>
    </row>
    <row r="65" ht="22.5" customHeight="1">
      <c r="A65" s="8">
        <v>65.0</v>
      </c>
      <c r="B65" s="9" t="s">
        <v>374</v>
      </c>
      <c r="D65" s="9" t="s">
        <v>29</v>
      </c>
      <c r="E65" s="10" t="s">
        <v>375</v>
      </c>
      <c r="I65" s="8" t="s">
        <v>376</v>
      </c>
      <c r="K65" s="8" t="b">
        <v>0</v>
      </c>
      <c r="L65" s="8" t="b">
        <v>0</v>
      </c>
      <c r="M65" s="8" t="b">
        <v>0</v>
      </c>
    </row>
    <row r="66" ht="22.5" customHeight="1">
      <c r="A66" s="8">
        <v>66.0</v>
      </c>
      <c r="B66" s="9" t="s">
        <v>377</v>
      </c>
      <c r="D66" s="9" t="s">
        <v>38</v>
      </c>
      <c r="E66" s="10" t="s">
        <v>378</v>
      </c>
      <c r="I66" s="8" t="s">
        <v>379</v>
      </c>
      <c r="K66" s="8" t="b">
        <v>0</v>
      </c>
      <c r="L66" s="8" t="b">
        <v>0</v>
      </c>
      <c r="M66" s="8" t="b">
        <v>0</v>
      </c>
    </row>
    <row r="67" ht="22.5" customHeight="1">
      <c r="A67" s="8">
        <v>67.0</v>
      </c>
      <c r="B67" s="9" t="s">
        <v>380</v>
      </c>
      <c r="D67" s="9" t="s">
        <v>29</v>
      </c>
      <c r="E67" s="10" t="s">
        <v>381</v>
      </c>
      <c r="I67" s="8" t="s">
        <v>382</v>
      </c>
      <c r="K67" s="8" t="b">
        <v>0</v>
      </c>
      <c r="L67" s="8" t="b">
        <v>0</v>
      </c>
      <c r="M67" s="8" t="b">
        <v>0</v>
      </c>
    </row>
    <row r="68" ht="22.5" customHeight="1">
      <c r="A68" s="8">
        <v>68.0</v>
      </c>
      <c r="B68" s="9" t="s">
        <v>383</v>
      </c>
      <c r="D68" s="9" t="s">
        <v>29</v>
      </c>
      <c r="E68" s="10" t="s">
        <v>384</v>
      </c>
      <c r="I68" s="8" t="s">
        <v>385</v>
      </c>
      <c r="K68" s="8" t="b">
        <v>0</v>
      </c>
      <c r="L68" s="8" t="b">
        <v>0</v>
      </c>
      <c r="M68" s="8" t="b">
        <v>0</v>
      </c>
    </row>
    <row r="69" ht="22.5" customHeight="1">
      <c r="A69" s="8">
        <v>69.0</v>
      </c>
      <c r="B69" s="9" t="s">
        <v>386</v>
      </c>
      <c r="D69" s="9" t="s">
        <v>38</v>
      </c>
      <c r="E69" s="10" t="s">
        <v>387</v>
      </c>
      <c r="I69" s="8" t="s">
        <v>388</v>
      </c>
      <c r="K69" s="8" t="b">
        <v>0</v>
      </c>
      <c r="L69" s="8" t="b">
        <v>0</v>
      </c>
      <c r="M69" s="8" t="b">
        <v>0</v>
      </c>
    </row>
    <row r="70" ht="22.5" customHeight="1">
      <c r="A70" s="8">
        <v>70.0</v>
      </c>
      <c r="B70" s="9" t="s">
        <v>151</v>
      </c>
      <c r="C70" s="9" t="s">
        <v>113</v>
      </c>
      <c r="D70" s="9" t="s">
        <v>29</v>
      </c>
      <c r="E70" s="10" t="s">
        <v>389</v>
      </c>
      <c r="F70" s="9" t="s">
        <v>99</v>
      </c>
      <c r="I70" s="8" t="s">
        <v>390</v>
      </c>
      <c r="K70" s="8" t="b">
        <v>0</v>
      </c>
      <c r="L70" s="8" t="b">
        <v>0</v>
      </c>
      <c r="M70" s="8" t="b">
        <v>0</v>
      </c>
    </row>
    <row r="71" ht="22.5" customHeight="1">
      <c r="A71" s="8">
        <v>71.0</v>
      </c>
      <c r="B71" s="9" t="s">
        <v>391</v>
      </c>
      <c r="D71" s="9" t="s">
        <v>29</v>
      </c>
      <c r="E71" s="10" t="s">
        <v>392</v>
      </c>
      <c r="I71" s="8" t="s">
        <v>393</v>
      </c>
      <c r="K71" s="8" t="b">
        <v>0</v>
      </c>
      <c r="L71" s="8" t="b">
        <v>0</v>
      </c>
      <c r="M71" s="8" t="b">
        <v>0</v>
      </c>
    </row>
    <row r="72" ht="22.5" customHeight="1">
      <c r="A72" s="8">
        <v>72.0</v>
      </c>
      <c r="B72" s="9" t="s">
        <v>394</v>
      </c>
      <c r="D72" s="9" t="s">
        <v>29</v>
      </c>
      <c r="E72" s="10" t="s">
        <v>395</v>
      </c>
      <c r="I72" s="8" t="s">
        <v>396</v>
      </c>
      <c r="K72" s="8" t="b">
        <v>0</v>
      </c>
      <c r="L72" s="8" t="b">
        <v>0</v>
      </c>
      <c r="M72" s="8" t="b">
        <v>0</v>
      </c>
    </row>
    <row r="73" ht="22.5" customHeight="1">
      <c r="A73" s="8">
        <v>73.0</v>
      </c>
      <c r="B73" s="9" t="s">
        <v>397</v>
      </c>
      <c r="D73" s="9" t="s">
        <v>29</v>
      </c>
      <c r="E73" s="10" t="s">
        <v>398</v>
      </c>
      <c r="I73" s="8" t="s">
        <v>399</v>
      </c>
      <c r="K73" s="8" t="b">
        <v>0</v>
      </c>
      <c r="L73" s="8" t="b">
        <v>0</v>
      </c>
      <c r="M73" s="8" t="b">
        <v>0</v>
      </c>
    </row>
    <row r="74" ht="22.5" customHeight="1">
      <c r="A74" s="8">
        <v>74.0</v>
      </c>
      <c r="B74" s="9" t="s">
        <v>400</v>
      </c>
      <c r="D74" s="9" t="s">
        <v>59</v>
      </c>
      <c r="E74" s="10" t="s">
        <v>401</v>
      </c>
      <c r="I74" s="8" t="s">
        <v>402</v>
      </c>
      <c r="K74" s="8" t="b">
        <v>0</v>
      </c>
      <c r="L74" s="8" t="b">
        <v>0</v>
      </c>
      <c r="M74" s="8" t="b">
        <v>0</v>
      </c>
    </row>
    <row r="75" ht="22.5" customHeight="1">
      <c r="A75" s="8">
        <v>75.0</v>
      </c>
      <c r="B75" s="9" t="s">
        <v>403</v>
      </c>
      <c r="D75" s="9" t="s">
        <v>38</v>
      </c>
      <c r="E75" s="10" t="s">
        <v>404</v>
      </c>
      <c r="I75" s="8" t="s">
        <v>405</v>
      </c>
      <c r="K75" s="8" t="b">
        <v>0</v>
      </c>
      <c r="L75" s="8" t="b">
        <v>0</v>
      </c>
      <c r="M75" s="8" t="b">
        <v>0</v>
      </c>
    </row>
    <row r="76" ht="22.5" customHeight="1">
      <c r="A76" s="8">
        <v>76.0</v>
      </c>
      <c r="B76" s="9" t="s">
        <v>406</v>
      </c>
      <c r="D76" s="9" t="s">
        <v>29</v>
      </c>
      <c r="E76" s="10" t="s">
        <v>407</v>
      </c>
      <c r="I76" s="8" t="s">
        <v>408</v>
      </c>
      <c r="K76" s="8" t="b">
        <v>0</v>
      </c>
      <c r="L76" s="8" t="b">
        <v>0</v>
      </c>
      <c r="M76" s="8" t="b">
        <v>0</v>
      </c>
    </row>
    <row r="77" ht="22.5" customHeight="1">
      <c r="A77" s="8">
        <v>77.0</v>
      </c>
      <c r="B77" s="9" t="s">
        <v>409</v>
      </c>
      <c r="D77" s="9" t="s">
        <v>29</v>
      </c>
      <c r="E77" s="10" t="s">
        <v>410</v>
      </c>
      <c r="I77" s="8" t="s">
        <v>411</v>
      </c>
      <c r="K77" s="8" t="b">
        <v>0</v>
      </c>
      <c r="L77" s="8" t="b">
        <v>0</v>
      </c>
      <c r="M77" s="8" t="b">
        <v>0</v>
      </c>
    </row>
    <row r="78" ht="22.5" customHeight="1">
      <c r="A78" s="8">
        <v>78.0</v>
      </c>
      <c r="B78" s="9" t="s">
        <v>412</v>
      </c>
      <c r="D78" s="9" t="s">
        <v>38</v>
      </c>
      <c r="E78" s="10" t="s">
        <v>413</v>
      </c>
      <c r="I78" s="8" t="s">
        <v>414</v>
      </c>
      <c r="K78" s="8" t="b">
        <v>0</v>
      </c>
      <c r="L78" s="8" t="b">
        <v>0</v>
      </c>
      <c r="M78" s="8" t="b">
        <v>0</v>
      </c>
    </row>
    <row r="79" ht="22.5" customHeight="1">
      <c r="A79" s="8">
        <v>79.0</v>
      </c>
      <c r="B79" s="9" t="s">
        <v>415</v>
      </c>
      <c r="D79" s="9" t="s">
        <v>109</v>
      </c>
      <c r="E79" s="10" t="s">
        <v>416</v>
      </c>
      <c r="I79" s="8" t="s">
        <v>417</v>
      </c>
      <c r="K79" s="8" t="b">
        <v>0</v>
      </c>
      <c r="L79" s="8" t="b">
        <v>0</v>
      </c>
      <c r="M79" s="8" t="b">
        <v>0</v>
      </c>
    </row>
    <row r="80" ht="22.5" customHeight="1">
      <c r="A80" s="8">
        <v>80.0</v>
      </c>
      <c r="B80" s="9" t="s">
        <v>418</v>
      </c>
      <c r="D80" s="9" t="s">
        <v>57</v>
      </c>
      <c r="E80" s="10" t="s">
        <v>419</v>
      </c>
      <c r="I80" s="8" t="s">
        <v>420</v>
      </c>
      <c r="K80" s="8" t="b">
        <v>0</v>
      </c>
      <c r="L80" s="8" t="b">
        <v>0</v>
      </c>
      <c r="M80" s="8" t="b">
        <v>0</v>
      </c>
    </row>
    <row r="81" ht="22.5" customHeight="1">
      <c r="A81" s="8">
        <v>81.0</v>
      </c>
      <c r="B81" s="9" t="s">
        <v>153</v>
      </c>
      <c r="D81" s="9" t="s">
        <v>109</v>
      </c>
      <c r="E81" s="10" t="s">
        <v>421</v>
      </c>
      <c r="I81" s="8" t="s">
        <v>422</v>
      </c>
      <c r="K81" s="8" t="b">
        <v>0</v>
      </c>
      <c r="L81" s="8" t="b">
        <v>0</v>
      </c>
      <c r="M81" s="8" t="b">
        <v>0</v>
      </c>
    </row>
    <row r="82" ht="22.5" customHeight="1">
      <c r="A82" s="8">
        <v>82.0</v>
      </c>
      <c r="B82" s="9" t="s">
        <v>423</v>
      </c>
      <c r="D82" s="9" t="s">
        <v>29</v>
      </c>
      <c r="E82" s="10" t="s">
        <v>424</v>
      </c>
      <c r="I82" s="8" t="s">
        <v>425</v>
      </c>
      <c r="K82" s="8" t="b">
        <v>0</v>
      </c>
      <c r="L82" s="8" t="b">
        <v>0</v>
      </c>
      <c r="M82" s="8" t="b">
        <v>0</v>
      </c>
    </row>
    <row r="83" ht="22.5" customHeight="1">
      <c r="A83" s="8">
        <v>83.0</v>
      </c>
      <c r="B83" s="9" t="s">
        <v>426</v>
      </c>
      <c r="D83" s="9" t="s">
        <v>38</v>
      </c>
      <c r="E83" s="10" t="s">
        <v>427</v>
      </c>
      <c r="I83" s="8" t="s">
        <v>428</v>
      </c>
      <c r="K83" s="8" t="b">
        <v>0</v>
      </c>
      <c r="L83" s="8" t="b">
        <v>0</v>
      </c>
      <c r="M83" s="8" t="b">
        <v>0</v>
      </c>
    </row>
    <row r="84" ht="22.5" customHeight="1">
      <c r="A84" s="8">
        <v>84.0</v>
      </c>
      <c r="B84" s="9" t="s">
        <v>429</v>
      </c>
      <c r="D84" s="9" t="s">
        <v>38</v>
      </c>
      <c r="E84" s="10" t="s">
        <v>430</v>
      </c>
      <c r="I84" s="8" t="s">
        <v>431</v>
      </c>
      <c r="K84" s="8" t="b">
        <v>0</v>
      </c>
      <c r="L84" s="8" t="b">
        <v>0</v>
      </c>
      <c r="M84" s="8" t="b">
        <v>0</v>
      </c>
    </row>
    <row r="85" ht="22.5" customHeight="1">
      <c r="A85" s="8">
        <v>85.0</v>
      </c>
      <c r="B85" s="9" t="s">
        <v>432</v>
      </c>
      <c r="D85" s="9" t="s">
        <v>50</v>
      </c>
      <c r="E85" s="10" t="s">
        <v>433</v>
      </c>
      <c r="I85" s="8" t="s">
        <v>434</v>
      </c>
      <c r="K85" s="8" t="b">
        <v>0</v>
      </c>
      <c r="L85" s="8" t="b">
        <v>0</v>
      </c>
      <c r="M85" s="8" t="b">
        <v>0</v>
      </c>
    </row>
    <row r="86" ht="22.5" customHeight="1">
      <c r="A86" s="8">
        <v>86.0</v>
      </c>
      <c r="B86" s="9" t="s">
        <v>435</v>
      </c>
      <c r="D86" s="9" t="s">
        <v>15</v>
      </c>
      <c r="E86" s="10" t="s">
        <v>436</v>
      </c>
      <c r="I86" s="8" t="s">
        <v>437</v>
      </c>
      <c r="K86" s="8" t="b">
        <v>0</v>
      </c>
      <c r="L86" s="8" t="b">
        <v>0</v>
      </c>
      <c r="M86" s="8" t="b">
        <v>0</v>
      </c>
    </row>
    <row r="87" ht="22.5" customHeight="1">
      <c r="A87" s="8">
        <v>87.0</v>
      </c>
      <c r="B87" s="9" t="s">
        <v>438</v>
      </c>
      <c r="D87" s="9" t="s">
        <v>29</v>
      </c>
      <c r="E87" s="10" t="s">
        <v>439</v>
      </c>
      <c r="I87" s="8" t="s">
        <v>440</v>
      </c>
      <c r="K87" s="8" t="b">
        <v>0</v>
      </c>
      <c r="L87" s="8" t="b">
        <v>0</v>
      </c>
      <c r="M87" s="8" t="b">
        <v>0</v>
      </c>
    </row>
    <row r="88" ht="22.5" customHeight="1">
      <c r="A88" s="8">
        <v>88.0</v>
      </c>
      <c r="B88" s="9" t="s">
        <v>441</v>
      </c>
      <c r="D88" s="9" t="s">
        <v>38</v>
      </c>
      <c r="E88" s="10" t="s">
        <v>442</v>
      </c>
      <c r="I88" s="8" t="s">
        <v>443</v>
      </c>
      <c r="K88" s="8" t="b">
        <v>0</v>
      </c>
      <c r="L88" s="8" t="b">
        <v>0</v>
      </c>
      <c r="M88" s="8" t="b">
        <v>0</v>
      </c>
    </row>
    <row r="89" ht="22.5" customHeight="1">
      <c r="A89" s="8">
        <v>89.0</v>
      </c>
      <c r="B89" s="9" t="s">
        <v>444</v>
      </c>
      <c r="D89" s="9" t="s">
        <v>29</v>
      </c>
      <c r="E89" s="10" t="s">
        <v>445</v>
      </c>
      <c r="I89" s="8" t="s">
        <v>446</v>
      </c>
      <c r="K89" s="8" t="b">
        <v>0</v>
      </c>
      <c r="L89" s="8" t="b">
        <v>0</v>
      </c>
      <c r="M89" s="8" t="b">
        <v>0</v>
      </c>
    </row>
    <row r="90" ht="22.5" customHeight="1">
      <c r="A90" s="8">
        <v>90.0</v>
      </c>
      <c r="B90" s="9" t="s">
        <v>447</v>
      </c>
      <c r="D90" s="9" t="s">
        <v>29</v>
      </c>
      <c r="E90" s="10" t="s">
        <v>448</v>
      </c>
      <c r="I90" s="8" t="s">
        <v>449</v>
      </c>
      <c r="K90" s="8" t="b">
        <v>0</v>
      </c>
      <c r="L90" s="8" t="b">
        <v>0</v>
      </c>
      <c r="M90" s="8" t="b">
        <v>0</v>
      </c>
    </row>
    <row r="91" ht="22.5" customHeight="1">
      <c r="A91" s="8">
        <v>91.0</v>
      </c>
      <c r="B91" s="9" t="s">
        <v>450</v>
      </c>
      <c r="D91" s="9" t="s">
        <v>38</v>
      </c>
      <c r="E91" s="10" t="s">
        <v>451</v>
      </c>
      <c r="I91" s="8" t="s">
        <v>452</v>
      </c>
      <c r="K91" s="8" t="b">
        <v>0</v>
      </c>
      <c r="L91" s="8" t="b">
        <v>0</v>
      </c>
      <c r="M91" s="8" t="b">
        <v>0</v>
      </c>
    </row>
    <row r="92" ht="22.5" customHeight="1">
      <c r="A92" s="8">
        <v>92.0</v>
      </c>
      <c r="B92" s="9" t="s">
        <v>453</v>
      </c>
      <c r="D92" s="9" t="s">
        <v>59</v>
      </c>
      <c r="E92" s="10" t="s">
        <v>454</v>
      </c>
      <c r="I92" s="8" t="s">
        <v>455</v>
      </c>
      <c r="K92" s="8" t="b">
        <v>0</v>
      </c>
      <c r="L92" s="8" t="b">
        <v>0</v>
      </c>
      <c r="M92" s="8" t="b">
        <v>0</v>
      </c>
    </row>
    <row r="93" ht="22.5" customHeight="1">
      <c r="A93" s="8">
        <v>93.0</v>
      </c>
      <c r="B93" s="9" t="s">
        <v>456</v>
      </c>
      <c r="D93" s="9" t="s">
        <v>59</v>
      </c>
      <c r="E93" s="10" t="s">
        <v>457</v>
      </c>
      <c r="I93" s="8" t="s">
        <v>458</v>
      </c>
      <c r="K93" s="8" t="b">
        <v>0</v>
      </c>
      <c r="L93" s="8" t="b">
        <v>0</v>
      </c>
      <c r="M93" s="8" t="b">
        <v>0</v>
      </c>
    </row>
    <row r="94" ht="22.5" customHeight="1">
      <c r="A94" s="8">
        <v>94.0</v>
      </c>
      <c r="B94" s="9" t="s">
        <v>459</v>
      </c>
      <c r="D94" s="9" t="s">
        <v>29</v>
      </c>
      <c r="E94" s="10" t="s">
        <v>460</v>
      </c>
      <c r="I94" s="8" t="s">
        <v>461</v>
      </c>
      <c r="K94" s="8" t="b">
        <v>0</v>
      </c>
      <c r="L94" s="8" t="b">
        <v>0</v>
      </c>
      <c r="M94" s="8" t="b">
        <v>0</v>
      </c>
    </row>
    <row r="95" ht="22.5" customHeight="1">
      <c r="A95" s="8">
        <v>95.0</v>
      </c>
      <c r="B95" s="9" t="s">
        <v>462</v>
      </c>
      <c r="D95" s="9" t="s">
        <v>59</v>
      </c>
      <c r="E95" s="10" t="s">
        <v>463</v>
      </c>
      <c r="I95" s="8" t="s">
        <v>464</v>
      </c>
      <c r="K95" s="8" t="b">
        <v>0</v>
      </c>
      <c r="L95" s="8" t="b">
        <v>0</v>
      </c>
      <c r="M95" s="8" t="b">
        <v>0</v>
      </c>
    </row>
    <row r="96" ht="22.5" customHeight="1">
      <c r="A96" s="8">
        <v>96.0</v>
      </c>
      <c r="B96" s="9" t="s">
        <v>465</v>
      </c>
      <c r="D96" s="9" t="s">
        <v>59</v>
      </c>
      <c r="E96" s="10" t="s">
        <v>466</v>
      </c>
      <c r="I96" s="8" t="s">
        <v>467</v>
      </c>
      <c r="K96" s="8" t="b">
        <v>0</v>
      </c>
      <c r="L96" s="8" t="b">
        <v>0</v>
      </c>
      <c r="M96" s="8" t="b">
        <v>0</v>
      </c>
      <c r="O96" s="11" t="s">
        <v>468</v>
      </c>
    </row>
    <row r="97" ht="22.5" customHeight="1">
      <c r="A97" s="8">
        <v>97.0</v>
      </c>
      <c r="B97" s="9" t="s">
        <v>469</v>
      </c>
      <c r="D97" s="9" t="s">
        <v>38</v>
      </c>
      <c r="E97" s="10" t="s">
        <v>470</v>
      </c>
      <c r="I97" s="8" t="s">
        <v>471</v>
      </c>
      <c r="K97" s="8" t="b">
        <v>0</v>
      </c>
      <c r="L97" s="8" t="b">
        <v>0</v>
      </c>
      <c r="M97" s="8" t="b">
        <v>0</v>
      </c>
    </row>
    <row r="98" ht="22.5" customHeight="1">
      <c r="A98" s="8">
        <v>98.0</v>
      </c>
      <c r="B98" s="9" t="s">
        <v>147</v>
      </c>
      <c r="D98" s="9" t="s">
        <v>59</v>
      </c>
      <c r="E98" s="10" t="s">
        <v>472</v>
      </c>
      <c r="I98" s="8" t="s">
        <v>473</v>
      </c>
      <c r="K98" s="8" t="b">
        <v>0</v>
      </c>
      <c r="L98" s="8" t="b">
        <v>0</v>
      </c>
      <c r="M98" s="8" t="b">
        <v>0</v>
      </c>
    </row>
    <row r="99" ht="22.5" customHeight="1">
      <c r="A99" s="8">
        <v>100.0</v>
      </c>
      <c r="B99" s="9" t="s">
        <v>148</v>
      </c>
      <c r="C99" s="9" t="s">
        <v>80</v>
      </c>
      <c r="D99" s="9" t="s">
        <v>59</v>
      </c>
      <c r="E99" s="10" t="s">
        <v>474</v>
      </c>
      <c r="I99" s="8" t="s">
        <v>475</v>
      </c>
      <c r="K99" s="8" t="b">
        <v>0</v>
      </c>
      <c r="L99" s="8" t="b">
        <v>0</v>
      </c>
      <c r="M99" s="8" t="b">
        <v>0</v>
      </c>
    </row>
    <row r="100" ht="22.5" customHeight="1">
      <c r="A100" s="8">
        <v>101.0</v>
      </c>
      <c r="K100" s="8" t="b">
        <v>0</v>
      </c>
      <c r="L100" s="8" t="b">
        <v>0</v>
      </c>
      <c r="M100" s="8" t="b">
        <v>0</v>
      </c>
    </row>
    <row r="101" ht="22.5" customHeight="1">
      <c r="A101" s="8">
        <v>104.0</v>
      </c>
      <c r="B101" s="9" t="s">
        <v>476</v>
      </c>
      <c r="C101" s="9" t="s">
        <v>45</v>
      </c>
      <c r="D101" s="9" t="s">
        <v>109</v>
      </c>
      <c r="E101" s="10" t="s">
        <v>477</v>
      </c>
      <c r="F101" s="9" t="s">
        <v>478</v>
      </c>
      <c r="G101" s="8">
        <f>+6583875620</f>
        <v>6583875620</v>
      </c>
      <c r="H101" s="8">
        <f>+919959488964</f>
        <v>919959488964</v>
      </c>
      <c r="I101" s="8" t="s">
        <v>479</v>
      </c>
      <c r="K101" s="8" t="b">
        <v>0</v>
      </c>
      <c r="L101" s="8" t="b">
        <v>0</v>
      </c>
      <c r="M101" s="8" t="b">
        <v>0</v>
      </c>
    </row>
    <row r="102" ht="22.5" customHeight="1">
      <c r="A102" s="8">
        <v>105.0</v>
      </c>
      <c r="B102" s="9" t="s">
        <v>480</v>
      </c>
      <c r="C102" s="9" t="s">
        <v>51</v>
      </c>
      <c r="D102" s="9" t="s">
        <v>38</v>
      </c>
      <c r="E102" s="10" t="s">
        <v>481</v>
      </c>
      <c r="F102" s="9" t="s">
        <v>482</v>
      </c>
      <c r="G102" s="8">
        <f>+917020872236</f>
        <v>917020872236</v>
      </c>
      <c r="H102" s="8">
        <v>7.020872236E9</v>
      </c>
      <c r="I102" s="8" t="s">
        <v>483</v>
      </c>
      <c r="K102" s="8" t="b">
        <v>0</v>
      </c>
      <c r="L102" s="8" t="b">
        <v>0</v>
      </c>
      <c r="M102" s="8" t="b">
        <v>0</v>
      </c>
    </row>
    <row r="103" ht="22.5" customHeight="1">
      <c r="A103" s="8">
        <v>106.0</v>
      </c>
      <c r="B103" s="9" t="s">
        <v>484</v>
      </c>
      <c r="C103" s="9" t="s">
        <v>51</v>
      </c>
      <c r="D103" s="9" t="s">
        <v>59</v>
      </c>
      <c r="E103" s="10" t="s">
        <v>485</v>
      </c>
      <c r="F103" s="9" t="s">
        <v>486</v>
      </c>
      <c r="G103" s="8">
        <f t="shared" ref="G103:H103" si="1">+971556477216</f>
        <v>971556477216</v>
      </c>
      <c r="H103" s="8">
        <f t="shared" si="1"/>
        <v>971556477216</v>
      </c>
      <c r="I103" s="11" t="s">
        <v>487</v>
      </c>
      <c r="K103" s="8" t="b">
        <v>0</v>
      </c>
      <c r="L103" s="8" t="b">
        <v>0</v>
      </c>
      <c r="M103" s="8" t="b">
        <v>0</v>
      </c>
    </row>
    <row r="104" ht="22.5" customHeight="1">
      <c r="A104" s="8">
        <v>107.0</v>
      </c>
      <c r="B104" s="9" t="s">
        <v>488</v>
      </c>
      <c r="C104" s="9" t="s">
        <v>51</v>
      </c>
      <c r="D104" s="9" t="s">
        <v>38</v>
      </c>
      <c r="E104" s="10" t="s">
        <v>489</v>
      </c>
      <c r="F104" s="9" t="s">
        <v>482</v>
      </c>
      <c r="G104" s="8">
        <f t="shared" ref="G104:H104" si="2">+917888040074</f>
        <v>917888040074</v>
      </c>
      <c r="H104" s="8">
        <f t="shared" si="2"/>
        <v>917888040074</v>
      </c>
      <c r="I104" s="8" t="s">
        <v>490</v>
      </c>
      <c r="K104" s="8" t="b">
        <v>0</v>
      </c>
      <c r="L104" s="8" t="b">
        <v>0</v>
      </c>
      <c r="M104" s="8" t="b">
        <v>0</v>
      </c>
    </row>
    <row r="105" ht="22.5" customHeight="1">
      <c r="A105" s="8">
        <v>108.0</v>
      </c>
      <c r="B105" s="9" t="s">
        <v>491</v>
      </c>
      <c r="C105" s="9" t="s">
        <v>82</v>
      </c>
      <c r="D105" s="9" t="s">
        <v>59</v>
      </c>
      <c r="E105" s="10" t="s">
        <v>492</v>
      </c>
      <c r="F105" s="9" t="s">
        <v>482</v>
      </c>
      <c r="G105" s="8">
        <f t="shared" ref="G105:H105" si="3">+917045846725</f>
        <v>917045846725</v>
      </c>
      <c r="H105" s="8">
        <f t="shared" si="3"/>
        <v>917045846725</v>
      </c>
      <c r="I105" s="8" t="s">
        <v>493</v>
      </c>
      <c r="K105" s="8" t="b">
        <v>0</v>
      </c>
      <c r="L105" s="8" t="b">
        <v>0</v>
      </c>
      <c r="M105" s="8" t="b">
        <v>0</v>
      </c>
    </row>
    <row r="106" ht="22.5" customHeight="1">
      <c r="A106" s="8">
        <v>109.0</v>
      </c>
      <c r="B106" s="9" t="s">
        <v>494</v>
      </c>
      <c r="C106" s="9" t="s">
        <v>45</v>
      </c>
      <c r="D106" s="9" t="s">
        <v>29</v>
      </c>
      <c r="E106" s="10" t="s">
        <v>495</v>
      </c>
      <c r="F106" s="9" t="s">
        <v>486</v>
      </c>
      <c r="G106" s="8">
        <f>+966562307366</f>
        <v>966562307366</v>
      </c>
      <c r="H106" s="8">
        <f>+966563685464</f>
        <v>966563685464</v>
      </c>
      <c r="I106" s="8" t="s">
        <v>496</v>
      </c>
      <c r="K106" s="8" t="b">
        <v>0</v>
      </c>
      <c r="L106" s="8" t="b">
        <v>0</v>
      </c>
      <c r="M106" s="8" t="b">
        <v>0</v>
      </c>
    </row>
    <row r="107" ht="22.5" customHeight="1">
      <c r="A107" s="8">
        <v>110.0</v>
      </c>
      <c r="B107" s="9" t="s">
        <v>497</v>
      </c>
      <c r="C107" s="9" t="s">
        <v>45</v>
      </c>
      <c r="D107" s="9" t="s">
        <v>38</v>
      </c>
      <c r="E107" s="10" t="s">
        <v>498</v>
      </c>
      <c r="F107" s="9" t="s">
        <v>482</v>
      </c>
      <c r="G107" s="8">
        <f>+971505924573</f>
        <v>971505924573</v>
      </c>
      <c r="H107" s="8">
        <f>+971505923542</f>
        <v>971505923542</v>
      </c>
      <c r="I107" s="8" t="s">
        <v>499</v>
      </c>
      <c r="K107" s="8" t="b">
        <v>0</v>
      </c>
      <c r="L107" s="8" t="b">
        <v>0</v>
      </c>
      <c r="M107" s="8" t="b">
        <v>0</v>
      </c>
    </row>
    <row r="108" ht="22.5" customHeight="1">
      <c r="A108" s="8">
        <v>111.0</v>
      </c>
      <c r="B108" s="9" t="s">
        <v>500</v>
      </c>
      <c r="C108" s="9" t="s">
        <v>51</v>
      </c>
      <c r="D108" s="9" t="s">
        <v>29</v>
      </c>
      <c r="E108" s="10" t="s">
        <v>501</v>
      </c>
      <c r="F108" s="9" t="s">
        <v>486</v>
      </c>
      <c r="G108" s="8">
        <v>9.66542541377E11</v>
      </c>
      <c r="H108" s="8">
        <v>9.66542541377E11</v>
      </c>
      <c r="I108" s="8" t="s">
        <v>502</v>
      </c>
      <c r="K108" s="8" t="b">
        <v>0</v>
      </c>
      <c r="L108" s="8" t="b">
        <v>0</v>
      </c>
      <c r="M108" s="8" t="b">
        <v>0</v>
      </c>
    </row>
    <row r="109" ht="22.5" customHeight="1">
      <c r="A109" s="8">
        <v>112.0</v>
      </c>
      <c r="B109" s="9" t="s">
        <v>503</v>
      </c>
      <c r="C109" s="9" t="s">
        <v>36</v>
      </c>
      <c r="D109" s="9" t="s">
        <v>29</v>
      </c>
      <c r="E109" s="10" t="s">
        <v>504</v>
      </c>
      <c r="F109" s="9" t="s">
        <v>486</v>
      </c>
      <c r="G109" s="8">
        <v>9.66542541377E11</v>
      </c>
      <c r="H109" s="8">
        <v>9.66542541377E11</v>
      </c>
      <c r="I109" s="8" t="s">
        <v>502</v>
      </c>
      <c r="K109" s="8" t="b">
        <v>0</v>
      </c>
      <c r="L109" s="8" t="b">
        <v>0</v>
      </c>
      <c r="M109" s="8" t="b">
        <v>0</v>
      </c>
    </row>
    <row r="110" ht="22.5" customHeight="1">
      <c r="A110" s="8">
        <v>113.0</v>
      </c>
      <c r="B110" s="9" t="s">
        <v>505</v>
      </c>
      <c r="C110" s="9" t="s">
        <v>40</v>
      </c>
      <c r="D110" s="9" t="s">
        <v>59</v>
      </c>
      <c r="E110" s="10" t="s">
        <v>506</v>
      </c>
      <c r="F110" s="9" t="s">
        <v>486</v>
      </c>
      <c r="G110" s="8">
        <f t="shared" ref="G110:H110" si="4">+971509437292</f>
        <v>971509437292</v>
      </c>
      <c r="H110" s="8">
        <f t="shared" si="4"/>
        <v>971509437292</v>
      </c>
      <c r="I110" s="8" t="s">
        <v>507</v>
      </c>
      <c r="J110" s="8" t="s">
        <v>508</v>
      </c>
      <c r="K110" s="8" t="b">
        <v>0</v>
      </c>
      <c r="L110" s="8" t="b">
        <v>1</v>
      </c>
      <c r="M110" s="8" t="b">
        <v>1</v>
      </c>
    </row>
    <row r="111" ht="22.5" customHeight="1">
      <c r="A111" s="8">
        <v>114.0</v>
      </c>
      <c r="B111" s="9" t="s">
        <v>509</v>
      </c>
      <c r="C111" s="9" t="s">
        <v>51</v>
      </c>
      <c r="D111" s="9" t="s">
        <v>38</v>
      </c>
      <c r="E111" s="10" t="s">
        <v>510</v>
      </c>
      <c r="F111" s="9" t="s">
        <v>478</v>
      </c>
      <c r="G111" s="8">
        <f t="shared" ref="G111:H111" si="5">+919790931802</f>
        <v>919790931802</v>
      </c>
      <c r="H111" s="8">
        <f t="shared" si="5"/>
        <v>919790931802</v>
      </c>
      <c r="I111" s="8" t="s">
        <v>511</v>
      </c>
      <c r="K111" s="8" t="b">
        <v>0</v>
      </c>
      <c r="L111" s="8" t="b">
        <v>1</v>
      </c>
      <c r="M111" s="8" t="b">
        <v>1</v>
      </c>
    </row>
    <row r="112" ht="22.5" customHeight="1">
      <c r="A112" s="8">
        <v>115.0</v>
      </c>
      <c r="B112" s="9" t="s">
        <v>512</v>
      </c>
      <c r="C112" s="9" t="s">
        <v>51</v>
      </c>
      <c r="D112" s="9" t="s">
        <v>38</v>
      </c>
      <c r="E112" s="10" t="s">
        <v>513</v>
      </c>
      <c r="F112" s="9" t="s">
        <v>482</v>
      </c>
      <c r="G112" s="8">
        <v>9.346696747E9</v>
      </c>
      <c r="H112" s="8">
        <v>8.985195828E9</v>
      </c>
      <c r="I112" s="8" t="s">
        <v>514</v>
      </c>
      <c r="K112" s="8" t="b">
        <v>1</v>
      </c>
      <c r="L112" s="8" t="b">
        <v>1</v>
      </c>
      <c r="M112" s="8" t="b">
        <v>1</v>
      </c>
    </row>
    <row r="113" ht="22.5" customHeight="1">
      <c r="A113" s="8">
        <v>116.0</v>
      </c>
      <c r="B113" s="9" t="s">
        <v>515</v>
      </c>
      <c r="C113" s="9" t="s">
        <v>51</v>
      </c>
      <c r="D113" s="9" t="s">
        <v>59</v>
      </c>
      <c r="E113" s="10" t="s">
        <v>516</v>
      </c>
      <c r="F113" s="9" t="s">
        <v>482</v>
      </c>
      <c r="G113" s="8">
        <f t="shared" ref="G113:H113" si="6">+918448780669</f>
        <v>918448780669</v>
      </c>
      <c r="H113" s="8">
        <f t="shared" si="6"/>
        <v>918448780669</v>
      </c>
      <c r="I113" s="8" t="s">
        <v>517</v>
      </c>
      <c r="J113" s="8" t="s">
        <v>518</v>
      </c>
      <c r="K113" s="8" t="b">
        <v>0</v>
      </c>
      <c r="L113" s="8" t="b">
        <v>0</v>
      </c>
      <c r="M113" s="8" t="b">
        <v>0</v>
      </c>
    </row>
    <row r="114" ht="22.5" customHeight="1">
      <c r="A114" s="8">
        <v>117.0</v>
      </c>
      <c r="B114" s="9" t="s">
        <v>519</v>
      </c>
      <c r="C114" s="9" t="s">
        <v>36</v>
      </c>
      <c r="D114" s="9" t="s">
        <v>38</v>
      </c>
      <c r="E114" s="10" t="s">
        <v>520</v>
      </c>
      <c r="F114" s="9" t="s">
        <v>482</v>
      </c>
      <c r="G114" s="8">
        <f t="shared" ref="G114:H114" si="7">+919990632294</f>
        <v>919990632294</v>
      </c>
      <c r="H114" s="8">
        <f t="shared" si="7"/>
        <v>919990632294</v>
      </c>
      <c r="I114" s="8" t="s">
        <v>521</v>
      </c>
      <c r="J114" s="8" t="s">
        <v>522</v>
      </c>
      <c r="K114" s="8" t="b">
        <v>0</v>
      </c>
      <c r="L114" s="8" t="b">
        <v>0</v>
      </c>
      <c r="M114" s="8" t="b">
        <v>0</v>
      </c>
    </row>
    <row r="115" ht="22.5" customHeight="1">
      <c r="A115" s="8">
        <v>118.0</v>
      </c>
      <c r="B115" s="9" t="s">
        <v>523</v>
      </c>
      <c r="C115" s="9" t="s">
        <v>36</v>
      </c>
      <c r="D115" s="9" t="s">
        <v>29</v>
      </c>
      <c r="E115" s="10" t="s">
        <v>524</v>
      </c>
      <c r="F115" s="9" t="s">
        <v>486</v>
      </c>
      <c r="G115" s="8">
        <v>9.66556059054E11</v>
      </c>
      <c r="H115" s="8">
        <v>9.6656378241E11</v>
      </c>
      <c r="I115" s="8" t="s">
        <v>525</v>
      </c>
      <c r="J115" s="8" t="s">
        <v>526</v>
      </c>
      <c r="K115" s="8" t="b">
        <v>0</v>
      </c>
      <c r="L115" s="8" t="b">
        <v>0</v>
      </c>
      <c r="M115" s="8" t="b">
        <v>0</v>
      </c>
    </row>
    <row r="116" ht="22.5" customHeight="1">
      <c r="A116" s="8">
        <v>119.0</v>
      </c>
      <c r="B116" s="9" t="s">
        <v>527</v>
      </c>
      <c r="C116" s="9" t="s">
        <v>84</v>
      </c>
      <c r="D116" s="9" t="s">
        <v>528</v>
      </c>
      <c r="E116" s="10" t="s">
        <v>529</v>
      </c>
      <c r="F116" s="9" t="s">
        <v>530</v>
      </c>
      <c r="G116" s="8">
        <f>19012371504</f>
        <v>19012371504</v>
      </c>
      <c r="I116" s="8" t="s">
        <v>531</v>
      </c>
      <c r="K116" s="8" t="b">
        <v>0</v>
      </c>
      <c r="L116" s="8" t="b">
        <v>0</v>
      </c>
      <c r="M116" s="8" t="b">
        <v>0</v>
      </c>
    </row>
    <row r="117" ht="22.5" customHeight="1">
      <c r="A117" s="8">
        <v>120.0</v>
      </c>
      <c r="B117" s="9" t="s">
        <v>532</v>
      </c>
      <c r="C117" s="9" t="s">
        <v>51</v>
      </c>
      <c r="D117" s="9" t="s">
        <v>533</v>
      </c>
      <c r="E117" s="10" t="s">
        <v>534</v>
      </c>
      <c r="F117" s="9" t="s">
        <v>535</v>
      </c>
      <c r="I117" s="8" t="s">
        <v>536</v>
      </c>
      <c r="K117" s="8" t="b">
        <v>1</v>
      </c>
      <c r="L117" s="8" t="b">
        <v>0</v>
      </c>
      <c r="M117" s="8" t="b">
        <v>1</v>
      </c>
    </row>
    <row r="118" ht="22.5" customHeight="1">
      <c r="A118" s="8">
        <v>121.0</v>
      </c>
      <c r="B118" s="9" t="s">
        <v>152</v>
      </c>
      <c r="C118" s="9" t="s">
        <v>114</v>
      </c>
      <c r="D118" s="9" t="s">
        <v>59</v>
      </c>
      <c r="E118" s="10" t="s">
        <v>537</v>
      </c>
      <c r="F118" s="9" t="s">
        <v>99</v>
      </c>
      <c r="I118" s="8" t="s">
        <v>538</v>
      </c>
      <c r="K118" s="8" t="b">
        <v>0</v>
      </c>
      <c r="L118" s="8" t="b">
        <v>0</v>
      </c>
      <c r="M118" s="8" t="b">
        <v>0</v>
      </c>
    </row>
    <row r="119" ht="22.5" customHeight="1">
      <c r="A119" s="8">
        <v>122.0</v>
      </c>
      <c r="B119" s="9" t="s">
        <v>539</v>
      </c>
      <c r="C119" s="9" t="s">
        <v>45</v>
      </c>
      <c r="D119" s="9" t="s">
        <v>38</v>
      </c>
      <c r="E119" s="10" t="s">
        <v>540</v>
      </c>
      <c r="F119" s="9" t="s">
        <v>482</v>
      </c>
      <c r="I119" s="8" t="s">
        <v>541</v>
      </c>
      <c r="K119" s="8" t="b">
        <v>0</v>
      </c>
      <c r="L119" s="8" t="b">
        <v>0</v>
      </c>
      <c r="M119" s="8" t="b">
        <v>0</v>
      </c>
    </row>
    <row r="120" ht="22.5" customHeight="1">
      <c r="A120" s="8">
        <v>123.0</v>
      </c>
      <c r="B120" s="9" t="s">
        <v>542</v>
      </c>
      <c r="C120" s="9" t="s">
        <v>45</v>
      </c>
      <c r="D120" s="9" t="s">
        <v>59</v>
      </c>
      <c r="E120" s="10" t="s">
        <v>543</v>
      </c>
      <c r="F120" s="9" t="s">
        <v>99</v>
      </c>
      <c r="I120" s="8" t="s">
        <v>544</v>
      </c>
      <c r="K120" s="8" t="b">
        <v>0</v>
      </c>
      <c r="L120" s="8" t="b">
        <v>0</v>
      </c>
      <c r="M120" s="8" t="b">
        <v>0</v>
      </c>
    </row>
    <row r="121" ht="22.5" customHeight="1">
      <c r="A121" s="8">
        <v>124.0</v>
      </c>
      <c r="B121" s="9" t="s">
        <v>160</v>
      </c>
      <c r="C121" s="9" t="s">
        <v>61</v>
      </c>
      <c r="D121" s="9" t="s">
        <v>38</v>
      </c>
      <c r="E121" s="10" t="s">
        <v>545</v>
      </c>
      <c r="F121" s="9" t="s">
        <v>482</v>
      </c>
      <c r="I121" s="8" t="s">
        <v>546</v>
      </c>
      <c r="K121" s="8" t="b">
        <v>0</v>
      </c>
      <c r="L121" s="8" t="b">
        <v>0</v>
      </c>
      <c r="M121" s="8" t="b">
        <v>0</v>
      </c>
    </row>
    <row r="122" ht="22.5" customHeight="1">
      <c r="A122" s="8">
        <v>125.0</v>
      </c>
      <c r="B122" s="9" t="s">
        <v>547</v>
      </c>
      <c r="C122" s="9" t="s">
        <v>51</v>
      </c>
      <c r="D122" s="9" t="s">
        <v>38</v>
      </c>
      <c r="E122" s="10" t="s">
        <v>548</v>
      </c>
      <c r="F122" s="9" t="s">
        <v>482</v>
      </c>
      <c r="I122" s="8" t="s">
        <v>549</v>
      </c>
      <c r="K122" s="8" t="b">
        <v>0</v>
      </c>
      <c r="L122" s="8" t="b">
        <v>0</v>
      </c>
      <c r="M122" s="8" t="b">
        <v>0</v>
      </c>
    </row>
    <row r="123" ht="22.5" customHeight="1">
      <c r="A123" s="8">
        <v>126.0</v>
      </c>
      <c r="B123" s="9" t="s">
        <v>550</v>
      </c>
      <c r="C123" s="9" t="s">
        <v>51</v>
      </c>
      <c r="D123" s="9" t="s">
        <v>57</v>
      </c>
      <c r="E123" s="10" t="s">
        <v>551</v>
      </c>
      <c r="F123" s="9" t="s">
        <v>552</v>
      </c>
      <c r="G123" s="8" t="s">
        <v>553</v>
      </c>
      <c r="I123" s="8" t="s">
        <v>554</v>
      </c>
      <c r="K123" s="8" t="b">
        <v>0</v>
      </c>
      <c r="L123" s="8" t="b">
        <v>0</v>
      </c>
      <c r="M123" s="8" t="b">
        <v>0</v>
      </c>
    </row>
    <row r="124" ht="22.5" customHeight="1">
      <c r="A124" s="8">
        <v>127.0</v>
      </c>
      <c r="B124" s="9" t="s">
        <v>555</v>
      </c>
      <c r="C124" s="9" t="s">
        <v>51</v>
      </c>
      <c r="D124" s="9" t="s">
        <v>38</v>
      </c>
      <c r="E124" s="10" t="s">
        <v>556</v>
      </c>
      <c r="F124" s="9" t="s">
        <v>482</v>
      </c>
      <c r="G124" s="8" t="s">
        <v>557</v>
      </c>
      <c r="I124" s="8" t="s">
        <v>558</v>
      </c>
      <c r="K124" s="8" t="b">
        <v>0</v>
      </c>
      <c r="L124" s="8" t="b">
        <v>0</v>
      </c>
      <c r="M124" s="8" t="b">
        <v>0</v>
      </c>
    </row>
    <row r="125" ht="22.5" customHeight="1">
      <c r="A125" s="8">
        <v>128.0</v>
      </c>
      <c r="B125" s="9" t="s">
        <v>559</v>
      </c>
      <c r="C125" s="9" t="s">
        <v>51</v>
      </c>
      <c r="D125" s="9" t="s">
        <v>38</v>
      </c>
      <c r="E125" s="10" t="s">
        <v>560</v>
      </c>
      <c r="F125" s="9" t="s">
        <v>482</v>
      </c>
      <c r="G125" s="8" t="s">
        <v>561</v>
      </c>
      <c r="I125" s="8" t="s">
        <v>562</v>
      </c>
      <c r="K125" s="8" t="b">
        <v>0</v>
      </c>
      <c r="L125" s="8" t="b">
        <v>0</v>
      </c>
      <c r="M125" s="8" t="b">
        <v>0</v>
      </c>
    </row>
    <row r="126" ht="22.5" customHeight="1">
      <c r="A126" s="8">
        <v>129.0</v>
      </c>
      <c r="B126" s="9" t="s">
        <v>563</v>
      </c>
      <c r="C126" s="9" t="s">
        <v>51</v>
      </c>
      <c r="D126" s="9" t="s">
        <v>38</v>
      </c>
      <c r="E126" s="10" t="s">
        <v>564</v>
      </c>
      <c r="F126" s="9" t="s">
        <v>482</v>
      </c>
      <c r="G126" s="8" t="s">
        <v>565</v>
      </c>
      <c r="I126" s="8" t="s">
        <v>566</v>
      </c>
      <c r="K126" s="8" t="b">
        <v>0</v>
      </c>
      <c r="L126" s="8" t="b">
        <v>0</v>
      </c>
      <c r="M126" s="8" t="b">
        <v>0</v>
      </c>
    </row>
    <row r="127" ht="22.5" customHeight="1">
      <c r="A127" s="8">
        <v>130.0</v>
      </c>
      <c r="B127" s="9" t="s">
        <v>567</v>
      </c>
      <c r="C127" s="9" t="s">
        <v>51</v>
      </c>
      <c r="D127" s="9" t="s">
        <v>38</v>
      </c>
      <c r="E127" s="10" t="s">
        <v>568</v>
      </c>
      <c r="F127" s="9" t="s">
        <v>482</v>
      </c>
      <c r="I127" s="8" t="s">
        <v>569</v>
      </c>
      <c r="K127" s="8" t="b">
        <v>0</v>
      </c>
      <c r="L127" s="8" t="b">
        <v>0</v>
      </c>
      <c r="M127" s="8" t="b">
        <v>0</v>
      </c>
    </row>
    <row r="128" ht="22.5" customHeight="1">
      <c r="A128" s="8">
        <v>131.0</v>
      </c>
      <c r="B128" s="9" t="s">
        <v>570</v>
      </c>
      <c r="C128" s="9" t="s">
        <v>40</v>
      </c>
      <c r="D128" s="9" t="s">
        <v>38</v>
      </c>
      <c r="E128" s="10" t="s">
        <v>571</v>
      </c>
      <c r="F128" s="9" t="s">
        <v>482</v>
      </c>
      <c r="I128" s="8" t="s">
        <v>572</v>
      </c>
      <c r="K128" s="8" t="b">
        <v>0</v>
      </c>
      <c r="L128" s="8" t="b">
        <v>0</v>
      </c>
      <c r="M128" s="8" t="b">
        <v>0</v>
      </c>
    </row>
    <row r="129" ht="22.5" customHeight="1">
      <c r="A129" s="8">
        <v>132.0</v>
      </c>
      <c r="B129" s="9" t="s">
        <v>573</v>
      </c>
      <c r="C129" s="9" t="s">
        <v>51</v>
      </c>
      <c r="D129" s="9" t="s">
        <v>29</v>
      </c>
      <c r="E129" s="10" t="s">
        <v>574</v>
      </c>
      <c r="F129" s="9" t="s">
        <v>575</v>
      </c>
      <c r="G129" s="8" t="s">
        <v>576</v>
      </c>
      <c r="H129" s="8">
        <v>9.66503369652E11</v>
      </c>
      <c r="I129" s="8" t="s">
        <v>577</v>
      </c>
      <c r="J129" s="8" t="s">
        <v>578</v>
      </c>
      <c r="K129" s="8" t="b">
        <v>0</v>
      </c>
      <c r="L129" s="8" t="b">
        <v>0</v>
      </c>
      <c r="M129" s="8" t="b">
        <v>0</v>
      </c>
    </row>
    <row r="130" ht="22.5" customHeight="1">
      <c r="A130" s="8">
        <v>133.0</v>
      </c>
      <c r="B130" s="9" t="s">
        <v>579</v>
      </c>
      <c r="C130" s="9" t="s">
        <v>51</v>
      </c>
      <c r="D130" s="9" t="s">
        <v>29</v>
      </c>
      <c r="E130" s="10" t="s">
        <v>580</v>
      </c>
      <c r="F130" s="9" t="s">
        <v>575</v>
      </c>
      <c r="G130" s="8" t="s">
        <v>576</v>
      </c>
      <c r="H130" s="8">
        <v>9.66503369652E11</v>
      </c>
      <c r="I130" s="8" t="s">
        <v>577</v>
      </c>
      <c r="J130" s="8" t="s">
        <v>578</v>
      </c>
      <c r="K130" s="8" t="b">
        <v>0</v>
      </c>
      <c r="L130" s="8" t="b">
        <v>0</v>
      </c>
      <c r="M130" s="8" t="b">
        <v>0</v>
      </c>
    </row>
    <row r="131" ht="22.5" customHeight="1">
      <c r="A131" s="8">
        <v>134.0</v>
      </c>
      <c r="B131" s="9" t="s">
        <v>581</v>
      </c>
      <c r="C131" s="9" t="s">
        <v>40</v>
      </c>
      <c r="D131" s="9" t="s">
        <v>38</v>
      </c>
      <c r="E131" s="10" t="s">
        <v>582</v>
      </c>
      <c r="F131" s="9" t="s">
        <v>482</v>
      </c>
      <c r="G131" s="8" t="s">
        <v>583</v>
      </c>
      <c r="H131" s="8" t="s">
        <v>583</v>
      </c>
      <c r="I131" s="11" t="s">
        <v>584</v>
      </c>
      <c r="N131" s="8" t="s">
        <v>585</v>
      </c>
    </row>
    <row r="132" ht="22.5" customHeight="1">
      <c r="A132" s="8">
        <v>135.0</v>
      </c>
      <c r="B132" s="9" t="s">
        <v>586</v>
      </c>
      <c r="C132" s="9" t="s">
        <v>45</v>
      </c>
      <c r="D132" s="9" t="s">
        <v>50</v>
      </c>
      <c r="E132" s="10" t="s">
        <v>587</v>
      </c>
      <c r="F132" s="9" t="s">
        <v>588</v>
      </c>
      <c r="G132" s="8" t="s">
        <v>589</v>
      </c>
      <c r="H132" s="8">
        <v>8.17788704E8</v>
      </c>
      <c r="I132" s="11" t="s">
        <v>590</v>
      </c>
      <c r="N132" s="8" t="s">
        <v>591</v>
      </c>
    </row>
    <row r="133" ht="22.5" customHeight="1">
      <c r="A133" s="8">
        <v>136.0</v>
      </c>
      <c r="B133" s="9" t="s">
        <v>592</v>
      </c>
      <c r="C133" s="9" t="s">
        <v>51</v>
      </c>
      <c r="D133" s="9" t="s">
        <v>29</v>
      </c>
      <c r="E133" s="10" t="s">
        <v>593</v>
      </c>
      <c r="F133" s="9" t="s">
        <v>575</v>
      </c>
      <c r="G133" s="8">
        <f t="shared" ref="G133:H133" si="8">966546383308</f>
        <v>966546383308</v>
      </c>
      <c r="H133" s="8">
        <f t="shared" si="8"/>
        <v>966546383308</v>
      </c>
      <c r="I133" s="8" t="s">
        <v>594</v>
      </c>
      <c r="J133" s="8" t="s">
        <v>595</v>
      </c>
      <c r="K133" s="8" t="b">
        <v>0</v>
      </c>
      <c r="L133" s="8" t="b">
        <v>0</v>
      </c>
      <c r="M133" s="8" t="b">
        <v>0</v>
      </c>
      <c r="N133" s="8" t="s">
        <v>596</v>
      </c>
    </row>
    <row r="134" ht="22.5" customHeight="1">
      <c r="A134" s="8">
        <v>137.0</v>
      </c>
      <c r="B134" s="9" t="s">
        <v>597</v>
      </c>
      <c r="C134" s="9" t="s">
        <v>598</v>
      </c>
      <c r="D134" s="9" t="s">
        <v>59</v>
      </c>
      <c r="E134" s="10" t="s">
        <v>599</v>
      </c>
      <c r="I134" s="8" t="s">
        <v>600</v>
      </c>
      <c r="K134" s="8" t="b">
        <v>0</v>
      </c>
      <c r="L134" s="8" t="b">
        <v>0</v>
      </c>
      <c r="M134" s="8" t="b">
        <v>0</v>
      </c>
    </row>
    <row r="135" ht="22.5" customHeight="1">
      <c r="A135" s="8">
        <v>138.0</v>
      </c>
      <c r="B135" s="9" t="s">
        <v>154</v>
      </c>
      <c r="C135" s="9" t="s">
        <v>51</v>
      </c>
      <c r="D135" s="9" t="s">
        <v>59</v>
      </c>
      <c r="F135" s="9" t="s">
        <v>601</v>
      </c>
      <c r="G135" s="8">
        <f t="shared" ref="G135:H135" si="9">+27844046043</f>
        <v>27844046043</v>
      </c>
      <c r="H135" s="8">
        <f t="shared" si="9"/>
        <v>27844046043</v>
      </c>
      <c r="I135" s="8" t="s">
        <v>602</v>
      </c>
      <c r="N135" s="8" t="s">
        <v>603</v>
      </c>
      <c r="P135" s="8" t="s">
        <v>604</v>
      </c>
    </row>
    <row r="136" ht="22.5" customHeight="1">
      <c r="A136" s="8">
        <v>139.0</v>
      </c>
      <c r="B136" s="9" t="s">
        <v>605</v>
      </c>
      <c r="C136" s="9" t="s">
        <v>40</v>
      </c>
      <c r="D136" s="9" t="s">
        <v>59</v>
      </c>
      <c r="F136" s="9" t="s">
        <v>606</v>
      </c>
      <c r="G136" s="8">
        <f>+6282110120821</f>
        <v>6282110120821</v>
      </c>
      <c r="H136" s="8">
        <f>+62816979185</f>
        <v>62816979185</v>
      </c>
      <c r="I136" s="8" t="s">
        <v>607</v>
      </c>
      <c r="J136" s="8" t="s">
        <v>608</v>
      </c>
      <c r="N136" s="8" t="s">
        <v>609</v>
      </c>
      <c r="P136" s="8" t="s">
        <v>588</v>
      </c>
    </row>
    <row r="137" ht="22.5" customHeight="1"/>
    <row r="138" ht="22.5" customHeight="1"/>
    <row r="139" ht="22.5" customHeight="1"/>
    <row r="140" ht="22.5" customHeight="1"/>
    <row r="141" ht="22.5" customHeight="1"/>
    <row r="142" ht="22.5" customHeight="1"/>
    <row r="143" ht="22.5" customHeight="1"/>
    <row r="144" ht="22.5" customHeight="1"/>
    <row r="145" ht="22.5" customHeight="1"/>
    <row r="146" ht="22.5" customHeight="1"/>
    <row r="147" ht="22.5" customHeight="1"/>
    <row r="148" ht="22.5" customHeight="1"/>
    <row r="149" ht="22.5" customHeight="1"/>
    <row r="150" ht="22.5" customHeight="1"/>
    <row r="151" ht="22.5" customHeight="1"/>
    <row r="152" ht="22.5" customHeight="1"/>
    <row r="153" ht="22.5" customHeight="1"/>
    <row r="154" ht="22.5" customHeight="1"/>
    <row r="155" ht="22.5" customHeight="1"/>
    <row r="156" ht="22.5" customHeight="1"/>
    <row r="157" ht="22.5" customHeight="1"/>
    <row r="158" ht="22.5" customHeight="1"/>
    <row r="159" ht="22.5" customHeight="1"/>
    <row r="160" ht="22.5" customHeight="1"/>
    <row r="161" ht="22.5" customHeight="1"/>
    <row r="162" ht="22.5" customHeight="1"/>
    <row r="163" ht="22.5" customHeight="1"/>
    <row r="164" ht="22.5" customHeight="1"/>
    <row r="165" ht="22.5" customHeight="1"/>
    <row r="166" ht="22.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18"/>
    <hyperlink r:id="rId18" ref="E19"/>
    <hyperlink r:id="rId19" ref="E20"/>
    <hyperlink r:id="rId20" ref="E21"/>
    <hyperlink r:id="rId21" ref="E22"/>
    <hyperlink r:id="rId22" ref="E23"/>
    <hyperlink r:id="rId23" ref="E24"/>
    <hyperlink r:id="rId24" ref="E25"/>
    <hyperlink r:id="rId25" ref="E26"/>
    <hyperlink r:id="rId26" ref="E27"/>
    <hyperlink r:id="rId27" ref="E28"/>
    <hyperlink r:id="rId28" ref="E29"/>
    <hyperlink r:id="rId29" ref="E30"/>
    <hyperlink r:id="rId30" ref="E31"/>
    <hyperlink r:id="rId31" ref="E32"/>
    <hyperlink r:id="rId32" ref="E33"/>
    <hyperlink r:id="rId33" ref="E34"/>
    <hyperlink r:id="rId34" ref="E35"/>
    <hyperlink r:id="rId35" ref="E36"/>
    <hyperlink r:id="rId36" ref="E37"/>
    <hyperlink r:id="rId37" ref="E38"/>
    <hyperlink r:id="rId38" ref="E39"/>
    <hyperlink r:id="rId39" ref="E40"/>
    <hyperlink r:id="rId40" ref="E41"/>
    <hyperlink r:id="rId41" ref="E42"/>
    <hyperlink r:id="rId42" ref="E43"/>
    <hyperlink r:id="rId43" ref="E44"/>
    <hyperlink r:id="rId44" ref="E45"/>
    <hyperlink r:id="rId45" ref="E46"/>
    <hyperlink r:id="rId46" ref="E47"/>
    <hyperlink r:id="rId47" ref="E48"/>
    <hyperlink r:id="rId48" ref="E49"/>
    <hyperlink r:id="rId49" ref="E50"/>
    <hyperlink r:id="rId50" ref="E51"/>
    <hyperlink r:id="rId51" ref="E52"/>
    <hyperlink r:id="rId52" ref="E53"/>
    <hyperlink r:id="rId53" ref="E54"/>
    <hyperlink r:id="rId54" ref="E55"/>
    <hyperlink r:id="rId55" ref="E56"/>
    <hyperlink r:id="rId56" ref="E57"/>
    <hyperlink r:id="rId57" ref="E58"/>
    <hyperlink r:id="rId58" ref="E59"/>
    <hyperlink r:id="rId59" ref="E60"/>
    <hyperlink r:id="rId60" ref="E61"/>
    <hyperlink r:id="rId61" ref="E62"/>
    <hyperlink r:id="rId62" ref="E63"/>
    <hyperlink r:id="rId63" ref="E64"/>
    <hyperlink r:id="rId64" ref="E65"/>
    <hyperlink r:id="rId65" ref="E66"/>
    <hyperlink r:id="rId66" ref="E67"/>
    <hyperlink r:id="rId67" ref="E68"/>
    <hyperlink r:id="rId68" ref="E69"/>
    <hyperlink r:id="rId69" ref="E70"/>
    <hyperlink r:id="rId70" ref="E71"/>
    <hyperlink r:id="rId71" ref="E72"/>
    <hyperlink r:id="rId72" ref="E73"/>
    <hyperlink r:id="rId73" ref="E74"/>
    <hyperlink r:id="rId74" ref="E75"/>
    <hyperlink r:id="rId75" ref="E76"/>
    <hyperlink r:id="rId76" ref="E77"/>
    <hyperlink r:id="rId77" ref="E78"/>
    <hyperlink r:id="rId78" ref="E79"/>
    <hyperlink r:id="rId79" ref="E80"/>
    <hyperlink r:id="rId80" ref="E81"/>
    <hyperlink r:id="rId81" ref="E82"/>
    <hyperlink r:id="rId82" ref="E83"/>
    <hyperlink r:id="rId83" ref="E84"/>
    <hyperlink r:id="rId84" ref="E85"/>
    <hyperlink r:id="rId85" ref="E86"/>
    <hyperlink r:id="rId86" ref="E87"/>
    <hyperlink r:id="rId87" ref="E88"/>
    <hyperlink r:id="rId88" ref="E89"/>
    <hyperlink r:id="rId89" ref="E90"/>
    <hyperlink r:id="rId90" ref="E91"/>
    <hyperlink r:id="rId91" ref="E92"/>
    <hyperlink r:id="rId92" ref="E93"/>
    <hyperlink r:id="rId93" ref="E94"/>
    <hyperlink r:id="rId94" ref="E95"/>
    <hyperlink r:id="rId95" ref="E96"/>
    <hyperlink r:id="rId96" ref="O96"/>
    <hyperlink r:id="rId97" ref="E97"/>
    <hyperlink r:id="rId98" ref="E98"/>
    <hyperlink r:id="rId99" ref="E99"/>
    <hyperlink r:id="rId100" ref="E101"/>
    <hyperlink r:id="rId101" ref="E102"/>
    <hyperlink r:id="rId102" ref="E103"/>
    <hyperlink r:id="rId103" ref="I103"/>
    <hyperlink r:id="rId104" ref="E104"/>
    <hyperlink r:id="rId105" ref="E105"/>
    <hyperlink r:id="rId106" ref="E106"/>
    <hyperlink r:id="rId107" ref="E107"/>
    <hyperlink r:id="rId108" ref="E108"/>
    <hyperlink r:id="rId109" ref="E109"/>
    <hyperlink r:id="rId110" ref="E110"/>
    <hyperlink r:id="rId111" ref="E111"/>
    <hyperlink r:id="rId112" ref="E112"/>
    <hyperlink r:id="rId113" ref="E113"/>
    <hyperlink r:id="rId114" ref="E114"/>
    <hyperlink r:id="rId115" ref="E115"/>
    <hyperlink r:id="rId116" ref="E116"/>
    <hyperlink r:id="rId117" ref="E117"/>
    <hyperlink r:id="rId118" ref="E118"/>
    <hyperlink r:id="rId119" ref="E119"/>
    <hyperlink r:id="rId120" ref="E120"/>
    <hyperlink r:id="rId121" ref="E121"/>
    <hyperlink r:id="rId122" ref="E122"/>
    <hyperlink r:id="rId123" ref="E123"/>
    <hyperlink r:id="rId124" ref="E124"/>
    <hyperlink r:id="rId125" ref="E125"/>
    <hyperlink r:id="rId126" ref="E126"/>
    <hyperlink r:id="rId127" ref="E127"/>
    <hyperlink r:id="rId128" ref="E128"/>
    <hyperlink r:id="rId129" ref="E129"/>
    <hyperlink r:id="rId130" ref="E130"/>
    <hyperlink r:id="rId131" ref="E131"/>
    <hyperlink r:id="rId132" ref="I131"/>
    <hyperlink r:id="rId133" ref="E132"/>
    <hyperlink r:id="rId134" ref="I132"/>
    <hyperlink r:id="rId135" ref="E133"/>
    <hyperlink r:id="rId136" ref="E134"/>
  </hyperlinks>
  <drawing r:id="rId137"/>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sheetData>
    <row r="1" ht="22.5" customHeight="1">
      <c r="A1" s="8" t="s">
        <v>610</v>
      </c>
      <c r="B1" s="8" t="s">
        <v>611</v>
      </c>
      <c r="C1" s="8" t="s">
        <v>612</v>
      </c>
      <c r="D1" s="8" t="s">
        <v>613</v>
      </c>
      <c r="E1" s="8" t="s">
        <v>614</v>
      </c>
    </row>
    <row r="2" ht="22.5" customHeight="1">
      <c r="A2" s="8" t="s">
        <v>615</v>
      </c>
      <c r="B2" s="8" t="s">
        <v>616</v>
      </c>
    </row>
    <row r="3" ht="22.5" customHeight="1">
      <c r="A3" s="8" t="s">
        <v>617</v>
      </c>
      <c r="B3" s="8" t="s">
        <v>618</v>
      </c>
    </row>
    <row r="4" ht="22.5" customHeight="1">
      <c r="A4" s="8" t="s">
        <v>619</v>
      </c>
      <c r="B4" s="8" t="s">
        <v>620</v>
      </c>
      <c r="C4" s="8" t="s">
        <v>621</v>
      </c>
    </row>
    <row r="5" ht="22.5" customHeight="1">
      <c r="A5" s="8" t="s">
        <v>622</v>
      </c>
      <c r="B5" s="8" t="s">
        <v>623</v>
      </c>
    </row>
    <row r="6" ht="22.5" customHeight="1"/>
    <row r="7" ht="22.5" customHeight="1">
      <c r="A7" s="8" t="s">
        <v>624</v>
      </c>
      <c r="B7" s="8" t="s">
        <v>625</v>
      </c>
    </row>
    <row r="8" ht="22.5" customHeight="1">
      <c r="A8" s="8" t="s">
        <v>626</v>
      </c>
      <c r="B8" s="8" t="s">
        <v>627</v>
      </c>
    </row>
    <row r="9" ht="22.5" customHeight="1">
      <c r="A9" s="8" t="s">
        <v>628</v>
      </c>
      <c r="B9" s="8" t="s">
        <v>629</v>
      </c>
    </row>
    <row r="10" ht="22.5" customHeight="1">
      <c r="A10" s="8" t="s">
        <v>630</v>
      </c>
      <c r="B10" s="8" t="s">
        <v>631</v>
      </c>
    </row>
    <row r="11" ht="22.5" customHeight="1">
      <c r="A11" s="8" t="s">
        <v>632</v>
      </c>
    </row>
    <row r="12" ht="22.5" customHeight="1">
      <c r="A12" s="8" t="s">
        <v>633</v>
      </c>
    </row>
    <row r="13" ht="22.5" customHeight="1">
      <c r="A13" s="8" t="s">
        <v>634</v>
      </c>
      <c r="B13" s="8" t="s">
        <v>635</v>
      </c>
    </row>
    <row r="14" ht="22.5" customHeight="1">
      <c r="A14" s="8" t="s">
        <v>636</v>
      </c>
    </row>
    <row r="15" ht="22.5" customHeight="1">
      <c r="A15" s="8" t="s">
        <v>637</v>
      </c>
      <c r="B15" s="8" t="s">
        <v>638</v>
      </c>
    </row>
    <row r="16" ht="22.5" customHeight="1"/>
    <row r="17" ht="22.5" customHeight="1">
      <c r="A17" s="8" t="s">
        <v>639</v>
      </c>
      <c r="B17" s="8" t="s">
        <v>640</v>
      </c>
    </row>
    <row r="18" ht="22.5" customHeight="1">
      <c r="A18" s="8" t="s">
        <v>641</v>
      </c>
      <c r="B18" s="8" t="s">
        <v>642</v>
      </c>
    </row>
    <row r="19" ht="22.5" customHeight="1">
      <c r="A19" s="8" t="s">
        <v>643</v>
      </c>
      <c r="B19" s="8" t="s">
        <v>644</v>
      </c>
    </row>
    <row r="20" ht="22.5" customHeight="1">
      <c r="A20" s="8" t="s">
        <v>645</v>
      </c>
      <c r="B20" s="8" t="s">
        <v>646</v>
      </c>
    </row>
    <row r="21" ht="22.5" customHeight="1"/>
    <row r="22" ht="22.5" customHeight="1">
      <c r="A22" s="8" t="s">
        <v>647</v>
      </c>
      <c r="B22" s="8" t="s">
        <v>648</v>
      </c>
    </row>
    <row r="23" ht="22.5" customHeight="1">
      <c r="A23" s="8" t="s">
        <v>649</v>
      </c>
      <c r="B23" s="8" t="s">
        <v>650</v>
      </c>
    </row>
    <row r="24" ht="22.5" customHeight="1">
      <c r="A24" s="8" t="s">
        <v>651</v>
      </c>
      <c r="B24" s="8" t="s">
        <v>652</v>
      </c>
    </row>
    <row r="25" ht="22.5" customHeight="1">
      <c r="A25" s="8" t="s">
        <v>653</v>
      </c>
      <c r="B25" s="8" t="s">
        <v>654</v>
      </c>
    </row>
    <row r="26" ht="22.5" customHeight="1">
      <c r="A26" s="8" t="s">
        <v>655</v>
      </c>
      <c r="B26" s="8" t="s">
        <v>656</v>
      </c>
    </row>
    <row r="27" ht="22.5" customHeight="1">
      <c r="A27" s="8" t="s">
        <v>657</v>
      </c>
      <c r="B27" s="8" t="s">
        <v>658</v>
      </c>
    </row>
    <row r="28" ht="22.5" customHeight="1">
      <c r="A28" s="8" t="s">
        <v>659</v>
      </c>
      <c r="B28" s="8" t="s">
        <v>660</v>
      </c>
    </row>
    <row r="29" ht="22.5" customHeight="1">
      <c r="A29" s="8" t="s">
        <v>661</v>
      </c>
      <c r="B29" s="8" t="s">
        <v>662</v>
      </c>
      <c r="E29" s="12">
        <v>45725.0</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sheetData>
    <row r="1" ht="22.5" customHeight="1">
      <c r="A1" s="8" t="s">
        <v>7</v>
      </c>
      <c r="B1" s="13" t="s">
        <v>663</v>
      </c>
      <c r="C1" s="8" t="s">
        <v>8</v>
      </c>
      <c r="D1" s="8" t="s">
        <v>664</v>
      </c>
    </row>
    <row r="2" ht="22.5" customHeight="1">
      <c r="A2" s="9" t="s">
        <v>50</v>
      </c>
      <c r="B2" s="9" t="s">
        <v>38</v>
      </c>
      <c r="C2" s="8">
        <f>IFERROR(__xludf.DUMMYFUNCTION("GOOGLEFINANCE(""Currency:""&amp;A2&amp;B2)"),94.96740000000001)</f>
        <v>94.9674</v>
      </c>
      <c r="D2" s="8">
        <f>IFERROR(__xludf.DUMMYFUNCTION("GOOGLEFINANCE(""Currency:""&amp;B2&amp;A2)"),0.01052993)</f>
        <v>0.01052993</v>
      </c>
    </row>
    <row r="3" ht="22.5" customHeight="1">
      <c r="A3" s="9" t="s">
        <v>63</v>
      </c>
      <c r="B3" s="9" t="s">
        <v>38</v>
      </c>
      <c r="C3" s="8">
        <f>IFERROR(__xludf.DUMMYFUNCTION("GOOGLEFINANCE(""Currency:""&amp;A3&amp;B3)"),23.499550000000003)</f>
        <v>23.49955</v>
      </c>
      <c r="D3" s="8">
        <f>IFERROR(__xludf.DUMMYFUNCTION("GOOGLEFINANCE(""Currency:""&amp;B3&amp;A3)"),0.04272527)</f>
        <v>0.04272527</v>
      </c>
    </row>
    <row r="4" ht="22.5" customHeight="1">
      <c r="A4" s="9" t="s">
        <v>15</v>
      </c>
      <c r="B4" s="9" t="s">
        <v>38</v>
      </c>
      <c r="C4" s="8">
        <f>IFERROR(__xludf.DUMMYFUNCTION("GOOGLEFINANCE(""Currency:""&amp;A4&amp;B4)"),0.34415221700000004)</f>
        <v>0.344152217</v>
      </c>
      <c r="D4" s="8">
        <f>IFERROR(__xludf.DUMMYFUNCTION("GOOGLEFINANCE(""Currency:""&amp;B4&amp;A4)"),2.905691)</f>
        <v>2.905691</v>
      </c>
    </row>
    <row r="5" ht="22.5" customHeight="1">
      <c r="A5" s="9" t="s">
        <v>29</v>
      </c>
      <c r="B5" s="9" t="s">
        <v>38</v>
      </c>
      <c r="C5" s="8">
        <f>IFERROR(__xludf.DUMMYFUNCTION("GOOGLEFINANCE(""Currency:""&amp;A5&amp;B5)"),25.29305406)</f>
        <v>25.29305406</v>
      </c>
      <c r="D5" s="8">
        <f>IFERROR(__xludf.DUMMYFUNCTION("GOOGLEFINANCE(""Currency:""&amp;B5&amp;A5)"),0.0395365492)</f>
        <v>0.0395365492</v>
      </c>
    </row>
    <row r="6" ht="22.5" customHeight="1">
      <c r="A6" s="9" t="s">
        <v>665</v>
      </c>
      <c r="B6" s="9" t="s">
        <v>38</v>
      </c>
      <c r="C6" s="8">
        <f>IFERROR(__xludf.DUMMYFUNCTION("GOOGLEFINANCE(""Currency:""&amp;A6&amp;B6)"),252.69761499999998)</f>
        <v>252.697615</v>
      </c>
      <c r="D6" s="8">
        <f>IFERROR(__xludf.DUMMYFUNCTION("GOOGLEFINANCE(""Currency:""&amp;B6&amp;A6)"),0.0039608342)</f>
        <v>0.0039608342</v>
      </c>
    </row>
    <row r="7" ht="22.5" customHeight="1">
      <c r="A7" s="9" t="s">
        <v>59</v>
      </c>
      <c r="B7" s="9" t="s">
        <v>38</v>
      </c>
      <c r="C7" s="8">
        <f>IFERROR(__xludf.DUMMYFUNCTION("GOOGLEFINANCE(""Currency:""&amp;A7&amp;B7)"),127.4816)</f>
        <v>127.4816</v>
      </c>
      <c r="D7" s="8">
        <f>IFERROR(__xludf.DUMMYFUNCTION("GOOGLEFINANCE(""Currency:""&amp;B7&amp;A7)"),0.007844273)</f>
        <v>0.007844273</v>
      </c>
    </row>
    <row r="8" ht="22.5" customHeight="1">
      <c r="A8" s="9" t="s">
        <v>188</v>
      </c>
      <c r="B8" s="9" t="s">
        <v>38</v>
      </c>
      <c r="C8" s="8">
        <f>IFERROR(__xludf.DUMMYFUNCTION("GOOGLEFINANCE(""Currency:""&amp;A8&amp;B8)"),6.777076894)</f>
        <v>6.777076894</v>
      </c>
      <c r="D8" s="8">
        <f>IFERROR(__xludf.DUMMYFUNCTION("GOOGLEFINANCE(""Currency:""&amp;B8&amp;A8)"),0.1481138901)</f>
        <v>0.1481138901</v>
      </c>
    </row>
    <row r="9" ht="22.5" customHeight="1">
      <c r="A9" s="9" t="s">
        <v>57</v>
      </c>
      <c r="B9" s="9" t="s">
        <v>38</v>
      </c>
      <c r="C9" s="8">
        <f>IFERROR(__xludf.DUMMYFUNCTION("GOOGLEFINANCE(""Currency:""&amp;A9&amp;B9)"),25.9339)</f>
        <v>25.9339</v>
      </c>
      <c r="D9" s="8">
        <f>IFERROR(__xludf.DUMMYFUNCTION("GOOGLEFINANCE(""Currency:""&amp;B9&amp;A9)"),0.038559568700000005)</f>
        <v>0.0385595687</v>
      </c>
    </row>
    <row r="10" ht="22.5" customHeight="1">
      <c r="A10" s="9" t="s">
        <v>109</v>
      </c>
      <c r="B10" s="9" t="s">
        <v>38</v>
      </c>
      <c r="C10" s="8">
        <f>IFERROR(__xludf.DUMMYFUNCTION("GOOGLEFINANCE(""Currency:""&amp;A10&amp;B10)"),74.08250000000001)</f>
        <v>74.0825</v>
      </c>
      <c r="D10" s="8">
        <f>IFERROR(__xludf.DUMMYFUNCTION("GOOGLEFINANCE(""Currency:""&amp;B10&amp;A10)"),0.01349578)</f>
        <v>0.01349578</v>
      </c>
    </row>
    <row r="11" ht="22.5" customHeight="1">
      <c r="A11" s="9" t="s">
        <v>666</v>
      </c>
      <c r="B11" s="9" t="s">
        <v>38</v>
      </c>
      <c r="C11" s="8">
        <f>IFERROR(__xludf.DUMMYFUNCTION("GOOGLEFINANCE(""Currency:""&amp;A11&amp;B11)"),0.7747645622)</f>
        <v>0.7747645622</v>
      </c>
      <c r="D11" s="8">
        <f>IFERROR(__xludf.DUMMYFUNCTION("GOOGLEFINANCE(""Currency:""&amp;B11&amp;A11)"),1.290923086)</f>
        <v>1.290923086</v>
      </c>
    </row>
    <row r="12" ht="22.5" customHeight="1">
      <c r="A12" s="9" t="s">
        <v>38</v>
      </c>
      <c r="B12" s="9" t="s">
        <v>38</v>
      </c>
      <c r="C12" s="8">
        <v>1.0</v>
      </c>
      <c r="D12" s="8">
        <v>1.0</v>
      </c>
    </row>
    <row r="13" ht="22.5" customHeight="1"/>
    <row r="14" ht="22.5" customHeight="1"/>
    <row r="15" ht="22.5" customHeight="1"/>
    <row r="16" ht="22.5" customHeight="1"/>
    <row r="17" ht="22.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sheetData>
    <row r="1" ht="22.5" customHeight="1">
      <c r="A1" s="8" t="s">
        <v>667</v>
      </c>
      <c r="B1" s="13" t="s">
        <v>668</v>
      </c>
    </row>
    <row r="2" ht="22.5" customHeight="1">
      <c r="A2" s="9" t="s">
        <v>669</v>
      </c>
      <c r="B2" s="9" t="s">
        <v>670</v>
      </c>
    </row>
    <row r="3" ht="22.5" customHeight="1">
      <c r="A3" s="9" t="s">
        <v>671</v>
      </c>
      <c r="B3" s="9" t="s">
        <v>672</v>
      </c>
    </row>
    <row r="4" ht="22.5" customHeight="1">
      <c r="A4" s="9" t="s">
        <v>673</v>
      </c>
      <c r="B4" s="9" t="s">
        <v>674</v>
      </c>
    </row>
    <row r="5" ht="22.5" customHeight="1">
      <c r="A5" s="9" t="s">
        <v>675</v>
      </c>
      <c r="B5" s="9" t="s">
        <v>676</v>
      </c>
    </row>
    <row r="6" ht="22.5" customHeight="1">
      <c r="A6" s="9" t="s">
        <v>677</v>
      </c>
      <c r="B6" s="9" t="s">
        <v>678</v>
      </c>
    </row>
    <row r="7" ht="22.5" customHeight="1">
      <c r="A7" s="9" t="s">
        <v>679</v>
      </c>
      <c r="B7" s="9" t="s">
        <v>680</v>
      </c>
    </row>
    <row r="8" ht="22.5" customHeight="1">
      <c r="A8" s="9" t="s">
        <v>681</v>
      </c>
      <c r="B8" s="9" t="s">
        <v>682</v>
      </c>
    </row>
    <row r="9" ht="22.5" customHeight="1">
      <c r="A9" s="9" t="s">
        <v>683</v>
      </c>
      <c r="B9" s="9" t="s">
        <v>684</v>
      </c>
    </row>
    <row r="10" ht="22.5" customHeight="1">
      <c r="A10" s="9" t="s">
        <v>685</v>
      </c>
      <c r="B10" s="9" t="s">
        <v>686</v>
      </c>
    </row>
    <row r="11" ht="22.5" customHeight="1">
      <c r="A11" s="9" t="s">
        <v>687</v>
      </c>
      <c r="B11" s="9" t="s">
        <v>688</v>
      </c>
    </row>
    <row r="12" ht="22.5" customHeight="1">
      <c r="A12" s="9" t="s">
        <v>689</v>
      </c>
      <c r="B12" s="9" t="s">
        <v>690</v>
      </c>
    </row>
    <row r="13" ht="22.5" customHeight="1">
      <c r="A13" s="9" t="s">
        <v>691</v>
      </c>
      <c r="B13" s="9" t="s">
        <v>692</v>
      </c>
    </row>
    <row r="14" ht="22.5" customHeight="1">
      <c r="A14" s="9" t="s">
        <v>693</v>
      </c>
      <c r="B14" s="9" t="s">
        <v>694</v>
      </c>
    </row>
    <row r="15" ht="22.5" customHeight="1">
      <c r="A15" s="9" t="s">
        <v>695</v>
      </c>
      <c r="B15" s="9" t="s">
        <v>696</v>
      </c>
    </row>
    <row r="16" ht="22.5" customHeight="1">
      <c r="A16" s="9" t="s">
        <v>697</v>
      </c>
      <c r="B16" s="9" t="s">
        <v>698</v>
      </c>
    </row>
    <row r="17" ht="22.5" customHeight="1">
      <c r="A17" s="9" t="s">
        <v>699</v>
      </c>
      <c r="B17" s="9" t="s">
        <v>700</v>
      </c>
    </row>
    <row r="18" ht="22.5" customHeight="1">
      <c r="A18" s="9" t="s">
        <v>701</v>
      </c>
      <c r="B18" s="9" t="s">
        <v>702</v>
      </c>
    </row>
    <row r="19" ht="22.5" customHeight="1">
      <c r="A19" s="9" t="s">
        <v>703</v>
      </c>
      <c r="B19" s="9" t="s">
        <v>704</v>
      </c>
    </row>
    <row r="20" ht="22.5" customHeight="1">
      <c r="A20" s="9" t="s">
        <v>705</v>
      </c>
      <c r="B20" s="9" t="s">
        <v>706</v>
      </c>
    </row>
    <row r="21" ht="22.5" customHeight="1">
      <c r="A21" s="9" t="s">
        <v>707</v>
      </c>
      <c r="B21" s="9" t="s">
        <v>708</v>
      </c>
    </row>
    <row r="22" ht="22.5" customHeight="1">
      <c r="A22" s="9" t="s">
        <v>709</v>
      </c>
      <c r="B22" s="9" t="s">
        <v>710</v>
      </c>
    </row>
    <row r="23" ht="22.5" customHeight="1">
      <c r="A23" s="9" t="s">
        <v>711</v>
      </c>
      <c r="B23" s="9" t="s">
        <v>712</v>
      </c>
    </row>
    <row r="24" ht="22.5" customHeight="1">
      <c r="A24" s="9" t="s">
        <v>713</v>
      </c>
      <c r="B24" s="9" t="s">
        <v>714</v>
      </c>
    </row>
    <row r="25" ht="22.5" customHeight="1">
      <c r="A25" s="9" t="s">
        <v>715</v>
      </c>
      <c r="B25" s="9" t="s">
        <v>716</v>
      </c>
    </row>
    <row r="26" ht="22.5" customHeight="1">
      <c r="A26" s="9" t="s">
        <v>717</v>
      </c>
      <c r="B26" s="9" t="s">
        <v>718</v>
      </c>
    </row>
    <row r="27" ht="22.5" customHeight="1">
      <c r="A27" s="9" t="s">
        <v>719</v>
      </c>
      <c r="B27" s="9" t="s">
        <v>720</v>
      </c>
    </row>
    <row r="28" ht="22.5" customHeight="1">
      <c r="A28" s="9" t="s">
        <v>721</v>
      </c>
      <c r="B28" s="9" t="s">
        <v>722</v>
      </c>
    </row>
    <row r="29" ht="22.5" customHeight="1">
      <c r="A29" s="9" t="s">
        <v>723</v>
      </c>
      <c r="B29" s="9" t="s">
        <v>724</v>
      </c>
    </row>
    <row r="30" ht="22.5" customHeight="1">
      <c r="A30" s="9" t="s">
        <v>725</v>
      </c>
      <c r="B30" s="9" t="s">
        <v>726</v>
      </c>
    </row>
    <row r="31" ht="22.5" customHeight="1">
      <c r="A31" s="9" t="s">
        <v>727</v>
      </c>
      <c r="B31" s="9" t="s">
        <v>728</v>
      </c>
    </row>
    <row r="32" ht="22.5" customHeight="1">
      <c r="A32" s="9" t="s">
        <v>729</v>
      </c>
      <c r="B32" s="9" t="s">
        <v>730</v>
      </c>
    </row>
    <row r="33" ht="22.5" customHeight="1">
      <c r="A33" s="9" t="s">
        <v>731</v>
      </c>
      <c r="B33" s="9" t="s">
        <v>732</v>
      </c>
    </row>
    <row r="34" ht="22.5" customHeight="1">
      <c r="A34" s="9" t="s">
        <v>733</v>
      </c>
      <c r="B34" s="9" t="s">
        <v>734</v>
      </c>
    </row>
    <row r="35" ht="22.5" customHeight="1">
      <c r="A35" s="9" t="s">
        <v>735</v>
      </c>
      <c r="B35" s="9" t="s">
        <v>736</v>
      </c>
    </row>
    <row r="36" ht="22.5" customHeight="1">
      <c r="A36" s="9" t="s">
        <v>737</v>
      </c>
      <c r="B36" s="9" t="s">
        <v>738</v>
      </c>
    </row>
    <row r="37" ht="22.5" customHeight="1">
      <c r="A37" s="9" t="s">
        <v>739</v>
      </c>
      <c r="B37" s="9" t="s">
        <v>740</v>
      </c>
    </row>
    <row r="38" ht="22.5" customHeight="1">
      <c r="A38" s="9" t="s">
        <v>741</v>
      </c>
      <c r="B38" s="9" t="s">
        <v>742</v>
      </c>
    </row>
    <row r="39" ht="22.5" customHeight="1">
      <c r="A39" s="9" t="s">
        <v>743</v>
      </c>
      <c r="B39" s="9" t="s">
        <v>744</v>
      </c>
    </row>
    <row r="40" ht="22.5" customHeight="1">
      <c r="A40" s="9" t="s">
        <v>745</v>
      </c>
      <c r="B40" s="9" t="s">
        <v>746</v>
      </c>
    </row>
    <row r="41" ht="22.5" customHeight="1">
      <c r="A41" s="9" t="s">
        <v>747</v>
      </c>
      <c r="B41" s="9" t="s">
        <v>748</v>
      </c>
    </row>
    <row r="42" ht="22.5" customHeight="1">
      <c r="A42" s="9" t="s">
        <v>749</v>
      </c>
      <c r="B42" s="9" t="s">
        <v>750</v>
      </c>
    </row>
    <row r="43" ht="22.5" customHeight="1">
      <c r="A43" s="9" t="s">
        <v>751</v>
      </c>
      <c r="B43" s="9" t="s">
        <v>752</v>
      </c>
    </row>
    <row r="44" ht="22.5" customHeight="1">
      <c r="A44" s="9" t="s">
        <v>753</v>
      </c>
      <c r="B44" s="9" t="s">
        <v>754</v>
      </c>
    </row>
    <row r="45" ht="22.5" customHeight="1">
      <c r="A45" s="9" t="s">
        <v>755</v>
      </c>
      <c r="B45" s="9" t="s">
        <v>756</v>
      </c>
    </row>
    <row r="46" ht="22.5" customHeight="1">
      <c r="A46" s="9" t="s">
        <v>757</v>
      </c>
      <c r="B46" s="9" t="s">
        <v>758</v>
      </c>
    </row>
    <row r="47" ht="22.5" customHeight="1">
      <c r="A47" s="9" t="s">
        <v>759</v>
      </c>
      <c r="B47" s="9" t="s">
        <v>760</v>
      </c>
    </row>
    <row r="48" ht="22.5" customHeight="1">
      <c r="A48" s="9" t="s">
        <v>761</v>
      </c>
    </row>
    <row r="49" ht="22.5" customHeight="1">
      <c r="A49" s="9" t="s">
        <v>762</v>
      </c>
    </row>
    <row r="50" ht="22.5" customHeight="1">
      <c r="A50" s="9" t="s">
        <v>763</v>
      </c>
    </row>
    <row r="51" ht="22.5" customHeight="1">
      <c r="A51" s="9" t="s">
        <v>764</v>
      </c>
    </row>
    <row r="52" ht="22.5" customHeight="1">
      <c r="A52" s="9" t="s">
        <v>765</v>
      </c>
    </row>
    <row r="53" ht="22.5" customHeight="1">
      <c r="A53" s="9" t="s">
        <v>766</v>
      </c>
    </row>
    <row r="54" ht="22.5" customHeight="1">
      <c r="A54" s="9" t="s">
        <v>767</v>
      </c>
    </row>
    <row r="55" ht="22.5" customHeight="1">
      <c r="A55" s="9" t="s">
        <v>768</v>
      </c>
    </row>
    <row r="56" ht="22.5" customHeight="1">
      <c r="A56" s="9" t="s">
        <v>769</v>
      </c>
    </row>
    <row r="57" ht="22.5" customHeight="1">
      <c r="A57" s="9" t="s">
        <v>770</v>
      </c>
    </row>
    <row r="58" ht="22.5" customHeight="1">
      <c r="A58" s="9" t="s">
        <v>771</v>
      </c>
    </row>
    <row r="59" ht="22.5" customHeight="1">
      <c r="A59" s="9" t="s">
        <v>772</v>
      </c>
    </row>
    <row r="60" ht="22.5" customHeight="1">
      <c r="A60" s="9" t="s">
        <v>773</v>
      </c>
    </row>
    <row r="61" ht="22.5" customHeight="1">
      <c r="A61" s="9" t="s">
        <v>774</v>
      </c>
    </row>
    <row r="62" ht="22.5" customHeight="1">
      <c r="A62" s="9" t="s">
        <v>775</v>
      </c>
    </row>
    <row r="63" ht="22.5" customHeight="1">
      <c r="A63" s="9" t="s">
        <v>776</v>
      </c>
    </row>
    <row r="64" ht="22.5" customHeight="1">
      <c r="A64" s="9" t="s">
        <v>777</v>
      </c>
    </row>
    <row r="65" ht="22.5" customHeight="1">
      <c r="A65" s="9" t="s">
        <v>778</v>
      </c>
    </row>
    <row r="66" ht="22.5" customHeight="1">
      <c r="A66" s="9" t="s">
        <v>779</v>
      </c>
    </row>
    <row r="67" ht="22.5" customHeight="1">
      <c r="A67" s="9" t="s">
        <v>780</v>
      </c>
    </row>
    <row r="68" ht="22.5" customHeight="1">
      <c r="A68" s="9" t="s">
        <v>781</v>
      </c>
    </row>
    <row r="69" ht="22.5" customHeight="1">
      <c r="A69" s="9" t="s">
        <v>782</v>
      </c>
    </row>
    <row r="70" ht="22.5" customHeight="1">
      <c r="A70" s="9" t="s">
        <v>783</v>
      </c>
    </row>
    <row r="71" ht="22.5" customHeight="1">
      <c r="A71" s="9" t="s">
        <v>784</v>
      </c>
    </row>
    <row r="72" ht="22.5" customHeight="1">
      <c r="A72" s="9" t="s">
        <v>785</v>
      </c>
    </row>
    <row r="73" ht="22.5" customHeight="1">
      <c r="A73" s="9" t="s">
        <v>786</v>
      </c>
    </row>
    <row r="74" ht="22.5" customHeight="1">
      <c r="A74" s="9" t="s">
        <v>787</v>
      </c>
    </row>
    <row r="75" ht="22.5" customHeight="1">
      <c r="A75" s="9" t="s">
        <v>788</v>
      </c>
    </row>
    <row r="76" ht="22.5" customHeight="1">
      <c r="A76" s="9" t="s">
        <v>789</v>
      </c>
    </row>
    <row r="77" ht="22.5" customHeight="1">
      <c r="A77" s="9" t="s">
        <v>790</v>
      </c>
    </row>
    <row r="78" ht="22.5" customHeight="1">
      <c r="A78" s="9" t="s">
        <v>791</v>
      </c>
    </row>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sheetData>
    <row r="1" ht="22.5" customHeight="1">
      <c r="A1" s="8" t="s">
        <v>792</v>
      </c>
      <c r="B1" s="13" t="s">
        <v>793</v>
      </c>
    </row>
    <row r="2" ht="22.5" customHeight="1">
      <c r="A2" s="9" t="s">
        <v>136</v>
      </c>
    </row>
    <row r="3" ht="22.5" customHeight="1">
      <c r="A3" s="9" t="s">
        <v>794</v>
      </c>
    </row>
    <row r="4" ht="22.5" customHeight="1">
      <c r="A4" s="9" t="s">
        <v>795</v>
      </c>
    </row>
    <row r="5" ht="22.5" customHeight="1">
      <c r="A5" s="9" t="s">
        <v>598</v>
      </c>
    </row>
    <row r="6" ht="22.5" customHeight="1">
      <c r="A6" s="9" t="s">
        <v>796</v>
      </c>
    </row>
    <row r="7" ht="22.5" customHeight="1">
      <c r="A7" s="9" t="s">
        <v>797</v>
      </c>
    </row>
    <row r="8" ht="22.5" customHeight="1">
      <c r="A8" s="9" t="s">
        <v>798</v>
      </c>
    </row>
    <row r="9" ht="22.5" customHeight="1">
      <c r="A9" s="9" t="s">
        <v>799</v>
      </c>
    </row>
    <row r="10" ht="22.5" customHeight="1">
      <c r="A10" s="9" t="s">
        <v>800</v>
      </c>
    </row>
    <row r="11" ht="22.5" customHeight="1">
      <c r="A11" s="9" t="s">
        <v>801</v>
      </c>
    </row>
    <row r="12" ht="22.5" customHeight="1">
      <c r="A12" s="9" t="s">
        <v>178</v>
      </c>
    </row>
    <row r="13" ht="22.5" customHeight="1">
      <c r="A13" s="9" t="s">
        <v>802</v>
      </c>
    </row>
    <row r="14" ht="22.5" customHeight="1">
      <c r="A14" s="9" t="s">
        <v>803</v>
      </c>
    </row>
    <row r="15" ht="22.5" customHeight="1">
      <c r="A15" s="9" t="s">
        <v>804</v>
      </c>
    </row>
    <row r="16" ht="22.5" customHeight="1">
      <c r="A16" s="9" t="s">
        <v>805</v>
      </c>
    </row>
    <row r="17" ht="22.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sheetData>
    <row r="1" ht="22.5" customHeight="1">
      <c r="A1" s="8" t="s">
        <v>792</v>
      </c>
      <c r="B1" s="9" t="s">
        <v>806</v>
      </c>
      <c r="C1" s="13" t="s">
        <v>807</v>
      </c>
    </row>
    <row r="2" ht="22.5" customHeight="1">
      <c r="A2" s="9" t="s">
        <v>808</v>
      </c>
      <c r="B2" s="13" t="s">
        <v>809</v>
      </c>
      <c r="C2" s="10" t="s">
        <v>810</v>
      </c>
    </row>
    <row r="3" ht="22.5" customHeight="1"/>
    <row r="4" ht="22.5" customHeight="1"/>
    <row r="5" ht="22.5" customHeight="1"/>
    <row r="6" ht="22.5" customHeight="1"/>
    <row r="7" ht="22.5" customHeight="1"/>
    <row r="8" ht="22.5" customHeight="1"/>
    <row r="9" ht="22.5" customHeight="1"/>
    <row r="10" ht="22.5" customHeight="1"/>
    <row r="11" ht="22.5" customHeight="1"/>
    <row r="12" ht="22.5" customHeight="1"/>
    <row r="13" ht="22.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C2"/>
  </hyperlinks>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sheetData>
    <row r="1" ht="22.5" customHeight="1">
      <c r="A1" s="8" t="s">
        <v>792</v>
      </c>
      <c r="B1" s="9" t="s">
        <v>806</v>
      </c>
      <c r="C1" s="13" t="s">
        <v>807</v>
      </c>
    </row>
    <row r="2" ht="22.5" customHeight="1">
      <c r="A2" s="9" t="s">
        <v>811</v>
      </c>
      <c r="B2" s="14" t="s">
        <v>812</v>
      </c>
    </row>
    <row r="3" ht="22.5" customHeight="1">
      <c r="A3" s="9" t="s">
        <v>813</v>
      </c>
      <c r="B3" s="10" t="s">
        <v>814</v>
      </c>
    </row>
    <row r="4" ht="22.5" customHeight="1">
      <c r="A4" s="9" t="s">
        <v>815</v>
      </c>
      <c r="B4" s="10" t="s">
        <v>816</v>
      </c>
    </row>
    <row r="5" ht="22.5" customHeight="1">
      <c r="A5" s="9" t="s">
        <v>817</v>
      </c>
      <c r="B5" s="10" t="s">
        <v>818</v>
      </c>
    </row>
    <row r="6" ht="22.5" customHeight="1">
      <c r="A6" s="9" t="s">
        <v>819</v>
      </c>
      <c r="B6" s="10" t="s">
        <v>820</v>
      </c>
    </row>
    <row r="7" ht="22.5" customHeight="1">
      <c r="A7" s="9" t="s">
        <v>821</v>
      </c>
      <c r="B7" s="10" t="s">
        <v>822</v>
      </c>
    </row>
    <row r="8" ht="22.5" customHeight="1">
      <c r="A8" s="9" t="s">
        <v>823</v>
      </c>
      <c r="B8" s="10" t="s">
        <v>824</v>
      </c>
    </row>
    <row r="9" ht="22.5" customHeight="1">
      <c r="A9" s="9" t="s">
        <v>825</v>
      </c>
      <c r="B9" s="10" t="s">
        <v>826</v>
      </c>
    </row>
    <row r="10" ht="22.5" customHeight="1">
      <c r="A10" s="9" t="s">
        <v>827</v>
      </c>
      <c r="B10" s="10" t="s">
        <v>828</v>
      </c>
    </row>
    <row r="11" ht="22.5" customHeight="1">
      <c r="A11" s="9" t="s">
        <v>829</v>
      </c>
      <c r="B11" s="10" t="s">
        <v>830</v>
      </c>
    </row>
    <row r="12" ht="22.5" customHeight="1">
      <c r="A12" s="9" t="s">
        <v>831</v>
      </c>
      <c r="B12" s="10" t="s">
        <v>832</v>
      </c>
    </row>
    <row r="13" ht="22.5" customHeight="1">
      <c r="A13" s="9" t="s">
        <v>833</v>
      </c>
      <c r="B13" s="10" t="s">
        <v>834</v>
      </c>
    </row>
    <row r="14" ht="22.5" customHeight="1">
      <c r="A14" s="9" t="s">
        <v>835</v>
      </c>
      <c r="B14" s="10" t="s">
        <v>836</v>
      </c>
    </row>
    <row r="15" ht="22.5" customHeight="1">
      <c r="A15" s="9" t="s">
        <v>837</v>
      </c>
      <c r="B15" s="10" t="s">
        <v>838</v>
      </c>
    </row>
    <row r="16" ht="22.5" customHeight="1">
      <c r="A16" s="9" t="s">
        <v>839</v>
      </c>
      <c r="B16" s="10" t="s">
        <v>840</v>
      </c>
    </row>
    <row r="17" ht="22.5" customHeight="1">
      <c r="A17" s="9" t="s">
        <v>841</v>
      </c>
      <c r="B17" s="10" t="s">
        <v>842</v>
      </c>
    </row>
    <row r="18" ht="22.5" customHeight="1">
      <c r="A18" s="9" t="s">
        <v>843</v>
      </c>
      <c r="B18" s="10" t="s">
        <v>844</v>
      </c>
    </row>
    <row r="19" ht="22.5" customHeight="1">
      <c r="A19" s="9" t="s">
        <v>845</v>
      </c>
      <c r="B19" s="10" t="s">
        <v>846</v>
      </c>
    </row>
    <row r="20" ht="22.5" customHeight="1">
      <c r="A20" s="9" t="s">
        <v>847</v>
      </c>
      <c r="B20" s="10" t="s">
        <v>848</v>
      </c>
    </row>
    <row r="21" ht="22.5" customHeight="1">
      <c r="A21" s="9" t="s">
        <v>849</v>
      </c>
      <c r="B21" s="10" t="s">
        <v>850</v>
      </c>
    </row>
    <row r="22" ht="22.5" customHeight="1">
      <c r="A22" s="9" t="s">
        <v>851</v>
      </c>
      <c r="B22" s="10" t="s">
        <v>852</v>
      </c>
    </row>
    <row r="23" ht="22.5" customHeight="1">
      <c r="A23" s="9" t="s">
        <v>853</v>
      </c>
      <c r="B23" s="10" t="s">
        <v>854</v>
      </c>
    </row>
    <row r="24" ht="22.5" customHeight="1">
      <c r="A24" s="9" t="s">
        <v>855</v>
      </c>
      <c r="B24" s="10" t="s">
        <v>856</v>
      </c>
    </row>
    <row r="25" ht="22.5" customHeight="1">
      <c r="A25" s="9" t="s">
        <v>857</v>
      </c>
      <c r="B25" s="10" t="s">
        <v>858</v>
      </c>
    </row>
    <row r="26" ht="22.5" customHeight="1">
      <c r="A26" s="9" t="s">
        <v>859</v>
      </c>
      <c r="B26" s="10" t="s">
        <v>860</v>
      </c>
    </row>
    <row r="27" ht="22.5" customHeight="1">
      <c r="A27" s="9" t="s">
        <v>861</v>
      </c>
      <c r="B27" s="10" t="s">
        <v>862</v>
      </c>
    </row>
    <row r="28" ht="22.5" customHeight="1">
      <c r="A28" s="9" t="s">
        <v>863</v>
      </c>
      <c r="B28" s="10" t="s">
        <v>864</v>
      </c>
    </row>
    <row r="29" ht="22.5" customHeight="1">
      <c r="A29" s="9" t="s">
        <v>865</v>
      </c>
      <c r="B29" s="10" t="s">
        <v>866</v>
      </c>
    </row>
    <row r="30" ht="22.5" customHeight="1">
      <c r="A30" s="9" t="s">
        <v>867</v>
      </c>
      <c r="B30" s="10" t="s">
        <v>868</v>
      </c>
    </row>
    <row r="31" ht="22.5" customHeight="1">
      <c r="A31" s="9" t="s">
        <v>869</v>
      </c>
      <c r="B31" s="10" t="s">
        <v>870</v>
      </c>
    </row>
    <row r="32" ht="22.5" customHeight="1">
      <c r="A32" s="9" t="s">
        <v>871</v>
      </c>
      <c r="B32" s="10" t="s">
        <v>872</v>
      </c>
    </row>
    <row r="33" ht="22.5" customHeight="1">
      <c r="A33" s="9" t="s">
        <v>873</v>
      </c>
      <c r="B33" s="10" t="s">
        <v>874</v>
      </c>
    </row>
    <row r="34" ht="22.5" customHeight="1">
      <c r="A34" s="9" t="s">
        <v>875</v>
      </c>
      <c r="B34" s="10" t="s">
        <v>876</v>
      </c>
    </row>
    <row r="35" ht="22.5" customHeight="1">
      <c r="A35" s="9" t="s">
        <v>877</v>
      </c>
      <c r="B35" s="10" t="s">
        <v>878</v>
      </c>
    </row>
    <row r="36" ht="22.5" customHeight="1">
      <c r="A36" s="9" t="s">
        <v>879</v>
      </c>
      <c r="B36" s="10" t="s">
        <v>880</v>
      </c>
    </row>
    <row r="37" ht="22.5" customHeight="1">
      <c r="A37" s="9" t="s">
        <v>881</v>
      </c>
      <c r="B37" s="10" t="s">
        <v>882</v>
      </c>
    </row>
    <row r="38" ht="22.5" customHeight="1">
      <c r="A38" s="9" t="s">
        <v>883</v>
      </c>
      <c r="B38" s="10" t="s">
        <v>884</v>
      </c>
    </row>
    <row r="39" ht="22.5" customHeight="1">
      <c r="A39" s="9" t="s">
        <v>885</v>
      </c>
      <c r="B39" s="10" t="s">
        <v>886</v>
      </c>
    </row>
    <row r="40" ht="22.5" customHeight="1">
      <c r="A40" s="9" t="s">
        <v>887</v>
      </c>
      <c r="B40" s="10" t="s">
        <v>888</v>
      </c>
    </row>
    <row r="41" ht="22.5" customHeight="1">
      <c r="A41" s="9" t="s">
        <v>889</v>
      </c>
      <c r="B41" s="10" t="s">
        <v>890</v>
      </c>
    </row>
    <row r="42" ht="22.5" customHeight="1">
      <c r="A42" s="9" t="s">
        <v>891</v>
      </c>
      <c r="B42" s="10" t="s">
        <v>892</v>
      </c>
    </row>
    <row r="43" ht="22.5" customHeight="1">
      <c r="A43" s="9" t="s">
        <v>893</v>
      </c>
      <c r="B43" s="10" t="s">
        <v>894</v>
      </c>
    </row>
    <row r="44" ht="22.5" customHeight="1">
      <c r="A44" s="9" t="s">
        <v>895</v>
      </c>
      <c r="B44" s="10" t="s">
        <v>896</v>
      </c>
    </row>
    <row r="45" ht="22.5" customHeight="1">
      <c r="A45" s="9" t="s">
        <v>897</v>
      </c>
      <c r="B45" s="10" t="s">
        <v>898</v>
      </c>
    </row>
    <row r="46" ht="22.5" customHeight="1">
      <c r="A46" s="9" t="s">
        <v>899</v>
      </c>
      <c r="B46" s="10" t="s">
        <v>900</v>
      </c>
    </row>
    <row r="47" ht="22.5" customHeight="1">
      <c r="A47" s="9" t="s">
        <v>901</v>
      </c>
      <c r="B47" s="10" t="s">
        <v>902</v>
      </c>
    </row>
    <row r="48" ht="22.5" customHeight="1">
      <c r="A48" s="9" t="s">
        <v>903</v>
      </c>
      <c r="B48" s="10" t="s">
        <v>904</v>
      </c>
    </row>
    <row r="49" ht="22.5" customHeight="1">
      <c r="A49" s="9" t="s">
        <v>905</v>
      </c>
      <c r="B49" s="10" t="s">
        <v>906</v>
      </c>
    </row>
    <row r="50" ht="22.5" customHeight="1">
      <c r="A50" s="9" t="s">
        <v>907</v>
      </c>
      <c r="B50" s="10" t="s">
        <v>908</v>
      </c>
    </row>
    <row r="51" ht="22.5" customHeight="1">
      <c r="A51" s="9" t="s">
        <v>909</v>
      </c>
      <c r="B51" s="10" t="s">
        <v>910</v>
      </c>
    </row>
    <row r="52" ht="22.5" customHeight="1">
      <c r="A52" s="9" t="s">
        <v>911</v>
      </c>
      <c r="B52" s="10" t="s">
        <v>912</v>
      </c>
    </row>
    <row r="53" ht="22.5" customHeight="1">
      <c r="A53" s="9" t="s">
        <v>913</v>
      </c>
      <c r="B53" s="10" t="s">
        <v>914</v>
      </c>
    </row>
    <row r="54" ht="22.5" customHeight="1">
      <c r="A54" s="9" t="s">
        <v>915</v>
      </c>
      <c r="B54" s="10" t="s">
        <v>916</v>
      </c>
    </row>
    <row r="55" ht="22.5" customHeight="1">
      <c r="A55" s="9" t="s">
        <v>917</v>
      </c>
      <c r="B55" s="10" t="s">
        <v>918</v>
      </c>
    </row>
    <row r="56" ht="22.5" customHeight="1">
      <c r="A56" s="9" t="s">
        <v>919</v>
      </c>
      <c r="B56" s="10" t="s">
        <v>920</v>
      </c>
    </row>
    <row r="57" ht="22.5" customHeight="1">
      <c r="A57" s="9" t="s">
        <v>921</v>
      </c>
      <c r="B57" s="10" t="s">
        <v>922</v>
      </c>
    </row>
    <row r="58" ht="22.5" customHeight="1">
      <c r="A58" s="9" t="s">
        <v>923</v>
      </c>
      <c r="B58" s="10" t="s">
        <v>924</v>
      </c>
    </row>
    <row r="59" ht="22.5" customHeight="1">
      <c r="A59" s="9" t="s">
        <v>925</v>
      </c>
      <c r="B59" s="10" t="s">
        <v>926</v>
      </c>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ref="B58"/>
    <hyperlink r:id="rId58" ref="B59"/>
  </hyperlinks>
  <drawing r:id="rId59"/>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sheetData>
    <row r="1" ht="22.5" customHeight="1">
      <c r="A1" s="8" t="s">
        <v>792</v>
      </c>
      <c r="B1" s="8" t="s">
        <v>807</v>
      </c>
      <c r="C1" s="9" t="s">
        <v>806</v>
      </c>
      <c r="D1" s="8" t="s">
        <v>667</v>
      </c>
    </row>
    <row r="2" ht="22.5" customHeight="1">
      <c r="A2" s="9" t="s">
        <v>927</v>
      </c>
      <c r="B2" s="10" t="s">
        <v>928</v>
      </c>
      <c r="D2" s="8">
        <v>1.0</v>
      </c>
    </row>
    <row r="3" ht="22.5" customHeight="1">
      <c r="A3" s="9" t="s">
        <v>929</v>
      </c>
      <c r="B3" s="10" t="s">
        <v>930</v>
      </c>
      <c r="D3" s="8">
        <v>2.0</v>
      </c>
    </row>
    <row r="4" ht="22.5" customHeight="1">
      <c r="A4" s="9" t="s">
        <v>931</v>
      </c>
      <c r="B4" s="10" t="s">
        <v>932</v>
      </c>
      <c r="D4" s="8">
        <v>3.0</v>
      </c>
    </row>
    <row r="5" ht="22.5" customHeight="1">
      <c r="A5" s="9" t="s">
        <v>933</v>
      </c>
      <c r="B5" s="10" t="s">
        <v>934</v>
      </c>
      <c r="D5" s="8">
        <v>4.0</v>
      </c>
    </row>
    <row r="6" ht="22.5" customHeight="1">
      <c r="A6" s="9" t="s">
        <v>935</v>
      </c>
      <c r="B6" s="10" t="s">
        <v>936</v>
      </c>
      <c r="D6" s="8">
        <v>5.0</v>
      </c>
    </row>
    <row r="7" ht="22.5" customHeight="1">
      <c r="A7" s="9" t="s">
        <v>937</v>
      </c>
      <c r="B7" s="10" t="s">
        <v>938</v>
      </c>
      <c r="D7" s="8">
        <v>6.0</v>
      </c>
    </row>
    <row r="8" ht="22.5" customHeight="1">
      <c r="A8" s="9" t="s">
        <v>939</v>
      </c>
      <c r="B8" s="10" t="s">
        <v>940</v>
      </c>
      <c r="D8" s="8">
        <v>7.0</v>
      </c>
    </row>
    <row r="9" ht="22.5" customHeight="1">
      <c r="A9" s="9" t="s">
        <v>941</v>
      </c>
      <c r="B9" s="10" t="s">
        <v>942</v>
      </c>
      <c r="D9" s="8">
        <v>8.0</v>
      </c>
    </row>
    <row r="10" ht="22.5" customHeight="1">
      <c r="A10" s="9" t="s">
        <v>943</v>
      </c>
      <c r="B10" s="10" t="s">
        <v>944</v>
      </c>
      <c r="D10" s="8">
        <v>9.0</v>
      </c>
    </row>
    <row r="11" ht="22.5" customHeight="1">
      <c r="A11" s="9" t="s">
        <v>945</v>
      </c>
      <c r="B11" s="10" t="s">
        <v>946</v>
      </c>
      <c r="D11" s="8">
        <v>10.0</v>
      </c>
    </row>
    <row r="12" ht="22.5" customHeight="1">
      <c r="A12" s="9" t="s">
        <v>947</v>
      </c>
      <c r="B12" s="10" t="s">
        <v>948</v>
      </c>
      <c r="D12" s="8">
        <v>11.0</v>
      </c>
    </row>
    <row r="13" ht="22.5" customHeight="1">
      <c r="A13" s="9" t="s">
        <v>949</v>
      </c>
      <c r="B13" s="10" t="s">
        <v>950</v>
      </c>
      <c r="D13" s="8">
        <v>12.0</v>
      </c>
    </row>
    <row r="14" ht="22.5" customHeight="1">
      <c r="A14" s="9" t="s">
        <v>951</v>
      </c>
      <c r="B14" s="10" t="s">
        <v>952</v>
      </c>
      <c r="D14" s="8">
        <v>13.0</v>
      </c>
    </row>
    <row r="15" ht="22.5" customHeight="1">
      <c r="A15" s="9" t="s">
        <v>953</v>
      </c>
      <c r="B15" s="10" t="s">
        <v>954</v>
      </c>
      <c r="D15" s="8">
        <v>14.0</v>
      </c>
    </row>
    <row r="16" ht="22.5" customHeight="1">
      <c r="A16" s="9" t="s">
        <v>100</v>
      </c>
      <c r="B16" s="10" t="s">
        <v>955</v>
      </c>
      <c r="D16" s="8">
        <v>15.0</v>
      </c>
    </row>
    <row r="17" ht="22.5" customHeight="1">
      <c r="A17" s="9" t="s">
        <v>956</v>
      </c>
      <c r="B17" s="10" t="s">
        <v>957</v>
      </c>
      <c r="D17" s="8">
        <v>16.0</v>
      </c>
    </row>
    <row r="18" ht="22.5" customHeight="1">
      <c r="A18" s="9" t="s">
        <v>958</v>
      </c>
      <c r="B18" s="10" t="s">
        <v>959</v>
      </c>
      <c r="D18" s="8">
        <v>17.0</v>
      </c>
    </row>
    <row r="19" ht="22.5" customHeight="1">
      <c r="A19" s="9" t="s">
        <v>960</v>
      </c>
      <c r="B19" s="10" t="s">
        <v>946</v>
      </c>
      <c r="D19" s="8">
        <v>18.0</v>
      </c>
    </row>
    <row r="20" ht="22.5" customHeight="1">
      <c r="A20" s="9" t="s">
        <v>961</v>
      </c>
      <c r="B20" s="10" t="s">
        <v>962</v>
      </c>
      <c r="D20" s="8">
        <v>19.0</v>
      </c>
    </row>
    <row r="21" ht="22.5" customHeight="1">
      <c r="A21" s="9" t="s">
        <v>963</v>
      </c>
      <c r="B21" s="10" t="s">
        <v>964</v>
      </c>
      <c r="D21" s="8">
        <v>20.0</v>
      </c>
    </row>
    <row r="22" ht="22.5" customHeight="1">
      <c r="A22" s="9" t="s">
        <v>965</v>
      </c>
      <c r="B22" s="10" t="s">
        <v>966</v>
      </c>
      <c r="D22" s="8">
        <v>21.0</v>
      </c>
    </row>
    <row r="23" ht="22.5" customHeight="1">
      <c r="A23" s="9" t="s">
        <v>967</v>
      </c>
      <c r="B23" s="10" t="s">
        <v>968</v>
      </c>
      <c r="D23" s="8">
        <v>22.0</v>
      </c>
    </row>
    <row r="24" ht="22.5" customHeight="1">
      <c r="A24" s="9" t="s">
        <v>969</v>
      </c>
      <c r="B24" s="10" t="s">
        <v>970</v>
      </c>
      <c r="D24" s="8">
        <v>23.0</v>
      </c>
    </row>
    <row r="25" ht="22.5" customHeight="1">
      <c r="A25" s="9" t="s">
        <v>971</v>
      </c>
      <c r="B25" s="10" t="s">
        <v>972</v>
      </c>
      <c r="D25" s="8">
        <v>24.0</v>
      </c>
    </row>
    <row r="26" ht="22.5" customHeight="1">
      <c r="A26" s="9" t="s">
        <v>973</v>
      </c>
      <c r="B26" s="10" t="s">
        <v>974</v>
      </c>
      <c r="D26" s="8">
        <v>25.0</v>
      </c>
    </row>
    <row r="27" ht="22.5" customHeight="1">
      <c r="A27" s="9" t="s">
        <v>975</v>
      </c>
      <c r="B27" s="10" t="s">
        <v>976</v>
      </c>
      <c r="D27" s="8">
        <v>26.0</v>
      </c>
    </row>
    <row r="28" ht="22.5" customHeight="1">
      <c r="A28" s="9" t="s">
        <v>977</v>
      </c>
      <c r="B28" s="10" t="s">
        <v>978</v>
      </c>
      <c r="D28" s="8">
        <v>27.0</v>
      </c>
    </row>
    <row r="29" ht="22.5" customHeight="1"/>
    <row r="30" ht="22.5" customHeight="1"/>
    <row r="31" ht="22.5" customHeight="1"/>
    <row r="32" ht="22.5" customHeight="1"/>
    <row r="33" ht="22.5" customHeight="1"/>
    <row r="34" ht="22.5" customHeight="1"/>
    <row r="35" ht="22.5" customHeight="1"/>
    <row r="36" ht="22.5" customHeight="1"/>
    <row r="37" ht="22.5" customHeight="1"/>
    <row r="38" ht="22.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s>
  <drawing r:id="rId28"/>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sheetData>
    <row r="1" ht="22.5" customHeight="1">
      <c r="A1" s="8" t="s">
        <v>181</v>
      </c>
      <c r="B1" s="8" t="s">
        <v>132</v>
      </c>
      <c r="C1" s="8" t="s">
        <v>131</v>
      </c>
      <c r="D1" s="8" t="s">
        <v>979</v>
      </c>
      <c r="E1" s="8" t="s">
        <v>7</v>
      </c>
      <c r="F1" s="8" t="s">
        <v>980</v>
      </c>
      <c r="G1" s="8" t="s">
        <v>981</v>
      </c>
      <c r="H1" s="8" t="s">
        <v>8</v>
      </c>
      <c r="I1" s="8" t="s">
        <v>982</v>
      </c>
      <c r="J1" s="8" t="s">
        <v>38</v>
      </c>
      <c r="K1" s="8" t="s">
        <v>983</v>
      </c>
      <c r="L1" s="8" t="s">
        <v>984</v>
      </c>
      <c r="M1" s="8" t="s">
        <v>985</v>
      </c>
      <c r="N1" s="8" t="s">
        <v>986</v>
      </c>
      <c r="O1" s="8" t="s">
        <v>987</v>
      </c>
      <c r="P1" s="8" t="s">
        <v>988</v>
      </c>
      <c r="Q1" s="8" t="s">
        <v>989</v>
      </c>
      <c r="R1" s="8" t="s">
        <v>990</v>
      </c>
      <c r="S1" s="8" t="s">
        <v>991</v>
      </c>
      <c r="T1" s="8" t="s">
        <v>667</v>
      </c>
      <c r="U1" s="8" t="s">
        <v>661</v>
      </c>
    </row>
    <row r="2" ht="22.5" customHeight="1">
      <c r="A2" s="8" t="s">
        <v>992</v>
      </c>
      <c r="B2" s="9" t="s">
        <v>500</v>
      </c>
      <c r="C2" s="8" t="s">
        <v>136</v>
      </c>
      <c r="D2" s="8" t="s">
        <v>993</v>
      </c>
      <c r="E2" s="9" t="s">
        <v>29</v>
      </c>
      <c r="F2" s="8">
        <v>1.0</v>
      </c>
      <c r="H2" s="8">
        <v>200.0</v>
      </c>
      <c r="I2" s="8">
        <v>200.0</v>
      </c>
      <c r="J2" s="8">
        <v>4930.58</v>
      </c>
      <c r="K2" s="8">
        <v>4930.58</v>
      </c>
      <c r="L2" s="15">
        <v>46113.0</v>
      </c>
      <c r="M2" s="15">
        <v>46143.0</v>
      </c>
      <c r="N2" s="8">
        <v>0.0</v>
      </c>
      <c r="O2" s="8">
        <v>-23.0</v>
      </c>
      <c r="P2" s="8">
        <v>53.0</v>
      </c>
      <c r="R2" s="8" t="s">
        <v>994</v>
      </c>
      <c r="T2" s="8">
        <v>734.0</v>
      </c>
    </row>
    <row r="3" ht="22.5" customHeight="1">
      <c r="B3" s="9" t="s">
        <v>559</v>
      </c>
      <c r="C3" s="8" t="s">
        <v>794</v>
      </c>
      <c r="D3" s="8" t="s">
        <v>995</v>
      </c>
      <c r="E3" s="9" t="s">
        <v>38</v>
      </c>
      <c r="F3" s="8">
        <v>3.0</v>
      </c>
      <c r="H3" s="8">
        <v>3000.0</v>
      </c>
      <c r="I3" s="8">
        <v>5000.0</v>
      </c>
      <c r="L3" s="15">
        <v>46113.0</v>
      </c>
      <c r="M3" s="15">
        <v>46143.0</v>
      </c>
      <c r="O3" s="8">
        <v>-23.0</v>
      </c>
      <c r="P3" s="8">
        <v>53.0</v>
      </c>
      <c r="R3" s="8" t="s">
        <v>996</v>
      </c>
      <c r="T3" s="8">
        <v>735.0</v>
      </c>
    </row>
    <row r="4" ht="22.5" customHeight="1">
      <c r="B4" s="9" t="s">
        <v>512</v>
      </c>
      <c r="C4" s="8" t="s">
        <v>136</v>
      </c>
      <c r="D4" s="8" t="s">
        <v>997</v>
      </c>
      <c r="E4" s="9" t="s">
        <v>38</v>
      </c>
      <c r="F4" s="8">
        <v>3.0</v>
      </c>
      <c r="G4" s="16">
        <v>0.38</v>
      </c>
      <c r="H4" s="8">
        <v>4000.0</v>
      </c>
      <c r="I4" s="8">
        <v>7500.0</v>
      </c>
      <c r="J4" s="8">
        <v>7500.0</v>
      </c>
      <c r="K4" s="8">
        <v>7500.0</v>
      </c>
      <c r="L4" s="15">
        <v>46113.0</v>
      </c>
      <c r="M4" s="15">
        <v>46143.0</v>
      </c>
      <c r="N4" s="8">
        <v>0.0</v>
      </c>
      <c r="O4" s="8">
        <v>-23.0</v>
      </c>
      <c r="P4" s="8">
        <v>53.0</v>
      </c>
      <c r="R4" s="8" t="s">
        <v>998</v>
      </c>
      <c r="S4" s="11" t="s">
        <v>999</v>
      </c>
      <c r="T4" s="8">
        <v>736.0</v>
      </c>
    </row>
    <row r="5" ht="22.5" customHeight="1">
      <c r="B5" s="9" t="s">
        <v>154</v>
      </c>
      <c r="C5" s="8" t="s">
        <v>136</v>
      </c>
      <c r="D5" s="8" t="s">
        <v>1000</v>
      </c>
      <c r="E5" s="9" t="s">
        <v>59</v>
      </c>
      <c r="F5" s="8" t="s">
        <v>1001</v>
      </c>
      <c r="H5" s="8">
        <v>10.0</v>
      </c>
      <c r="I5" s="8">
        <v>40.0</v>
      </c>
      <c r="J5" s="8">
        <v>4935.82</v>
      </c>
      <c r="K5" s="8">
        <v>4935.82</v>
      </c>
      <c r="L5" s="15">
        <v>46113.0</v>
      </c>
      <c r="M5" s="15">
        <v>46143.0</v>
      </c>
      <c r="N5" s="8">
        <v>0.0</v>
      </c>
      <c r="O5" s="8">
        <v>-23.0</v>
      </c>
      <c r="P5" s="8">
        <v>53.0</v>
      </c>
      <c r="R5" s="8" t="s">
        <v>1002</v>
      </c>
      <c r="S5" s="11" t="s">
        <v>1003</v>
      </c>
      <c r="T5" s="8">
        <v>737.0</v>
      </c>
    </row>
    <row r="6" ht="22.5" customHeight="1">
      <c r="B6" s="9" t="s">
        <v>605</v>
      </c>
      <c r="C6" s="8" t="s">
        <v>803</v>
      </c>
      <c r="D6" s="8" t="s">
        <v>1004</v>
      </c>
      <c r="E6" s="9" t="s">
        <v>59</v>
      </c>
      <c r="F6" s="8" t="s">
        <v>1001</v>
      </c>
      <c r="H6" s="8">
        <v>15.0</v>
      </c>
      <c r="I6" s="8">
        <v>60.0</v>
      </c>
      <c r="L6" s="15">
        <v>46113.0</v>
      </c>
      <c r="M6" s="15">
        <v>46143.0</v>
      </c>
      <c r="O6" s="8">
        <v>-23.0</v>
      </c>
      <c r="P6" s="8">
        <v>53.0</v>
      </c>
      <c r="R6" s="8" t="s">
        <v>1005</v>
      </c>
      <c r="T6" s="8">
        <v>738.0</v>
      </c>
    </row>
    <row r="7" ht="22.5" customHeight="1">
      <c r="B7" s="9" t="s">
        <v>586</v>
      </c>
      <c r="C7" s="8" t="s">
        <v>136</v>
      </c>
      <c r="D7" s="8" t="s">
        <v>1006</v>
      </c>
      <c r="E7" s="9" t="s">
        <v>50</v>
      </c>
      <c r="F7" s="8">
        <v>2.0</v>
      </c>
      <c r="H7" s="8">
        <v>40.0</v>
      </c>
      <c r="I7" s="8">
        <v>80.0</v>
      </c>
      <c r="L7" s="15">
        <v>46113.0</v>
      </c>
      <c r="M7" s="15">
        <v>46143.0</v>
      </c>
      <c r="O7" s="8">
        <v>-23.0</v>
      </c>
      <c r="P7" s="8">
        <v>53.0</v>
      </c>
      <c r="R7" s="8" t="s">
        <v>1007</v>
      </c>
      <c r="T7" s="8">
        <v>739.0</v>
      </c>
    </row>
    <row r="8" ht="22.5" customHeight="1">
      <c r="B8" s="9" t="s">
        <v>581</v>
      </c>
      <c r="C8" s="8" t="s">
        <v>795</v>
      </c>
      <c r="D8" s="8" t="s">
        <v>1008</v>
      </c>
      <c r="E8" s="9" t="s">
        <v>38</v>
      </c>
      <c r="F8" s="8">
        <v>3.0</v>
      </c>
      <c r="G8" s="16">
        <v>0.25</v>
      </c>
      <c r="H8" s="8">
        <v>8000.0</v>
      </c>
      <c r="I8" s="8">
        <v>18000.0</v>
      </c>
      <c r="L8" s="15">
        <v>46113.0</v>
      </c>
      <c r="M8" s="15">
        <v>46143.0</v>
      </c>
      <c r="O8" s="8">
        <v>-23.0</v>
      </c>
      <c r="P8" s="8">
        <v>53.0</v>
      </c>
      <c r="R8" s="8" t="s">
        <v>1009</v>
      </c>
      <c r="T8" s="8">
        <v>740.0</v>
      </c>
    </row>
    <row r="9" ht="22.5" customHeight="1">
      <c r="B9" s="9" t="s">
        <v>447</v>
      </c>
      <c r="C9" s="8" t="s">
        <v>136</v>
      </c>
      <c r="D9" s="8" t="s">
        <v>1010</v>
      </c>
      <c r="E9" s="9" t="s">
        <v>29</v>
      </c>
      <c r="F9" s="8">
        <v>6.0</v>
      </c>
      <c r="G9" s="16">
        <v>0.5</v>
      </c>
      <c r="H9" s="8">
        <v>200.0</v>
      </c>
      <c r="I9" s="8">
        <v>600.0</v>
      </c>
      <c r="J9" s="8">
        <v>14664.51</v>
      </c>
      <c r="K9" s="8">
        <v>14664.51</v>
      </c>
      <c r="L9" s="15">
        <v>46113.0</v>
      </c>
      <c r="M9" s="15">
        <v>46143.0</v>
      </c>
      <c r="N9" s="8">
        <v>0.0</v>
      </c>
      <c r="O9" s="8">
        <v>-23.0</v>
      </c>
      <c r="P9" s="8">
        <v>53.0</v>
      </c>
      <c r="R9" s="8" t="s">
        <v>1011</v>
      </c>
      <c r="S9" s="11" t="s">
        <v>1012</v>
      </c>
      <c r="T9" s="8">
        <v>741.0</v>
      </c>
    </row>
    <row r="10" ht="22.5" customHeight="1">
      <c r="B10" s="9" t="s">
        <v>573</v>
      </c>
      <c r="C10" s="8" t="s">
        <v>794</v>
      </c>
      <c r="D10" s="8" t="s">
        <v>1013</v>
      </c>
      <c r="E10" s="9" t="s">
        <v>29</v>
      </c>
      <c r="F10" s="8">
        <v>4.0</v>
      </c>
      <c r="G10" s="8">
        <v>0.166</v>
      </c>
      <c r="H10" s="8">
        <v>200.0</v>
      </c>
      <c r="I10" s="8">
        <v>667.2</v>
      </c>
      <c r="L10" s="15">
        <v>46113.0</v>
      </c>
      <c r="M10" s="15">
        <v>46143.0</v>
      </c>
      <c r="O10" s="8">
        <v>-23.0</v>
      </c>
      <c r="P10" s="8">
        <v>53.0</v>
      </c>
      <c r="R10" s="8" t="s">
        <v>1014</v>
      </c>
      <c r="T10" s="8">
        <v>742.0</v>
      </c>
    </row>
    <row r="11" ht="22.5" customHeight="1">
      <c r="B11" s="9" t="s">
        <v>539</v>
      </c>
      <c r="C11" s="8" t="s">
        <v>136</v>
      </c>
      <c r="D11" s="8" t="s">
        <v>1015</v>
      </c>
      <c r="E11" s="9" t="s">
        <v>38</v>
      </c>
      <c r="F11" s="8">
        <v>4.0</v>
      </c>
      <c r="G11" s="8">
        <v>0.43</v>
      </c>
      <c r="H11" s="8">
        <v>8000.0</v>
      </c>
      <c r="I11" s="8">
        <v>18240.0</v>
      </c>
      <c r="J11" s="8">
        <v>18240.0</v>
      </c>
      <c r="K11" s="8">
        <v>18240.0</v>
      </c>
      <c r="L11" s="15">
        <v>46113.0</v>
      </c>
      <c r="M11" s="15">
        <v>46143.0</v>
      </c>
      <c r="N11" s="8">
        <v>0.0</v>
      </c>
      <c r="O11" s="8">
        <v>-23.0</v>
      </c>
      <c r="P11" s="8">
        <v>53.0</v>
      </c>
      <c r="R11" s="8" t="s">
        <v>1016</v>
      </c>
      <c r="T11" s="8">
        <v>743.0</v>
      </c>
    </row>
    <row r="12" ht="22.5" customHeight="1">
      <c r="B12" s="9" t="s">
        <v>542</v>
      </c>
      <c r="C12" s="8" t="s">
        <v>136</v>
      </c>
      <c r="D12" s="8" t="s">
        <v>1017</v>
      </c>
      <c r="E12" s="9" t="s">
        <v>59</v>
      </c>
      <c r="F12" s="8" t="s">
        <v>1018</v>
      </c>
      <c r="H12" s="8">
        <v>15.0</v>
      </c>
      <c r="I12" s="8">
        <v>270.0</v>
      </c>
      <c r="J12" s="8">
        <v>0.0</v>
      </c>
      <c r="K12" s="8">
        <v>0.0</v>
      </c>
      <c r="L12" s="15">
        <v>46113.0</v>
      </c>
      <c r="M12" s="15">
        <v>46143.0</v>
      </c>
      <c r="N12" s="8">
        <v>1.0</v>
      </c>
      <c r="O12" s="8">
        <v>-23.0</v>
      </c>
      <c r="P12" s="8">
        <v>53.0</v>
      </c>
      <c r="R12" s="8" t="s">
        <v>1019</v>
      </c>
      <c r="T12" s="8">
        <v>744.0</v>
      </c>
    </row>
    <row r="13" ht="22.5" customHeight="1">
      <c r="B13" s="9" t="s">
        <v>592</v>
      </c>
      <c r="C13" s="8" t="s">
        <v>136</v>
      </c>
      <c r="D13" s="8" t="s">
        <v>1020</v>
      </c>
      <c r="E13" s="9" t="s">
        <v>29</v>
      </c>
      <c r="F13" s="8">
        <v>5.0</v>
      </c>
      <c r="G13" s="16">
        <v>0.5</v>
      </c>
      <c r="H13" s="8">
        <v>200.0</v>
      </c>
      <c r="I13" s="8">
        <v>500.0</v>
      </c>
      <c r="J13" s="8">
        <v>12326.45</v>
      </c>
      <c r="K13" s="8">
        <v>12326.45</v>
      </c>
      <c r="L13" s="15">
        <v>46113.0</v>
      </c>
      <c r="M13" s="15">
        <v>46143.0</v>
      </c>
      <c r="N13" s="8">
        <v>0.0</v>
      </c>
      <c r="O13" s="8">
        <v>-23.0</v>
      </c>
      <c r="P13" s="8">
        <v>53.0</v>
      </c>
      <c r="R13" s="8" t="s">
        <v>1021</v>
      </c>
      <c r="T13" s="8">
        <v>745.0</v>
      </c>
    </row>
    <row r="14" ht="22.5" customHeight="1">
      <c r="B14" s="9" t="s">
        <v>160</v>
      </c>
      <c r="C14" s="8" t="s">
        <v>136</v>
      </c>
      <c r="D14" s="8" t="s">
        <v>1022</v>
      </c>
      <c r="E14" s="9" t="s">
        <v>38</v>
      </c>
      <c r="F14" s="8">
        <v>1.0</v>
      </c>
      <c r="H14" s="8">
        <v>2000.0</v>
      </c>
      <c r="I14" s="8">
        <v>2000.0</v>
      </c>
      <c r="J14" s="8">
        <v>2000.0</v>
      </c>
      <c r="K14" s="8">
        <v>0.0</v>
      </c>
      <c r="L14" s="15">
        <v>46113.0</v>
      </c>
      <c r="M14" s="15">
        <v>46143.0</v>
      </c>
      <c r="N14" s="8">
        <v>1.0</v>
      </c>
      <c r="O14" s="8">
        <v>-23.0</v>
      </c>
      <c r="P14" s="8">
        <v>53.0</v>
      </c>
      <c r="Q14" s="17">
        <v>46052.0</v>
      </c>
      <c r="R14" s="8" t="s">
        <v>1023</v>
      </c>
      <c r="T14" s="8">
        <v>746.0</v>
      </c>
    </row>
    <row r="15" ht="22.5" customHeight="1">
      <c r="B15" s="9" t="s">
        <v>1024</v>
      </c>
      <c r="C15" s="8" t="s">
        <v>794</v>
      </c>
      <c r="D15" s="8" t="s">
        <v>1025</v>
      </c>
      <c r="E15" s="9" t="s">
        <v>38</v>
      </c>
      <c r="F15" s="8">
        <v>3.0</v>
      </c>
      <c r="G15" s="16">
        <v>0.25</v>
      </c>
      <c r="H15" s="8" t="s">
        <v>1026</v>
      </c>
      <c r="I15" s="8">
        <v>9000.0</v>
      </c>
      <c r="L15" s="15">
        <v>46113.0</v>
      </c>
      <c r="M15" s="15">
        <v>46143.0</v>
      </c>
      <c r="O15" s="8">
        <v>-23.0</v>
      </c>
      <c r="P15" s="8">
        <v>53.0</v>
      </c>
      <c r="R15" s="8" t="s">
        <v>1027</v>
      </c>
      <c r="T15" s="8">
        <v>747.0</v>
      </c>
    </row>
    <row r="16" ht="22.5" customHeight="1">
      <c r="B16" s="9" t="s">
        <v>153</v>
      </c>
      <c r="C16" s="8" t="s">
        <v>136</v>
      </c>
      <c r="D16" s="8" t="s">
        <v>1028</v>
      </c>
      <c r="E16" s="9" t="s">
        <v>109</v>
      </c>
      <c r="F16" s="8" t="s">
        <v>1029</v>
      </c>
      <c r="H16" s="8">
        <v>30.0</v>
      </c>
      <c r="I16" s="8">
        <v>2507.4</v>
      </c>
      <c r="J16" s="8">
        <v>182031.27</v>
      </c>
      <c r="K16" s="8">
        <v>182031.27</v>
      </c>
      <c r="L16" s="15">
        <v>46113.0</v>
      </c>
      <c r="M16" s="15">
        <v>46143.0</v>
      </c>
      <c r="N16" s="8">
        <v>0.0</v>
      </c>
      <c r="O16" s="8">
        <v>-23.0</v>
      </c>
      <c r="P16" s="8">
        <v>53.0</v>
      </c>
      <c r="R16" s="8" t="s">
        <v>1030</v>
      </c>
      <c r="S16" s="11" t="s">
        <v>1031</v>
      </c>
      <c r="T16" s="8">
        <v>748.0</v>
      </c>
    </row>
    <row r="17" ht="22.5" customHeight="1">
      <c r="A17" s="8" t="s">
        <v>1032</v>
      </c>
      <c r="B17" s="9" t="s">
        <v>500</v>
      </c>
      <c r="C17" s="8" t="s">
        <v>136</v>
      </c>
      <c r="D17" s="8" t="s">
        <v>1033</v>
      </c>
      <c r="E17" s="9" t="s">
        <v>29</v>
      </c>
      <c r="F17" s="8">
        <v>1.0</v>
      </c>
      <c r="H17" s="8">
        <v>200.0</v>
      </c>
      <c r="I17" s="8">
        <v>200.0</v>
      </c>
      <c r="J17" s="8">
        <v>4897.7</v>
      </c>
      <c r="K17" s="8">
        <v>4897.7</v>
      </c>
      <c r="L17" s="15">
        <v>46082.0</v>
      </c>
      <c r="M17" s="15">
        <v>46113.0</v>
      </c>
      <c r="N17" s="8">
        <v>0.0</v>
      </c>
      <c r="O17" s="8">
        <v>-53.0</v>
      </c>
      <c r="P17" s="8">
        <v>83.0</v>
      </c>
      <c r="R17" s="8" t="s">
        <v>1034</v>
      </c>
      <c r="S17" s="11" t="s">
        <v>1035</v>
      </c>
      <c r="T17" s="8">
        <v>719.0</v>
      </c>
    </row>
    <row r="18" ht="22.5" customHeight="1">
      <c r="B18" s="9" t="s">
        <v>559</v>
      </c>
      <c r="C18" s="8" t="s">
        <v>794</v>
      </c>
      <c r="D18" s="8" t="s">
        <v>995</v>
      </c>
      <c r="E18" s="9" t="s">
        <v>38</v>
      </c>
      <c r="F18" s="8">
        <v>3.0</v>
      </c>
      <c r="H18" s="8">
        <v>3000.0</v>
      </c>
      <c r="I18" s="8">
        <v>5000.0</v>
      </c>
      <c r="L18" s="15">
        <v>46082.0</v>
      </c>
      <c r="M18" s="15">
        <v>46113.0</v>
      </c>
      <c r="O18" s="8">
        <v>-53.0</v>
      </c>
      <c r="P18" s="8">
        <v>83.0</v>
      </c>
      <c r="R18" s="8" t="s">
        <v>1036</v>
      </c>
      <c r="T18" s="8">
        <v>720.0</v>
      </c>
    </row>
    <row r="19" ht="22.5" customHeight="1">
      <c r="B19" s="9" t="s">
        <v>512</v>
      </c>
      <c r="C19" s="8" t="s">
        <v>136</v>
      </c>
      <c r="D19" s="8" t="s">
        <v>997</v>
      </c>
      <c r="E19" s="9" t="s">
        <v>38</v>
      </c>
      <c r="F19" s="8">
        <v>3.0</v>
      </c>
      <c r="G19" s="8">
        <v>0.375</v>
      </c>
      <c r="H19" s="8">
        <v>4000.0</v>
      </c>
      <c r="I19" s="8">
        <v>7500.0</v>
      </c>
      <c r="J19" s="8">
        <v>7500.0</v>
      </c>
      <c r="K19" s="8">
        <v>7500.0</v>
      </c>
      <c r="L19" s="15">
        <v>46082.0</v>
      </c>
      <c r="M19" s="15">
        <v>46113.0</v>
      </c>
      <c r="N19" s="8">
        <v>0.0</v>
      </c>
      <c r="O19" s="8">
        <v>-53.0</v>
      </c>
      <c r="P19" s="8">
        <v>83.0</v>
      </c>
      <c r="R19" s="8" t="s">
        <v>1037</v>
      </c>
      <c r="S19" s="11" t="s">
        <v>1038</v>
      </c>
      <c r="T19" s="8">
        <v>721.0</v>
      </c>
    </row>
    <row r="20" ht="22.5" customHeight="1">
      <c r="B20" s="9" t="s">
        <v>154</v>
      </c>
      <c r="C20" s="8" t="s">
        <v>136</v>
      </c>
      <c r="D20" s="8" t="s">
        <v>1000</v>
      </c>
      <c r="E20" s="9" t="s">
        <v>59</v>
      </c>
      <c r="F20" s="8" t="s">
        <v>1001</v>
      </c>
      <c r="H20" s="8">
        <v>10.0</v>
      </c>
      <c r="I20" s="8">
        <v>40.0</v>
      </c>
      <c r="J20" s="8">
        <v>4911.53</v>
      </c>
      <c r="K20" s="8">
        <v>0.0</v>
      </c>
      <c r="L20" s="15">
        <v>46082.0</v>
      </c>
      <c r="M20" s="15">
        <v>46113.0</v>
      </c>
      <c r="N20" s="8">
        <v>1.0</v>
      </c>
      <c r="O20" s="8">
        <v>-53.0</v>
      </c>
      <c r="P20" s="8">
        <v>83.0</v>
      </c>
      <c r="Q20" s="17">
        <v>46081.0</v>
      </c>
      <c r="R20" s="8" t="s">
        <v>1039</v>
      </c>
      <c r="S20" s="11" t="s">
        <v>1040</v>
      </c>
      <c r="T20" s="8">
        <v>722.0</v>
      </c>
    </row>
    <row r="21" ht="22.5" customHeight="1">
      <c r="B21" s="9" t="s">
        <v>605</v>
      </c>
      <c r="C21" s="8" t="s">
        <v>803</v>
      </c>
      <c r="D21" s="8" t="s">
        <v>1004</v>
      </c>
      <c r="E21" s="9" t="s">
        <v>59</v>
      </c>
      <c r="F21" s="8" t="s">
        <v>1001</v>
      </c>
      <c r="H21" s="8">
        <v>15.0</v>
      </c>
      <c r="I21" s="8">
        <v>60.0</v>
      </c>
      <c r="L21" s="15">
        <v>46082.0</v>
      </c>
      <c r="M21" s="15">
        <v>46113.0</v>
      </c>
      <c r="O21" s="8">
        <v>-53.0</v>
      </c>
      <c r="P21" s="8">
        <v>83.0</v>
      </c>
      <c r="R21" s="8" t="s">
        <v>1041</v>
      </c>
      <c r="T21" s="8">
        <v>723.0</v>
      </c>
    </row>
    <row r="22" ht="22.5" customHeight="1">
      <c r="B22" s="9" t="s">
        <v>586</v>
      </c>
      <c r="C22" s="8" t="s">
        <v>136</v>
      </c>
      <c r="D22" s="8" t="s">
        <v>1006</v>
      </c>
      <c r="E22" s="9" t="s">
        <v>50</v>
      </c>
      <c r="F22" s="8">
        <v>2.0</v>
      </c>
      <c r="H22" s="8">
        <v>40.0</v>
      </c>
      <c r="I22" s="8">
        <v>80.0</v>
      </c>
      <c r="J22" s="8">
        <v>9169.45</v>
      </c>
      <c r="K22" s="8">
        <v>9169.45</v>
      </c>
      <c r="L22" s="15">
        <v>46082.0</v>
      </c>
      <c r="M22" s="15">
        <v>46113.0</v>
      </c>
      <c r="N22" s="8">
        <v>0.0</v>
      </c>
      <c r="O22" s="8">
        <v>-53.0</v>
      </c>
      <c r="P22" s="8">
        <v>83.0</v>
      </c>
      <c r="R22" s="8" t="s">
        <v>1042</v>
      </c>
      <c r="S22" s="11" t="s">
        <v>1043</v>
      </c>
      <c r="T22" s="8">
        <v>724.0</v>
      </c>
    </row>
    <row r="23" ht="22.5" customHeight="1">
      <c r="B23" s="9" t="s">
        <v>581</v>
      </c>
      <c r="C23" s="8" t="s">
        <v>136</v>
      </c>
      <c r="D23" s="8" t="s">
        <v>1008</v>
      </c>
      <c r="E23" s="9" t="s">
        <v>38</v>
      </c>
      <c r="F23" s="8">
        <v>3.0</v>
      </c>
      <c r="G23" s="8">
        <v>0.25</v>
      </c>
      <c r="H23" s="8">
        <v>8000.0</v>
      </c>
      <c r="I23" s="8">
        <v>18000.0</v>
      </c>
      <c r="J23" s="8">
        <v>18000.0</v>
      </c>
      <c r="K23" s="8">
        <v>18000.0</v>
      </c>
      <c r="L23" s="15">
        <v>46082.0</v>
      </c>
      <c r="M23" s="15">
        <v>46113.0</v>
      </c>
      <c r="N23" s="8">
        <v>0.0</v>
      </c>
      <c r="O23" s="8">
        <v>-53.0</v>
      </c>
      <c r="P23" s="8">
        <v>83.0</v>
      </c>
      <c r="R23" s="8" t="s">
        <v>1044</v>
      </c>
      <c r="S23" s="11" t="s">
        <v>1045</v>
      </c>
      <c r="T23" s="8">
        <v>725.0</v>
      </c>
    </row>
    <row r="24" ht="22.5" customHeight="1">
      <c r="B24" s="9" t="s">
        <v>447</v>
      </c>
      <c r="C24" s="8" t="s">
        <v>136</v>
      </c>
      <c r="D24" s="8" t="s">
        <v>1010</v>
      </c>
      <c r="E24" s="9" t="s">
        <v>29</v>
      </c>
      <c r="F24" s="8">
        <v>6.0</v>
      </c>
      <c r="G24" s="8">
        <v>0.5</v>
      </c>
      <c r="H24" s="8">
        <v>200.0</v>
      </c>
      <c r="I24" s="8">
        <v>600.0</v>
      </c>
      <c r="J24" s="8">
        <v>14664.51</v>
      </c>
      <c r="K24" s="8">
        <v>0.0</v>
      </c>
      <c r="L24" s="15">
        <v>46082.0</v>
      </c>
      <c r="M24" s="15">
        <v>46113.0</v>
      </c>
      <c r="N24" s="8">
        <v>1.0</v>
      </c>
      <c r="O24" s="8">
        <v>-53.0</v>
      </c>
      <c r="P24" s="8">
        <v>83.0</v>
      </c>
      <c r="Q24" s="17">
        <v>46082.0</v>
      </c>
      <c r="R24" s="8" t="s">
        <v>1046</v>
      </c>
      <c r="S24" s="11" t="s">
        <v>1047</v>
      </c>
      <c r="T24" s="8">
        <v>726.0</v>
      </c>
    </row>
    <row r="25" ht="22.5" customHeight="1">
      <c r="B25" s="9" t="s">
        <v>573</v>
      </c>
      <c r="C25" s="8" t="s">
        <v>794</v>
      </c>
      <c r="D25" s="8" t="s">
        <v>1013</v>
      </c>
      <c r="E25" s="9" t="s">
        <v>29</v>
      </c>
      <c r="F25" s="8">
        <v>4.0</v>
      </c>
      <c r="G25" s="16">
        <v>0.17</v>
      </c>
      <c r="H25" s="8">
        <v>200.0</v>
      </c>
      <c r="I25" s="8">
        <v>667.2</v>
      </c>
      <c r="L25" s="15">
        <v>46082.0</v>
      </c>
      <c r="M25" s="15">
        <v>46113.0</v>
      </c>
      <c r="O25" s="8">
        <v>-53.0</v>
      </c>
      <c r="P25" s="8">
        <v>83.0</v>
      </c>
      <c r="R25" s="8" t="s">
        <v>1048</v>
      </c>
      <c r="T25" s="8">
        <v>727.0</v>
      </c>
    </row>
    <row r="26" ht="22.5" customHeight="1">
      <c r="B26" s="9" t="s">
        <v>539</v>
      </c>
      <c r="C26" s="8" t="s">
        <v>136</v>
      </c>
      <c r="D26" s="8" t="s">
        <v>1015</v>
      </c>
      <c r="E26" s="9" t="s">
        <v>38</v>
      </c>
      <c r="F26" s="8">
        <v>4.0</v>
      </c>
      <c r="G26" s="16">
        <v>0.43</v>
      </c>
      <c r="H26" s="8">
        <v>8000.0</v>
      </c>
      <c r="I26" s="8">
        <v>18240.0</v>
      </c>
      <c r="J26" s="8">
        <v>18240.0</v>
      </c>
      <c r="K26" s="8">
        <v>18240.0</v>
      </c>
      <c r="L26" s="15">
        <v>46082.0</v>
      </c>
      <c r="M26" s="15">
        <v>46113.0</v>
      </c>
      <c r="N26" s="8">
        <v>0.0</v>
      </c>
      <c r="O26" s="8">
        <v>-53.0</v>
      </c>
      <c r="P26" s="8">
        <v>83.0</v>
      </c>
      <c r="R26" s="8" t="s">
        <v>1049</v>
      </c>
      <c r="S26" s="11" t="s">
        <v>1050</v>
      </c>
      <c r="T26" s="8">
        <v>728.0</v>
      </c>
    </row>
    <row r="27" ht="22.5" customHeight="1">
      <c r="B27" s="9" t="s">
        <v>542</v>
      </c>
      <c r="C27" s="8" t="s">
        <v>136</v>
      </c>
      <c r="D27" s="8" t="s">
        <v>1017</v>
      </c>
      <c r="E27" s="9" t="s">
        <v>59</v>
      </c>
      <c r="F27" s="8">
        <v>8.0</v>
      </c>
      <c r="H27" s="8">
        <v>15.0</v>
      </c>
      <c r="I27" s="8">
        <v>120.0</v>
      </c>
      <c r="J27" s="8">
        <v>14734.6</v>
      </c>
      <c r="K27" s="8">
        <v>14734.6</v>
      </c>
      <c r="L27" s="15">
        <v>46082.0</v>
      </c>
      <c r="M27" s="15">
        <v>46113.0</v>
      </c>
      <c r="N27" s="8">
        <v>0.0</v>
      </c>
      <c r="O27" s="8">
        <v>-53.0</v>
      </c>
      <c r="P27" s="8">
        <v>83.0</v>
      </c>
      <c r="R27" s="8" t="s">
        <v>1051</v>
      </c>
      <c r="S27" s="11" t="s">
        <v>1052</v>
      </c>
      <c r="T27" s="8">
        <v>729.0</v>
      </c>
    </row>
    <row r="28" ht="22.5" customHeight="1">
      <c r="B28" s="9" t="s">
        <v>592</v>
      </c>
      <c r="C28" s="8" t="s">
        <v>136</v>
      </c>
      <c r="D28" s="8" t="s">
        <v>1020</v>
      </c>
      <c r="E28" s="9" t="s">
        <v>29</v>
      </c>
      <c r="F28" s="8">
        <v>5.0</v>
      </c>
      <c r="G28" s="8">
        <v>0.5</v>
      </c>
      <c r="H28" s="8">
        <v>200.0</v>
      </c>
      <c r="I28" s="8">
        <v>500.0</v>
      </c>
      <c r="J28" s="8">
        <v>12244.26</v>
      </c>
      <c r="K28" s="8">
        <v>12244.26</v>
      </c>
      <c r="L28" s="15">
        <v>46082.0</v>
      </c>
      <c r="M28" s="15">
        <v>46113.0</v>
      </c>
      <c r="N28" s="8">
        <v>0.0</v>
      </c>
      <c r="O28" s="8">
        <v>-53.0</v>
      </c>
      <c r="P28" s="8">
        <v>83.0</v>
      </c>
      <c r="R28" s="8" t="s">
        <v>1053</v>
      </c>
      <c r="S28" s="11" t="s">
        <v>1054</v>
      </c>
      <c r="T28" s="8">
        <v>730.0</v>
      </c>
    </row>
    <row r="29" ht="22.5" customHeight="1">
      <c r="B29" s="9" t="s">
        <v>160</v>
      </c>
      <c r="C29" s="8" t="s">
        <v>136</v>
      </c>
      <c r="D29" s="8" t="s">
        <v>1022</v>
      </c>
      <c r="E29" s="9" t="s">
        <v>38</v>
      </c>
      <c r="F29" s="8">
        <v>1.0</v>
      </c>
      <c r="H29" s="8">
        <v>2000.0</v>
      </c>
      <c r="I29" s="8">
        <v>2000.0</v>
      </c>
      <c r="J29" s="8">
        <v>2000.0</v>
      </c>
      <c r="K29" s="8">
        <v>0.0</v>
      </c>
      <c r="L29" s="15">
        <v>46082.0</v>
      </c>
      <c r="M29" s="15">
        <v>46113.0</v>
      </c>
      <c r="N29" s="8">
        <v>1.0</v>
      </c>
      <c r="O29" s="8">
        <v>-53.0</v>
      </c>
      <c r="P29" s="8">
        <v>83.0</v>
      </c>
      <c r="Q29" s="17">
        <v>46052.0</v>
      </c>
      <c r="R29" s="8" t="s">
        <v>1055</v>
      </c>
      <c r="S29" s="11" t="s">
        <v>1056</v>
      </c>
      <c r="T29" s="8">
        <v>731.0</v>
      </c>
    </row>
    <row r="30" ht="22.5" customHeight="1">
      <c r="B30" s="9" t="s">
        <v>1024</v>
      </c>
      <c r="C30" s="8" t="s">
        <v>794</v>
      </c>
      <c r="D30" s="8" t="s">
        <v>1025</v>
      </c>
      <c r="E30" s="9" t="s">
        <v>38</v>
      </c>
      <c r="F30" s="8">
        <v>3.0</v>
      </c>
      <c r="G30" s="8">
        <v>0.25</v>
      </c>
      <c r="H30" s="8" t="s">
        <v>1026</v>
      </c>
      <c r="I30" s="8">
        <v>9000.0</v>
      </c>
      <c r="L30" s="15">
        <v>46082.0</v>
      </c>
      <c r="M30" s="15">
        <v>46113.0</v>
      </c>
      <c r="O30" s="8">
        <v>-53.0</v>
      </c>
      <c r="P30" s="8">
        <v>83.0</v>
      </c>
      <c r="R30" s="8" t="s">
        <v>1057</v>
      </c>
      <c r="T30" s="8">
        <v>732.0</v>
      </c>
    </row>
    <row r="31" ht="22.5" customHeight="1">
      <c r="B31" s="9" t="s">
        <v>153</v>
      </c>
      <c r="C31" s="8" t="s">
        <v>136</v>
      </c>
      <c r="D31" s="8" t="s">
        <v>1028</v>
      </c>
      <c r="E31" s="9" t="s">
        <v>109</v>
      </c>
      <c r="F31" s="8" t="s">
        <v>1058</v>
      </c>
      <c r="H31" s="8">
        <v>30.0</v>
      </c>
      <c r="I31" s="8">
        <v>1128.0</v>
      </c>
      <c r="J31" s="8">
        <v>81244.15</v>
      </c>
      <c r="K31" s="8">
        <v>81244.15</v>
      </c>
      <c r="L31" s="15">
        <v>46082.0</v>
      </c>
      <c r="M31" s="15">
        <v>46113.0</v>
      </c>
      <c r="N31" s="8">
        <v>0.0</v>
      </c>
      <c r="O31" s="8">
        <v>-53.0</v>
      </c>
      <c r="P31" s="8">
        <v>83.0</v>
      </c>
      <c r="R31" s="8" t="s">
        <v>1059</v>
      </c>
      <c r="S31" s="11" t="s">
        <v>1060</v>
      </c>
      <c r="T31" s="8">
        <v>733.0</v>
      </c>
    </row>
    <row r="32" ht="22.5" customHeight="1">
      <c r="B32" s="9" t="s">
        <v>500</v>
      </c>
      <c r="C32" s="8" t="s">
        <v>136</v>
      </c>
      <c r="D32" s="8" t="s">
        <v>1033</v>
      </c>
      <c r="E32" s="9" t="s">
        <v>29</v>
      </c>
      <c r="F32" s="8">
        <v>1.0</v>
      </c>
      <c r="H32" s="8">
        <v>200.0</v>
      </c>
      <c r="I32" s="8">
        <v>200.0</v>
      </c>
      <c r="J32" s="8">
        <v>4859.84</v>
      </c>
      <c r="K32" s="8">
        <v>0.0</v>
      </c>
      <c r="L32" s="15">
        <v>46054.0</v>
      </c>
      <c r="M32" s="15">
        <v>46082.0</v>
      </c>
      <c r="N32" s="8">
        <v>1.0</v>
      </c>
      <c r="O32" s="8">
        <v>-84.0</v>
      </c>
      <c r="P32" s="8">
        <v>114.0</v>
      </c>
      <c r="Q32" s="17">
        <v>46081.0</v>
      </c>
      <c r="R32" s="8" t="s">
        <v>1061</v>
      </c>
      <c r="S32" s="11" t="s">
        <v>1062</v>
      </c>
      <c r="T32" s="8">
        <v>704.0</v>
      </c>
    </row>
    <row r="33" ht="22.5" customHeight="1">
      <c r="B33" s="9" t="s">
        <v>559</v>
      </c>
      <c r="C33" s="8" t="s">
        <v>794</v>
      </c>
      <c r="D33" s="8" t="s">
        <v>995</v>
      </c>
      <c r="E33" s="9" t="s">
        <v>38</v>
      </c>
      <c r="F33" s="8">
        <v>3.0</v>
      </c>
      <c r="H33" s="8">
        <v>3000.0</v>
      </c>
      <c r="I33" s="8">
        <v>5000.0</v>
      </c>
      <c r="L33" s="15">
        <v>46054.0</v>
      </c>
      <c r="M33" s="15">
        <v>46082.0</v>
      </c>
      <c r="O33" s="8">
        <v>-84.0</v>
      </c>
      <c r="P33" s="8">
        <v>114.0</v>
      </c>
      <c r="R33" s="8" t="s">
        <v>1063</v>
      </c>
      <c r="T33" s="8">
        <v>705.0</v>
      </c>
    </row>
    <row r="34" ht="22.5" customHeight="1">
      <c r="B34" s="9" t="s">
        <v>512</v>
      </c>
      <c r="C34" s="8" t="s">
        <v>136</v>
      </c>
      <c r="D34" s="8" t="s">
        <v>997</v>
      </c>
      <c r="E34" s="9" t="s">
        <v>38</v>
      </c>
      <c r="F34" s="8">
        <v>3.0</v>
      </c>
      <c r="G34" s="16">
        <v>0.38</v>
      </c>
      <c r="H34" s="8">
        <v>4000.0</v>
      </c>
      <c r="I34" s="8">
        <v>7500.0</v>
      </c>
      <c r="J34" s="8">
        <v>7500.0</v>
      </c>
      <c r="K34" s="8">
        <v>7500.0</v>
      </c>
      <c r="L34" s="15">
        <v>46054.0</v>
      </c>
      <c r="M34" s="15">
        <v>46082.0</v>
      </c>
      <c r="N34" s="8">
        <v>0.0</v>
      </c>
      <c r="O34" s="8">
        <v>-84.0</v>
      </c>
      <c r="P34" s="8">
        <v>114.0</v>
      </c>
      <c r="R34" s="8" t="s">
        <v>1064</v>
      </c>
      <c r="S34" s="11" t="s">
        <v>1065</v>
      </c>
      <c r="T34" s="8">
        <v>706.0</v>
      </c>
    </row>
    <row r="35" ht="22.5" customHeight="1">
      <c r="B35" s="9" t="s">
        <v>567</v>
      </c>
      <c r="C35" s="8" t="s">
        <v>794</v>
      </c>
      <c r="D35" s="8" t="s">
        <v>1066</v>
      </c>
      <c r="E35" s="9" t="s">
        <v>38</v>
      </c>
      <c r="F35" s="8">
        <v>1.0</v>
      </c>
      <c r="H35" s="8">
        <v>4000.0</v>
      </c>
      <c r="I35" s="8">
        <v>4000.0</v>
      </c>
      <c r="L35" s="15">
        <v>46054.0</v>
      </c>
      <c r="M35" s="15">
        <v>46082.0</v>
      </c>
      <c r="O35" s="8">
        <v>-84.0</v>
      </c>
      <c r="P35" s="8">
        <v>114.0</v>
      </c>
      <c r="R35" s="8" t="s">
        <v>1067</v>
      </c>
      <c r="T35" s="8">
        <v>707.0</v>
      </c>
    </row>
    <row r="36" ht="22.5" customHeight="1">
      <c r="B36" s="9" t="s">
        <v>359</v>
      </c>
      <c r="C36" s="8" t="s">
        <v>804</v>
      </c>
      <c r="D36" s="8" t="s">
        <v>1004</v>
      </c>
      <c r="E36" s="9" t="s">
        <v>38</v>
      </c>
      <c r="F36" s="8">
        <v>6.35</v>
      </c>
      <c r="H36" s="8">
        <v>1250.0</v>
      </c>
      <c r="I36" s="8">
        <v>7937.5</v>
      </c>
      <c r="L36" s="15">
        <v>46054.0</v>
      </c>
      <c r="M36" s="15">
        <v>46082.0</v>
      </c>
      <c r="O36" s="8">
        <v>-84.0</v>
      </c>
      <c r="P36" s="8">
        <v>114.0</v>
      </c>
      <c r="R36" s="8" t="s">
        <v>1068</v>
      </c>
      <c r="T36" s="8">
        <v>708.0</v>
      </c>
    </row>
    <row r="37" ht="22.5" customHeight="1">
      <c r="B37" s="9" t="s">
        <v>586</v>
      </c>
      <c r="C37" s="8" t="s">
        <v>136</v>
      </c>
      <c r="D37" s="8" t="s">
        <v>1006</v>
      </c>
      <c r="E37" s="9" t="s">
        <v>50</v>
      </c>
      <c r="F37" s="8">
        <v>2.0</v>
      </c>
      <c r="H37" s="8">
        <v>40.0</v>
      </c>
      <c r="I37" s="8">
        <v>80.0</v>
      </c>
      <c r="J37" s="8">
        <v>7334.96</v>
      </c>
      <c r="K37" s="8">
        <v>7334.96</v>
      </c>
      <c r="L37" s="15">
        <v>46054.0</v>
      </c>
      <c r="M37" s="15">
        <v>46082.0</v>
      </c>
      <c r="N37" s="8">
        <v>0.0</v>
      </c>
      <c r="O37" s="8">
        <v>-84.0</v>
      </c>
      <c r="P37" s="8">
        <v>114.0</v>
      </c>
      <c r="R37" s="8" t="s">
        <v>1069</v>
      </c>
      <c r="S37" s="11" t="s">
        <v>1070</v>
      </c>
      <c r="T37" s="8">
        <v>709.0</v>
      </c>
    </row>
    <row r="38" ht="22.5" customHeight="1">
      <c r="B38" s="9" t="s">
        <v>581</v>
      </c>
      <c r="C38" s="8" t="s">
        <v>136</v>
      </c>
      <c r="D38" s="8" t="s">
        <v>1008</v>
      </c>
      <c r="E38" s="9" t="s">
        <v>38</v>
      </c>
      <c r="F38" s="8">
        <v>3.0</v>
      </c>
      <c r="G38" s="16">
        <v>0.25</v>
      </c>
      <c r="H38" s="8">
        <v>8000.0</v>
      </c>
      <c r="I38" s="8">
        <v>18000.0</v>
      </c>
      <c r="J38" s="8">
        <v>18000.0</v>
      </c>
      <c r="K38" s="8">
        <v>0.0</v>
      </c>
      <c r="L38" s="15">
        <v>46054.0</v>
      </c>
      <c r="M38" s="15">
        <v>46082.0</v>
      </c>
      <c r="N38" s="8">
        <v>1.0</v>
      </c>
      <c r="O38" s="8">
        <v>-84.0</v>
      </c>
      <c r="P38" s="8">
        <v>114.0</v>
      </c>
      <c r="Q38" s="17">
        <v>46077.0</v>
      </c>
      <c r="R38" s="8" t="s">
        <v>1071</v>
      </c>
      <c r="S38" s="11" t="s">
        <v>1072</v>
      </c>
      <c r="T38" s="8">
        <v>710.0</v>
      </c>
    </row>
    <row r="39" ht="22.5" customHeight="1">
      <c r="B39" s="9" t="s">
        <v>447</v>
      </c>
      <c r="C39" s="8" t="s">
        <v>794</v>
      </c>
      <c r="D39" s="8" t="s">
        <v>1020</v>
      </c>
      <c r="E39" s="9" t="s">
        <v>29</v>
      </c>
      <c r="F39" s="8">
        <v>5.0</v>
      </c>
      <c r="G39" s="16">
        <v>0.5</v>
      </c>
      <c r="H39" s="8">
        <v>200.0</v>
      </c>
      <c r="I39" s="8">
        <v>500.0</v>
      </c>
      <c r="L39" s="15">
        <v>46054.0</v>
      </c>
      <c r="M39" s="15">
        <v>46082.0</v>
      </c>
      <c r="O39" s="8">
        <v>-84.0</v>
      </c>
      <c r="P39" s="8">
        <v>114.0</v>
      </c>
      <c r="Q39" s="17">
        <v>46082.0</v>
      </c>
      <c r="R39" s="8" t="s">
        <v>1073</v>
      </c>
      <c r="T39" s="8">
        <v>711.0</v>
      </c>
    </row>
    <row r="40" ht="22.5" customHeight="1">
      <c r="A40" s="8" t="s">
        <v>1074</v>
      </c>
      <c r="B40" s="9" t="s">
        <v>573</v>
      </c>
      <c r="C40" s="8" t="s">
        <v>136</v>
      </c>
      <c r="D40" s="8" t="s">
        <v>1013</v>
      </c>
      <c r="E40" s="9" t="s">
        <v>29</v>
      </c>
      <c r="F40" s="8">
        <v>4.0</v>
      </c>
      <c r="G40" s="8">
        <v>0.166</v>
      </c>
      <c r="H40" s="8">
        <v>200.0</v>
      </c>
      <c r="I40" s="8">
        <v>667.2</v>
      </c>
      <c r="J40" s="8">
        <v>16212.43</v>
      </c>
      <c r="K40" s="8">
        <v>16212.43</v>
      </c>
      <c r="L40" s="15">
        <v>46054.0</v>
      </c>
      <c r="M40" s="15">
        <v>46082.0</v>
      </c>
      <c r="N40" s="8">
        <v>0.0</v>
      </c>
      <c r="O40" s="8">
        <v>-84.0</v>
      </c>
      <c r="P40" s="8">
        <v>114.0</v>
      </c>
      <c r="R40" s="8" t="s">
        <v>1075</v>
      </c>
      <c r="S40" s="11" t="s">
        <v>1076</v>
      </c>
      <c r="T40" s="8">
        <v>712.0</v>
      </c>
    </row>
    <row r="41" ht="22.5" customHeight="1">
      <c r="A41" s="8" t="s">
        <v>1077</v>
      </c>
      <c r="B41" s="9" t="s">
        <v>539</v>
      </c>
      <c r="C41" s="8" t="s">
        <v>136</v>
      </c>
      <c r="D41" s="8" t="s">
        <v>1015</v>
      </c>
      <c r="E41" s="9" t="s">
        <v>38</v>
      </c>
      <c r="F41" s="8">
        <v>4.0</v>
      </c>
      <c r="G41" s="16">
        <v>0.43</v>
      </c>
      <c r="H41" s="8">
        <v>8000.0</v>
      </c>
      <c r="I41" s="8">
        <v>18240.0</v>
      </c>
      <c r="J41" s="8">
        <v>18240.0</v>
      </c>
      <c r="K41" s="8">
        <v>18240.0</v>
      </c>
      <c r="L41" s="15">
        <v>46054.0</v>
      </c>
      <c r="M41" s="15">
        <v>46082.0</v>
      </c>
      <c r="N41" s="8">
        <v>0.0</v>
      </c>
      <c r="O41" s="8">
        <v>-84.0</v>
      </c>
      <c r="P41" s="8">
        <v>114.0</v>
      </c>
      <c r="R41" s="8" t="s">
        <v>1078</v>
      </c>
      <c r="S41" s="11" t="s">
        <v>1079</v>
      </c>
      <c r="T41" s="8">
        <v>713.0</v>
      </c>
    </row>
    <row r="42" ht="22.5" customHeight="1">
      <c r="B42" s="9" t="s">
        <v>542</v>
      </c>
      <c r="C42" s="8" t="s">
        <v>136</v>
      </c>
      <c r="D42" s="8" t="s">
        <v>1017</v>
      </c>
      <c r="E42" s="9" t="s">
        <v>59</v>
      </c>
      <c r="F42" s="8" t="s">
        <v>1080</v>
      </c>
      <c r="H42" s="8">
        <v>15.0</v>
      </c>
      <c r="I42" s="8">
        <v>210.0</v>
      </c>
      <c r="J42" s="8">
        <v>26350.7</v>
      </c>
      <c r="K42" s="8">
        <v>26350.7</v>
      </c>
      <c r="L42" s="15">
        <v>46054.0</v>
      </c>
      <c r="M42" s="15">
        <v>46082.0</v>
      </c>
      <c r="N42" s="8">
        <v>0.0</v>
      </c>
      <c r="O42" s="8">
        <v>-84.0</v>
      </c>
      <c r="P42" s="8">
        <v>114.0</v>
      </c>
      <c r="R42" s="8" t="s">
        <v>1081</v>
      </c>
      <c r="S42" s="11" t="s">
        <v>1082</v>
      </c>
      <c r="T42" s="8">
        <v>714.0</v>
      </c>
    </row>
    <row r="43" ht="22.5" customHeight="1">
      <c r="B43" s="9" t="s">
        <v>592</v>
      </c>
      <c r="C43" s="8" t="s">
        <v>136</v>
      </c>
      <c r="D43" s="8" t="s">
        <v>1020</v>
      </c>
      <c r="E43" s="9" t="s">
        <v>29</v>
      </c>
      <c r="F43" s="8">
        <v>5.0</v>
      </c>
      <c r="G43" s="8">
        <v>0.75</v>
      </c>
      <c r="H43" s="8">
        <v>200.0</v>
      </c>
      <c r="I43" s="8">
        <v>250.0</v>
      </c>
      <c r="J43" s="8">
        <v>6061.24</v>
      </c>
      <c r="K43" s="8">
        <v>0.0</v>
      </c>
      <c r="L43" s="15">
        <v>46068.0</v>
      </c>
      <c r="M43" s="15">
        <v>46096.0</v>
      </c>
      <c r="N43" s="8">
        <v>1.0</v>
      </c>
      <c r="O43" s="8">
        <v>-70.0</v>
      </c>
      <c r="P43" s="8">
        <v>100.0</v>
      </c>
      <c r="Q43" s="17">
        <v>46078.0</v>
      </c>
      <c r="R43" s="8" t="s">
        <v>1083</v>
      </c>
      <c r="S43" s="11" t="s">
        <v>1084</v>
      </c>
      <c r="T43" s="8">
        <v>715.0</v>
      </c>
    </row>
    <row r="44" ht="22.5" customHeight="1">
      <c r="B44" s="9" t="s">
        <v>160</v>
      </c>
      <c r="C44" s="8" t="s">
        <v>136</v>
      </c>
      <c r="D44" s="8" t="s">
        <v>1022</v>
      </c>
      <c r="E44" s="9" t="s">
        <v>38</v>
      </c>
      <c r="F44" s="8">
        <v>1.0</v>
      </c>
      <c r="H44" s="8">
        <v>2000.0</v>
      </c>
      <c r="I44" s="8">
        <v>2000.0</v>
      </c>
      <c r="J44" s="8">
        <v>2000.0</v>
      </c>
      <c r="K44" s="8">
        <v>0.0</v>
      </c>
      <c r="L44" s="15">
        <v>46054.0</v>
      </c>
      <c r="M44" s="15">
        <v>46082.0</v>
      </c>
      <c r="N44" s="8">
        <v>1.0</v>
      </c>
      <c r="O44" s="8">
        <v>-84.0</v>
      </c>
      <c r="P44" s="8">
        <v>114.0</v>
      </c>
      <c r="Q44" s="17">
        <v>46052.0</v>
      </c>
      <c r="R44" s="8" t="s">
        <v>1085</v>
      </c>
      <c r="S44" s="11" t="s">
        <v>1086</v>
      </c>
      <c r="T44" s="8">
        <v>716.0</v>
      </c>
    </row>
    <row r="45" ht="22.5" customHeight="1">
      <c r="B45" s="9" t="s">
        <v>1024</v>
      </c>
      <c r="C45" s="8" t="s">
        <v>794</v>
      </c>
      <c r="D45" s="8" t="s">
        <v>1025</v>
      </c>
      <c r="E45" s="9" t="s">
        <v>38</v>
      </c>
      <c r="F45" s="8">
        <v>3.0</v>
      </c>
      <c r="G45" s="16">
        <v>0.25</v>
      </c>
      <c r="H45" s="8" t="s">
        <v>1026</v>
      </c>
      <c r="I45" s="8">
        <v>9000.0</v>
      </c>
      <c r="L45" s="15">
        <v>46054.0</v>
      </c>
      <c r="M45" s="15">
        <v>46082.0</v>
      </c>
      <c r="O45" s="8">
        <v>-84.0</v>
      </c>
      <c r="P45" s="8">
        <v>114.0</v>
      </c>
      <c r="R45" s="8" t="s">
        <v>1087</v>
      </c>
      <c r="T45" s="8">
        <v>717.0</v>
      </c>
    </row>
    <row r="46" ht="22.5" customHeight="1">
      <c r="B46" s="9" t="s">
        <v>153</v>
      </c>
      <c r="C46" s="8" t="s">
        <v>136</v>
      </c>
      <c r="D46" s="8" t="s">
        <v>1028</v>
      </c>
      <c r="E46" s="9" t="s">
        <v>109</v>
      </c>
      <c r="F46" s="8" t="s">
        <v>1088</v>
      </c>
      <c r="H46" s="8">
        <v>25.0</v>
      </c>
      <c r="I46" s="8">
        <v>820.0</v>
      </c>
      <c r="J46" s="8">
        <v>59222.74</v>
      </c>
      <c r="K46" s="8">
        <v>0.0</v>
      </c>
      <c r="L46" s="15">
        <v>46054.0</v>
      </c>
      <c r="M46" s="15">
        <v>46082.0</v>
      </c>
      <c r="N46" s="8">
        <v>1.0</v>
      </c>
      <c r="O46" s="8">
        <v>-84.0</v>
      </c>
      <c r="P46" s="8">
        <v>114.0</v>
      </c>
      <c r="Q46" s="17">
        <v>46046.0</v>
      </c>
      <c r="R46" s="8" t="s">
        <v>1089</v>
      </c>
      <c r="S46" s="11" t="s">
        <v>1090</v>
      </c>
      <c r="T46" s="8">
        <v>718.0</v>
      </c>
    </row>
    <row r="47" ht="22.5" customHeight="1">
      <c r="A47" s="8" t="s">
        <v>1091</v>
      </c>
      <c r="B47" s="9" t="s">
        <v>500</v>
      </c>
      <c r="C47" s="8" t="s">
        <v>136</v>
      </c>
      <c r="D47" s="8" t="s">
        <v>1092</v>
      </c>
      <c r="E47" s="9" t="s">
        <v>29</v>
      </c>
      <c r="F47" s="8">
        <v>3.0</v>
      </c>
      <c r="H47" s="8">
        <v>200.0</v>
      </c>
      <c r="I47" s="8">
        <v>600.0</v>
      </c>
      <c r="J47" s="8">
        <v>14375.75</v>
      </c>
      <c r="K47" s="8">
        <v>4785.0</v>
      </c>
      <c r="L47" s="15">
        <v>46023.0</v>
      </c>
      <c r="M47" s="15">
        <v>46054.0</v>
      </c>
      <c r="N47" s="8">
        <v>1.0</v>
      </c>
      <c r="O47" s="8">
        <v>-112.0</v>
      </c>
      <c r="P47" s="8">
        <v>142.0</v>
      </c>
      <c r="Q47" s="17">
        <v>46050.0</v>
      </c>
      <c r="R47" s="8" t="s">
        <v>1093</v>
      </c>
      <c r="S47" s="11" t="s">
        <v>1094</v>
      </c>
      <c r="T47" s="8">
        <v>689.0</v>
      </c>
    </row>
    <row r="48" ht="22.5" customHeight="1">
      <c r="B48" s="9" t="s">
        <v>559</v>
      </c>
      <c r="C48" s="8" t="s">
        <v>794</v>
      </c>
      <c r="D48" s="8" t="s">
        <v>995</v>
      </c>
      <c r="E48" s="9" t="s">
        <v>38</v>
      </c>
      <c r="F48" s="8">
        <v>3.0</v>
      </c>
      <c r="H48" s="8">
        <v>3000.0</v>
      </c>
      <c r="I48" s="8">
        <v>5000.0</v>
      </c>
      <c r="L48" s="15">
        <v>46023.0</v>
      </c>
      <c r="M48" s="15">
        <v>46054.0</v>
      </c>
      <c r="O48" s="8">
        <v>-112.0</v>
      </c>
      <c r="P48" s="8">
        <v>142.0</v>
      </c>
      <c r="R48" s="8" t="s">
        <v>1095</v>
      </c>
      <c r="T48" s="8">
        <v>690.0</v>
      </c>
    </row>
    <row r="49" ht="22.5" customHeight="1">
      <c r="B49" s="9" t="s">
        <v>512</v>
      </c>
      <c r="C49" s="8" t="s">
        <v>136</v>
      </c>
      <c r="D49" s="8" t="s">
        <v>997</v>
      </c>
      <c r="E49" s="9" t="s">
        <v>38</v>
      </c>
      <c r="F49" s="8">
        <v>3.0</v>
      </c>
      <c r="G49" s="16">
        <v>0.38</v>
      </c>
      <c r="H49" s="8">
        <v>4000.0</v>
      </c>
      <c r="I49" s="8">
        <v>7500.0</v>
      </c>
      <c r="J49" s="8">
        <v>7500.0</v>
      </c>
      <c r="K49" s="8">
        <v>7500.0</v>
      </c>
      <c r="L49" s="15">
        <v>46023.0</v>
      </c>
      <c r="M49" s="15">
        <v>46054.0</v>
      </c>
      <c r="N49" s="8">
        <v>0.0</v>
      </c>
      <c r="O49" s="8">
        <v>-112.0</v>
      </c>
      <c r="P49" s="8">
        <v>142.0</v>
      </c>
      <c r="R49" s="8" t="s">
        <v>1096</v>
      </c>
      <c r="S49" s="11" t="s">
        <v>1097</v>
      </c>
      <c r="T49" s="8">
        <v>691.0</v>
      </c>
    </row>
    <row r="50" ht="22.5" customHeight="1">
      <c r="B50" s="9" t="s">
        <v>567</v>
      </c>
      <c r="C50" s="8" t="s">
        <v>794</v>
      </c>
      <c r="D50" s="8" t="s">
        <v>1066</v>
      </c>
      <c r="E50" s="9" t="s">
        <v>38</v>
      </c>
      <c r="F50" s="8">
        <v>1.0</v>
      </c>
      <c r="H50" s="8">
        <v>4000.0</v>
      </c>
      <c r="I50" s="8">
        <v>4000.0</v>
      </c>
      <c r="L50" s="15">
        <v>46023.0</v>
      </c>
      <c r="M50" s="15">
        <v>46054.0</v>
      </c>
      <c r="O50" s="8">
        <v>-112.0</v>
      </c>
      <c r="P50" s="8">
        <v>142.0</v>
      </c>
      <c r="R50" s="8" t="s">
        <v>1098</v>
      </c>
      <c r="T50" s="8">
        <v>692.0</v>
      </c>
    </row>
    <row r="51" ht="22.5" customHeight="1">
      <c r="B51" s="9" t="s">
        <v>359</v>
      </c>
      <c r="C51" s="8" t="s">
        <v>804</v>
      </c>
      <c r="D51" s="8" t="s">
        <v>1004</v>
      </c>
      <c r="E51" s="9" t="s">
        <v>38</v>
      </c>
      <c r="F51" s="8">
        <v>6.35</v>
      </c>
      <c r="H51" s="8">
        <v>1250.0</v>
      </c>
      <c r="I51" s="8">
        <v>7937.5</v>
      </c>
      <c r="L51" s="15">
        <v>46023.0</v>
      </c>
      <c r="M51" s="15">
        <v>46054.0</v>
      </c>
      <c r="O51" s="8">
        <v>-112.0</v>
      </c>
      <c r="P51" s="8">
        <v>142.0</v>
      </c>
      <c r="R51" s="8" t="s">
        <v>1099</v>
      </c>
      <c r="T51" s="8">
        <v>693.0</v>
      </c>
    </row>
    <row r="52" ht="22.5" customHeight="1">
      <c r="B52" s="9" t="s">
        <v>586</v>
      </c>
      <c r="C52" s="8" t="s">
        <v>136</v>
      </c>
      <c r="D52" s="8" t="s">
        <v>1006</v>
      </c>
      <c r="E52" s="9" t="s">
        <v>50</v>
      </c>
      <c r="F52" s="8">
        <v>2.0</v>
      </c>
      <c r="H52" s="8">
        <v>40.0</v>
      </c>
      <c r="I52" s="8">
        <v>80.0</v>
      </c>
      <c r="J52" s="8">
        <v>7196.95</v>
      </c>
      <c r="K52" s="8">
        <v>0.0</v>
      </c>
      <c r="L52" s="15">
        <v>46023.0</v>
      </c>
      <c r="M52" s="15">
        <v>46054.0</v>
      </c>
      <c r="N52" s="8">
        <v>1.0</v>
      </c>
      <c r="O52" s="8">
        <v>-112.0</v>
      </c>
      <c r="P52" s="8">
        <v>142.0</v>
      </c>
      <c r="Q52" s="17">
        <v>46062.0</v>
      </c>
      <c r="R52" s="8" t="s">
        <v>1100</v>
      </c>
      <c r="S52" s="11" t="s">
        <v>1101</v>
      </c>
      <c r="T52" s="8">
        <v>694.0</v>
      </c>
    </row>
    <row r="53" ht="22.5" customHeight="1">
      <c r="B53" s="9" t="s">
        <v>581</v>
      </c>
      <c r="C53" s="8" t="s">
        <v>136</v>
      </c>
      <c r="D53" s="8" t="s">
        <v>1008</v>
      </c>
      <c r="E53" s="9" t="s">
        <v>38</v>
      </c>
      <c r="F53" s="8">
        <v>3.0</v>
      </c>
      <c r="G53" s="16">
        <v>0.25</v>
      </c>
      <c r="H53" s="8">
        <v>8000.0</v>
      </c>
      <c r="I53" s="8">
        <v>18000.0</v>
      </c>
      <c r="J53" s="8">
        <v>18000.0</v>
      </c>
      <c r="K53" s="8">
        <v>0.0</v>
      </c>
      <c r="L53" s="15">
        <v>46023.0</v>
      </c>
      <c r="M53" s="15">
        <v>46054.0</v>
      </c>
      <c r="N53" s="8">
        <v>1.0</v>
      </c>
      <c r="O53" s="8">
        <v>-112.0</v>
      </c>
      <c r="P53" s="8">
        <v>142.0</v>
      </c>
      <c r="Q53" s="17">
        <v>46038.0</v>
      </c>
      <c r="R53" s="8" t="s">
        <v>1102</v>
      </c>
      <c r="S53" s="11" t="s">
        <v>1103</v>
      </c>
      <c r="T53" s="8">
        <v>695.0</v>
      </c>
    </row>
    <row r="54" ht="22.5" customHeight="1">
      <c r="B54" s="9" t="s">
        <v>579</v>
      </c>
      <c r="C54" s="8" t="s">
        <v>1104</v>
      </c>
      <c r="D54" s="8" t="s">
        <v>1105</v>
      </c>
      <c r="E54" s="9" t="s">
        <v>29</v>
      </c>
      <c r="F54" s="8">
        <v>1.0</v>
      </c>
      <c r="H54" s="8">
        <v>26000.0</v>
      </c>
      <c r="I54" s="8">
        <v>26000.0</v>
      </c>
      <c r="L54" s="15">
        <v>46023.0</v>
      </c>
      <c r="M54" s="15">
        <v>46054.0</v>
      </c>
      <c r="O54" s="8">
        <v>-112.0</v>
      </c>
      <c r="P54" s="8">
        <v>142.0</v>
      </c>
      <c r="R54" s="8" t="s">
        <v>1106</v>
      </c>
      <c r="T54" s="8">
        <v>696.0</v>
      </c>
    </row>
    <row r="55" ht="22.5" customHeight="1">
      <c r="B55" s="9" t="s">
        <v>573</v>
      </c>
      <c r="C55" s="8" t="s">
        <v>136</v>
      </c>
      <c r="D55" s="8" t="s">
        <v>1013</v>
      </c>
      <c r="E55" s="9" t="s">
        <v>29</v>
      </c>
      <c r="F55" s="8">
        <v>4.0</v>
      </c>
      <c r="G55" s="16">
        <v>0.17</v>
      </c>
      <c r="H55" s="8">
        <v>200.0</v>
      </c>
      <c r="I55" s="8">
        <v>667.2</v>
      </c>
      <c r="J55" s="8">
        <v>15985.84</v>
      </c>
      <c r="K55" s="8">
        <v>15985.84</v>
      </c>
      <c r="L55" s="15">
        <v>46023.0</v>
      </c>
      <c r="M55" s="15">
        <v>46054.0</v>
      </c>
      <c r="N55" s="8">
        <v>0.0</v>
      </c>
      <c r="O55" s="8">
        <v>-112.0</v>
      </c>
      <c r="P55" s="8">
        <v>142.0</v>
      </c>
      <c r="R55" s="8" t="s">
        <v>1107</v>
      </c>
      <c r="S55" s="11" t="s">
        <v>1108</v>
      </c>
      <c r="T55" s="8">
        <v>697.0</v>
      </c>
    </row>
    <row r="56" ht="22.5" customHeight="1">
      <c r="A56" s="8" t="s">
        <v>1077</v>
      </c>
      <c r="B56" s="9" t="s">
        <v>539</v>
      </c>
      <c r="C56" s="8" t="s">
        <v>136</v>
      </c>
      <c r="D56" s="8" t="s">
        <v>1015</v>
      </c>
      <c r="E56" s="9" t="s">
        <v>38</v>
      </c>
      <c r="F56" s="8">
        <v>4.0</v>
      </c>
      <c r="G56" s="16">
        <v>0.43</v>
      </c>
      <c r="H56" s="8">
        <v>8000.0</v>
      </c>
      <c r="I56" s="8">
        <v>18240.0</v>
      </c>
      <c r="J56" s="8">
        <v>18240.0</v>
      </c>
      <c r="K56" s="8">
        <v>18240.0</v>
      </c>
      <c r="L56" s="15">
        <v>46023.0</v>
      </c>
      <c r="M56" s="15">
        <v>46054.0</v>
      </c>
      <c r="N56" s="8">
        <v>0.0</v>
      </c>
      <c r="O56" s="8">
        <v>-112.0</v>
      </c>
      <c r="P56" s="8">
        <v>142.0</v>
      </c>
      <c r="R56" s="8" t="s">
        <v>1109</v>
      </c>
      <c r="S56" s="11" t="s">
        <v>1110</v>
      </c>
      <c r="T56" s="8">
        <v>698.0</v>
      </c>
    </row>
    <row r="57" ht="22.5" customHeight="1">
      <c r="B57" s="9" t="s">
        <v>542</v>
      </c>
      <c r="C57" s="8" t="s">
        <v>136</v>
      </c>
      <c r="D57" s="8" t="s">
        <v>1017</v>
      </c>
      <c r="E57" s="9" t="s">
        <v>59</v>
      </c>
      <c r="F57" s="8">
        <v>8.0</v>
      </c>
      <c r="H57" s="8">
        <v>15.0</v>
      </c>
      <c r="I57" s="8">
        <v>120.0</v>
      </c>
      <c r="J57" s="8">
        <v>14516.75</v>
      </c>
      <c r="K57" s="8">
        <v>14516.75</v>
      </c>
      <c r="L57" s="15">
        <v>46023.0</v>
      </c>
      <c r="M57" s="15">
        <v>46054.0</v>
      </c>
      <c r="N57" s="8">
        <v>0.0</v>
      </c>
      <c r="O57" s="8">
        <v>-112.0</v>
      </c>
      <c r="P57" s="8">
        <v>142.0</v>
      </c>
      <c r="R57" s="8" t="s">
        <v>1111</v>
      </c>
      <c r="S57" s="11" t="s">
        <v>1112</v>
      </c>
      <c r="T57" s="8">
        <v>699.0</v>
      </c>
    </row>
    <row r="58" ht="22.5" customHeight="1">
      <c r="B58" s="9" t="s">
        <v>187</v>
      </c>
      <c r="C58" s="8" t="s">
        <v>795</v>
      </c>
      <c r="D58" s="8" t="s">
        <v>1113</v>
      </c>
      <c r="E58" s="9" t="s">
        <v>188</v>
      </c>
      <c r="F58" s="8">
        <v>2.0</v>
      </c>
      <c r="H58" s="8">
        <v>200.0</v>
      </c>
      <c r="I58" s="8">
        <v>400.0</v>
      </c>
      <c r="L58" s="15">
        <v>46023.0</v>
      </c>
      <c r="M58" s="15">
        <v>46054.0</v>
      </c>
      <c r="O58" s="8">
        <v>-112.0</v>
      </c>
      <c r="P58" s="8">
        <v>142.0</v>
      </c>
      <c r="R58" s="8" t="s">
        <v>1114</v>
      </c>
      <c r="T58" s="8">
        <v>700.0</v>
      </c>
    </row>
    <row r="59" ht="22.5" customHeight="1">
      <c r="B59" s="9" t="s">
        <v>160</v>
      </c>
      <c r="C59" s="8" t="s">
        <v>136</v>
      </c>
      <c r="D59" s="8" t="s">
        <v>1022</v>
      </c>
      <c r="E59" s="9" t="s">
        <v>38</v>
      </c>
      <c r="F59" s="8">
        <v>1.0</v>
      </c>
      <c r="H59" s="8">
        <v>2000.0</v>
      </c>
      <c r="I59" s="8">
        <v>2000.0</v>
      </c>
      <c r="J59" s="8">
        <v>2000.0</v>
      </c>
      <c r="K59" s="8">
        <v>0.0</v>
      </c>
      <c r="L59" s="15">
        <v>46023.0</v>
      </c>
      <c r="M59" s="15">
        <v>46054.0</v>
      </c>
      <c r="N59" s="8">
        <v>1.0</v>
      </c>
      <c r="O59" s="8">
        <v>-112.0</v>
      </c>
      <c r="P59" s="8">
        <v>142.0</v>
      </c>
      <c r="Q59" s="17">
        <v>46052.0</v>
      </c>
      <c r="R59" s="8" t="s">
        <v>1115</v>
      </c>
      <c r="S59" s="11" t="s">
        <v>1116</v>
      </c>
      <c r="T59" s="8">
        <v>701.0</v>
      </c>
    </row>
    <row r="60" ht="22.5" customHeight="1">
      <c r="B60" s="9" t="s">
        <v>1024</v>
      </c>
      <c r="C60" s="8" t="s">
        <v>794</v>
      </c>
      <c r="D60" s="8" t="s">
        <v>1025</v>
      </c>
      <c r="E60" s="9" t="s">
        <v>38</v>
      </c>
      <c r="F60" s="8">
        <v>3.0</v>
      </c>
      <c r="G60" s="8">
        <v>0.25</v>
      </c>
      <c r="H60" s="8" t="s">
        <v>1026</v>
      </c>
      <c r="I60" s="8">
        <v>9000.0</v>
      </c>
      <c r="L60" s="15">
        <v>46023.0</v>
      </c>
      <c r="M60" s="15">
        <v>46054.0</v>
      </c>
      <c r="O60" s="8">
        <v>-112.0</v>
      </c>
      <c r="P60" s="8">
        <v>142.0</v>
      </c>
      <c r="R60" s="8" t="s">
        <v>1117</v>
      </c>
      <c r="T60" s="8">
        <v>702.0</v>
      </c>
    </row>
    <row r="61" ht="22.5" customHeight="1">
      <c r="B61" s="9" t="s">
        <v>153</v>
      </c>
      <c r="C61" s="8" t="s">
        <v>136</v>
      </c>
      <c r="D61" s="8" t="s">
        <v>1028</v>
      </c>
      <c r="E61" s="9" t="s">
        <v>109</v>
      </c>
      <c r="F61" s="8" t="s">
        <v>1118</v>
      </c>
      <c r="H61" s="8">
        <v>25.0</v>
      </c>
      <c r="I61" s="8">
        <v>56.25</v>
      </c>
      <c r="J61" s="8">
        <v>3929.8</v>
      </c>
      <c r="K61" s="8">
        <v>0.0</v>
      </c>
      <c r="L61" s="15">
        <v>46023.0</v>
      </c>
      <c r="M61" s="15">
        <v>46054.0</v>
      </c>
      <c r="N61" s="8">
        <v>1.0</v>
      </c>
      <c r="O61" s="8">
        <v>-112.0</v>
      </c>
      <c r="P61" s="8">
        <v>142.0</v>
      </c>
      <c r="Q61" s="17">
        <v>46046.0</v>
      </c>
      <c r="R61" s="8" t="s">
        <v>1119</v>
      </c>
      <c r="S61" s="11" t="s">
        <v>1120</v>
      </c>
      <c r="T61" s="8">
        <v>703.0</v>
      </c>
    </row>
    <row r="62" ht="22.5" customHeight="1">
      <c r="A62" s="8" t="s">
        <v>1121</v>
      </c>
      <c r="B62" s="9" t="s">
        <v>500</v>
      </c>
      <c r="C62" s="8" t="s">
        <v>136</v>
      </c>
      <c r="D62" s="8" t="s">
        <v>1092</v>
      </c>
      <c r="E62" s="9" t="s">
        <v>29</v>
      </c>
      <c r="F62" s="8">
        <v>3.0</v>
      </c>
      <c r="H62" s="8">
        <v>200.0</v>
      </c>
      <c r="I62" s="8">
        <v>600.0</v>
      </c>
      <c r="J62" s="8">
        <v>14278.65</v>
      </c>
      <c r="K62" s="8">
        <v>4785.0</v>
      </c>
      <c r="L62" s="15">
        <v>46376.0</v>
      </c>
      <c r="M62" s="15">
        <v>46042.0</v>
      </c>
      <c r="N62" s="8">
        <v>1.0</v>
      </c>
      <c r="O62" s="8">
        <v>-124.0</v>
      </c>
      <c r="P62" s="8">
        <v>154.0</v>
      </c>
      <c r="Q62" s="17">
        <v>46385.0</v>
      </c>
      <c r="R62" s="8" t="s">
        <v>1122</v>
      </c>
      <c r="S62" s="11" t="s">
        <v>1123</v>
      </c>
      <c r="T62" s="8">
        <v>674.0</v>
      </c>
    </row>
    <row r="63" ht="22.5" customHeight="1">
      <c r="A63" s="8" t="s">
        <v>1124</v>
      </c>
      <c r="B63" s="9" t="s">
        <v>559</v>
      </c>
      <c r="C63" s="8" t="s">
        <v>794</v>
      </c>
      <c r="D63" s="8" t="s">
        <v>995</v>
      </c>
      <c r="E63" s="9" t="s">
        <v>38</v>
      </c>
      <c r="F63" s="8">
        <v>3.0</v>
      </c>
      <c r="H63" s="8">
        <v>3000.0</v>
      </c>
      <c r="I63" s="8">
        <v>5000.0</v>
      </c>
      <c r="L63" s="15">
        <v>46372.0</v>
      </c>
      <c r="M63" s="15">
        <v>46038.0</v>
      </c>
      <c r="O63" s="8">
        <v>-128.0</v>
      </c>
      <c r="P63" s="8">
        <v>158.0</v>
      </c>
      <c r="R63" s="8" t="s">
        <v>1125</v>
      </c>
      <c r="T63" s="8">
        <v>675.0</v>
      </c>
    </row>
    <row r="64" ht="22.5" customHeight="1">
      <c r="B64" s="9" t="s">
        <v>512</v>
      </c>
      <c r="C64" s="8" t="s">
        <v>136</v>
      </c>
      <c r="D64" s="8" t="s">
        <v>997</v>
      </c>
      <c r="E64" s="9" t="s">
        <v>38</v>
      </c>
      <c r="F64" s="8">
        <v>3.0</v>
      </c>
      <c r="G64" s="8">
        <v>0.375</v>
      </c>
      <c r="H64" s="8">
        <v>4000.0</v>
      </c>
      <c r="I64" s="8">
        <v>7500.0</v>
      </c>
      <c r="J64" s="8">
        <v>7500.0</v>
      </c>
      <c r="K64" s="8">
        <v>7500.0</v>
      </c>
      <c r="L64" s="15">
        <v>46357.0</v>
      </c>
      <c r="M64" s="15">
        <v>46023.0</v>
      </c>
      <c r="N64" s="8">
        <v>0.0</v>
      </c>
      <c r="O64" s="8">
        <v>-143.0</v>
      </c>
      <c r="P64" s="8">
        <v>173.0</v>
      </c>
      <c r="R64" s="8" t="s">
        <v>1126</v>
      </c>
      <c r="S64" s="11" t="s">
        <v>1127</v>
      </c>
      <c r="T64" s="8">
        <v>676.0</v>
      </c>
    </row>
    <row r="65" ht="22.5" customHeight="1">
      <c r="B65" s="9" t="s">
        <v>567</v>
      </c>
      <c r="C65" s="8" t="s">
        <v>794</v>
      </c>
      <c r="D65" s="8" t="s">
        <v>1066</v>
      </c>
      <c r="E65" s="9" t="s">
        <v>38</v>
      </c>
      <c r="F65" s="8">
        <v>1.0</v>
      </c>
      <c r="H65" s="8">
        <v>4000.0</v>
      </c>
      <c r="I65" s="8">
        <v>4000.0</v>
      </c>
      <c r="L65" s="15">
        <v>46374.0</v>
      </c>
      <c r="M65" s="15">
        <v>46040.0</v>
      </c>
      <c r="O65" s="8">
        <v>-126.0</v>
      </c>
      <c r="P65" s="8">
        <v>156.0</v>
      </c>
      <c r="R65" s="8" t="s">
        <v>1128</v>
      </c>
      <c r="T65" s="8">
        <v>677.0</v>
      </c>
    </row>
    <row r="66" ht="22.5" customHeight="1">
      <c r="B66" s="9" t="s">
        <v>359</v>
      </c>
      <c r="C66" s="8" t="s">
        <v>804</v>
      </c>
      <c r="D66" s="8" t="s">
        <v>1004</v>
      </c>
      <c r="E66" s="9" t="s">
        <v>38</v>
      </c>
      <c r="F66" s="8">
        <v>6.35</v>
      </c>
      <c r="H66" s="8">
        <v>1250.0</v>
      </c>
      <c r="I66" s="8">
        <v>7937.5</v>
      </c>
      <c r="L66" s="15">
        <v>46374.0</v>
      </c>
      <c r="M66" s="15">
        <v>46040.0</v>
      </c>
      <c r="O66" s="8">
        <v>-126.0</v>
      </c>
      <c r="P66" s="8">
        <v>156.0</v>
      </c>
      <c r="R66" s="8" t="s">
        <v>1129</v>
      </c>
      <c r="T66" s="8">
        <v>678.0</v>
      </c>
    </row>
    <row r="67" ht="22.5" customHeight="1">
      <c r="B67" s="9" t="s">
        <v>147</v>
      </c>
      <c r="C67" s="8" t="s">
        <v>794</v>
      </c>
      <c r="D67" s="8" t="s">
        <v>1130</v>
      </c>
      <c r="E67" s="9" t="s">
        <v>59</v>
      </c>
      <c r="F67" s="8" t="s">
        <v>1131</v>
      </c>
      <c r="H67" s="8">
        <v>15.0</v>
      </c>
      <c r="I67" s="8">
        <v>247.5</v>
      </c>
      <c r="L67" s="15">
        <v>46367.0</v>
      </c>
      <c r="M67" s="15">
        <v>46033.0</v>
      </c>
      <c r="O67" s="8">
        <v>-133.0</v>
      </c>
      <c r="P67" s="8">
        <v>163.0</v>
      </c>
      <c r="R67" s="8" t="s">
        <v>1132</v>
      </c>
      <c r="T67" s="8">
        <v>679.0</v>
      </c>
    </row>
    <row r="68" ht="22.5" customHeight="1">
      <c r="B68" s="9" t="s">
        <v>586</v>
      </c>
      <c r="C68" s="8" t="s">
        <v>136</v>
      </c>
      <c r="D68" s="8" t="s">
        <v>1006</v>
      </c>
      <c r="E68" s="9" t="s">
        <v>50</v>
      </c>
      <c r="F68" s="8">
        <v>2.0</v>
      </c>
      <c r="H68" s="8">
        <v>50.0</v>
      </c>
      <c r="I68" s="8">
        <v>100.0</v>
      </c>
      <c r="J68" s="8">
        <v>8961.27</v>
      </c>
      <c r="K68" s="8">
        <v>0.0</v>
      </c>
      <c r="L68" s="15">
        <v>46357.0</v>
      </c>
      <c r="M68" s="15">
        <v>46023.0</v>
      </c>
      <c r="N68" s="8">
        <v>1.0</v>
      </c>
      <c r="O68" s="8">
        <v>-143.0</v>
      </c>
      <c r="P68" s="8">
        <v>173.0</v>
      </c>
      <c r="Q68" s="17">
        <v>46034.0</v>
      </c>
      <c r="R68" s="8" t="s">
        <v>1133</v>
      </c>
      <c r="S68" s="11" t="s">
        <v>1134</v>
      </c>
      <c r="T68" s="8">
        <v>680.0</v>
      </c>
    </row>
    <row r="69" ht="22.5" customHeight="1">
      <c r="B69" s="9" t="s">
        <v>579</v>
      </c>
      <c r="C69" s="8" t="s">
        <v>1104</v>
      </c>
      <c r="D69" s="8" t="s">
        <v>1105</v>
      </c>
      <c r="E69" s="9" t="s">
        <v>29</v>
      </c>
      <c r="F69" s="8">
        <v>1.0</v>
      </c>
      <c r="H69" s="8">
        <v>26000.0</v>
      </c>
      <c r="I69" s="8">
        <v>26000.0</v>
      </c>
      <c r="L69" s="15">
        <v>46360.0</v>
      </c>
      <c r="M69" s="15">
        <v>46026.0</v>
      </c>
      <c r="O69" s="8">
        <v>-140.0</v>
      </c>
      <c r="P69" s="8">
        <v>170.0</v>
      </c>
      <c r="R69" s="8" t="s">
        <v>1135</v>
      </c>
      <c r="T69" s="8">
        <v>681.0</v>
      </c>
    </row>
    <row r="70" ht="22.5" customHeight="1">
      <c r="B70" s="9" t="s">
        <v>573</v>
      </c>
      <c r="C70" s="8" t="s">
        <v>136</v>
      </c>
      <c r="D70" s="8" t="s">
        <v>1013</v>
      </c>
      <c r="E70" s="9" t="s">
        <v>29</v>
      </c>
      <c r="F70" s="8">
        <v>4.0</v>
      </c>
      <c r="G70" s="8">
        <v>0.166</v>
      </c>
      <c r="H70" s="8">
        <v>200.0</v>
      </c>
      <c r="I70" s="8">
        <v>667.2</v>
      </c>
      <c r="J70" s="8">
        <v>15913.07</v>
      </c>
      <c r="K70" s="8">
        <v>0.0</v>
      </c>
      <c r="L70" s="15">
        <v>46357.0</v>
      </c>
      <c r="M70" s="15">
        <v>46023.0</v>
      </c>
      <c r="N70" s="8">
        <v>1.0</v>
      </c>
      <c r="O70" s="8">
        <v>-143.0</v>
      </c>
      <c r="P70" s="8">
        <v>173.0</v>
      </c>
      <c r="Q70" s="17">
        <v>46367.0</v>
      </c>
      <c r="R70" s="8" t="s">
        <v>1136</v>
      </c>
      <c r="S70" s="11" t="s">
        <v>1137</v>
      </c>
      <c r="T70" s="8">
        <v>682.0</v>
      </c>
    </row>
    <row r="71" ht="22.5" customHeight="1">
      <c r="A71" s="8" t="s">
        <v>1138</v>
      </c>
      <c r="B71" s="9" t="s">
        <v>539</v>
      </c>
      <c r="C71" s="8" t="s">
        <v>136</v>
      </c>
      <c r="D71" s="8" t="s">
        <v>1015</v>
      </c>
      <c r="E71" s="9" t="s">
        <v>38</v>
      </c>
      <c r="F71" s="8">
        <v>4.0</v>
      </c>
      <c r="G71" s="8">
        <v>0.43</v>
      </c>
      <c r="H71" s="8">
        <v>8000.0</v>
      </c>
      <c r="I71" s="8">
        <v>18240.0</v>
      </c>
      <c r="J71" s="8">
        <v>18240.0</v>
      </c>
      <c r="K71" s="8">
        <v>18240.0</v>
      </c>
      <c r="L71" s="15">
        <v>46381.0</v>
      </c>
      <c r="M71" s="15">
        <v>46047.0</v>
      </c>
      <c r="N71" s="8">
        <v>0.0</v>
      </c>
      <c r="O71" s="8">
        <v>-119.0</v>
      </c>
      <c r="P71" s="8">
        <v>149.0</v>
      </c>
      <c r="R71" s="8" t="s">
        <v>1139</v>
      </c>
      <c r="S71" s="11" t="s">
        <v>1140</v>
      </c>
      <c r="T71" s="8">
        <v>683.0</v>
      </c>
    </row>
    <row r="72" ht="22.5" customHeight="1">
      <c r="B72" s="9" t="s">
        <v>542</v>
      </c>
      <c r="C72" s="8" t="s">
        <v>136</v>
      </c>
      <c r="D72" s="8" t="s">
        <v>1017</v>
      </c>
      <c r="E72" s="9" t="s">
        <v>59</v>
      </c>
      <c r="F72" s="8">
        <v>8.0</v>
      </c>
      <c r="H72" s="8">
        <v>15.0</v>
      </c>
      <c r="I72" s="8">
        <v>120.0</v>
      </c>
      <c r="J72" s="8">
        <v>14591.39</v>
      </c>
      <c r="K72" s="8">
        <v>0.0</v>
      </c>
      <c r="L72" s="15">
        <v>46381.0</v>
      </c>
      <c r="M72" s="15">
        <v>46047.0</v>
      </c>
      <c r="N72" s="8">
        <v>1.0</v>
      </c>
      <c r="O72" s="8">
        <v>-119.0</v>
      </c>
      <c r="P72" s="8">
        <v>149.0</v>
      </c>
      <c r="Q72" s="17">
        <v>46086.0</v>
      </c>
      <c r="R72" s="8" t="s">
        <v>1141</v>
      </c>
      <c r="S72" s="11" t="s">
        <v>1142</v>
      </c>
      <c r="T72" s="8">
        <v>684.0</v>
      </c>
    </row>
    <row r="73" ht="22.5" customHeight="1">
      <c r="B73" s="9" t="s">
        <v>187</v>
      </c>
      <c r="C73" s="8" t="s">
        <v>795</v>
      </c>
      <c r="D73" s="8" t="s">
        <v>1113</v>
      </c>
      <c r="E73" s="9" t="s">
        <v>188</v>
      </c>
      <c r="F73" s="8">
        <v>2.0</v>
      </c>
      <c r="H73" s="8">
        <v>200.0</v>
      </c>
      <c r="I73" s="8">
        <v>400.0</v>
      </c>
      <c r="L73" s="15">
        <v>46357.0</v>
      </c>
      <c r="M73" s="15">
        <v>46023.0</v>
      </c>
      <c r="O73" s="8">
        <v>-143.0</v>
      </c>
      <c r="P73" s="8">
        <v>173.0</v>
      </c>
      <c r="R73" s="8" t="s">
        <v>1143</v>
      </c>
      <c r="T73" s="8">
        <v>685.0</v>
      </c>
    </row>
    <row r="74" ht="22.5" customHeight="1">
      <c r="B74" s="9" t="s">
        <v>160</v>
      </c>
      <c r="C74" s="8" t="s">
        <v>136</v>
      </c>
      <c r="D74" s="8" t="s">
        <v>1022</v>
      </c>
      <c r="E74" s="9" t="s">
        <v>38</v>
      </c>
      <c r="F74" s="8">
        <v>1.0</v>
      </c>
      <c r="H74" s="8">
        <v>2000.0</v>
      </c>
      <c r="I74" s="8">
        <v>2000.0</v>
      </c>
      <c r="J74" s="8">
        <v>2000.0</v>
      </c>
      <c r="K74" s="8">
        <v>0.0</v>
      </c>
      <c r="L74" s="15">
        <v>46381.0</v>
      </c>
      <c r="M74" s="15">
        <v>46047.0</v>
      </c>
      <c r="N74" s="8">
        <v>1.0</v>
      </c>
      <c r="O74" s="8">
        <v>-119.0</v>
      </c>
      <c r="P74" s="8">
        <v>149.0</v>
      </c>
      <c r="Q74" s="17">
        <v>46052.0</v>
      </c>
      <c r="R74" s="8" t="s">
        <v>1144</v>
      </c>
      <c r="S74" s="11" t="s">
        <v>1145</v>
      </c>
      <c r="T74" s="8">
        <v>686.0</v>
      </c>
    </row>
    <row r="75" ht="22.5" customHeight="1">
      <c r="A75" s="8" t="s">
        <v>1146</v>
      </c>
      <c r="B75" s="9" t="s">
        <v>1024</v>
      </c>
      <c r="C75" s="8" t="s">
        <v>794</v>
      </c>
      <c r="D75" s="8" t="s">
        <v>1025</v>
      </c>
      <c r="E75" s="9" t="s">
        <v>38</v>
      </c>
      <c r="F75" s="8">
        <v>3.0</v>
      </c>
      <c r="G75" s="16">
        <v>0.25</v>
      </c>
      <c r="H75" s="8" t="s">
        <v>1026</v>
      </c>
      <c r="I75" s="8">
        <v>9000.0</v>
      </c>
      <c r="L75" s="15">
        <v>46357.0</v>
      </c>
      <c r="M75" s="15">
        <v>46023.0</v>
      </c>
      <c r="O75" s="8">
        <v>-143.0</v>
      </c>
      <c r="P75" s="8">
        <v>173.0</v>
      </c>
      <c r="R75" s="8" t="s">
        <v>1147</v>
      </c>
      <c r="T75" s="8">
        <v>687.0</v>
      </c>
    </row>
    <row r="76" ht="22.5" customHeight="1">
      <c r="B76" s="9" t="s">
        <v>153</v>
      </c>
      <c r="C76" s="8" t="s">
        <v>136</v>
      </c>
      <c r="D76" s="8" t="s">
        <v>1028</v>
      </c>
      <c r="E76" s="9" t="s">
        <v>109</v>
      </c>
      <c r="F76" s="8" t="s">
        <v>1148</v>
      </c>
      <c r="H76" s="8">
        <v>25.0</v>
      </c>
      <c r="I76" s="8">
        <v>50.0</v>
      </c>
      <c r="J76" s="8">
        <v>3496.58</v>
      </c>
      <c r="K76" s="8">
        <v>0.0</v>
      </c>
      <c r="L76" s="15">
        <v>46382.0</v>
      </c>
      <c r="M76" s="15">
        <v>46048.0</v>
      </c>
      <c r="N76" s="8">
        <v>1.0</v>
      </c>
      <c r="O76" s="8">
        <v>-118.0</v>
      </c>
      <c r="P76" s="8">
        <v>148.0</v>
      </c>
      <c r="Q76" s="17">
        <v>46046.0</v>
      </c>
      <c r="R76" s="8" t="s">
        <v>1149</v>
      </c>
      <c r="T76" s="8">
        <v>688.0</v>
      </c>
    </row>
    <row r="77" ht="22.5" customHeight="1">
      <c r="B77" s="9" t="s">
        <v>500</v>
      </c>
      <c r="C77" s="8" t="s">
        <v>136</v>
      </c>
      <c r="D77" s="8" t="s">
        <v>993</v>
      </c>
      <c r="E77" s="9" t="s">
        <v>29</v>
      </c>
      <c r="F77" s="8">
        <v>2.0</v>
      </c>
      <c r="H77" s="8">
        <v>200.0</v>
      </c>
      <c r="I77" s="8">
        <v>400.0</v>
      </c>
      <c r="J77" s="8">
        <v>9448.5</v>
      </c>
      <c r="K77" s="8">
        <v>0.0</v>
      </c>
      <c r="L77" s="15">
        <v>46346.0</v>
      </c>
      <c r="M77" s="15">
        <v>46376.0</v>
      </c>
      <c r="N77" s="8">
        <v>1.0</v>
      </c>
      <c r="O77" s="8">
        <v>-155.0</v>
      </c>
      <c r="P77" s="8">
        <v>185.0</v>
      </c>
      <c r="Q77" s="17">
        <v>46353.0</v>
      </c>
      <c r="R77" s="8" t="s">
        <v>1150</v>
      </c>
      <c r="S77" s="11" t="s">
        <v>1151</v>
      </c>
      <c r="T77" s="8">
        <v>659.0</v>
      </c>
    </row>
    <row r="78" ht="22.5" customHeight="1">
      <c r="A78" s="8" t="s">
        <v>1152</v>
      </c>
      <c r="B78" s="9" t="s">
        <v>559</v>
      </c>
      <c r="C78" s="8" t="s">
        <v>136</v>
      </c>
      <c r="D78" s="8" t="s">
        <v>995</v>
      </c>
      <c r="E78" s="9" t="s">
        <v>38</v>
      </c>
      <c r="F78" s="8">
        <v>1.0</v>
      </c>
      <c r="G78" s="8">
        <v>0.5</v>
      </c>
      <c r="H78" s="8">
        <v>4000.0</v>
      </c>
      <c r="I78" s="8">
        <v>2000.0</v>
      </c>
      <c r="J78" s="8">
        <v>2000.0</v>
      </c>
      <c r="K78" s="8">
        <v>2000.0</v>
      </c>
      <c r="L78" s="15">
        <v>46342.0</v>
      </c>
      <c r="M78" s="15">
        <v>46357.0</v>
      </c>
      <c r="N78" s="8">
        <v>0.0</v>
      </c>
      <c r="O78" s="8">
        <v>-174.0</v>
      </c>
      <c r="P78" s="8">
        <v>204.0</v>
      </c>
      <c r="R78" s="8" t="s">
        <v>1153</v>
      </c>
      <c r="S78" s="11" t="s">
        <v>1154</v>
      </c>
      <c r="T78" s="8">
        <v>660.0</v>
      </c>
    </row>
    <row r="79" ht="22.5" customHeight="1">
      <c r="B79" s="9" t="s">
        <v>512</v>
      </c>
      <c r="C79" s="8" t="s">
        <v>136</v>
      </c>
      <c r="D79" s="8" t="s">
        <v>997</v>
      </c>
      <c r="E79" s="9" t="s">
        <v>38</v>
      </c>
      <c r="F79" s="8">
        <v>3.0</v>
      </c>
      <c r="G79" s="16">
        <v>0.38</v>
      </c>
      <c r="H79" s="8">
        <v>4000.0</v>
      </c>
      <c r="I79" s="8">
        <v>7500.0</v>
      </c>
      <c r="J79" s="8">
        <v>7500.0</v>
      </c>
      <c r="K79" s="8">
        <v>7500.0</v>
      </c>
      <c r="L79" s="15">
        <v>46327.0</v>
      </c>
      <c r="M79" s="15">
        <v>46357.0</v>
      </c>
      <c r="N79" s="8">
        <v>0.0</v>
      </c>
      <c r="O79" s="8">
        <v>-174.0</v>
      </c>
      <c r="P79" s="8">
        <v>204.0</v>
      </c>
      <c r="R79" s="8" t="s">
        <v>1155</v>
      </c>
      <c r="S79" s="11" t="s">
        <v>1156</v>
      </c>
      <c r="T79" s="8">
        <v>661.0</v>
      </c>
    </row>
    <row r="80" ht="22.5" customHeight="1">
      <c r="B80" s="9" t="s">
        <v>567</v>
      </c>
      <c r="C80" s="8" t="s">
        <v>136</v>
      </c>
      <c r="D80" s="8" t="s">
        <v>1066</v>
      </c>
      <c r="E80" s="9" t="s">
        <v>38</v>
      </c>
      <c r="F80" s="8">
        <v>1.0</v>
      </c>
      <c r="H80" s="8">
        <v>4000.0</v>
      </c>
      <c r="I80" s="8">
        <v>4000.0</v>
      </c>
      <c r="J80" s="8">
        <v>4000.0</v>
      </c>
      <c r="K80" s="8">
        <v>4000.0</v>
      </c>
      <c r="L80" s="15">
        <v>46344.0</v>
      </c>
      <c r="M80" s="15">
        <v>46374.0</v>
      </c>
      <c r="N80" s="8">
        <v>0.0</v>
      </c>
      <c r="O80" s="8">
        <v>-157.0</v>
      </c>
      <c r="P80" s="8">
        <v>187.0</v>
      </c>
      <c r="R80" s="8" t="s">
        <v>1157</v>
      </c>
      <c r="S80" s="11" t="s">
        <v>1158</v>
      </c>
      <c r="T80" s="8">
        <v>662.0</v>
      </c>
    </row>
    <row r="81" ht="22.5" customHeight="1">
      <c r="B81" s="9" t="s">
        <v>359</v>
      </c>
      <c r="C81" s="8" t="s">
        <v>804</v>
      </c>
      <c r="D81" s="8" t="s">
        <v>1004</v>
      </c>
      <c r="E81" s="9" t="s">
        <v>38</v>
      </c>
      <c r="F81" s="8">
        <v>6.35</v>
      </c>
      <c r="H81" s="8">
        <v>1250.0</v>
      </c>
      <c r="I81" s="8">
        <v>7937.5</v>
      </c>
      <c r="L81" s="15">
        <v>46344.0</v>
      </c>
      <c r="M81" s="15">
        <v>46374.0</v>
      </c>
      <c r="O81" s="8">
        <v>-157.0</v>
      </c>
      <c r="P81" s="8">
        <v>187.0</v>
      </c>
      <c r="R81" s="8" t="s">
        <v>1159</v>
      </c>
      <c r="T81" s="8">
        <v>663.0</v>
      </c>
    </row>
    <row r="82" ht="22.5" customHeight="1">
      <c r="B82" s="9" t="s">
        <v>147</v>
      </c>
      <c r="C82" s="8" t="s">
        <v>794</v>
      </c>
      <c r="D82" s="8" t="s">
        <v>1130</v>
      </c>
      <c r="E82" s="9" t="s">
        <v>59</v>
      </c>
      <c r="F82" s="8" t="s">
        <v>1131</v>
      </c>
      <c r="H82" s="8">
        <v>15.0</v>
      </c>
      <c r="I82" s="8">
        <v>247.5</v>
      </c>
      <c r="L82" s="15">
        <v>46337.0</v>
      </c>
      <c r="M82" s="15">
        <v>46367.0</v>
      </c>
      <c r="O82" s="8">
        <v>-164.0</v>
      </c>
      <c r="P82" s="8">
        <v>194.0</v>
      </c>
      <c r="R82" s="8" t="s">
        <v>1160</v>
      </c>
      <c r="T82" s="8">
        <v>664.0</v>
      </c>
    </row>
    <row r="83" ht="22.5" customHeight="1">
      <c r="B83" s="9" t="s">
        <v>586</v>
      </c>
      <c r="C83" s="8" t="s">
        <v>136</v>
      </c>
      <c r="D83" s="8" t="s">
        <v>1006</v>
      </c>
      <c r="E83" s="9" t="s">
        <v>50</v>
      </c>
      <c r="F83" s="8">
        <v>2.0</v>
      </c>
      <c r="H83" s="8">
        <v>50.0</v>
      </c>
      <c r="I83" s="8">
        <v>100.0</v>
      </c>
      <c r="J83" s="8">
        <v>8873.2</v>
      </c>
      <c r="K83" s="8">
        <v>0.0</v>
      </c>
      <c r="L83" s="15">
        <v>46330.0</v>
      </c>
      <c r="M83" s="15">
        <v>46360.0</v>
      </c>
      <c r="N83" s="8">
        <v>1.0</v>
      </c>
      <c r="O83" s="8">
        <v>-171.0</v>
      </c>
      <c r="P83" s="8">
        <v>201.0</v>
      </c>
      <c r="Q83" s="17">
        <v>46337.0</v>
      </c>
      <c r="R83" s="8" t="s">
        <v>1161</v>
      </c>
      <c r="S83" s="11" t="s">
        <v>1162</v>
      </c>
      <c r="T83" s="8">
        <v>665.0</v>
      </c>
    </row>
    <row r="84" ht="22.5" customHeight="1">
      <c r="B84" s="9" t="s">
        <v>579</v>
      </c>
      <c r="C84" s="8" t="s">
        <v>1104</v>
      </c>
      <c r="D84" s="8" t="s">
        <v>1105</v>
      </c>
      <c r="E84" s="9" t="s">
        <v>29</v>
      </c>
      <c r="F84" s="8">
        <v>1.0</v>
      </c>
      <c r="H84" s="8">
        <v>26000.0</v>
      </c>
      <c r="I84" s="8">
        <v>26000.0</v>
      </c>
      <c r="L84" s="15">
        <v>46330.0</v>
      </c>
      <c r="M84" s="15">
        <v>46360.0</v>
      </c>
      <c r="O84" s="8">
        <v>-171.0</v>
      </c>
      <c r="P84" s="8">
        <v>201.0</v>
      </c>
      <c r="R84" s="8" t="s">
        <v>1163</v>
      </c>
      <c r="T84" s="8">
        <v>666.0</v>
      </c>
    </row>
    <row r="85" ht="22.5" customHeight="1">
      <c r="B85" s="9" t="s">
        <v>573</v>
      </c>
      <c r="C85" s="8" t="s">
        <v>1164</v>
      </c>
      <c r="D85" s="8" t="s">
        <v>1013</v>
      </c>
      <c r="E85" s="9" t="s">
        <v>29</v>
      </c>
      <c r="F85" s="8">
        <v>4.0</v>
      </c>
      <c r="G85" s="8">
        <v>0.166</v>
      </c>
      <c r="H85" s="8">
        <v>200.0</v>
      </c>
      <c r="I85" s="8">
        <v>667.2</v>
      </c>
      <c r="L85" s="15">
        <v>46342.0</v>
      </c>
      <c r="M85" s="15">
        <v>46372.0</v>
      </c>
      <c r="O85" s="8">
        <v>-159.0</v>
      </c>
      <c r="P85" s="8">
        <v>189.0</v>
      </c>
      <c r="R85" s="8" t="s">
        <v>1165</v>
      </c>
      <c r="T85" s="8">
        <v>667.0</v>
      </c>
    </row>
    <row r="86" ht="22.5" customHeight="1">
      <c r="B86" s="9" t="s">
        <v>539</v>
      </c>
      <c r="C86" s="8" t="s">
        <v>136</v>
      </c>
      <c r="D86" s="8" t="s">
        <v>1015</v>
      </c>
      <c r="E86" s="9" t="s">
        <v>38</v>
      </c>
      <c r="F86" s="8">
        <v>4.0</v>
      </c>
      <c r="G86" s="16">
        <v>0.43</v>
      </c>
      <c r="H86" s="8">
        <v>8000.0</v>
      </c>
      <c r="I86" s="8">
        <v>18240.0</v>
      </c>
      <c r="J86" s="8">
        <v>18240.0</v>
      </c>
      <c r="K86" s="8">
        <v>18240.0</v>
      </c>
      <c r="L86" s="15">
        <v>46351.0</v>
      </c>
      <c r="M86" s="15">
        <v>46381.0</v>
      </c>
      <c r="N86" s="8">
        <v>0.0</v>
      </c>
      <c r="O86" s="8">
        <v>-150.0</v>
      </c>
      <c r="P86" s="8">
        <v>180.0</v>
      </c>
      <c r="R86" s="8" t="s">
        <v>1166</v>
      </c>
      <c r="S86" s="11" t="s">
        <v>1167</v>
      </c>
      <c r="T86" s="8">
        <v>668.0</v>
      </c>
    </row>
    <row r="87" ht="22.5" customHeight="1">
      <c r="B87" s="9" t="s">
        <v>542</v>
      </c>
      <c r="C87" s="8" t="s">
        <v>136</v>
      </c>
      <c r="D87" s="8" t="s">
        <v>1017</v>
      </c>
      <c r="E87" s="9" t="s">
        <v>59</v>
      </c>
      <c r="F87" s="8">
        <v>8.0</v>
      </c>
      <c r="H87" s="8">
        <v>15.0</v>
      </c>
      <c r="I87" s="8">
        <v>120.0</v>
      </c>
      <c r="J87" s="8">
        <v>14083.31</v>
      </c>
      <c r="K87" s="8">
        <v>0.0</v>
      </c>
      <c r="L87" s="15">
        <v>46351.0</v>
      </c>
      <c r="M87" s="15">
        <v>46381.0</v>
      </c>
      <c r="N87" s="8">
        <v>1.0</v>
      </c>
      <c r="O87" s="8">
        <v>-150.0</v>
      </c>
      <c r="P87" s="8">
        <v>180.0</v>
      </c>
      <c r="Q87" s="17">
        <v>46058.0</v>
      </c>
      <c r="R87" s="8" t="s">
        <v>1168</v>
      </c>
      <c r="S87" s="11" t="s">
        <v>1169</v>
      </c>
      <c r="T87" s="8">
        <v>669.0</v>
      </c>
    </row>
    <row r="88" ht="22.5" customHeight="1">
      <c r="B88" s="9" t="s">
        <v>187</v>
      </c>
      <c r="C88" s="8" t="s">
        <v>795</v>
      </c>
      <c r="D88" s="8" t="s">
        <v>1113</v>
      </c>
      <c r="E88" s="9" t="s">
        <v>188</v>
      </c>
      <c r="F88" s="8">
        <v>2.0</v>
      </c>
      <c r="H88" s="8">
        <v>200.0</v>
      </c>
      <c r="I88" s="8">
        <v>400.0</v>
      </c>
      <c r="L88" s="15">
        <v>46327.0</v>
      </c>
      <c r="M88" s="15">
        <v>46357.0</v>
      </c>
      <c r="O88" s="8">
        <v>-174.0</v>
      </c>
      <c r="P88" s="8">
        <v>204.0</v>
      </c>
      <c r="R88" s="8" t="s">
        <v>1170</v>
      </c>
      <c r="T88" s="8">
        <v>670.0</v>
      </c>
    </row>
    <row r="89" ht="22.5" customHeight="1">
      <c r="B89" s="9" t="s">
        <v>160</v>
      </c>
      <c r="C89" s="8" t="s">
        <v>136</v>
      </c>
      <c r="D89" s="8" t="s">
        <v>1022</v>
      </c>
      <c r="E89" s="9" t="s">
        <v>38</v>
      </c>
      <c r="F89" s="8">
        <v>1.0</v>
      </c>
      <c r="H89" s="8">
        <v>2000.0</v>
      </c>
      <c r="I89" s="8">
        <v>2000.0</v>
      </c>
      <c r="J89" s="8">
        <v>2000.0</v>
      </c>
      <c r="K89" s="8">
        <v>0.0</v>
      </c>
      <c r="L89" s="15">
        <v>46351.0</v>
      </c>
      <c r="M89" s="15">
        <v>46381.0</v>
      </c>
      <c r="N89" s="8">
        <v>1.0</v>
      </c>
      <c r="O89" s="8">
        <v>-150.0</v>
      </c>
      <c r="P89" s="8">
        <v>180.0</v>
      </c>
      <c r="Q89" s="17">
        <v>46052.0</v>
      </c>
      <c r="R89" s="8" t="s">
        <v>1171</v>
      </c>
      <c r="S89" s="11" t="s">
        <v>1172</v>
      </c>
      <c r="T89" s="8">
        <v>671.0</v>
      </c>
    </row>
    <row r="90" ht="22.5" customHeight="1">
      <c r="B90" s="9" t="s">
        <v>1024</v>
      </c>
      <c r="C90" s="8" t="s">
        <v>1173</v>
      </c>
      <c r="D90" s="8" t="s">
        <v>1025</v>
      </c>
      <c r="E90" s="9" t="s">
        <v>38</v>
      </c>
      <c r="F90" s="8">
        <v>3.0</v>
      </c>
      <c r="G90" s="16">
        <v>0.25</v>
      </c>
      <c r="H90" s="8" t="s">
        <v>1026</v>
      </c>
      <c r="I90" s="8">
        <v>9000.0</v>
      </c>
      <c r="J90" s="8">
        <v>9000.0</v>
      </c>
      <c r="K90" s="8">
        <v>0.0</v>
      </c>
      <c r="L90" s="15">
        <v>46327.0</v>
      </c>
      <c r="M90" s="15">
        <v>46357.0</v>
      </c>
      <c r="N90" s="8">
        <v>1.0</v>
      </c>
      <c r="O90" s="8">
        <v>-174.0</v>
      </c>
      <c r="P90" s="8">
        <v>204.0</v>
      </c>
      <c r="Q90" s="17">
        <v>46064.0</v>
      </c>
      <c r="R90" s="8" t="s">
        <v>1174</v>
      </c>
      <c r="S90" s="11" t="s">
        <v>1175</v>
      </c>
      <c r="T90" s="8">
        <v>672.0</v>
      </c>
    </row>
    <row r="91" ht="22.5" customHeight="1">
      <c r="B91" s="9" t="s">
        <v>153</v>
      </c>
      <c r="C91" s="8" t="s">
        <v>794</v>
      </c>
      <c r="D91" s="8" t="s">
        <v>1176</v>
      </c>
      <c r="E91" s="9" t="s">
        <v>109</v>
      </c>
      <c r="F91" s="8" t="s">
        <v>1177</v>
      </c>
      <c r="H91" s="8">
        <v>25.0</v>
      </c>
      <c r="I91" s="8">
        <v>600.0</v>
      </c>
      <c r="L91" s="15">
        <v>46352.0</v>
      </c>
      <c r="M91" s="15">
        <v>46382.0</v>
      </c>
      <c r="O91" s="8">
        <v>-149.0</v>
      </c>
      <c r="P91" s="8">
        <v>179.0</v>
      </c>
      <c r="R91" s="8" t="s">
        <v>1178</v>
      </c>
      <c r="T91" s="8">
        <v>673.0</v>
      </c>
    </row>
    <row r="92" ht="22.5" customHeight="1">
      <c r="A92" s="8" t="s">
        <v>1179</v>
      </c>
      <c r="B92" s="9" t="s">
        <v>500</v>
      </c>
      <c r="C92" s="8" t="s">
        <v>136</v>
      </c>
      <c r="D92" s="8" t="s">
        <v>993</v>
      </c>
      <c r="E92" s="9" t="s">
        <v>29</v>
      </c>
      <c r="F92" s="8">
        <v>3.0</v>
      </c>
      <c r="H92" s="8">
        <v>200.0</v>
      </c>
      <c r="I92" s="8">
        <v>600.0</v>
      </c>
      <c r="J92" s="8">
        <v>14043.29</v>
      </c>
      <c r="K92" s="8">
        <v>0.0</v>
      </c>
      <c r="L92" s="15">
        <v>46315.0</v>
      </c>
      <c r="M92" s="15">
        <v>46346.0</v>
      </c>
      <c r="N92" s="8">
        <v>1.0</v>
      </c>
      <c r="O92" s="8">
        <v>-185.0</v>
      </c>
      <c r="P92" s="8">
        <v>215.0</v>
      </c>
      <c r="Q92" s="17">
        <v>46323.0</v>
      </c>
      <c r="R92" s="8" t="s">
        <v>1180</v>
      </c>
      <c r="S92" s="11" t="s">
        <v>1181</v>
      </c>
      <c r="T92" s="8">
        <v>644.0</v>
      </c>
    </row>
    <row r="93" ht="22.5" customHeight="1">
      <c r="A93" s="8" t="s">
        <v>1182</v>
      </c>
      <c r="B93" s="9" t="s">
        <v>559</v>
      </c>
      <c r="C93" s="8" t="s">
        <v>136</v>
      </c>
      <c r="D93" s="8" t="s">
        <v>995</v>
      </c>
      <c r="E93" s="9" t="s">
        <v>38</v>
      </c>
      <c r="F93" s="8">
        <v>3.0</v>
      </c>
      <c r="H93" s="8">
        <v>3000.0</v>
      </c>
      <c r="I93" s="8">
        <v>5000.0</v>
      </c>
      <c r="J93" s="8">
        <v>5000.0</v>
      </c>
      <c r="K93" s="8">
        <v>0.0</v>
      </c>
      <c r="L93" s="15">
        <v>46311.0</v>
      </c>
      <c r="M93" s="15">
        <v>46342.0</v>
      </c>
      <c r="N93" s="8">
        <v>1.0</v>
      </c>
      <c r="O93" s="8">
        <v>-189.0</v>
      </c>
      <c r="P93" s="8">
        <v>219.0</v>
      </c>
      <c r="Q93" s="17">
        <v>46355.0</v>
      </c>
      <c r="R93" s="8" t="s">
        <v>1183</v>
      </c>
      <c r="S93" s="11" t="s">
        <v>1184</v>
      </c>
      <c r="T93" s="8">
        <v>645.0</v>
      </c>
    </row>
    <row r="94" ht="22.5" customHeight="1">
      <c r="A94" s="8" t="s">
        <v>1185</v>
      </c>
      <c r="B94" s="9" t="s">
        <v>512</v>
      </c>
      <c r="C94" s="8" t="s">
        <v>136</v>
      </c>
      <c r="D94" s="8" t="s">
        <v>997</v>
      </c>
      <c r="E94" s="9" t="s">
        <v>38</v>
      </c>
      <c r="F94" s="8">
        <v>3.0</v>
      </c>
      <c r="G94" s="8">
        <v>0.375</v>
      </c>
      <c r="H94" s="8">
        <v>4000.0</v>
      </c>
      <c r="I94" s="8">
        <v>7500.0</v>
      </c>
      <c r="J94" s="8">
        <v>7500.0</v>
      </c>
      <c r="K94" s="8">
        <v>7500.0</v>
      </c>
      <c r="L94" s="15">
        <v>46296.0</v>
      </c>
      <c r="M94" s="15">
        <v>46327.0</v>
      </c>
      <c r="N94" s="8">
        <v>0.0</v>
      </c>
      <c r="O94" s="8">
        <v>-204.0</v>
      </c>
      <c r="P94" s="8">
        <v>234.0</v>
      </c>
      <c r="R94" s="8" t="s">
        <v>1186</v>
      </c>
      <c r="S94" s="11" t="s">
        <v>1187</v>
      </c>
      <c r="T94" s="8">
        <v>646.0</v>
      </c>
    </row>
    <row r="95" ht="22.5" customHeight="1">
      <c r="A95" s="8" t="s">
        <v>1188</v>
      </c>
      <c r="B95" s="9" t="s">
        <v>567</v>
      </c>
      <c r="C95" s="8" t="s">
        <v>136</v>
      </c>
      <c r="D95" s="8" t="s">
        <v>1066</v>
      </c>
      <c r="E95" s="9" t="s">
        <v>38</v>
      </c>
      <c r="F95" s="8">
        <v>1.0</v>
      </c>
      <c r="H95" s="8">
        <v>4000.0</v>
      </c>
      <c r="I95" s="8">
        <v>4000.0</v>
      </c>
      <c r="J95" s="8">
        <v>4000.0</v>
      </c>
      <c r="K95" s="8">
        <v>0.0</v>
      </c>
      <c r="L95" s="15">
        <v>46313.0</v>
      </c>
      <c r="M95" s="15">
        <v>46344.0</v>
      </c>
      <c r="N95" s="8">
        <v>1.0</v>
      </c>
      <c r="O95" s="8">
        <v>-187.0</v>
      </c>
      <c r="P95" s="8">
        <v>217.0</v>
      </c>
      <c r="Q95" s="17">
        <v>46356.0</v>
      </c>
      <c r="R95" s="8" t="s">
        <v>1189</v>
      </c>
      <c r="S95" s="11" t="s">
        <v>1190</v>
      </c>
      <c r="T95" s="8">
        <v>647.0</v>
      </c>
    </row>
    <row r="96" ht="22.5" customHeight="1">
      <c r="B96" s="9" t="s">
        <v>359</v>
      </c>
      <c r="C96" s="8" t="s">
        <v>804</v>
      </c>
      <c r="D96" s="8" t="s">
        <v>1004</v>
      </c>
      <c r="E96" s="9" t="s">
        <v>38</v>
      </c>
      <c r="F96" s="8">
        <v>6.35</v>
      </c>
      <c r="H96" s="8">
        <v>1250.0</v>
      </c>
      <c r="I96" s="8">
        <v>7937.5</v>
      </c>
      <c r="L96" s="15">
        <v>46313.0</v>
      </c>
      <c r="M96" s="15">
        <v>46344.0</v>
      </c>
      <c r="O96" s="8">
        <v>-187.0</v>
      </c>
      <c r="P96" s="8">
        <v>217.0</v>
      </c>
      <c r="R96" s="8" t="s">
        <v>1191</v>
      </c>
      <c r="T96" s="8">
        <v>648.0</v>
      </c>
    </row>
    <row r="97" ht="22.5" customHeight="1">
      <c r="A97" s="8" t="s">
        <v>1192</v>
      </c>
      <c r="B97" s="9" t="s">
        <v>147</v>
      </c>
      <c r="C97" s="8" t="s">
        <v>136</v>
      </c>
      <c r="D97" s="8" t="s">
        <v>1130</v>
      </c>
      <c r="E97" s="9" t="s">
        <v>59</v>
      </c>
      <c r="F97" s="8" t="s">
        <v>1193</v>
      </c>
      <c r="G97" s="8">
        <v>0.1</v>
      </c>
      <c r="H97" s="8">
        <v>15.0</v>
      </c>
      <c r="I97" s="8">
        <v>222.75</v>
      </c>
      <c r="J97" s="8">
        <v>26403.27</v>
      </c>
      <c r="K97" s="8">
        <v>26403.27</v>
      </c>
      <c r="L97" s="15">
        <v>46306.0</v>
      </c>
      <c r="M97" s="15">
        <v>46337.0</v>
      </c>
      <c r="N97" s="8">
        <v>0.0</v>
      </c>
      <c r="O97" s="8">
        <v>-194.0</v>
      </c>
      <c r="P97" s="8">
        <v>224.0</v>
      </c>
      <c r="Q97" s="17">
        <v>46052.0</v>
      </c>
      <c r="R97" s="8" t="s">
        <v>1194</v>
      </c>
      <c r="S97" s="11" t="s">
        <v>1195</v>
      </c>
      <c r="T97" s="8">
        <v>649.0</v>
      </c>
    </row>
    <row r="98" ht="22.5" customHeight="1">
      <c r="B98" s="9" t="s">
        <v>184</v>
      </c>
      <c r="C98" s="8" t="s">
        <v>794</v>
      </c>
      <c r="D98" s="8" t="s">
        <v>1196</v>
      </c>
      <c r="E98" s="9" t="s">
        <v>29</v>
      </c>
      <c r="F98" s="8" t="s">
        <v>1197</v>
      </c>
      <c r="H98" s="8">
        <v>40.0</v>
      </c>
      <c r="I98" s="8">
        <v>160.0</v>
      </c>
      <c r="L98" s="15">
        <v>46299.0</v>
      </c>
      <c r="M98" s="15">
        <v>46330.0</v>
      </c>
      <c r="O98" s="8">
        <v>-201.0</v>
      </c>
      <c r="P98" s="8">
        <v>231.0</v>
      </c>
      <c r="R98" s="8" t="s">
        <v>1198</v>
      </c>
      <c r="T98" s="8">
        <v>650.0</v>
      </c>
    </row>
    <row r="99" ht="22.5" customHeight="1">
      <c r="B99" s="9" t="s">
        <v>579</v>
      </c>
      <c r="C99" s="8" t="s">
        <v>1104</v>
      </c>
      <c r="D99" s="8" t="s">
        <v>1105</v>
      </c>
      <c r="E99" s="9" t="s">
        <v>29</v>
      </c>
      <c r="F99" s="8">
        <v>1.0</v>
      </c>
      <c r="H99" s="8">
        <v>26000.0</v>
      </c>
      <c r="I99" s="8">
        <v>26000.0</v>
      </c>
      <c r="L99" s="15">
        <v>46299.0</v>
      </c>
      <c r="M99" s="15">
        <v>46330.0</v>
      </c>
      <c r="O99" s="8">
        <v>-201.0</v>
      </c>
      <c r="P99" s="8">
        <v>231.0</v>
      </c>
      <c r="R99" s="8" t="s">
        <v>1199</v>
      </c>
      <c r="T99" s="8">
        <v>651.0</v>
      </c>
    </row>
    <row r="100" ht="22.5" customHeight="1">
      <c r="B100" s="9" t="s">
        <v>191</v>
      </c>
      <c r="C100" s="8" t="s">
        <v>795</v>
      </c>
      <c r="D100" s="8" t="s">
        <v>1013</v>
      </c>
      <c r="E100" s="9" t="s">
        <v>29</v>
      </c>
      <c r="F100" s="8">
        <v>4.0</v>
      </c>
      <c r="H100" s="8">
        <v>4000.0</v>
      </c>
      <c r="I100" s="8">
        <v>16000.0</v>
      </c>
      <c r="L100" s="15">
        <v>46311.0</v>
      </c>
      <c r="M100" s="15">
        <v>46342.0</v>
      </c>
      <c r="O100" s="8">
        <v>-189.0</v>
      </c>
      <c r="P100" s="8">
        <v>219.0</v>
      </c>
      <c r="R100" s="8" t="s">
        <v>1200</v>
      </c>
      <c r="T100" s="8">
        <v>652.0</v>
      </c>
    </row>
    <row r="101" ht="22.5" customHeight="1">
      <c r="A101" s="8" t="s">
        <v>1201</v>
      </c>
      <c r="B101" s="9" t="s">
        <v>539</v>
      </c>
      <c r="C101" s="8" t="s">
        <v>136</v>
      </c>
      <c r="D101" s="8" t="s">
        <v>1015</v>
      </c>
      <c r="E101" s="9" t="s">
        <v>38</v>
      </c>
      <c r="F101" s="8">
        <v>4.0</v>
      </c>
      <c r="G101" s="8">
        <v>0.25</v>
      </c>
      <c r="H101" s="8">
        <v>8000.0</v>
      </c>
      <c r="I101" s="8">
        <v>24000.0</v>
      </c>
      <c r="J101" s="8">
        <v>24000.0</v>
      </c>
      <c r="K101" s="8">
        <v>0.0</v>
      </c>
      <c r="L101" s="15">
        <v>46320.0</v>
      </c>
      <c r="M101" s="15">
        <v>46351.0</v>
      </c>
      <c r="N101" s="8">
        <v>1.0</v>
      </c>
      <c r="O101" s="8">
        <v>-180.0</v>
      </c>
      <c r="P101" s="8">
        <v>210.0</v>
      </c>
      <c r="Q101" s="17">
        <v>46366.0</v>
      </c>
      <c r="R101" s="8" t="s">
        <v>1202</v>
      </c>
      <c r="S101" s="11" t="s">
        <v>1203</v>
      </c>
      <c r="T101" s="8">
        <v>653.0</v>
      </c>
    </row>
    <row r="102" ht="22.5" customHeight="1">
      <c r="A102" s="8" t="s">
        <v>1204</v>
      </c>
      <c r="B102" s="9" t="s">
        <v>542</v>
      </c>
      <c r="C102" s="8" t="s">
        <v>136</v>
      </c>
      <c r="D102" s="8" t="s">
        <v>1017</v>
      </c>
      <c r="E102" s="9" t="s">
        <v>59</v>
      </c>
      <c r="F102" s="8" t="s">
        <v>1205</v>
      </c>
      <c r="H102" s="8">
        <v>15.0</v>
      </c>
      <c r="I102" s="8">
        <v>164.85</v>
      </c>
      <c r="J102" s="8">
        <v>19259.56</v>
      </c>
      <c r="K102" s="8">
        <v>0.0</v>
      </c>
      <c r="L102" s="15">
        <v>46320.0</v>
      </c>
      <c r="M102" s="15">
        <v>46351.0</v>
      </c>
      <c r="N102" s="8">
        <v>1.0</v>
      </c>
      <c r="O102" s="8">
        <v>-180.0</v>
      </c>
      <c r="P102" s="8">
        <v>210.0</v>
      </c>
      <c r="Q102" s="17">
        <v>46343.0</v>
      </c>
      <c r="R102" s="8" t="s">
        <v>1206</v>
      </c>
      <c r="S102" s="11" t="s">
        <v>1207</v>
      </c>
      <c r="T102" s="8">
        <v>654.0</v>
      </c>
    </row>
    <row r="103" ht="22.5" customHeight="1">
      <c r="B103" s="9" t="s">
        <v>187</v>
      </c>
      <c r="C103" s="8" t="s">
        <v>795</v>
      </c>
      <c r="D103" s="8" t="s">
        <v>1113</v>
      </c>
      <c r="E103" s="9" t="s">
        <v>188</v>
      </c>
      <c r="F103" s="8">
        <v>2.0</v>
      </c>
      <c r="H103" s="8">
        <v>200.0</v>
      </c>
      <c r="I103" s="8">
        <v>400.0</v>
      </c>
      <c r="L103" s="15">
        <v>46296.0</v>
      </c>
      <c r="M103" s="15">
        <v>46327.0</v>
      </c>
      <c r="O103" s="8">
        <v>-204.0</v>
      </c>
      <c r="P103" s="8">
        <v>234.0</v>
      </c>
      <c r="R103" s="8" t="s">
        <v>1208</v>
      </c>
      <c r="T103" s="8">
        <v>655.0</v>
      </c>
    </row>
    <row r="104" ht="22.5" customHeight="1">
      <c r="B104" s="9" t="s">
        <v>160</v>
      </c>
      <c r="C104" s="8" t="s">
        <v>136</v>
      </c>
      <c r="D104" s="8" t="s">
        <v>1022</v>
      </c>
      <c r="E104" s="9" t="s">
        <v>38</v>
      </c>
      <c r="F104" s="8">
        <v>1.0</v>
      </c>
      <c r="H104" s="8">
        <v>2000.0</v>
      </c>
      <c r="I104" s="8">
        <v>2000.0</v>
      </c>
      <c r="J104" s="8">
        <v>2000.0</v>
      </c>
      <c r="K104" s="8">
        <v>0.0</v>
      </c>
      <c r="L104" s="15">
        <v>46320.0</v>
      </c>
      <c r="M104" s="15">
        <v>46351.0</v>
      </c>
      <c r="N104" s="8">
        <v>1.0</v>
      </c>
      <c r="O104" s="8">
        <v>-180.0</v>
      </c>
      <c r="P104" s="8">
        <v>210.0</v>
      </c>
      <c r="Q104" s="17">
        <v>46343.0</v>
      </c>
      <c r="R104" s="8" t="s">
        <v>1209</v>
      </c>
      <c r="S104" s="11" t="s">
        <v>1210</v>
      </c>
      <c r="T104" s="8">
        <v>656.0</v>
      </c>
    </row>
    <row r="105" ht="22.5" customHeight="1">
      <c r="B105" s="9" t="s">
        <v>1024</v>
      </c>
      <c r="C105" s="8" t="s">
        <v>1173</v>
      </c>
      <c r="D105" s="8" t="s">
        <v>1025</v>
      </c>
      <c r="E105" s="9" t="s">
        <v>38</v>
      </c>
      <c r="F105" s="8">
        <v>3.0</v>
      </c>
      <c r="G105" s="8">
        <v>0.25</v>
      </c>
      <c r="H105" s="8" t="s">
        <v>1026</v>
      </c>
      <c r="I105" s="8">
        <v>9000.0</v>
      </c>
      <c r="J105" s="8">
        <v>9000.0</v>
      </c>
      <c r="K105" s="8">
        <v>0.0</v>
      </c>
      <c r="L105" s="15">
        <v>46296.0</v>
      </c>
      <c r="M105" s="15">
        <v>46327.0</v>
      </c>
      <c r="N105" s="8">
        <v>1.0</v>
      </c>
      <c r="O105" s="8">
        <v>-204.0</v>
      </c>
      <c r="P105" s="8">
        <v>234.0</v>
      </c>
      <c r="Q105" s="17">
        <v>46064.0</v>
      </c>
      <c r="R105" s="8" t="s">
        <v>1211</v>
      </c>
      <c r="S105" s="11" t="s">
        <v>1212</v>
      </c>
      <c r="T105" s="8">
        <v>657.0</v>
      </c>
    </row>
    <row r="106" ht="22.5" customHeight="1">
      <c r="B106" s="9" t="s">
        <v>153</v>
      </c>
      <c r="C106" s="8" t="s">
        <v>794</v>
      </c>
      <c r="D106" s="8" t="s">
        <v>1176</v>
      </c>
      <c r="E106" s="9" t="s">
        <v>109</v>
      </c>
      <c r="F106" s="8" t="s">
        <v>1177</v>
      </c>
      <c r="H106" s="8">
        <v>25.0</v>
      </c>
      <c r="I106" s="8">
        <v>600.0</v>
      </c>
      <c r="L106" s="15">
        <v>46321.0</v>
      </c>
      <c r="M106" s="15">
        <v>46352.0</v>
      </c>
      <c r="O106" s="8">
        <v>-179.0</v>
      </c>
      <c r="P106" s="8">
        <v>209.0</v>
      </c>
      <c r="R106" s="8" t="s">
        <v>1213</v>
      </c>
      <c r="T106" s="8">
        <v>658.0</v>
      </c>
    </row>
    <row r="107" ht="22.5" customHeight="1">
      <c r="A107" s="8" t="s">
        <v>1214</v>
      </c>
      <c r="B107" s="9" t="s">
        <v>500</v>
      </c>
      <c r="C107" s="8" t="s">
        <v>136</v>
      </c>
      <c r="D107" s="8" t="s">
        <v>993</v>
      </c>
      <c r="E107" s="9" t="s">
        <v>29</v>
      </c>
      <c r="F107" s="8">
        <v>2.0</v>
      </c>
      <c r="H107" s="8">
        <v>200.0</v>
      </c>
      <c r="I107" s="8">
        <v>400.0</v>
      </c>
      <c r="J107" s="8">
        <v>9496.92</v>
      </c>
      <c r="K107" s="8">
        <v>0.0</v>
      </c>
      <c r="L107" s="15">
        <v>46285.0</v>
      </c>
      <c r="M107" s="15">
        <v>46315.0</v>
      </c>
      <c r="N107" s="8">
        <v>1.0</v>
      </c>
      <c r="O107" s="8">
        <v>-216.0</v>
      </c>
      <c r="P107" s="8">
        <v>246.0</v>
      </c>
      <c r="Q107" s="17">
        <v>46293.0</v>
      </c>
      <c r="R107" s="8" t="s">
        <v>1215</v>
      </c>
      <c r="S107" s="11" t="s">
        <v>1216</v>
      </c>
      <c r="T107" s="8">
        <v>629.0</v>
      </c>
    </row>
    <row r="108" ht="22.5" customHeight="1">
      <c r="A108" s="8" t="s">
        <v>1217</v>
      </c>
      <c r="B108" s="9" t="s">
        <v>559</v>
      </c>
      <c r="C108" s="8" t="s">
        <v>136</v>
      </c>
      <c r="D108" s="8" t="s">
        <v>995</v>
      </c>
      <c r="E108" s="9" t="s">
        <v>38</v>
      </c>
      <c r="F108" s="8">
        <v>3.0</v>
      </c>
      <c r="H108" s="8">
        <v>3000.0</v>
      </c>
      <c r="I108" s="8">
        <v>9000.0</v>
      </c>
      <c r="J108" s="8">
        <v>9000.0</v>
      </c>
      <c r="K108" s="8">
        <v>0.0</v>
      </c>
      <c r="L108" s="15">
        <v>46281.0</v>
      </c>
      <c r="M108" s="15">
        <v>46311.0</v>
      </c>
      <c r="N108" s="8">
        <v>1.0</v>
      </c>
      <c r="O108" s="8">
        <v>-220.0</v>
      </c>
      <c r="P108" s="8">
        <v>250.0</v>
      </c>
      <c r="Q108" s="17">
        <v>46283.0</v>
      </c>
      <c r="R108" s="8" t="s">
        <v>1218</v>
      </c>
      <c r="S108" s="11" t="s">
        <v>1219</v>
      </c>
      <c r="T108" s="8">
        <v>630.0</v>
      </c>
    </row>
    <row r="109" ht="22.5" customHeight="1">
      <c r="A109" s="8" t="s">
        <v>1220</v>
      </c>
      <c r="B109" s="9" t="s">
        <v>512</v>
      </c>
      <c r="C109" s="8" t="s">
        <v>136</v>
      </c>
      <c r="D109" s="8" t="s">
        <v>997</v>
      </c>
      <c r="E109" s="9" t="s">
        <v>38</v>
      </c>
      <c r="F109" s="8">
        <v>3.0</v>
      </c>
      <c r="G109" s="8">
        <v>0.375</v>
      </c>
      <c r="H109" s="8">
        <v>4000.0</v>
      </c>
      <c r="I109" s="8">
        <v>7500.0</v>
      </c>
      <c r="J109" s="8">
        <v>7500.0</v>
      </c>
      <c r="K109" s="8">
        <v>3438.0</v>
      </c>
      <c r="L109" s="15">
        <v>46266.0</v>
      </c>
      <c r="M109" s="15">
        <v>46296.0</v>
      </c>
      <c r="N109" s="8">
        <v>0.0</v>
      </c>
      <c r="O109" s="8">
        <v>-235.0</v>
      </c>
      <c r="P109" s="8">
        <v>265.0</v>
      </c>
      <c r="Q109" s="17">
        <v>46042.0</v>
      </c>
      <c r="R109" s="8" t="s">
        <v>1221</v>
      </c>
      <c r="S109" s="11" t="s">
        <v>1222</v>
      </c>
      <c r="T109" s="8">
        <v>631.0</v>
      </c>
    </row>
    <row r="110" ht="22.5" customHeight="1">
      <c r="A110" s="8" t="s">
        <v>1214</v>
      </c>
      <c r="B110" s="9" t="s">
        <v>567</v>
      </c>
      <c r="C110" s="8" t="s">
        <v>136</v>
      </c>
      <c r="D110" s="8" t="s">
        <v>1066</v>
      </c>
      <c r="E110" s="9" t="s">
        <v>38</v>
      </c>
      <c r="F110" s="8">
        <v>1.0</v>
      </c>
      <c r="H110" s="8">
        <v>4000.0</v>
      </c>
      <c r="I110" s="8">
        <v>4000.0</v>
      </c>
      <c r="J110" s="8">
        <v>4000.0</v>
      </c>
      <c r="K110" s="8">
        <v>0.0</v>
      </c>
      <c r="L110" s="15">
        <v>46283.0</v>
      </c>
      <c r="M110" s="15">
        <v>46313.0</v>
      </c>
      <c r="N110" s="8">
        <v>1.0</v>
      </c>
      <c r="O110" s="8">
        <v>-218.0</v>
      </c>
      <c r="P110" s="8">
        <v>248.0</v>
      </c>
      <c r="Q110" s="17">
        <v>46286.0</v>
      </c>
      <c r="R110" s="8" t="s">
        <v>1223</v>
      </c>
      <c r="S110" s="11" t="s">
        <v>1224</v>
      </c>
      <c r="T110" s="8">
        <v>632.0</v>
      </c>
    </row>
    <row r="111" ht="22.5" customHeight="1">
      <c r="B111" s="9" t="s">
        <v>359</v>
      </c>
      <c r="C111" s="8" t="s">
        <v>804</v>
      </c>
      <c r="D111" s="8" t="s">
        <v>1004</v>
      </c>
      <c r="E111" s="9" t="s">
        <v>38</v>
      </c>
      <c r="F111" s="8">
        <v>6.35</v>
      </c>
      <c r="H111" s="8">
        <v>1250.0</v>
      </c>
      <c r="I111" s="8">
        <v>7937.5</v>
      </c>
      <c r="L111" s="15">
        <v>46283.0</v>
      </c>
      <c r="M111" s="15">
        <v>46313.0</v>
      </c>
      <c r="O111" s="8">
        <v>-218.0</v>
      </c>
      <c r="P111" s="8">
        <v>248.0</v>
      </c>
      <c r="R111" s="8" t="s">
        <v>1225</v>
      </c>
      <c r="T111" s="8">
        <v>633.0</v>
      </c>
    </row>
    <row r="112" ht="22.5" customHeight="1">
      <c r="A112" s="8" t="s">
        <v>1226</v>
      </c>
      <c r="B112" s="9" t="s">
        <v>147</v>
      </c>
      <c r="C112" s="8" t="s">
        <v>1227</v>
      </c>
      <c r="D112" s="8" t="s">
        <v>1130</v>
      </c>
      <c r="E112" s="9" t="s">
        <v>59</v>
      </c>
      <c r="F112" s="8" t="s">
        <v>1228</v>
      </c>
      <c r="H112" s="8">
        <v>15.0</v>
      </c>
      <c r="I112" s="8">
        <v>333.75</v>
      </c>
      <c r="J112" s="8">
        <v>39996.37</v>
      </c>
      <c r="K112" s="8">
        <v>0.0</v>
      </c>
      <c r="L112" s="15">
        <v>46276.0</v>
      </c>
      <c r="M112" s="15">
        <v>46306.0</v>
      </c>
      <c r="N112" s="8">
        <v>1.0</v>
      </c>
      <c r="O112" s="8">
        <v>-225.0</v>
      </c>
      <c r="P112" s="8">
        <v>255.0</v>
      </c>
      <c r="Q112" s="8" t="s">
        <v>1229</v>
      </c>
      <c r="R112" s="8" t="s">
        <v>1230</v>
      </c>
      <c r="S112" s="11" t="s">
        <v>1231</v>
      </c>
      <c r="T112" s="8">
        <v>634.0</v>
      </c>
    </row>
    <row r="113" ht="22.5" customHeight="1">
      <c r="B113" s="9" t="s">
        <v>184</v>
      </c>
      <c r="C113" s="8" t="s">
        <v>794</v>
      </c>
      <c r="D113" s="8" t="s">
        <v>1196</v>
      </c>
      <c r="E113" s="9" t="s">
        <v>29</v>
      </c>
      <c r="F113" s="8" t="s">
        <v>1197</v>
      </c>
      <c r="H113" s="8">
        <v>40.0</v>
      </c>
      <c r="I113" s="8">
        <v>160.0</v>
      </c>
      <c r="L113" s="15">
        <v>46269.0</v>
      </c>
      <c r="M113" s="15">
        <v>46299.0</v>
      </c>
      <c r="O113" s="8">
        <v>-232.0</v>
      </c>
      <c r="P113" s="8">
        <v>262.0</v>
      </c>
      <c r="R113" s="8" t="s">
        <v>1232</v>
      </c>
      <c r="T113" s="8">
        <v>635.0</v>
      </c>
    </row>
    <row r="114" ht="22.5" customHeight="1">
      <c r="A114" s="8" t="s">
        <v>1233</v>
      </c>
      <c r="B114" s="9" t="s">
        <v>344</v>
      </c>
      <c r="C114" s="8" t="s">
        <v>1227</v>
      </c>
      <c r="D114" s="8" t="s">
        <v>1105</v>
      </c>
      <c r="E114" s="9" t="s">
        <v>38</v>
      </c>
      <c r="F114" s="8">
        <v>1.0</v>
      </c>
      <c r="H114" s="8">
        <v>26000.0</v>
      </c>
      <c r="I114" s="8">
        <v>26000.0</v>
      </c>
      <c r="L114" s="15">
        <v>46269.0</v>
      </c>
      <c r="M114" s="15">
        <v>46299.0</v>
      </c>
      <c r="O114" s="8">
        <v>-232.0</v>
      </c>
      <c r="P114" s="8">
        <v>262.0</v>
      </c>
      <c r="R114" s="8" t="s">
        <v>1234</v>
      </c>
      <c r="S114" s="11" t="s">
        <v>1235</v>
      </c>
      <c r="T114" s="8">
        <v>636.0</v>
      </c>
    </row>
    <row r="115" ht="22.5" customHeight="1">
      <c r="A115" s="8" t="s">
        <v>1236</v>
      </c>
      <c r="B115" s="9" t="s">
        <v>555</v>
      </c>
      <c r="C115" s="8" t="s">
        <v>803</v>
      </c>
      <c r="D115" s="8" t="s">
        <v>1237</v>
      </c>
      <c r="E115" s="9" t="s">
        <v>38</v>
      </c>
      <c r="F115" s="8">
        <v>2.0</v>
      </c>
      <c r="H115" s="8">
        <v>4000.0</v>
      </c>
      <c r="I115" s="8">
        <v>8000.0</v>
      </c>
      <c r="L115" s="15">
        <v>46281.0</v>
      </c>
      <c r="M115" s="15">
        <v>46311.0</v>
      </c>
      <c r="O115" s="8">
        <v>-220.0</v>
      </c>
      <c r="P115" s="8">
        <v>250.0</v>
      </c>
      <c r="R115" s="8" t="s">
        <v>1238</v>
      </c>
      <c r="T115" s="8">
        <v>637.0</v>
      </c>
    </row>
    <row r="116" ht="22.5" customHeight="1">
      <c r="A116" s="8" t="s">
        <v>1239</v>
      </c>
      <c r="B116" s="9" t="s">
        <v>539</v>
      </c>
      <c r="C116" s="8" t="s">
        <v>136</v>
      </c>
      <c r="D116" s="8" t="s">
        <v>1015</v>
      </c>
      <c r="E116" s="9" t="s">
        <v>38</v>
      </c>
      <c r="F116" s="8">
        <v>4.0</v>
      </c>
      <c r="G116" s="8">
        <v>0.25</v>
      </c>
      <c r="H116" s="8">
        <v>8000.0</v>
      </c>
      <c r="I116" s="8">
        <v>24000.0</v>
      </c>
      <c r="J116" s="8">
        <v>24000.0</v>
      </c>
      <c r="K116" s="8">
        <v>0.0</v>
      </c>
      <c r="L116" s="15">
        <v>46290.0</v>
      </c>
      <c r="M116" s="15">
        <v>46320.0</v>
      </c>
      <c r="N116" s="8">
        <v>1.0</v>
      </c>
      <c r="O116" s="8">
        <v>-211.0</v>
      </c>
      <c r="P116" s="8">
        <v>241.0</v>
      </c>
      <c r="Q116" s="17">
        <v>46366.0</v>
      </c>
      <c r="R116" s="8" t="s">
        <v>1240</v>
      </c>
      <c r="S116" s="11" t="s">
        <v>1241</v>
      </c>
      <c r="T116" s="8">
        <v>638.0</v>
      </c>
    </row>
    <row r="117" ht="22.5" customHeight="1">
      <c r="B117" s="9" t="s">
        <v>542</v>
      </c>
      <c r="C117" s="8" t="s">
        <v>136</v>
      </c>
      <c r="D117" s="8" t="s">
        <v>1017</v>
      </c>
      <c r="E117" s="9" t="s">
        <v>59</v>
      </c>
      <c r="F117" s="8" t="s">
        <v>1242</v>
      </c>
      <c r="H117" s="8">
        <v>15.0</v>
      </c>
      <c r="I117" s="8">
        <v>180.0</v>
      </c>
      <c r="J117" s="8">
        <v>21456.92</v>
      </c>
      <c r="K117" s="8">
        <v>0.0</v>
      </c>
      <c r="L117" s="15">
        <v>46290.0</v>
      </c>
      <c r="M117" s="15">
        <v>46320.0</v>
      </c>
      <c r="N117" s="8">
        <v>1.0</v>
      </c>
      <c r="O117" s="8">
        <v>-211.0</v>
      </c>
      <c r="P117" s="8">
        <v>241.0</v>
      </c>
      <c r="Q117" s="17">
        <v>46302.0</v>
      </c>
      <c r="R117" s="8" t="s">
        <v>1243</v>
      </c>
      <c r="S117" s="11" t="s">
        <v>1244</v>
      </c>
      <c r="T117" s="8">
        <v>639.0</v>
      </c>
    </row>
    <row r="118" ht="22.5" customHeight="1">
      <c r="B118" s="9" t="s">
        <v>187</v>
      </c>
      <c r="C118" s="8" t="s">
        <v>136</v>
      </c>
      <c r="D118" s="8" t="s">
        <v>1113</v>
      </c>
      <c r="E118" s="9" t="s">
        <v>188</v>
      </c>
      <c r="F118" s="8">
        <v>2.0</v>
      </c>
      <c r="H118" s="8">
        <v>200.0</v>
      </c>
      <c r="I118" s="8">
        <v>400.0</v>
      </c>
      <c r="L118" s="15">
        <v>46266.0</v>
      </c>
      <c r="M118" s="15">
        <v>46296.0</v>
      </c>
      <c r="O118" s="8">
        <v>-235.0</v>
      </c>
      <c r="P118" s="8">
        <v>265.0</v>
      </c>
      <c r="R118" s="8" t="s">
        <v>1245</v>
      </c>
      <c r="S118" s="11" t="s">
        <v>1246</v>
      </c>
      <c r="T118" s="8">
        <v>640.0</v>
      </c>
    </row>
    <row r="119" ht="22.5" customHeight="1">
      <c r="B119" s="9" t="s">
        <v>160</v>
      </c>
      <c r="C119" s="8" t="s">
        <v>136</v>
      </c>
      <c r="D119" s="8" t="s">
        <v>1022</v>
      </c>
      <c r="E119" s="9" t="s">
        <v>38</v>
      </c>
      <c r="F119" s="8">
        <v>1.0</v>
      </c>
      <c r="H119" s="8">
        <v>2000.0</v>
      </c>
      <c r="I119" s="8">
        <v>2000.0</v>
      </c>
      <c r="J119" s="8">
        <v>2000.0</v>
      </c>
      <c r="K119" s="8">
        <v>0.0</v>
      </c>
      <c r="L119" s="15">
        <v>46290.0</v>
      </c>
      <c r="M119" s="15">
        <v>46320.0</v>
      </c>
      <c r="N119" s="8">
        <v>1.0</v>
      </c>
      <c r="O119" s="8">
        <v>-211.0</v>
      </c>
      <c r="P119" s="8">
        <v>241.0</v>
      </c>
      <c r="Q119" s="17">
        <v>46343.0</v>
      </c>
      <c r="R119" s="8" t="s">
        <v>1247</v>
      </c>
      <c r="S119" s="11" t="s">
        <v>1248</v>
      </c>
      <c r="T119" s="8">
        <v>641.0</v>
      </c>
    </row>
    <row r="120" ht="22.5" customHeight="1">
      <c r="A120" s="8" t="s">
        <v>1214</v>
      </c>
      <c r="B120" s="9" t="s">
        <v>1024</v>
      </c>
      <c r="C120" s="8" t="s">
        <v>1173</v>
      </c>
      <c r="D120" s="8" t="s">
        <v>1025</v>
      </c>
      <c r="E120" s="9" t="s">
        <v>38</v>
      </c>
      <c r="F120" s="8">
        <v>3.0</v>
      </c>
      <c r="G120" s="16">
        <v>0.25</v>
      </c>
      <c r="H120" s="8" t="s">
        <v>1026</v>
      </c>
      <c r="I120" s="8">
        <v>9000.0</v>
      </c>
      <c r="J120" s="8">
        <v>9000.0</v>
      </c>
      <c r="K120" s="8">
        <v>0.0</v>
      </c>
      <c r="L120" s="15">
        <v>46266.0</v>
      </c>
      <c r="M120" s="15">
        <v>46296.0</v>
      </c>
      <c r="N120" s="8">
        <v>1.0</v>
      </c>
      <c r="O120" s="8">
        <v>-235.0</v>
      </c>
      <c r="P120" s="8">
        <v>265.0</v>
      </c>
      <c r="Q120" s="17">
        <v>46287.0</v>
      </c>
      <c r="R120" s="8" t="s">
        <v>1249</v>
      </c>
      <c r="S120" s="11" t="s">
        <v>1250</v>
      </c>
      <c r="T120" s="8">
        <v>642.0</v>
      </c>
    </row>
    <row r="121" ht="22.5" customHeight="1">
      <c r="B121" s="9" t="s">
        <v>153</v>
      </c>
      <c r="C121" s="8" t="s">
        <v>794</v>
      </c>
      <c r="D121" s="8" t="s">
        <v>1176</v>
      </c>
      <c r="E121" s="9" t="s">
        <v>109</v>
      </c>
      <c r="F121" s="8" t="s">
        <v>1177</v>
      </c>
      <c r="H121" s="8">
        <v>25.0</v>
      </c>
      <c r="I121" s="8">
        <v>600.0</v>
      </c>
      <c r="L121" s="15">
        <v>46291.0</v>
      </c>
      <c r="M121" s="15">
        <v>46321.0</v>
      </c>
      <c r="O121" s="8">
        <v>-210.0</v>
      </c>
      <c r="P121" s="8">
        <v>240.0</v>
      </c>
      <c r="R121" s="8" t="s">
        <v>1251</v>
      </c>
      <c r="T121" s="8">
        <v>643.0</v>
      </c>
    </row>
    <row r="122" ht="22.5" customHeight="1">
      <c r="A122" s="8" t="s">
        <v>1252</v>
      </c>
      <c r="B122" s="9" t="s">
        <v>500</v>
      </c>
      <c r="C122" s="8" t="s">
        <v>1173</v>
      </c>
      <c r="D122" s="8" t="s">
        <v>1253</v>
      </c>
      <c r="E122" s="8" t="s">
        <v>29</v>
      </c>
      <c r="F122" s="8">
        <v>2.0</v>
      </c>
      <c r="H122" s="8">
        <v>200.0</v>
      </c>
      <c r="I122" s="8">
        <v>400.0</v>
      </c>
      <c r="J122" s="8">
        <v>9264.25</v>
      </c>
      <c r="K122" s="8">
        <v>0.0</v>
      </c>
      <c r="L122" s="15">
        <v>46254.0</v>
      </c>
      <c r="M122" s="15">
        <v>46285.0</v>
      </c>
      <c r="N122" s="8">
        <v>1.0</v>
      </c>
      <c r="O122" s="8">
        <v>-246.0</v>
      </c>
      <c r="P122" s="8">
        <v>276.0</v>
      </c>
      <c r="Q122" s="17">
        <v>46265.0</v>
      </c>
      <c r="R122" s="8" t="s">
        <v>1254</v>
      </c>
      <c r="S122" s="11" t="s">
        <v>1255</v>
      </c>
      <c r="T122" s="8">
        <v>614.0</v>
      </c>
    </row>
    <row r="123" ht="22.5" customHeight="1">
      <c r="B123" s="9" t="s">
        <v>371</v>
      </c>
      <c r="C123" s="8" t="s">
        <v>794</v>
      </c>
      <c r="D123" s="8" t="s">
        <v>1256</v>
      </c>
      <c r="E123" s="9" t="s">
        <v>38</v>
      </c>
      <c r="F123" s="8">
        <v>3.0</v>
      </c>
      <c r="H123" s="8">
        <v>3000.0</v>
      </c>
      <c r="I123" s="8">
        <v>9000.0</v>
      </c>
      <c r="L123" s="15">
        <v>46237.0</v>
      </c>
      <c r="M123" s="15">
        <v>46268.0</v>
      </c>
      <c r="O123" s="8">
        <v>-263.0</v>
      </c>
      <c r="P123" s="8">
        <v>293.0</v>
      </c>
      <c r="R123" s="8" t="s">
        <v>1257</v>
      </c>
      <c r="T123" s="8">
        <v>615.0</v>
      </c>
    </row>
    <row r="124" ht="22.5" customHeight="1">
      <c r="A124" s="8" t="s">
        <v>1220</v>
      </c>
      <c r="B124" s="9" t="s">
        <v>512</v>
      </c>
      <c r="C124" s="8" t="s">
        <v>136</v>
      </c>
      <c r="D124" s="8" t="s">
        <v>997</v>
      </c>
      <c r="E124" s="8" t="s">
        <v>38</v>
      </c>
      <c r="F124" s="8">
        <v>3.0</v>
      </c>
      <c r="G124" s="16">
        <v>0.38</v>
      </c>
      <c r="H124" s="8">
        <v>4000.0</v>
      </c>
      <c r="I124" s="8">
        <v>7500.0</v>
      </c>
      <c r="J124" s="8">
        <v>7500.0</v>
      </c>
      <c r="K124" s="8">
        <v>0.0</v>
      </c>
      <c r="L124" s="15">
        <v>46235.0</v>
      </c>
      <c r="M124" s="15">
        <v>46266.0</v>
      </c>
      <c r="N124" s="8">
        <v>1.0</v>
      </c>
      <c r="O124" s="8">
        <v>-265.0</v>
      </c>
      <c r="P124" s="8">
        <v>295.0</v>
      </c>
      <c r="Q124" s="17">
        <v>46042.0</v>
      </c>
      <c r="R124" s="8" t="s">
        <v>1258</v>
      </c>
      <c r="S124" s="11" t="s">
        <v>1259</v>
      </c>
      <c r="T124" s="8">
        <v>616.0</v>
      </c>
    </row>
    <row r="125" ht="22.5" customHeight="1">
      <c r="B125" s="9" t="s">
        <v>1260</v>
      </c>
      <c r="C125" s="8" t="s">
        <v>795</v>
      </c>
      <c r="D125" s="8" t="s">
        <v>1261</v>
      </c>
      <c r="E125" s="8" t="s">
        <v>59</v>
      </c>
      <c r="F125" s="8" t="s">
        <v>1262</v>
      </c>
      <c r="H125" s="8">
        <v>15.0</v>
      </c>
      <c r="I125" s="8">
        <v>120.0</v>
      </c>
      <c r="L125" s="15">
        <v>46252.0</v>
      </c>
      <c r="M125" s="15">
        <v>46283.0</v>
      </c>
      <c r="O125" s="8">
        <v>-248.0</v>
      </c>
      <c r="P125" s="8">
        <v>278.0</v>
      </c>
      <c r="R125" s="8" t="s">
        <v>1263</v>
      </c>
      <c r="T125" s="8">
        <v>617.0</v>
      </c>
    </row>
    <row r="126" ht="22.5" customHeight="1">
      <c r="B126" s="9" t="s">
        <v>359</v>
      </c>
      <c r="C126" s="8" t="s">
        <v>136</v>
      </c>
      <c r="D126" s="8" t="s">
        <v>1004</v>
      </c>
      <c r="E126" s="9" t="s">
        <v>38</v>
      </c>
      <c r="F126" s="8">
        <v>6.35</v>
      </c>
      <c r="H126" s="8">
        <v>1250.0</v>
      </c>
      <c r="I126" s="8">
        <v>7937.5</v>
      </c>
      <c r="J126" s="8">
        <v>7937.5</v>
      </c>
      <c r="K126" s="8">
        <v>0.0</v>
      </c>
      <c r="L126" s="15">
        <v>46252.0</v>
      </c>
      <c r="M126" s="15">
        <v>46283.0</v>
      </c>
      <c r="N126" s="8">
        <v>1.0</v>
      </c>
      <c r="O126" s="8">
        <v>-248.0</v>
      </c>
      <c r="P126" s="8">
        <v>278.0</v>
      </c>
      <c r="Q126" s="17">
        <v>46284.0</v>
      </c>
      <c r="R126" s="8" t="s">
        <v>1264</v>
      </c>
      <c r="S126" s="11" t="s">
        <v>1265</v>
      </c>
      <c r="T126" s="8">
        <v>618.0</v>
      </c>
    </row>
    <row r="127" ht="22.5" customHeight="1">
      <c r="A127" s="8" t="s">
        <v>1266</v>
      </c>
      <c r="B127" s="9" t="s">
        <v>147</v>
      </c>
      <c r="C127" s="8" t="s">
        <v>1227</v>
      </c>
      <c r="D127" s="8" t="s">
        <v>1130</v>
      </c>
      <c r="E127" s="9" t="s">
        <v>59</v>
      </c>
      <c r="F127" s="8" t="s">
        <v>1267</v>
      </c>
      <c r="H127" s="8">
        <v>15.0</v>
      </c>
      <c r="I127" s="8">
        <v>330.0</v>
      </c>
      <c r="J127" s="8">
        <v>38861.23</v>
      </c>
      <c r="K127" s="8">
        <v>0.0</v>
      </c>
      <c r="L127" s="15">
        <v>46245.0</v>
      </c>
      <c r="M127" s="15">
        <v>46276.0</v>
      </c>
      <c r="N127" s="8">
        <v>1.0</v>
      </c>
      <c r="O127" s="8">
        <v>-255.0</v>
      </c>
      <c r="P127" s="8">
        <v>285.0</v>
      </c>
      <c r="Q127" s="8" t="s">
        <v>1229</v>
      </c>
      <c r="R127" s="8" t="s">
        <v>1268</v>
      </c>
      <c r="S127" s="11" t="s">
        <v>1269</v>
      </c>
      <c r="T127" s="8">
        <v>619.0</v>
      </c>
    </row>
    <row r="128" ht="22.5" customHeight="1">
      <c r="B128" s="9" t="s">
        <v>532</v>
      </c>
      <c r="C128" s="8" t="s">
        <v>794</v>
      </c>
      <c r="D128" s="8" t="s">
        <v>1196</v>
      </c>
      <c r="E128" s="8" t="s">
        <v>63</v>
      </c>
      <c r="F128" s="8" t="s">
        <v>1197</v>
      </c>
      <c r="H128" s="8">
        <v>40.0</v>
      </c>
      <c r="I128" s="8">
        <v>160.0</v>
      </c>
      <c r="L128" s="15">
        <v>46238.0</v>
      </c>
      <c r="M128" s="15">
        <v>46269.0</v>
      </c>
      <c r="O128" s="8">
        <v>-262.0</v>
      </c>
      <c r="P128" s="8">
        <v>292.0</v>
      </c>
      <c r="R128" s="8" t="s">
        <v>1270</v>
      </c>
      <c r="T128" s="8">
        <v>620.0</v>
      </c>
    </row>
    <row r="129" ht="22.5" customHeight="1">
      <c r="A129" s="8" t="s">
        <v>1220</v>
      </c>
      <c r="B129" s="9" t="s">
        <v>344</v>
      </c>
      <c r="C129" s="8" t="s">
        <v>1227</v>
      </c>
      <c r="D129" s="8" t="s">
        <v>1105</v>
      </c>
      <c r="E129" s="9" t="s">
        <v>38</v>
      </c>
      <c r="F129" s="8">
        <v>1.0</v>
      </c>
      <c r="H129" s="8">
        <v>9000.0</v>
      </c>
      <c r="I129" s="8">
        <v>9000.0</v>
      </c>
      <c r="J129" s="8">
        <v>9000.0</v>
      </c>
      <c r="K129" s="8">
        <v>9000.0</v>
      </c>
      <c r="L129" s="15">
        <v>46238.0</v>
      </c>
      <c r="M129" s="15">
        <v>46269.0</v>
      </c>
      <c r="N129" s="8">
        <v>0.0</v>
      </c>
      <c r="O129" s="8">
        <v>-262.0</v>
      </c>
      <c r="P129" s="8">
        <v>292.0</v>
      </c>
      <c r="R129" s="8" t="s">
        <v>1271</v>
      </c>
      <c r="S129" s="11" t="s">
        <v>1272</v>
      </c>
      <c r="T129" s="8">
        <v>621.0</v>
      </c>
    </row>
    <row r="130" ht="22.5" customHeight="1">
      <c r="B130" s="9" t="s">
        <v>555</v>
      </c>
      <c r="C130" s="8" t="s">
        <v>803</v>
      </c>
      <c r="D130" s="8" t="s">
        <v>1237</v>
      </c>
      <c r="E130" s="9" t="s">
        <v>38</v>
      </c>
      <c r="F130" s="8">
        <v>2.0</v>
      </c>
      <c r="H130" s="8">
        <v>4000.0</v>
      </c>
      <c r="I130" s="8">
        <v>8000.0</v>
      </c>
      <c r="L130" s="15">
        <v>46250.0</v>
      </c>
      <c r="M130" s="15">
        <v>46281.0</v>
      </c>
      <c r="O130" s="8">
        <v>-250.0</v>
      </c>
      <c r="P130" s="8">
        <v>280.0</v>
      </c>
      <c r="R130" s="8" t="s">
        <v>1273</v>
      </c>
      <c r="S130" s="11" t="s">
        <v>1274</v>
      </c>
      <c r="T130" s="8">
        <v>622.0</v>
      </c>
    </row>
    <row r="131" ht="22.5" customHeight="1">
      <c r="B131" s="9" t="s">
        <v>539</v>
      </c>
      <c r="C131" s="8" t="s">
        <v>136</v>
      </c>
      <c r="D131" s="8" t="s">
        <v>1015</v>
      </c>
      <c r="E131" s="8" t="s">
        <v>38</v>
      </c>
      <c r="F131" s="8">
        <v>3.0</v>
      </c>
      <c r="G131" s="8">
        <v>0.25</v>
      </c>
      <c r="H131" s="8">
        <v>8000.0</v>
      </c>
      <c r="I131" s="8">
        <v>18000.0</v>
      </c>
      <c r="J131" s="8">
        <v>18000.0</v>
      </c>
      <c r="K131" s="8">
        <v>0.0</v>
      </c>
      <c r="L131" s="15">
        <v>46259.0</v>
      </c>
      <c r="M131" s="15">
        <v>46290.0</v>
      </c>
      <c r="N131" s="8">
        <v>1.0</v>
      </c>
      <c r="O131" s="8">
        <v>-241.0</v>
      </c>
      <c r="P131" s="8">
        <v>271.0</v>
      </c>
      <c r="Q131" s="17">
        <v>46309.0</v>
      </c>
      <c r="R131" s="8" t="s">
        <v>1275</v>
      </c>
      <c r="S131" s="11" t="s">
        <v>1276</v>
      </c>
      <c r="T131" s="8">
        <v>623.0</v>
      </c>
    </row>
    <row r="132" ht="22.5" customHeight="1">
      <c r="B132" s="9" t="s">
        <v>542</v>
      </c>
      <c r="C132" s="8" t="s">
        <v>136</v>
      </c>
      <c r="D132" s="8" t="s">
        <v>1017</v>
      </c>
      <c r="E132" s="8" t="s">
        <v>59</v>
      </c>
      <c r="F132" s="8" t="s">
        <v>1242</v>
      </c>
      <c r="H132" s="8">
        <v>15.0</v>
      </c>
      <c r="I132" s="8">
        <v>180.0</v>
      </c>
      <c r="J132" s="8">
        <v>21218.71</v>
      </c>
      <c r="K132" s="8">
        <v>0.0</v>
      </c>
      <c r="L132" s="15">
        <v>46259.0</v>
      </c>
      <c r="M132" s="15">
        <v>46290.0</v>
      </c>
      <c r="N132" s="8">
        <v>1.0</v>
      </c>
      <c r="O132" s="8">
        <v>-241.0</v>
      </c>
      <c r="P132" s="8">
        <v>271.0</v>
      </c>
      <c r="Q132" s="17">
        <v>46290.0</v>
      </c>
      <c r="R132" s="8" t="s">
        <v>1277</v>
      </c>
      <c r="S132" s="11" t="s">
        <v>1278</v>
      </c>
      <c r="T132" s="8">
        <v>624.0</v>
      </c>
    </row>
    <row r="133" ht="22.5" customHeight="1">
      <c r="B133" s="9" t="s">
        <v>550</v>
      </c>
      <c r="C133" s="8" t="s">
        <v>136</v>
      </c>
      <c r="D133" s="8" t="s">
        <v>1113</v>
      </c>
      <c r="E133" s="9" t="s">
        <v>57</v>
      </c>
      <c r="F133" s="8">
        <v>2.0</v>
      </c>
      <c r="H133" s="8">
        <v>200.0</v>
      </c>
      <c r="I133" s="8">
        <v>400.0</v>
      </c>
      <c r="L133" s="15">
        <v>46235.0</v>
      </c>
      <c r="M133" s="15">
        <v>46266.0</v>
      </c>
      <c r="O133" s="8">
        <v>-265.0</v>
      </c>
      <c r="P133" s="8">
        <v>295.0</v>
      </c>
      <c r="R133" s="8" t="s">
        <v>1279</v>
      </c>
      <c r="S133" s="11" t="s">
        <v>1280</v>
      </c>
      <c r="T133" s="8">
        <v>625.0</v>
      </c>
    </row>
    <row r="134" ht="22.5" customHeight="1">
      <c r="B134" s="9" t="s">
        <v>160</v>
      </c>
      <c r="C134" s="8" t="s">
        <v>136</v>
      </c>
      <c r="D134" s="8" t="s">
        <v>1022</v>
      </c>
      <c r="E134" s="9" t="s">
        <v>38</v>
      </c>
      <c r="F134" s="8">
        <v>1.0</v>
      </c>
      <c r="H134" s="8">
        <v>2000.0</v>
      </c>
      <c r="I134" s="8">
        <v>2000.0</v>
      </c>
      <c r="J134" s="8">
        <v>2000.0</v>
      </c>
      <c r="K134" s="8">
        <v>0.0</v>
      </c>
      <c r="L134" s="15">
        <v>46259.0</v>
      </c>
      <c r="M134" s="15">
        <v>46290.0</v>
      </c>
      <c r="N134" s="8">
        <v>1.0</v>
      </c>
      <c r="O134" s="8">
        <v>-241.0</v>
      </c>
      <c r="P134" s="8">
        <v>271.0</v>
      </c>
      <c r="Q134" s="17">
        <v>46343.0</v>
      </c>
      <c r="R134" s="8" t="s">
        <v>1281</v>
      </c>
      <c r="S134" s="11" t="s">
        <v>1282</v>
      </c>
      <c r="T134" s="8">
        <v>626.0</v>
      </c>
    </row>
    <row r="135" ht="22.5" customHeight="1">
      <c r="A135" s="8" t="s">
        <v>1283</v>
      </c>
      <c r="B135" s="9" t="s">
        <v>1024</v>
      </c>
      <c r="C135" s="8" t="s">
        <v>1173</v>
      </c>
      <c r="D135" s="8" t="s">
        <v>1025</v>
      </c>
      <c r="E135" s="9" t="s">
        <v>38</v>
      </c>
      <c r="F135" s="8">
        <v>3.0</v>
      </c>
      <c r="G135" s="8">
        <v>0.25</v>
      </c>
      <c r="H135" s="8" t="s">
        <v>1026</v>
      </c>
      <c r="I135" s="8">
        <v>9000.0</v>
      </c>
      <c r="J135" s="8">
        <v>9000.0</v>
      </c>
      <c r="K135" s="8">
        <v>0.0</v>
      </c>
      <c r="L135" s="15">
        <v>46235.0</v>
      </c>
      <c r="M135" s="15">
        <v>46266.0</v>
      </c>
      <c r="N135" s="8">
        <v>1.0</v>
      </c>
      <c r="O135" s="8">
        <v>-265.0</v>
      </c>
      <c r="P135" s="8">
        <v>295.0</v>
      </c>
      <c r="Q135" s="17">
        <v>46287.0</v>
      </c>
      <c r="R135" s="8" t="s">
        <v>1284</v>
      </c>
      <c r="S135" s="11" t="s">
        <v>1285</v>
      </c>
      <c r="T135" s="8">
        <v>627.0</v>
      </c>
    </row>
    <row r="136" ht="22.5" customHeight="1">
      <c r="A136" s="8" t="s">
        <v>1286</v>
      </c>
      <c r="B136" s="9" t="s">
        <v>153</v>
      </c>
      <c r="C136" s="8" t="s">
        <v>794</v>
      </c>
      <c r="D136" s="8" t="s">
        <v>1176</v>
      </c>
      <c r="E136" s="9" t="s">
        <v>109</v>
      </c>
      <c r="F136" s="8" t="s">
        <v>1177</v>
      </c>
      <c r="H136" s="8">
        <v>25.0</v>
      </c>
      <c r="I136" s="8">
        <v>600.0</v>
      </c>
      <c r="L136" s="15">
        <v>46260.0</v>
      </c>
      <c r="M136" s="15">
        <v>46291.0</v>
      </c>
      <c r="O136" s="8">
        <v>-240.0</v>
      </c>
      <c r="P136" s="8">
        <v>270.0</v>
      </c>
      <c r="R136" s="8" t="s">
        <v>1287</v>
      </c>
      <c r="T136" s="8">
        <v>628.0</v>
      </c>
    </row>
    <row r="137" ht="22.5" customHeight="1">
      <c r="B137" s="9" t="s">
        <v>500</v>
      </c>
      <c r="C137" s="8" t="s">
        <v>136</v>
      </c>
      <c r="D137" s="8" t="s">
        <v>1253</v>
      </c>
      <c r="E137" s="8" t="s">
        <v>29</v>
      </c>
      <c r="F137" s="8">
        <v>3.0</v>
      </c>
      <c r="H137" s="8">
        <v>200.0</v>
      </c>
      <c r="I137" s="8">
        <v>600.0</v>
      </c>
      <c r="J137" s="8">
        <v>13761.25</v>
      </c>
      <c r="K137" s="8">
        <v>0.0</v>
      </c>
      <c r="L137" s="15">
        <v>46223.0</v>
      </c>
      <c r="M137" s="15">
        <v>46254.0</v>
      </c>
      <c r="N137" s="8">
        <v>1.0</v>
      </c>
      <c r="O137" s="8">
        <v>-277.0</v>
      </c>
      <c r="P137" s="8">
        <v>307.0</v>
      </c>
      <c r="Q137" s="17">
        <v>46234.0</v>
      </c>
      <c r="R137" s="8" t="s">
        <v>1288</v>
      </c>
      <c r="S137" s="11" t="s">
        <v>1289</v>
      </c>
      <c r="T137" s="8">
        <v>599.0</v>
      </c>
    </row>
    <row r="138" ht="22.5" customHeight="1">
      <c r="B138" s="9" t="s">
        <v>371</v>
      </c>
      <c r="C138" s="8" t="s">
        <v>794</v>
      </c>
      <c r="D138" s="8" t="s">
        <v>1256</v>
      </c>
      <c r="E138" s="9" t="s">
        <v>38</v>
      </c>
      <c r="F138" s="8">
        <v>3.0</v>
      </c>
      <c r="H138" s="8">
        <v>3000.0</v>
      </c>
      <c r="I138" s="8">
        <v>9000.0</v>
      </c>
      <c r="L138" s="15">
        <v>46206.0</v>
      </c>
      <c r="M138" s="15">
        <v>46237.0</v>
      </c>
      <c r="O138" s="8">
        <v>-294.0</v>
      </c>
      <c r="P138" s="8">
        <v>324.0</v>
      </c>
      <c r="R138" s="8" t="s">
        <v>1290</v>
      </c>
      <c r="T138" s="8">
        <v>600.0</v>
      </c>
    </row>
    <row r="139" ht="22.5" customHeight="1">
      <c r="B139" s="9" t="s">
        <v>512</v>
      </c>
      <c r="C139" s="8" t="s">
        <v>136</v>
      </c>
      <c r="D139" s="8" t="s">
        <v>997</v>
      </c>
      <c r="E139" s="8" t="s">
        <v>38</v>
      </c>
      <c r="F139" s="8">
        <v>3.0</v>
      </c>
      <c r="G139" s="8">
        <v>0.375</v>
      </c>
      <c r="H139" s="8">
        <v>4000.0</v>
      </c>
      <c r="I139" s="8">
        <v>5937.5</v>
      </c>
      <c r="J139" s="8">
        <v>5937.5</v>
      </c>
      <c r="K139" s="8">
        <v>0.0</v>
      </c>
      <c r="L139" s="15">
        <v>46204.0</v>
      </c>
      <c r="M139" s="15">
        <v>46235.0</v>
      </c>
      <c r="N139" s="8">
        <v>1.0</v>
      </c>
      <c r="O139" s="8">
        <v>-296.0</v>
      </c>
      <c r="P139" s="8">
        <v>326.0</v>
      </c>
      <c r="Q139" s="17">
        <v>46294.0</v>
      </c>
      <c r="R139" s="8" t="s">
        <v>1291</v>
      </c>
      <c r="S139" s="11" t="s">
        <v>1292</v>
      </c>
      <c r="T139" s="8">
        <v>601.0</v>
      </c>
    </row>
    <row r="140" ht="22.5" customHeight="1">
      <c r="B140" s="9" t="s">
        <v>1260</v>
      </c>
      <c r="C140" s="8" t="s">
        <v>795</v>
      </c>
      <c r="D140" s="8" t="s">
        <v>1261</v>
      </c>
      <c r="E140" s="8" t="s">
        <v>59</v>
      </c>
      <c r="F140" s="8" t="s">
        <v>1262</v>
      </c>
      <c r="H140" s="8">
        <v>15.0</v>
      </c>
      <c r="I140" s="8">
        <v>120.0</v>
      </c>
      <c r="L140" s="15">
        <v>46221.0</v>
      </c>
      <c r="M140" s="15">
        <v>46252.0</v>
      </c>
      <c r="O140" s="8">
        <v>-279.0</v>
      </c>
      <c r="P140" s="8">
        <v>309.0</v>
      </c>
      <c r="R140" s="8" t="s">
        <v>1293</v>
      </c>
      <c r="T140" s="8">
        <v>602.0</v>
      </c>
    </row>
    <row r="141" ht="22.5" customHeight="1">
      <c r="B141" s="9" t="s">
        <v>359</v>
      </c>
      <c r="C141" s="8" t="s">
        <v>804</v>
      </c>
      <c r="D141" s="8" t="s">
        <v>1294</v>
      </c>
      <c r="E141" s="9" t="s">
        <v>38</v>
      </c>
      <c r="F141" s="8">
        <v>3.0</v>
      </c>
      <c r="G141" s="8">
        <v>0.15</v>
      </c>
      <c r="H141" s="8" t="s">
        <v>1295</v>
      </c>
      <c r="I141" s="8">
        <v>21000.0</v>
      </c>
      <c r="L141" s="15">
        <v>46221.0</v>
      </c>
      <c r="M141" s="15">
        <v>46252.0</v>
      </c>
      <c r="O141" s="8">
        <v>-279.0</v>
      </c>
      <c r="P141" s="8">
        <v>309.0</v>
      </c>
      <c r="R141" s="8" t="s">
        <v>1296</v>
      </c>
      <c r="T141" s="8">
        <v>603.0</v>
      </c>
    </row>
    <row r="142" ht="22.5" customHeight="1">
      <c r="A142" s="8" t="s">
        <v>1297</v>
      </c>
      <c r="B142" s="9" t="s">
        <v>147</v>
      </c>
      <c r="C142" s="8" t="s">
        <v>1227</v>
      </c>
      <c r="D142" s="8" t="s">
        <v>1130</v>
      </c>
      <c r="E142" s="9" t="s">
        <v>59</v>
      </c>
      <c r="F142" s="8" t="s">
        <v>1298</v>
      </c>
      <c r="H142" s="8">
        <v>15.0</v>
      </c>
      <c r="I142" s="8">
        <v>300.0</v>
      </c>
      <c r="J142" s="8">
        <v>34734.78</v>
      </c>
      <c r="K142" s="8">
        <v>0.0</v>
      </c>
      <c r="L142" s="15">
        <v>46214.0</v>
      </c>
      <c r="M142" s="15">
        <v>46245.0</v>
      </c>
      <c r="N142" s="8">
        <v>1.0</v>
      </c>
      <c r="O142" s="8">
        <v>-286.0</v>
      </c>
      <c r="P142" s="8">
        <v>316.0</v>
      </c>
      <c r="Q142" s="8" t="s">
        <v>1229</v>
      </c>
      <c r="R142" s="8" t="s">
        <v>1299</v>
      </c>
      <c r="S142" s="11" t="s">
        <v>1300</v>
      </c>
      <c r="T142" s="8">
        <v>604.0</v>
      </c>
    </row>
    <row r="143" ht="22.5" customHeight="1">
      <c r="B143" s="9" t="s">
        <v>532</v>
      </c>
      <c r="C143" s="8" t="s">
        <v>794</v>
      </c>
      <c r="D143" s="8" t="s">
        <v>1196</v>
      </c>
      <c r="E143" s="8" t="s">
        <v>63</v>
      </c>
      <c r="F143" s="8" t="s">
        <v>1197</v>
      </c>
      <c r="H143" s="8">
        <v>40.0</v>
      </c>
      <c r="I143" s="8">
        <v>160.0</v>
      </c>
      <c r="L143" s="15">
        <v>46207.0</v>
      </c>
      <c r="M143" s="15">
        <v>46238.0</v>
      </c>
      <c r="O143" s="8">
        <v>-293.0</v>
      </c>
      <c r="P143" s="8">
        <v>323.0</v>
      </c>
      <c r="R143" s="8" t="s">
        <v>1301</v>
      </c>
      <c r="T143" s="8">
        <v>605.0</v>
      </c>
    </row>
    <row r="144" ht="22.5" customHeight="1">
      <c r="B144" s="9" t="s">
        <v>403</v>
      </c>
      <c r="C144" s="8" t="s">
        <v>804</v>
      </c>
      <c r="D144" s="8" t="s">
        <v>1302</v>
      </c>
      <c r="E144" s="9" t="s">
        <v>38</v>
      </c>
      <c r="F144" s="8">
        <v>4.0</v>
      </c>
      <c r="H144" s="8" t="s">
        <v>1295</v>
      </c>
      <c r="I144" s="8">
        <v>27000.0</v>
      </c>
      <c r="L144" s="15">
        <v>46212.0</v>
      </c>
      <c r="M144" s="15">
        <v>46243.0</v>
      </c>
      <c r="O144" s="8">
        <v>-288.0</v>
      </c>
      <c r="P144" s="8">
        <v>318.0</v>
      </c>
      <c r="R144" s="8" t="s">
        <v>1303</v>
      </c>
      <c r="T144" s="8">
        <v>606.0</v>
      </c>
    </row>
    <row r="145" ht="22.5" customHeight="1">
      <c r="B145" s="9" t="s">
        <v>152</v>
      </c>
      <c r="C145" s="8" t="s">
        <v>804</v>
      </c>
      <c r="D145" s="8" t="s">
        <v>1304</v>
      </c>
      <c r="E145" s="9" t="s">
        <v>59</v>
      </c>
      <c r="F145" s="8" t="s">
        <v>1018</v>
      </c>
      <c r="H145" s="8">
        <v>10.0</v>
      </c>
      <c r="I145" s="8">
        <v>180.0</v>
      </c>
      <c r="L145" s="15">
        <v>46219.0</v>
      </c>
      <c r="M145" s="15">
        <v>46250.0</v>
      </c>
      <c r="O145" s="8">
        <v>-281.0</v>
      </c>
      <c r="P145" s="8">
        <v>311.0</v>
      </c>
      <c r="R145" s="8" t="s">
        <v>1305</v>
      </c>
      <c r="T145" s="8">
        <v>607.0</v>
      </c>
    </row>
    <row r="146" ht="22.5" customHeight="1">
      <c r="B146" s="9" t="s">
        <v>539</v>
      </c>
      <c r="C146" s="8" t="s">
        <v>136</v>
      </c>
      <c r="D146" s="8" t="s">
        <v>1015</v>
      </c>
      <c r="E146" s="8" t="s">
        <v>38</v>
      </c>
      <c r="F146" s="8">
        <v>3.0</v>
      </c>
      <c r="G146" s="8">
        <v>0.25</v>
      </c>
      <c r="H146" s="8">
        <v>8000.0</v>
      </c>
      <c r="I146" s="8">
        <v>18000.0</v>
      </c>
      <c r="J146" s="8">
        <v>18000.0</v>
      </c>
      <c r="K146" s="8">
        <v>0.0</v>
      </c>
      <c r="L146" s="15">
        <v>46228.0</v>
      </c>
      <c r="M146" s="15">
        <v>46259.0</v>
      </c>
      <c r="N146" s="8">
        <v>1.0</v>
      </c>
      <c r="O146" s="8">
        <v>-272.0</v>
      </c>
      <c r="P146" s="8">
        <v>302.0</v>
      </c>
      <c r="Q146" s="17">
        <v>46262.0</v>
      </c>
      <c r="R146" s="8" t="s">
        <v>1306</v>
      </c>
      <c r="S146" s="11" t="s">
        <v>1307</v>
      </c>
      <c r="T146" s="8">
        <v>608.0</v>
      </c>
    </row>
    <row r="147" ht="22.5" customHeight="1">
      <c r="B147" s="9" t="s">
        <v>542</v>
      </c>
      <c r="C147" s="8" t="s">
        <v>136</v>
      </c>
      <c r="D147" s="8" t="s">
        <v>1017</v>
      </c>
      <c r="E147" s="8" t="s">
        <v>59</v>
      </c>
      <c r="F147" s="8" t="s">
        <v>1242</v>
      </c>
      <c r="H147" s="8">
        <v>15.0</v>
      </c>
      <c r="I147" s="8">
        <v>180.0</v>
      </c>
      <c r="J147" s="8">
        <v>20918.25</v>
      </c>
      <c r="K147" s="8">
        <v>0.0</v>
      </c>
      <c r="L147" s="15">
        <v>46228.0</v>
      </c>
      <c r="M147" s="15">
        <v>46259.0</v>
      </c>
      <c r="N147" s="8">
        <v>1.0</v>
      </c>
      <c r="O147" s="8">
        <v>-272.0</v>
      </c>
      <c r="P147" s="8">
        <v>302.0</v>
      </c>
      <c r="Q147" s="17">
        <v>46238.0</v>
      </c>
      <c r="R147" s="8" t="s">
        <v>1308</v>
      </c>
      <c r="S147" s="11" t="s">
        <v>1309</v>
      </c>
      <c r="T147" s="8">
        <v>609.0</v>
      </c>
    </row>
    <row r="148" ht="22.5" customHeight="1">
      <c r="B148" s="9" t="s">
        <v>151</v>
      </c>
      <c r="C148" s="8" t="s">
        <v>1310</v>
      </c>
      <c r="D148" s="8" t="s">
        <v>1311</v>
      </c>
      <c r="E148" s="8" t="s">
        <v>29</v>
      </c>
      <c r="F148" s="8">
        <v>1.0</v>
      </c>
      <c r="H148" s="8">
        <v>250.0</v>
      </c>
      <c r="I148" s="8">
        <v>250.0</v>
      </c>
      <c r="L148" s="15">
        <v>46228.0</v>
      </c>
      <c r="M148" s="15">
        <v>46259.0</v>
      </c>
      <c r="O148" s="8">
        <v>-272.0</v>
      </c>
      <c r="P148" s="8">
        <v>302.0</v>
      </c>
      <c r="R148" s="8" t="s">
        <v>1312</v>
      </c>
      <c r="T148" s="8">
        <v>610.0</v>
      </c>
    </row>
    <row r="149" ht="22.5" customHeight="1">
      <c r="B149" s="9" t="s">
        <v>160</v>
      </c>
      <c r="C149" s="8" t="s">
        <v>136</v>
      </c>
      <c r="D149" s="8" t="s">
        <v>1022</v>
      </c>
      <c r="E149" s="8" t="s">
        <v>38</v>
      </c>
      <c r="F149" s="8">
        <v>1.0</v>
      </c>
      <c r="H149" s="8">
        <v>2000.0</v>
      </c>
      <c r="I149" s="8">
        <v>2000.0</v>
      </c>
      <c r="J149" s="8">
        <v>3000.0</v>
      </c>
      <c r="K149" s="8">
        <v>0.0</v>
      </c>
      <c r="L149" s="15">
        <v>46228.0</v>
      </c>
      <c r="M149" s="15">
        <v>46259.0</v>
      </c>
      <c r="N149" s="8">
        <v>1.0</v>
      </c>
      <c r="O149" s="8">
        <v>-272.0</v>
      </c>
      <c r="P149" s="8">
        <v>302.0</v>
      </c>
      <c r="Q149" s="17">
        <v>46343.0</v>
      </c>
      <c r="R149" s="8" t="s">
        <v>1313</v>
      </c>
      <c r="S149" s="11" t="s">
        <v>1314</v>
      </c>
      <c r="T149" s="8">
        <v>611.0</v>
      </c>
    </row>
    <row r="150" ht="22.5" customHeight="1">
      <c r="A150" s="8" t="s">
        <v>1315</v>
      </c>
      <c r="B150" s="9" t="s">
        <v>1024</v>
      </c>
      <c r="C150" s="8" t="s">
        <v>1173</v>
      </c>
      <c r="D150" s="8" t="s">
        <v>1025</v>
      </c>
      <c r="E150" s="8" t="s">
        <v>38</v>
      </c>
      <c r="F150" s="8">
        <v>3.0</v>
      </c>
      <c r="G150" s="8">
        <v>0.25</v>
      </c>
      <c r="H150" s="8" t="s">
        <v>1026</v>
      </c>
      <c r="I150" s="8">
        <v>3000.0</v>
      </c>
      <c r="J150" s="8">
        <v>9000.0</v>
      </c>
      <c r="K150" s="8">
        <v>0.0</v>
      </c>
      <c r="L150" s="15">
        <v>46204.0</v>
      </c>
      <c r="M150" s="15">
        <v>46235.0</v>
      </c>
      <c r="N150" s="8">
        <v>1.0</v>
      </c>
      <c r="O150" s="8">
        <v>-296.0</v>
      </c>
      <c r="P150" s="8">
        <v>326.0</v>
      </c>
      <c r="R150" s="8" t="e">
        <v>#REF!</v>
      </c>
      <c r="S150" s="11" t="s">
        <v>1316</v>
      </c>
      <c r="T150" s="8">
        <v>612.0</v>
      </c>
    </row>
    <row r="151" ht="22.5" customHeight="1">
      <c r="B151" s="9" t="s">
        <v>153</v>
      </c>
      <c r="C151" s="8" t="s">
        <v>136</v>
      </c>
      <c r="D151" s="8" t="s">
        <v>1176</v>
      </c>
      <c r="E151" s="8" t="s">
        <v>109</v>
      </c>
      <c r="F151" s="8" t="s">
        <v>1177</v>
      </c>
      <c r="H151" s="8">
        <v>25.0</v>
      </c>
      <c r="I151" s="8">
        <v>600.0</v>
      </c>
      <c r="L151" s="15">
        <v>46229.0</v>
      </c>
      <c r="M151" s="15">
        <v>46260.0</v>
      </c>
      <c r="O151" s="8">
        <v>-271.0</v>
      </c>
      <c r="P151" s="8">
        <v>301.0</v>
      </c>
      <c r="R151" s="8" t="s">
        <v>1317</v>
      </c>
      <c r="S151" s="11" t="s">
        <v>1318</v>
      </c>
      <c r="T151" s="8">
        <v>613.0</v>
      </c>
    </row>
    <row r="152" ht="22.5" customHeight="1">
      <c r="A152" s="8" t="s">
        <v>1319</v>
      </c>
      <c r="B152" s="9" t="s">
        <v>500</v>
      </c>
      <c r="C152" s="8" t="s">
        <v>136</v>
      </c>
      <c r="D152" s="8" t="s">
        <v>1253</v>
      </c>
      <c r="E152" s="8" t="s">
        <v>29</v>
      </c>
      <c r="F152" s="8">
        <v>2.75</v>
      </c>
      <c r="H152" s="8">
        <v>200.0</v>
      </c>
      <c r="I152" s="8">
        <v>550.0</v>
      </c>
      <c r="J152" s="8">
        <v>12693.17</v>
      </c>
      <c r="K152" s="8">
        <v>0.0</v>
      </c>
      <c r="L152" s="15">
        <v>46193.0</v>
      </c>
      <c r="M152" s="15">
        <v>46223.0</v>
      </c>
      <c r="N152" s="8">
        <v>1.0</v>
      </c>
      <c r="O152" s="8">
        <v>-308.0</v>
      </c>
      <c r="P152" s="8">
        <v>338.0</v>
      </c>
      <c r="Q152" s="17">
        <v>46204.0</v>
      </c>
      <c r="R152" s="8" t="s">
        <v>1320</v>
      </c>
      <c r="S152" s="11" t="s">
        <v>1321</v>
      </c>
      <c r="T152" s="8">
        <v>584.0</v>
      </c>
    </row>
    <row r="153" ht="22.5" customHeight="1">
      <c r="B153" s="9" t="s">
        <v>371</v>
      </c>
      <c r="C153" s="8" t="s">
        <v>794</v>
      </c>
      <c r="D153" s="8" t="s">
        <v>1256</v>
      </c>
      <c r="E153" s="9" t="s">
        <v>38</v>
      </c>
      <c r="F153" s="8">
        <v>3.0</v>
      </c>
      <c r="H153" s="8">
        <v>3000.0</v>
      </c>
      <c r="I153" s="8">
        <v>9000.0</v>
      </c>
      <c r="L153" s="15">
        <v>46176.0</v>
      </c>
      <c r="M153" s="15">
        <v>46206.0</v>
      </c>
      <c r="O153" s="8">
        <v>-325.0</v>
      </c>
      <c r="P153" s="8">
        <v>355.0</v>
      </c>
      <c r="R153" s="8" t="s">
        <v>1322</v>
      </c>
      <c r="T153" s="8">
        <v>585.0</v>
      </c>
    </row>
    <row r="154" ht="22.5" customHeight="1">
      <c r="A154" s="8" t="s">
        <v>1323</v>
      </c>
      <c r="B154" s="9" t="s">
        <v>512</v>
      </c>
      <c r="C154" s="8" t="s">
        <v>136</v>
      </c>
      <c r="D154" s="8" t="s">
        <v>997</v>
      </c>
      <c r="E154" s="8" t="s">
        <v>38</v>
      </c>
      <c r="F154" s="8">
        <v>3.0</v>
      </c>
      <c r="G154" s="16">
        <v>0.38</v>
      </c>
      <c r="H154" s="8">
        <v>4000.0</v>
      </c>
      <c r="I154" s="8">
        <v>5312.5</v>
      </c>
      <c r="J154" s="8">
        <v>5312.5</v>
      </c>
      <c r="K154" s="8">
        <v>0.0</v>
      </c>
      <c r="L154" s="15">
        <v>46201.0</v>
      </c>
      <c r="M154" s="15">
        <v>46231.0</v>
      </c>
      <c r="N154" s="8">
        <v>1.0</v>
      </c>
      <c r="O154" s="8">
        <v>-300.0</v>
      </c>
      <c r="P154" s="8">
        <v>330.0</v>
      </c>
      <c r="Q154" s="17">
        <v>46248.0</v>
      </c>
      <c r="R154" s="8" t="s">
        <v>1324</v>
      </c>
      <c r="S154" s="11" t="s">
        <v>1325</v>
      </c>
      <c r="T154" s="8">
        <v>586.0</v>
      </c>
    </row>
    <row r="155" ht="22.5" customHeight="1">
      <c r="B155" s="9" t="s">
        <v>1260</v>
      </c>
      <c r="C155" s="8" t="s">
        <v>795</v>
      </c>
      <c r="D155" s="8" t="s">
        <v>1261</v>
      </c>
      <c r="E155" s="8" t="s">
        <v>59</v>
      </c>
      <c r="F155" s="8" t="s">
        <v>1262</v>
      </c>
      <c r="H155" s="8">
        <v>15.0</v>
      </c>
      <c r="I155" s="8">
        <v>120.0</v>
      </c>
      <c r="L155" s="15">
        <v>46191.0</v>
      </c>
      <c r="M155" s="15">
        <v>46221.0</v>
      </c>
      <c r="O155" s="8">
        <v>-310.0</v>
      </c>
      <c r="P155" s="8">
        <v>340.0</v>
      </c>
      <c r="R155" s="8" t="s">
        <v>1326</v>
      </c>
      <c r="T155" s="8">
        <v>587.0</v>
      </c>
    </row>
    <row r="156" ht="22.5" customHeight="1">
      <c r="B156" s="9" t="s">
        <v>359</v>
      </c>
      <c r="C156" s="8" t="s">
        <v>804</v>
      </c>
      <c r="D156" s="8" t="s">
        <v>1294</v>
      </c>
      <c r="E156" s="9" t="s">
        <v>38</v>
      </c>
      <c r="F156" s="8">
        <v>3.0</v>
      </c>
      <c r="G156" s="16">
        <v>0.15</v>
      </c>
      <c r="H156" s="8" t="s">
        <v>1295</v>
      </c>
      <c r="I156" s="8">
        <v>21000.0</v>
      </c>
      <c r="L156" s="15">
        <v>46191.0</v>
      </c>
      <c r="M156" s="15">
        <v>46221.0</v>
      </c>
      <c r="O156" s="8">
        <v>-310.0</v>
      </c>
      <c r="P156" s="8">
        <v>340.0</v>
      </c>
      <c r="R156" s="8" t="s">
        <v>1327</v>
      </c>
      <c r="T156" s="8">
        <v>588.0</v>
      </c>
    </row>
    <row r="157" ht="22.5" customHeight="1">
      <c r="B157" s="9" t="s">
        <v>147</v>
      </c>
      <c r="C157" s="8" t="s">
        <v>1227</v>
      </c>
      <c r="D157" s="8" t="s">
        <v>1130</v>
      </c>
      <c r="E157" s="9" t="s">
        <v>59</v>
      </c>
      <c r="F157" s="8" t="s">
        <v>1267</v>
      </c>
      <c r="H157" s="8">
        <v>15.0</v>
      </c>
      <c r="I157" s="8">
        <v>330.0</v>
      </c>
      <c r="J157" s="8">
        <v>38225.95</v>
      </c>
      <c r="K157" s="8">
        <v>0.0</v>
      </c>
      <c r="L157" s="15">
        <v>46184.0</v>
      </c>
      <c r="M157" s="15">
        <v>46214.0</v>
      </c>
      <c r="N157" s="8">
        <v>1.0</v>
      </c>
      <c r="O157" s="8">
        <v>-317.0</v>
      </c>
      <c r="P157" s="8">
        <v>347.0</v>
      </c>
      <c r="Q157" s="17">
        <v>46206.0</v>
      </c>
      <c r="R157" s="8" t="s">
        <v>1328</v>
      </c>
      <c r="S157" s="11" t="s">
        <v>1329</v>
      </c>
      <c r="T157" s="8">
        <v>589.0</v>
      </c>
    </row>
    <row r="158" ht="22.5" customHeight="1">
      <c r="B158" s="9" t="s">
        <v>532</v>
      </c>
      <c r="C158" s="8" t="s">
        <v>794</v>
      </c>
      <c r="D158" s="8" t="s">
        <v>1196</v>
      </c>
      <c r="E158" s="8" t="s">
        <v>63</v>
      </c>
      <c r="F158" s="8" t="s">
        <v>1197</v>
      </c>
      <c r="H158" s="8">
        <v>40.0</v>
      </c>
      <c r="I158" s="8">
        <v>160.0</v>
      </c>
      <c r="L158" s="15">
        <v>46177.0</v>
      </c>
      <c r="M158" s="15">
        <v>46207.0</v>
      </c>
      <c r="O158" s="8">
        <v>-324.0</v>
      </c>
      <c r="P158" s="8">
        <v>354.0</v>
      </c>
      <c r="R158" s="8" t="s">
        <v>1330</v>
      </c>
      <c r="T158" s="8">
        <v>590.0</v>
      </c>
    </row>
    <row r="159" ht="22.5" customHeight="1">
      <c r="B159" s="9" t="s">
        <v>403</v>
      </c>
      <c r="C159" s="8" t="s">
        <v>804</v>
      </c>
      <c r="D159" s="8" t="s">
        <v>1302</v>
      </c>
      <c r="E159" s="9" t="s">
        <v>38</v>
      </c>
      <c r="F159" s="8">
        <v>4.0</v>
      </c>
      <c r="H159" s="8" t="s">
        <v>1295</v>
      </c>
      <c r="I159" s="8">
        <v>27000.0</v>
      </c>
      <c r="L159" s="15">
        <v>46182.0</v>
      </c>
      <c r="M159" s="15">
        <v>46212.0</v>
      </c>
      <c r="O159" s="8">
        <v>-319.0</v>
      </c>
      <c r="P159" s="8">
        <v>349.0</v>
      </c>
      <c r="R159" s="8" t="s">
        <v>1331</v>
      </c>
      <c r="T159" s="8">
        <v>591.0</v>
      </c>
    </row>
    <row r="160" ht="22.5" customHeight="1">
      <c r="B160" s="9" t="s">
        <v>152</v>
      </c>
      <c r="C160" s="8" t="s">
        <v>804</v>
      </c>
      <c r="D160" s="8" t="s">
        <v>1304</v>
      </c>
      <c r="E160" s="9" t="s">
        <v>59</v>
      </c>
      <c r="F160" s="8" t="s">
        <v>1018</v>
      </c>
      <c r="H160" s="8">
        <v>10.0</v>
      </c>
      <c r="I160" s="8">
        <v>180.0</v>
      </c>
      <c r="L160" s="15">
        <v>46189.0</v>
      </c>
      <c r="M160" s="15">
        <v>46219.0</v>
      </c>
      <c r="O160" s="8">
        <v>-312.0</v>
      </c>
      <c r="P160" s="8">
        <v>342.0</v>
      </c>
      <c r="R160" s="8" t="s">
        <v>1332</v>
      </c>
      <c r="T160" s="8">
        <v>592.0</v>
      </c>
    </row>
    <row r="161" ht="22.5" customHeight="1">
      <c r="A161" s="8" t="s">
        <v>1333</v>
      </c>
      <c r="B161" s="9" t="s">
        <v>539</v>
      </c>
      <c r="C161" s="8" t="s">
        <v>1173</v>
      </c>
      <c r="D161" s="8" t="s">
        <v>1015</v>
      </c>
      <c r="E161" s="8" t="s">
        <v>38</v>
      </c>
      <c r="F161" s="8">
        <v>3.0</v>
      </c>
      <c r="G161" s="16">
        <v>0.25</v>
      </c>
      <c r="H161" s="8">
        <v>8000.0</v>
      </c>
      <c r="I161" s="8">
        <v>18000.0</v>
      </c>
      <c r="J161" s="8">
        <v>18000.0</v>
      </c>
      <c r="K161" s="8">
        <v>0.0</v>
      </c>
      <c r="L161" s="15">
        <v>46198.0</v>
      </c>
      <c r="M161" s="15">
        <v>46228.0</v>
      </c>
      <c r="N161" s="8">
        <v>1.0</v>
      </c>
      <c r="O161" s="8">
        <v>-303.0</v>
      </c>
      <c r="P161" s="8">
        <v>333.0</v>
      </c>
      <c r="Q161" s="17">
        <v>46218.0</v>
      </c>
      <c r="R161" s="8" t="s">
        <v>1334</v>
      </c>
      <c r="S161" s="11" t="s">
        <v>1335</v>
      </c>
      <c r="T161" s="8">
        <v>593.0</v>
      </c>
    </row>
    <row r="162" ht="22.5" customHeight="1">
      <c r="B162" s="9" t="s">
        <v>542</v>
      </c>
      <c r="C162" s="8" t="s">
        <v>136</v>
      </c>
      <c r="D162" s="8" t="s">
        <v>1017</v>
      </c>
      <c r="E162" s="8" t="s">
        <v>59</v>
      </c>
      <c r="F162" s="8" t="s">
        <v>1242</v>
      </c>
      <c r="H162" s="8">
        <v>15.0</v>
      </c>
      <c r="I162" s="8">
        <v>180.0</v>
      </c>
      <c r="J162" s="8">
        <v>21117.4</v>
      </c>
      <c r="K162" s="8">
        <v>0.0</v>
      </c>
      <c r="L162" s="15">
        <v>46201.0</v>
      </c>
      <c r="M162" s="15">
        <v>46231.0</v>
      </c>
      <c r="N162" s="8">
        <v>1.0</v>
      </c>
      <c r="O162" s="8">
        <v>-300.0</v>
      </c>
      <c r="P162" s="8">
        <v>330.0</v>
      </c>
      <c r="Q162" s="17">
        <v>46205.0</v>
      </c>
      <c r="R162" s="8" t="s">
        <v>1336</v>
      </c>
      <c r="S162" s="11" t="s">
        <v>1337</v>
      </c>
      <c r="T162" s="8">
        <v>594.0</v>
      </c>
    </row>
    <row r="163" ht="22.5" customHeight="1">
      <c r="B163" s="9" t="s">
        <v>151</v>
      </c>
      <c r="C163" s="8" t="s">
        <v>1310</v>
      </c>
      <c r="D163" s="8" t="s">
        <v>1311</v>
      </c>
      <c r="E163" s="8" t="s">
        <v>29</v>
      </c>
      <c r="F163" s="8">
        <v>1.0</v>
      </c>
      <c r="H163" s="8">
        <v>250.0</v>
      </c>
      <c r="I163" s="8">
        <v>250.0</v>
      </c>
      <c r="L163" s="15">
        <v>46198.0</v>
      </c>
      <c r="M163" s="15">
        <v>46228.0</v>
      </c>
      <c r="O163" s="8">
        <v>-303.0</v>
      </c>
      <c r="P163" s="8">
        <v>333.0</v>
      </c>
      <c r="R163" s="8" t="s">
        <v>1338</v>
      </c>
      <c r="T163" s="8">
        <v>595.0</v>
      </c>
    </row>
    <row r="164" ht="22.5" customHeight="1">
      <c r="B164" s="9" t="s">
        <v>160</v>
      </c>
      <c r="C164" s="8" t="s">
        <v>136</v>
      </c>
      <c r="D164" s="8" t="s">
        <v>1022</v>
      </c>
      <c r="E164" s="8" t="s">
        <v>38</v>
      </c>
      <c r="F164" s="8">
        <v>1.0</v>
      </c>
      <c r="H164" s="8">
        <v>2000.0</v>
      </c>
      <c r="I164" s="8">
        <v>2000.0</v>
      </c>
      <c r="J164" s="8">
        <v>2000.0</v>
      </c>
      <c r="K164" s="8">
        <v>2000.0</v>
      </c>
      <c r="L164" s="15">
        <v>46198.0</v>
      </c>
      <c r="M164" s="15">
        <v>46228.0</v>
      </c>
      <c r="N164" s="8">
        <v>0.0</v>
      </c>
      <c r="O164" s="8">
        <v>-303.0</v>
      </c>
      <c r="P164" s="8">
        <v>333.0</v>
      </c>
      <c r="R164" s="8" t="s">
        <v>1339</v>
      </c>
      <c r="S164" s="11" t="s">
        <v>1340</v>
      </c>
      <c r="T164" s="8">
        <v>596.0</v>
      </c>
    </row>
    <row r="165" ht="22.5" customHeight="1">
      <c r="B165" s="9" t="s">
        <v>494</v>
      </c>
      <c r="C165" s="8" t="s">
        <v>794</v>
      </c>
      <c r="D165" s="8" t="s">
        <v>1341</v>
      </c>
      <c r="E165" s="9" t="s">
        <v>29</v>
      </c>
      <c r="F165" s="8">
        <v>0.0</v>
      </c>
      <c r="G165" s="16">
        <v>0.88</v>
      </c>
      <c r="H165" s="8">
        <v>250.0</v>
      </c>
      <c r="I165" s="8">
        <v>0.0</v>
      </c>
      <c r="L165" s="15">
        <v>46197.0</v>
      </c>
      <c r="M165" s="15">
        <v>46227.0</v>
      </c>
      <c r="O165" s="8">
        <v>-304.0</v>
      </c>
      <c r="P165" s="8">
        <v>334.0</v>
      </c>
      <c r="R165" s="8" t="s">
        <v>1342</v>
      </c>
      <c r="S165" s="11" t="s">
        <v>1343</v>
      </c>
      <c r="T165" s="8">
        <v>597.0</v>
      </c>
    </row>
    <row r="166" ht="22.5" customHeight="1">
      <c r="B166" s="9" t="s">
        <v>153</v>
      </c>
      <c r="C166" s="8" t="s">
        <v>136</v>
      </c>
      <c r="D166" s="8" t="s">
        <v>1176</v>
      </c>
      <c r="E166" s="8" t="s">
        <v>109</v>
      </c>
      <c r="F166" s="8" t="s">
        <v>1177</v>
      </c>
      <c r="H166" s="8">
        <v>25.0</v>
      </c>
      <c r="I166" s="8">
        <v>676.0</v>
      </c>
      <c r="J166" s="8">
        <v>45356.67</v>
      </c>
      <c r="K166" s="8">
        <v>0.0</v>
      </c>
      <c r="L166" s="15">
        <v>46199.0</v>
      </c>
      <c r="M166" s="15">
        <v>46229.0</v>
      </c>
      <c r="N166" s="8">
        <v>1.0</v>
      </c>
      <c r="O166" s="8">
        <v>-302.0</v>
      </c>
      <c r="P166" s="8">
        <v>332.0</v>
      </c>
      <c r="Q166" s="17">
        <v>46216.0</v>
      </c>
      <c r="R166" s="8" t="s">
        <v>1344</v>
      </c>
      <c r="S166" s="11" t="s">
        <v>1345</v>
      </c>
      <c r="T166" s="8">
        <v>598.0</v>
      </c>
    </row>
    <row r="167" ht="22.5" customHeight="1">
      <c r="B167" s="9" t="s">
        <v>500</v>
      </c>
      <c r="C167" s="8" t="s">
        <v>136</v>
      </c>
      <c r="D167" s="8" t="s">
        <v>993</v>
      </c>
      <c r="E167" s="8" t="s">
        <v>29</v>
      </c>
      <c r="F167" s="8">
        <v>2.0</v>
      </c>
      <c r="H167" s="8">
        <v>200.0</v>
      </c>
      <c r="I167" s="8">
        <v>400.0</v>
      </c>
      <c r="J167" s="8">
        <v>9111.9</v>
      </c>
      <c r="K167" s="8">
        <v>0.0</v>
      </c>
      <c r="L167" s="15">
        <v>46162.0</v>
      </c>
      <c r="M167" s="15">
        <v>46193.0</v>
      </c>
      <c r="N167" s="8">
        <v>1.0</v>
      </c>
      <c r="O167" s="8">
        <v>-338.0</v>
      </c>
      <c r="P167" s="8">
        <v>368.0</v>
      </c>
      <c r="Q167" s="17">
        <v>46171.0</v>
      </c>
      <c r="R167" s="8" t="s">
        <v>1346</v>
      </c>
      <c r="S167" s="11" t="s">
        <v>1347</v>
      </c>
      <c r="T167" s="8">
        <v>572.0</v>
      </c>
    </row>
    <row r="168" ht="22.5" customHeight="1">
      <c r="B168" s="9" t="s">
        <v>371</v>
      </c>
      <c r="C168" s="8" t="s">
        <v>794</v>
      </c>
      <c r="D168" s="8" t="s">
        <v>1256</v>
      </c>
      <c r="E168" s="9" t="s">
        <v>38</v>
      </c>
      <c r="F168" s="8">
        <v>3.0</v>
      </c>
      <c r="H168" s="8">
        <v>3000.0</v>
      </c>
      <c r="I168" s="8">
        <v>9000.0</v>
      </c>
      <c r="L168" s="15">
        <v>46145.0</v>
      </c>
      <c r="M168" s="15">
        <v>46176.0</v>
      </c>
      <c r="O168" s="8">
        <v>-355.0</v>
      </c>
      <c r="P168" s="8">
        <v>385.0</v>
      </c>
      <c r="R168" s="8" t="s">
        <v>1348</v>
      </c>
      <c r="T168" s="8">
        <v>573.0</v>
      </c>
    </row>
    <row r="169" ht="22.5" customHeight="1">
      <c r="B169" s="9" t="s">
        <v>512</v>
      </c>
      <c r="C169" s="8" t="s">
        <v>1173</v>
      </c>
      <c r="D169" s="8" t="s">
        <v>997</v>
      </c>
      <c r="E169" s="8" t="s">
        <v>38</v>
      </c>
      <c r="F169" s="8">
        <v>1.0</v>
      </c>
      <c r="G169" s="16">
        <v>0.38</v>
      </c>
      <c r="H169" s="8">
        <v>4000.0</v>
      </c>
      <c r="I169" s="8">
        <v>2500.0</v>
      </c>
      <c r="J169" s="8">
        <v>2500.0</v>
      </c>
      <c r="K169" s="8">
        <v>0.0</v>
      </c>
      <c r="L169" s="15">
        <v>46143.0</v>
      </c>
      <c r="M169" s="15">
        <v>46174.0</v>
      </c>
      <c r="N169" s="8">
        <v>1.0</v>
      </c>
      <c r="O169" s="8">
        <v>-357.0</v>
      </c>
      <c r="P169" s="8">
        <v>387.0</v>
      </c>
      <c r="Q169" s="8" t="s">
        <v>1229</v>
      </c>
      <c r="R169" s="8" t="s">
        <v>1349</v>
      </c>
      <c r="T169" s="8">
        <v>574.0</v>
      </c>
    </row>
    <row r="170" ht="22.5" customHeight="1">
      <c r="B170" s="9" t="s">
        <v>1260</v>
      </c>
      <c r="C170" s="8" t="s">
        <v>795</v>
      </c>
      <c r="D170" s="8" t="s">
        <v>1261</v>
      </c>
      <c r="E170" s="8" t="s">
        <v>59</v>
      </c>
      <c r="F170" s="8" t="s">
        <v>1262</v>
      </c>
      <c r="H170" s="8">
        <v>15.0</v>
      </c>
      <c r="I170" s="8">
        <v>120.0</v>
      </c>
      <c r="L170" s="15">
        <v>46160.0</v>
      </c>
      <c r="M170" s="15">
        <v>46191.0</v>
      </c>
      <c r="O170" s="8">
        <v>-340.0</v>
      </c>
      <c r="P170" s="8">
        <v>370.0</v>
      </c>
      <c r="R170" s="8" t="s">
        <v>1350</v>
      </c>
      <c r="T170" s="8">
        <v>575.0</v>
      </c>
    </row>
    <row r="171" ht="22.5" customHeight="1">
      <c r="A171" s="8" t="s">
        <v>1351</v>
      </c>
      <c r="B171" s="9" t="s">
        <v>359</v>
      </c>
      <c r="C171" s="8" t="s">
        <v>136</v>
      </c>
      <c r="D171" s="8" t="s">
        <v>1294</v>
      </c>
      <c r="E171" s="9" t="s">
        <v>38</v>
      </c>
      <c r="F171" s="8">
        <v>3.0</v>
      </c>
      <c r="G171" s="16">
        <v>0.15</v>
      </c>
      <c r="H171" s="8" t="s">
        <v>1295</v>
      </c>
      <c r="I171" s="8">
        <v>21000.0</v>
      </c>
      <c r="J171" s="8">
        <v>21000.0</v>
      </c>
      <c r="K171" s="8">
        <v>0.0</v>
      </c>
      <c r="L171" s="15">
        <v>46160.0</v>
      </c>
      <c r="M171" s="15">
        <v>46191.0</v>
      </c>
      <c r="N171" s="8">
        <v>1.0</v>
      </c>
      <c r="O171" s="8">
        <v>-340.0</v>
      </c>
      <c r="P171" s="8">
        <v>370.0</v>
      </c>
      <c r="R171" s="8" t="s">
        <v>1352</v>
      </c>
      <c r="S171" s="11" t="s">
        <v>1353</v>
      </c>
      <c r="T171" s="8">
        <v>576.0</v>
      </c>
    </row>
    <row r="172" ht="22.5" customHeight="1">
      <c r="B172" s="9" t="s">
        <v>147</v>
      </c>
      <c r="C172" s="8" t="s">
        <v>1227</v>
      </c>
      <c r="D172" s="8" t="s">
        <v>1354</v>
      </c>
      <c r="E172" s="9" t="s">
        <v>59</v>
      </c>
      <c r="F172" s="8" t="s">
        <v>1355</v>
      </c>
      <c r="H172" s="8">
        <v>15.0</v>
      </c>
      <c r="I172" s="8">
        <v>60.0</v>
      </c>
      <c r="J172" s="8">
        <v>6749.72</v>
      </c>
      <c r="K172" s="8">
        <v>6749.72</v>
      </c>
      <c r="L172" s="15">
        <v>46143.0</v>
      </c>
      <c r="M172" s="15">
        <v>46174.0</v>
      </c>
      <c r="N172" s="8">
        <v>0.0</v>
      </c>
      <c r="O172" s="8">
        <v>-357.0</v>
      </c>
      <c r="P172" s="8">
        <v>387.0</v>
      </c>
      <c r="R172" s="8" t="s">
        <v>1356</v>
      </c>
      <c r="S172" s="11" t="s">
        <v>1357</v>
      </c>
      <c r="T172" s="8">
        <v>577.0</v>
      </c>
    </row>
    <row r="173" ht="22.5" customHeight="1">
      <c r="A173" s="8" t="s">
        <v>1358</v>
      </c>
      <c r="B173" s="9" t="s">
        <v>532</v>
      </c>
      <c r="C173" s="8" t="s">
        <v>136</v>
      </c>
      <c r="D173" s="8" t="s">
        <v>1196</v>
      </c>
      <c r="E173" s="8" t="s">
        <v>63</v>
      </c>
      <c r="F173" s="8" t="s">
        <v>1197</v>
      </c>
      <c r="H173" s="8">
        <v>40.0</v>
      </c>
      <c r="I173" s="8">
        <v>160.0</v>
      </c>
      <c r="J173" s="8">
        <v>3156.04</v>
      </c>
      <c r="K173" s="8">
        <v>3156.04</v>
      </c>
      <c r="L173" s="15">
        <v>46146.0</v>
      </c>
      <c r="M173" s="15">
        <v>46177.0</v>
      </c>
      <c r="N173" s="8">
        <v>0.0</v>
      </c>
      <c r="O173" s="8">
        <v>-354.0</v>
      </c>
      <c r="P173" s="8">
        <v>384.0</v>
      </c>
      <c r="R173" s="8" t="s">
        <v>1359</v>
      </c>
      <c r="S173" s="11" t="s">
        <v>1360</v>
      </c>
      <c r="T173" s="8">
        <v>578.0</v>
      </c>
    </row>
    <row r="174" ht="22.5" customHeight="1">
      <c r="B174" s="9" t="s">
        <v>403</v>
      </c>
      <c r="C174" s="8" t="s">
        <v>136</v>
      </c>
      <c r="D174" s="8" t="s">
        <v>1302</v>
      </c>
      <c r="E174" s="9" t="s">
        <v>38</v>
      </c>
      <c r="F174" s="8">
        <v>4.0</v>
      </c>
      <c r="H174" s="8" t="s">
        <v>1295</v>
      </c>
      <c r="I174" s="8">
        <v>27000.0</v>
      </c>
      <c r="J174" s="8">
        <v>27000.0</v>
      </c>
      <c r="K174" s="8">
        <v>0.0</v>
      </c>
      <c r="L174" s="15">
        <v>46151.0</v>
      </c>
      <c r="M174" s="15">
        <v>46182.0</v>
      </c>
      <c r="N174" s="8">
        <v>1.0</v>
      </c>
      <c r="O174" s="8">
        <v>-349.0</v>
      </c>
      <c r="P174" s="8">
        <v>379.0</v>
      </c>
      <c r="Q174" s="17">
        <v>46176.0</v>
      </c>
      <c r="R174" s="8" t="s">
        <v>1361</v>
      </c>
      <c r="S174" s="11" t="s">
        <v>1362</v>
      </c>
      <c r="T174" s="8">
        <v>579.0</v>
      </c>
    </row>
    <row r="175" ht="22.5" customHeight="1">
      <c r="B175" s="9" t="s">
        <v>152</v>
      </c>
      <c r="C175" s="8" t="s">
        <v>136</v>
      </c>
      <c r="D175" s="8" t="s">
        <v>1304</v>
      </c>
      <c r="E175" s="9" t="s">
        <v>59</v>
      </c>
      <c r="F175" s="8" t="s">
        <v>1018</v>
      </c>
      <c r="H175" s="8">
        <v>10.0</v>
      </c>
      <c r="I175" s="8">
        <v>180.0</v>
      </c>
      <c r="J175" s="8">
        <v>20459.12</v>
      </c>
      <c r="K175" s="8">
        <v>0.0</v>
      </c>
      <c r="L175" s="15">
        <v>46158.0</v>
      </c>
      <c r="M175" s="15">
        <v>46189.0</v>
      </c>
      <c r="N175" s="8">
        <v>1.0</v>
      </c>
      <c r="O175" s="8">
        <v>-342.0</v>
      </c>
      <c r="P175" s="8">
        <v>372.0</v>
      </c>
      <c r="Q175" s="17">
        <v>46222.0</v>
      </c>
      <c r="R175" s="8" t="s">
        <v>1363</v>
      </c>
      <c r="S175" s="11" t="s">
        <v>1364</v>
      </c>
      <c r="T175" s="8">
        <v>580.0</v>
      </c>
    </row>
    <row r="176" ht="22.5" customHeight="1">
      <c r="B176" s="9" t="s">
        <v>539</v>
      </c>
      <c r="C176" s="8" t="s">
        <v>136</v>
      </c>
      <c r="D176" s="8" t="s">
        <v>1015</v>
      </c>
      <c r="E176" s="8" t="s">
        <v>38</v>
      </c>
      <c r="F176" s="8">
        <v>3.0</v>
      </c>
      <c r="G176" s="16">
        <v>0.25</v>
      </c>
      <c r="H176" s="8">
        <v>8000.0</v>
      </c>
      <c r="I176" s="8">
        <v>18000.0</v>
      </c>
      <c r="J176" s="8">
        <v>18000.0</v>
      </c>
      <c r="K176" s="8">
        <v>0.0</v>
      </c>
      <c r="L176" s="15">
        <v>46167.0</v>
      </c>
      <c r="M176" s="15">
        <v>46198.0</v>
      </c>
      <c r="N176" s="8">
        <v>1.0</v>
      </c>
      <c r="O176" s="8">
        <v>-333.0</v>
      </c>
      <c r="P176" s="8">
        <v>363.0</v>
      </c>
      <c r="Q176" s="17">
        <v>46170.0</v>
      </c>
      <c r="R176" s="8" t="s">
        <v>1365</v>
      </c>
      <c r="S176" s="11" t="s">
        <v>1366</v>
      </c>
      <c r="T176" s="8">
        <v>581.0</v>
      </c>
    </row>
    <row r="177" ht="22.5" customHeight="1">
      <c r="B177" s="9" t="s">
        <v>542</v>
      </c>
      <c r="C177" s="8" t="s">
        <v>136</v>
      </c>
      <c r="D177" s="8" t="s">
        <v>1017</v>
      </c>
      <c r="E177" s="8" t="s">
        <v>59</v>
      </c>
      <c r="F177" s="8" t="s">
        <v>1242</v>
      </c>
      <c r="H177" s="8">
        <v>15.0</v>
      </c>
      <c r="I177" s="8">
        <v>180.0</v>
      </c>
      <c r="J177" s="8">
        <v>20696.29</v>
      </c>
      <c r="K177" s="8">
        <v>0.0</v>
      </c>
      <c r="L177" s="15">
        <v>46170.0</v>
      </c>
      <c r="M177" s="15">
        <v>46201.0</v>
      </c>
      <c r="N177" s="8">
        <v>1.0</v>
      </c>
      <c r="O177" s="8">
        <v>-330.0</v>
      </c>
      <c r="P177" s="8">
        <v>360.0</v>
      </c>
      <c r="Q177" s="17">
        <v>46170.0</v>
      </c>
      <c r="R177" s="8" t="s">
        <v>1367</v>
      </c>
      <c r="S177" s="11" t="s">
        <v>1368</v>
      </c>
      <c r="T177" s="8">
        <v>582.0</v>
      </c>
    </row>
    <row r="178" ht="22.5" customHeight="1">
      <c r="B178" s="9" t="s">
        <v>151</v>
      </c>
      <c r="C178" s="8" t="s">
        <v>1369</v>
      </c>
      <c r="D178" s="8" t="s">
        <v>1311</v>
      </c>
      <c r="E178" s="8" t="s">
        <v>29</v>
      </c>
      <c r="F178" s="8">
        <v>1.0</v>
      </c>
      <c r="H178" s="8">
        <v>250.0</v>
      </c>
      <c r="I178" s="8">
        <v>250.0</v>
      </c>
      <c r="L178" s="15">
        <v>46167.0</v>
      </c>
      <c r="M178" s="15">
        <v>46198.0</v>
      </c>
      <c r="O178" s="8">
        <v>-333.0</v>
      </c>
      <c r="P178" s="8">
        <v>363.0</v>
      </c>
      <c r="R178" s="8" t="s">
        <v>1370</v>
      </c>
      <c r="T178" s="8">
        <v>583.0</v>
      </c>
    </row>
    <row r="179" ht="22.5" customHeight="1">
      <c r="B179" s="9" t="s">
        <v>184</v>
      </c>
      <c r="C179" s="8" t="s">
        <v>805</v>
      </c>
    </row>
    <row r="180" ht="22.5" customHeight="1">
      <c r="B180" s="9" t="s">
        <v>1024</v>
      </c>
      <c r="C180" s="8" t="s">
        <v>805</v>
      </c>
    </row>
    <row r="181" ht="22.5" customHeight="1">
      <c r="A181" s="8" t="s">
        <v>1371</v>
      </c>
      <c r="B181" s="9" t="s">
        <v>447</v>
      </c>
      <c r="C181" s="8" t="s">
        <v>794</v>
      </c>
      <c r="D181" s="8" t="s">
        <v>1372</v>
      </c>
      <c r="E181" s="9" t="s">
        <v>29</v>
      </c>
      <c r="F181" s="8">
        <v>5.0</v>
      </c>
      <c r="G181" s="16">
        <v>0.34</v>
      </c>
      <c r="H181" s="8">
        <v>100.0</v>
      </c>
      <c r="I181" s="8">
        <v>500.0</v>
      </c>
      <c r="L181" s="15">
        <v>46116.0</v>
      </c>
      <c r="M181" s="15">
        <v>46146.0</v>
      </c>
      <c r="O181" s="8">
        <v>-385.0</v>
      </c>
      <c r="P181" s="8">
        <v>415.0</v>
      </c>
      <c r="R181" s="8" t="s">
        <v>1373</v>
      </c>
      <c r="T181" s="8">
        <v>550.0</v>
      </c>
    </row>
    <row r="182" ht="22.5" customHeight="1">
      <c r="A182" s="8" t="s">
        <v>1374</v>
      </c>
      <c r="B182" s="9" t="s">
        <v>400</v>
      </c>
      <c r="C182" s="8" t="s">
        <v>794</v>
      </c>
      <c r="D182" s="8" t="s">
        <v>1375</v>
      </c>
      <c r="E182" s="9" t="s">
        <v>59</v>
      </c>
      <c r="F182" s="8" t="s">
        <v>1001</v>
      </c>
      <c r="H182" s="8">
        <v>12.0</v>
      </c>
      <c r="I182" s="8">
        <v>48.0</v>
      </c>
      <c r="L182" s="15">
        <v>46117.0</v>
      </c>
      <c r="M182" s="15">
        <v>46147.0</v>
      </c>
      <c r="O182" s="8">
        <v>-384.0</v>
      </c>
      <c r="P182" s="8">
        <v>414.0</v>
      </c>
      <c r="R182" s="8" t="s">
        <v>1376</v>
      </c>
      <c r="T182" s="8">
        <v>551.0</v>
      </c>
    </row>
    <row r="183" ht="22.5" customHeight="1">
      <c r="A183" s="8" t="s">
        <v>1374</v>
      </c>
      <c r="B183" s="9" t="s">
        <v>224</v>
      </c>
      <c r="C183" s="8" t="s">
        <v>794</v>
      </c>
      <c r="D183" s="8" t="s">
        <v>1377</v>
      </c>
      <c r="E183" s="9" t="s">
        <v>29</v>
      </c>
      <c r="F183" s="8">
        <v>0.0</v>
      </c>
      <c r="H183" s="8">
        <v>150.0</v>
      </c>
      <c r="I183" s="8">
        <v>0.0</v>
      </c>
      <c r="L183" s="15">
        <v>46114.0</v>
      </c>
      <c r="M183" s="15">
        <v>46144.0</v>
      </c>
      <c r="O183" s="8">
        <v>-387.0</v>
      </c>
      <c r="P183" s="8">
        <v>417.0</v>
      </c>
      <c r="R183" s="8" t="s">
        <v>1378</v>
      </c>
      <c r="T183" s="8">
        <v>552.0</v>
      </c>
    </row>
    <row r="184" ht="22.5" customHeight="1">
      <c r="A184" s="8" t="s">
        <v>1374</v>
      </c>
      <c r="B184" s="9" t="s">
        <v>371</v>
      </c>
      <c r="C184" s="8" t="s">
        <v>794</v>
      </c>
      <c r="D184" s="8" t="s">
        <v>1379</v>
      </c>
      <c r="E184" s="9" t="s">
        <v>38</v>
      </c>
      <c r="F184" s="8">
        <v>5.0</v>
      </c>
      <c r="G184" s="16">
        <v>0.15</v>
      </c>
      <c r="H184" s="8">
        <v>6000.0</v>
      </c>
      <c r="I184" s="8">
        <v>25500.0</v>
      </c>
      <c r="L184" s="15">
        <v>46115.0</v>
      </c>
      <c r="M184" s="15">
        <v>46145.0</v>
      </c>
      <c r="O184" s="8">
        <v>-386.0</v>
      </c>
      <c r="P184" s="8">
        <v>416.0</v>
      </c>
      <c r="R184" s="8" t="s">
        <v>1380</v>
      </c>
      <c r="T184" s="8">
        <v>553.0</v>
      </c>
    </row>
    <row r="185" ht="22.5" customHeight="1">
      <c r="B185" s="9" t="s">
        <v>359</v>
      </c>
      <c r="C185" s="8" t="s">
        <v>1381</v>
      </c>
      <c r="D185" s="8" t="s">
        <v>1294</v>
      </c>
      <c r="E185" s="9" t="s">
        <v>38</v>
      </c>
      <c r="F185" s="8">
        <v>3.0</v>
      </c>
      <c r="G185" s="16">
        <v>0.15</v>
      </c>
      <c r="H185" s="8" t="s">
        <v>1295</v>
      </c>
      <c r="I185" s="8">
        <v>21000.0</v>
      </c>
      <c r="J185" s="8">
        <v>21000.0</v>
      </c>
      <c r="K185" s="8">
        <v>0.0</v>
      </c>
      <c r="L185" s="15">
        <v>46130.0</v>
      </c>
      <c r="M185" s="15">
        <v>46160.0</v>
      </c>
      <c r="N185" s="8">
        <v>1.0</v>
      </c>
      <c r="O185" s="8">
        <v>-371.0</v>
      </c>
      <c r="P185" s="8">
        <v>401.0</v>
      </c>
      <c r="Q185" s="17">
        <v>46149.0</v>
      </c>
      <c r="R185" s="8" t="s">
        <v>1382</v>
      </c>
      <c r="S185" s="11" t="s">
        <v>1383</v>
      </c>
      <c r="T185" s="8">
        <v>554.0</v>
      </c>
    </row>
    <row r="186" ht="22.5" customHeight="1">
      <c r="B186" s="9" t="s">
        <v>147</v>
      </c>
      <c r="C186" s="8" t="s">
        <v>1227</v>
      </c>
      <c r="D186" s="8" t="s">
        <v>1354</v>
      </c>
      <c r="E186" s="9" t="s">
        <v>59</v>
      </c>
      <c r="F186" s="18">
        <v>46179.0</v>
      </c>
      <c r="H186" s="8">
        <v>15.0</v>
      </c>
      <c r="I186" s="8">
        <v>180.0</v>
      </c>
      <c r="J186" s="8">
        <v>19912.54</v>
      </c>
      <c r="K186" s="8">
        <v>0.0</v>
      </c>
      <c r="L186" s="15">
        <v>46113.0</v>
      </c>
      <c r="M186" s="15">
        <v>46143.0</v>
      </c>
      <c r="N186" s="8">
        <v>1.0</v>
      </c>
      <c r="O186" s="8">
        <v>-388.0</v>
      </c>
      <c r="P186" s="8">
        <v>418.0</v>
      </c>
      <c r="Q186" s="17">
        <v>46144.0</v>
      </c>
      <c r="R186" s="8" t="s">
        <v>1384</v>
      </c>
      <c r="S186" s="11" t="s">
        <v>1385</v>
      </c>
      <c r="T186" s="8">
        <v>555.0</v>
      </c>
    </row>
    <row r="187" ht="22.5" customHeight="1">
      <c r="B187" s="9" t="s">
        <v>432</v>
      </c>
      <c r="C187" s="8" t="s">
        <v>794</v>
      </c>
      <c r="D187" s="8" t="s">
        <v>1386</v>
      </c>
      <c r="E187" s="9" t="s">
        <v>50</v>
      </c>
      <c r="F187" s="8">
        <v>0.0</v>
      </c>
      <c r="H187" s="8">
        <v>12.0</v>
      </c>
      <c r="I187" s="8">
        <v>0.0</v>
      </c>
      <c r="L187" s="15">
        <v>46114.0</v>
      </c>
      <c r="M187" s="15">
        <v>46144.0</v>
      </c>
      <c r="O187" s="8">
        <v>-387.0</v>
      </c>
      <c r="P187" s="8">
        <v>417.0</v>
      </c>
      <c r="R187" s="8" t="s">
        <v>1387</v>
      </c>
      <c r="S187" s="11" t="s">
        <v>1388</v>
      </c>
      <c r="T187" s="8">
        <v>556.0</v>
      </c>
    </row>
    <row r="188" ht="22.5" customHeight="1">
      <c r="B188" s="9" t="s">
        <v>403</v>
      </c>
      <c r="C188" s="8" t="s">
        <v>136</v>
      </c>
      <c r="D188" s="8" t="s">
        <v>1302</v>
      </c>
      <c r="E188" s="9" t="s">
        <v>38</v>
      </c>
      <c r="F188" s="8">
        <v>4.0</v>
      </c>
      <c r="H188" s="8" t="s">
        <v>1295</v>
      </c>
      <c r="I188" s="8">
        <v>27000.0</v>
      </c>
      <c r="J188" s="8">
        <v>27000.0</v>
      </c>
      <c r="K188" s="8">
        <v>0.0</v>
      </c>
      <c r="L188" s="15">
        <v>46121.0</v>
      </c>
      <c r="M188" s="15">
        <v>46151.0</v>
      </c>
      <c r="N188" s="8">
        <v>1.0</v>
      </c>
      <c r="O188" s="8">
        <v>-380.0</v>
      </c>
      <c r="P188" s="8">
        <v>410.0</v>
      </c>
      <c r="Q188" s="17">
        <v>46142.0</v>
      </c>
      <c r="R188" s="8" t="s">
        <v>1389</v>
      </c>
      <c r="S188" s="11" t="s">
        <v>1390</v>
      </c>
      <c r="T188" s="8">
        <v>557.0</v>
      </c>
    </row>
    <row r="189" ht="22.5" customHeight="1">
      <c r="B189" s="9" t="s">
        <v>153</v>
      </c>
      <c r="C189" s="8" t="s">
        <v>794</v>
      </c>
      <c r="D189" s="8" t="s">
        <v>1391</v>
      </c>
      <c r="E189" s="9" t="s">
        <v>109</v>
      </c>
      <c r="F189" s="8">
        <v>0.0</v>
      </c>
      <c r="H189" s="8">
        <v>25.0</v>
      </c>
      <c r="I189" s="8">
        <v>0.0</v>
      </c>
      <c r="L189" s="15">
        <v>46120.0</v>
      </c>
      <c r="M189" s="15">
        <v>46150.0</v>
      </c>
      <c r="O189" s="8">
        <v>-381.0</v>
      </c>
      <c r="P189" s="8">
        <v>411.0</v>
      </c>
      <c r="R189" s="8" t="s">
        <v>1392</v>
      </c>
      <c r="S189" s="11" t="s">
        <v>1393</v>
      </c>
      <c r="T189" s="8">
        <v>558.0</v>
      </c>
    </row>
    <row r="190" ht="22.5" customHeight="1">
      <c r="A190" s="8" t="s">
        <v>1394</v>
      </c>
      <c r="B190" s="9" t="s">
        <v>453</v>
      </c>
      <c r="C190" s="8" t="s">
        <v>795</v>
      </c>
      <c r="D190" s="8" t="s">
        <v>1395</v>
      </c>
      <c r="E190" s="9" t="s">
        <v>59</v>
      </c>
      <c r="F190" s="8">
        <v>1.0</v>
      </c>
      <c r="H190" s="8">
        <v>10.0</v>
      </c>
      <c r="I190" s="8">
        <v>10.0</v>
      </c>
      <c r="J190" s="8">
        <v>1130.97</v>
      </c>
      <c r="K190" s="8">
        <v>1130.97</v>
      </c>
      <c r="L190" s="15">
        <v>46134.0</v>
      </c>
      <c r="M190" s="15">
        <v>46164.0</v>
      </c>
      <c r="N190" s="8">
        <v>0.0</v>
      </c>
      <c r="O190" s="8">
        <v>-367.0</v>
      </c>
      <c r="P190" s="8">
        <v>397.0</v>
      </c>
      <c r="R190" s="8" t="s">
        <v>1396</v>
      </c>
      <c r="T190" s="8">
        <v>559.0</v>
      </c>
    </row>
    <row r="191" ht="22.5" customHeight="1">
      <c r="B191" s="9" t="s">
        <v>456</v>
      </c>
      <c r="C191" s="8" t="s">
        <v>1397</v>
      </c>
      <c r="D191" s="8" t="s">
        <v>67</v>
      </c>
      <c r="E191" s="9" t="s">
        <v>59</v>
      </c>
      <c r="F191" s="8">
        <v>1.0</v>
      </c>
      <c r="H191" s="8">
        <v>75.0</v>
      </c>
      <c r="I191" s="8">
        <v>75.0</v>
      </c>
      <c r="L191" s="15">
        <v>46122.0</v>
      </c>
      <c r="M191" s="15">
        <v>46152.0</v>
      </c>
      <c r="O191" s="8">
        <v>-379.0</v>
      </c>
      <c r="P191" s="8">
        <v>409.0</v>
      </c>
      <c r="R191" s="8" t="s">
        <v>1398</v>
      </c>
      <c r="S191" s="11" t="s">
        <v>1399</v>
      </c>
      <c r="T191" s="8">
        <v>560.0</v>
      </c>
    </row>
    <row r="192" ht="22.5" customHeight="1">
      <c r="B192" s="8" t="s">
        <v>484</v>
      </c>
      <c r="C192" s="8" t="s">
        <v>795</v>
      </c>
      <c r="D192" s="8" t="s">
        <v>1400</v>
      </c>
      <c r="E192" s="8" t="s">
        <v>1401</v>
      </c>
      <c r="F192" s="8" t="s">
        <v>1402</v>
      </c>
      <c r="H192" s="8">
        <v>15.0</v>
      </c>
      <c r="I192" s="8">
        <v>45.0</v>
      </c>
      <c r="L192" s="15">
        <v>46115.0</v>
      </c>
      <c r="M192" s="15">
        <v>46145.0</v>
      </c>
      <c r="O192" s="8">
        <v>-386.0</v>
      </c>
      <c r="P192" s="8">
        <v>416.0</v>
      </c>
      <c r="R192" s="8" t="e">
        <v>#N/A</v>
      </c>
      <c r="S192" s="11" t="s">
        <v>1403</v>
      </c>
      <c r="T192" s="8">
        <v>561.0</v>
      </c>
    </row>
    <row r="193" ht="22.5" customHeight="1">
      <c r="B193" s="9" t="s">
        <v>148</v>
      </c>
      <c r="C193" s="8" t="s">
        <v>794</v>
      </c>
      <c r="D193" s="8" t="s">
        <v>1400</v>
      </c>
      <c r="E193" s="9" t="s">
        <v>59</v>
      </c>
      <c r="F193" s="8">
        <v>0.0</v>
      </c>
      <c r="H193" s="8">
        <v>15.0</v>
      </c>
      <c r="I193" s="8">
        <v>0.0</v>
      </c>
      <c r="L193" s="15">
        <v>46137.0</v>
      </c>
      <c r="M193" s="15">
        <v>46167.0</v>
      </c>
      <c r="O193" s="8">
        <v>-364.0</v>
      </c>
      <c r="P193" s="8">
        <v>394.0</v>
      </c>
      <c r="R193" s="8" t="s">
        <v>1404</v>
      </c>
      <c r="T193" s="8">
        <v>562.0</v>
      </c>
    </row>
    <row r="194" ht="22.5" customHeight="1">
      <c r="A194" s="8" t="s">
        <v>1405</v>
      </c>
      <c r="B194" s="9" t="s">
        <v>491</v>
      </c>
      <c r="C194" s="8" t="s">
        <v>795</v>
      </c>
      <c r="D194" s="8" t="s">
        <v>83</v>
      </c>
      <c r="E194" s="9" t="s">
        <v>59</v>
      </c>
      <c r="F194" s="8">
        <v>1.0</v>
      </c>
      <c r="H194" s="8">
        <v>15.0</v>
      </c>
      <c r="I194" s="8">
        <v>15.0</v>
      </c>
      <c r="R194" s="8" t="s">
        <v>1406</v>
      </c>
      <c r="T194" s="8">
        <v>563.0</v>
      </c>
    </row>
    <row r="195" ht="22.5" customHeight="1">
      <c r="B195" s="9" t="s">
        <v>503</v>
      </c>
      <c r="C195" s="8" t="s">
        <v>794</v>
      </c>
      <c r="D195" s="8" t="s">
        <v>1407</v>
      </c>
      <c r="E195" s="9" t="s">
        <v>29</v>
      </c>
      <c r="F195" s="8">
        <v>0.0</v>
      </c>
      <c r="H195" s="8">
        <v>150.0</v>
      </c>
      <c r="I195" s="8">
        <v>0.0</v>
      </c>
      <c r="L195" s="15">
        <v>46132.0</v>
      </c>
      <c r="M195" s="15">
        <v>46162.0</v>
      </c>
      <c r="O195" s="8">
        <v>-369.0</v>
      </c>
      <c r="P195" s="8">
        <v>399.0</v>
      </c>
      <c r="R195" s="8" t="s">
        <v>1408</v>
      </c>
      <c r="S195" s="11" t="s">
        <v>1409</v>
      </c>
      <c r="T195" s="8">
        <v>564.0</v>
      </c>
    </row>
    <row r="196" ht="22.5" customHeight="1">
      <c r="B196" s="9" t="s">
        <v>500</v>
      </c>
      <c r="C196" s="8" t="s">
        <v>136</v>
      </c>
      <c r="D196" s="8" t="s">
        <v>1410</v>
      </c>
      <c r="E196" s="9" t="s">
        <v>29</v>
      </c>
      <c r="F196" s="8">
        <v>2.0</v>
      </c>
      <c r="H196" s="8">
        <v>200.0</v>
      </c>
      <c r="I196" s="8">
        <v>400.0</v>
      </c>
      <c r="J196" s="8">
        <v>9117.29</v>
      </c>
      <c r="K196" s="8">
        <v>0.0</v>
      </c>
      <c r="L196" s="15">
        <v>46132.0</v>
      </c>
      <c r="M196" s="15">
        <v>46162.0</v>
      </c>
      <c r="N196" s="8">
        <v>1.0</v>
      </c>
      <c r="O196" s="8">
        <v>-369.0</v>
      </c>
      <c r="P196" s="8">
        <v>399.0</v>
      </c>
      <c r="Q196" s="17">
        <v>46141.0</v>
      </c>
      <c r="R196" s="8" t="s">
        <v>1411</v>
      </c>
      <c r="S196" s="11" t="s">
        <v>1412</v>
      </c>
      <c r="T196" s="8">
        <v>565.0</v>
      </c>
    </row>
    <row r="197" ht="22.5" customHeight="1">
      <c r="B197" s="9" t="s">
        <v>509</v>
      </c>
      <c r="C197" s="8" t="s">
        <v>795</v>
      </c>
      <c r="D197" s="8" t="s">
        <v>1413</v>
      </c>
      <c r="E197" s="9" t="s">
        <v>38</v>
      </c>
      <c r="F197" s="8">
        <v>3.0</v>
      </c>
      <c r="H197" s="8">
        <v>4000.0</v>
      </c>
      <c r="I197" s="8">
        <v>12000.0</v>
      </c>
      <c r="L197" s="15">
        <v>46140.0</v>
      </c>
      <c r="M197" s="15">
        <v>46170.0</v>
      </c>
      <c r="O197" s="8">
        <v>-361.0</v>
      </c>
      <c r="P197" s="8">
        <v>391.0</v>
      </c>
      <c r="R197" s="8" t="s">
        <v>1414</v>
      </c>
      <c r="S197" s="11" t="s">
        <v>1415</v>
      </c>
      <c r="T197" s="8">
        <v>566.0</v>
      </c>
    </row>
    <row r="198" ht="22.5" customHeight="1">
      <c r="B198" s="9" t="s">
        <v>505</v>
      </c>
      <c r="C198" s="8" t="s">
        <v>795</v>
      </c>
      <c r="D198" s="8" t="s">
        <v>1416</v>
      </c>
      <c r="E198" s="9" t="s">
        <v>59</v>
      </c>
      <c r="F198" s="8" t="s">
        <v>1417</v>
      </c>
      <c r="H198" s="8">
        <v>15.0</v>
      </c>
      <c r="I198" s="8">
        <v>300.0</v>
      </c>
      <c r="L198" s="15">
        <v>46142.0</v>
      </c>
      <c r="M198" s="15">
        <v>46172.0</v>
      </c>
      <c r="O198" s="8">
        <v>-359.0</v>
      </c>
      <c r="P198" s="8">
        <v>389.0</v>
      </c>
      <c r="R198" s="8" t="s">
        <v>1418</v>
      </c>
      <c r="S198" s="11" t="s">
        <v>1419</v>
      </c>
      <c r="T198" s="8">
        <v>567.0</v>
      </c>
    </row>
    <row r="199" ht="22.5" customHeight="1">
      <c r="B199" s="9" t="s">
        <v>494</v>
      </c>
      <c r="C199" s="8" t="s">
        <v>803</v>
      </c>
      <c r="D199" s="8" t="s">
        <v>1341</v>
      </c>
      <c r="E199" s="9" t="s">
        <v>29</v>
      </c>
      <c r="F199" s="8">
        <v>1.0</v>
      </c>
      <c r="H199" s="8">
        <v>250.0</v>
      </c>
      <c r="I199" s="8">
        <v>250.0</v>
      </c>
      <c r="R199" s="8" t="s">
        <v>1420</v>
      </c>
      <c r="T199" s="8">
        <v>568.0</v>
      </c>
    </row>
    <row r="200" ht="22.5" customHeight="1">
      <c r="B200" s="9" t="s">
        <v>523</v>
      </c>
      <c r="C200" s="8" t="s">
        <v>803</v>
      </c>
      <c r="D200" s="8" t="s">
        <v>1377</v>
      </c>
      <c r="E200" s="9" t="s">
        <v>29</v>
      </c>
      <c r="F200" s="8">
        <v>1.0</v>
      </c>
      <c r="H200" s="8">
        <v>150.0</v>
      </c>
      <c r="I200" s="8">
        <v>150.0</v>
      </c>
      <c r="T200" s="8">
        <v>569.0</v>
      </c>
    </row>
    <row r="201" ht="22.5" customHeight="1">
      <c r="B201" s="9" t="s">
        <v>426</v>
      </c>
      <c r="C201" s="8" t="s">
        <v>794</v>
      </c>
      <c r="D201" s="8" t="s">
        <v>1379</v>
      </c>
      <c r="E201" s="9" t="s">
        <v>38</v>
      </c>
      <c r="F201" s="8">
        <v>3.0</v>
      </c>
      <c r="H201" s="8">
        <v>5000.0</v>
      </c>
      <c r="I201" s="8">
        <v>15000.0</v>
      </c>
      <c r="R201" s="8" t="s">
        <v>1421</v>
      </c>
      <c r="T201" s="8">
        <v>570.0</v>
      </c>
    </row>
    <row r="202" ht="22.5" customHeight="1">
      <c r="B202" s="9" t="s">
        <v>512</v>
      </c>
      <c r="C202" s="8" t="s">
        <v>803</v>
      </c>
      <c r="D202" s="8" t="s">
        <v>1422</v>
      </c>
      <c r="E202" s="9" t="s">
        <v>38</v>
      </c>
      <c r="F202" s="8">
        <v>1.0</v>
      </c>
      <c r="G202" s="16">
        <v>0.25</v>
      </c>
      <c r="H202" s="8">
        <v>4000.0</v>
      </c>
      <c r="I202" s="8">
        <v>3000.0</v>
      </c>
      <c r="L202" s="15">
        <v>46140.0</v>
      </c>
      <c r="M202" s="15">
        <v>46170.0</v>
      </c>
      <c r="O202" s="8">
        <v>-361.0</v>
      </c>
      <c r="P202" s="8">
        <v>391.0</v>
      </c>
      <c r="Q202" s="17">
        <v>46158.0</v>
      </c>
      <c r="R202" s="8" t="s">
        <v>1423</v>
      </c>
      <c r="S202" s="11" t="s">
        <v>1424</v>
      </c>
      <c r="T202" s="8">
        <v>571.0</v>
      </c>
    </row>
    <row r="203" ht="22.5" customHeight="1">
      <c r="A203" s="8" t="s">
        <v>1425</v>
      </c>
      <c r="B203" s="9" t="s">
        <v>447</v>
      </c>
      <c r="C203" s="8" t="s">
        <v>794</v>
      </c>
      <c r="D203" s="8" t="s">
        <v>1372</v>
      </c>
      <c r="E203" s="9" t="s">
        <v>29</v>
      </c>
      <c r="F203" s="8">
        <v>5.0</v>
      </c>
      <c r="G203" s="16">
        <v>0.34</v>
      </c>
      <c r="H203" s="8">
        <v>100.0</v>
      </c>
      <c r="I203" s="8">
        <v>500.0</v>
      </c>
      <c r="L203" s="15">
        <v>46085.0</v>
      </c>
      <c r="M203" s="15">
        <v>46116.0</v>
      </c>
      <c r="O203" s="8">
        <v>-415.0</v>
      </c>
      <c r="P203" s="8">
        <v>445.0</v>
      </c>
      <c r="R203" s="8" t="s">
        <v>1426</v>
      </c>
      <c r="T203" s="8">
        <v>537.0</v>
      </c>
    </row>
    <row r="204" ht="22.5" customHeight="1">
      <c r="A204" s="8" t="s">
        <v>1427</v>
      </c>
      <c r="B204" s="9" t="s">
        <v>400</v>
      </c>
      <c r="C204" s="8" t="s">
        <v>136</v>
      </c>
      <c r="D204" s="8" t="s">
        <v>1375</v>
      </c>
      <c r="E204" s="9" t="s">
        <v>59</v>
      </c>
      <c r="F204" s="8" t="s">
        <v>1001</v>
      </c>
      <c r="H204" s="8">
        <v>12.0</v>
      </c>
      <c r="I204" s="8">
        <v>48.0</v>
      </c>
      <c r="J204" s="8">
        <v>5377.04</v>
      </c>
      <c r="K204" s="8">
        <v>5377.04</v>
      </c>
      <c r="L204" s="15">
        <v>46086.0</v>
      </c>
      <c r="M204" s="15">
        <v>46117.0</v>
      </c>
      <c r="N204" s="8">
        <v>0.0</v>
      </c>
      <c r="O204" s="8">
        <v>-414.0</v>
      </c>
      <c r="P204" s="8">
        <v>444.0</v>
      </c>
      <c r="R204" s="8" t="s">
        <v>1428</v>
      </c>
      <c r="S204" s="11" t="s">
        <v>1429</v>
      </c>
      <c r="T204" s="8">
        <v>538.0</v>
      </c>
    </row>
    <row r="205" ht="22.5" customHeight="1">
      <c r="B205" s="9" t="s">
        <v>224</v>
      </c>
      <c r="C205" s="8" t="s">
        <v>794</v>
      </c>
      <c r="D205" s="8" t="s">
        <v>1430</v>
      </c>
      <c r="E205" s="9" t="s">
        <v>29</v>
      </c>
      <c r="F205" s="8">
        <v>1.0</v>
      </c>
      <c r="H205" s="8">
        <v>150.0</v>
      </c>
      <c r="I205" s="8">
        <v>150.0</v>
      </c>
      <c r="L205" s="15">
        <v>46083.0</v>
      </c>
      <c r="M205" s="15">
        <v>46114.0</v>
      </c>
      <c r="O205" s="8">
        <v>-417.0</v>
      </c>
      <c r="P205" s="8">
        <v>447.0</v>
      </c>
      <c r="R205" s="8" t="s">
        <v>1431</v>
      </c>
      <c r="T205" s="8">
        <v>539.0</v>
      </c>
    </row>
    <row r="206" ht="22.5" customHeight="1">
      <c r="B206" s="9" t="s">
        <v>371</v>
      </c>
      <c r="C206" s="8" t="s">
        <v>136</v>
      </c>
      <c r="D206" s="8" t="s">
        <v>1432</v>
      </c>
      <c r="E206" s="8" t="s">
        <v>59</v>
      </c>
      <c r="F206" s="8" t="s">
        <v>1148</v>
      </c>
      <c r="H206" s="8">
        <v>15.0</v>
      </c>
      <c r="I206" s="8">
        <v>30.0</v>
      </c>
      <c r="J206" s="8">
        <v>3316.36</v>
      </c>
      <c r="K206" s="8">
        <v>0.0</v>
      </c>
      <c r="L206" s="15">
        <v>46105.0</v>
      </c>
      <c r="M206" s="15">
        <v>46108.0</v>
      </c>
      <c r="N206" s="8">
        <v>1.0</v>
      </c>
      <c r="O206" s="8">
        <v>-423.0</v>
      </c>
      <c r="P206" s="8">
        <v>453.0</v>
      </c>
      <c r="Q206" s="17">
        <v>46121.0</v>
      </c>
      <c r="R206" s="8" t="s">
        <v>1433</v>
      </c>
      <c r="S206" s="11" t="s">
        <v>1434</v>
      </c>
      <c r="T206" s="8">
        <v>540.0</v>
      </c>
    </row>
    <row r="207" ht="22.5" customHeight="1">
      <c r="A207" s="8" t="s">
        <v>1435</v>
      </c>
      <c r="B207" s="9" t="s">
        <v>359</v>
      </c>
      <c r="C207" s="8" t="s">
        <v>136</v>
      </c>
      <c r="D207" s="8" t="s">
        <v>1294</v>
      </c>
      <c r="E207" s="9" t="s">
        <v>38</v>
      </c>
      <c r="F207" s="8">
        <v>3.0</v>
      </c>
      <c r="G207" s="16">
        <v>0.15</v>
      </c>
      <c r="H207" s="8" t="s">
        <v>1295</v>
      </c>
      <c r="I207" s="8">
        <v>21000.0</v>
      </c>
      <c r="J207" s="8">
        <v>21000.0</v>
      </c>
      <c r="K207" s="8">
        <v>0.0</v>
      </c>
      <c r="L207" s="15">
        <v>46099.0</v>
      </c>
      <c r="M207" s="15">
        <v>46130.0</v>
      </c>
      <c r="N207" s="8">
        <v>1.0</v>
      </c>
      <c r="O207" s="8">
        <v>-401.0</v>
      </c>
      <c r="P207" s="8">
        <v>431.0</v>
      </c>
      <c r="Q207" s="17">
        <v>46095.0</v>
      </c>
      <c r="R207" s="8" t="s">
        <v>1436</v>
      </c>
      <c r="S207" s="11" t="s">
        <v>1437</v>
      </c>
      <c r="T207" s="8">
        <v>541.0</v>
      </c>
    </row>
    <row r="208" ht="22.5" customHeight="1">
      <c r="A208" s="8" t="s">
        <v>1438</v>
      </c>
      <c r="B208" s="9" t="s">
        <v>147</v>
      </c>
      <c r="C208" s="8" t="s">
        <v>1227</v>
      </c>
      <c r="D208" s="8" t="s">
        <v>1354</v>
      </c>
      <c r="E208" s="9" t="s">
        <v>59</v>
      </c>
      <c r="F208" s="18">
        <v>46305.0</v>
      </c>
      <c r="H208" s="8">
        <v>15.0</v>
      </c>
      <c r="I208" s="8">
        <v>300.0</v>
      </c>
      <c r="J208" s="8">
        <v>33005.04</v>
      </c>
      <c r="K208" s="8">
        <v>0.0</v>
      </c>
      <c r="L208" s="15">
        <v>46082.0</v>
      </c>
      <c r="M208" s="15">
        <v>46113.0</v>
      </c>
      <c r="N208" s="8">
        <v>1.0</v>
      </c>
      <c r="O208" s="8">
        <v>-418.0</v>
      </c>
      <c r="P208" s="8">
        <v>448.0</v>
      </c>
      <c r="Q208" s="17">
        <v>46096.0</v>
      </c>
      <c r="R208" s="8" t="s">
        <v>1439</v>
      </c>
      <c r="S208" s="11" t="s">
        <v>1440</v>
      </c>
      <c r="T208" s="8">
        <v>542.0</v>
      </c>
    </row>
    <row r="209" ht="22.5" customHeight="1">
      <c r="A209" s="8" t="s">
        <v>1441</v>
      </c>
      <c r="B209" s="9" t="s">
        <v>432</v>
      </c>
      <c r="C209" s="8" t="s">
        <v>794</v>
      </c>
      <c r="D209" s="8" t="s">
        <v>1386</v>
      </c>
      <c r="E209" s="9" t="s">
        <v>50</v>
      </c>
      <c r="F209" s="8">
        <v>0.0</v>
      </c>
      <c r="H209" s="8">
        <v>12.0</v>
      </c>
      <c r="I209" s="8">
        <v>0.0</v>
      </c>
      <c r="L209" s="15">
        <v>46083.0</v>
      </c>
      <c r="M209" s="15">
        <v>46114.0</v>
      </c>
      <c r="O209" s="8">
        <v>-417.0</v>
      </c>
      <c r="P209" s="8">
        <v>447.0</v>
      </c>
      <c r="R209" s="8" t="s">
        <v>1442</v>
      </c>
      <c r="T209" s="8">
        <v>543.0</v>
      </c>
    </row>
    <row r="210" ht="22.5" customHeight="1">
      <c r="B210" s="9" t="s">
        <v>403</v>
      </c>
      <c r="C210" s="8" t="s">
        <v>136</v>
      </c>
      <c r="D210" s="8" t="s">
        <v>1302</v>
      </c>
      <c r="E210" s="9" t="s">
        <v>38</v>
      </c>
      <c r="F210" s="8">
        <v>4.0</v>
      </c>
      <c r="H210" s="8" t="s">
        <v>1295</v>
      </c>
      <c r="I210" s="8">
        <v>27000.0</v>
      </c>
      <c r="J210" s="8">
        <v>27000.0</v>
      </c>
      <c r="K210" s="8">
        <v>0.0</v>
      </c>
      <c r="L210" s="15">
        <v>46090.0</v>
      </c>
      <c r="M210" s="15">
        <v>46121.0</v>
      </c>
      <c r="N210" s="8">
        <v>1.0</v>
      </c>
      <c r="O210" s="8">
        <v>-410.0</v>
      </c>
      <c r="P210" s="8">
        <v>440.0</v>
      </c>
      <c r="Q210" s="17">
        <v>46121.0</v>
      </c>
      <c r="R210" s="8" t="s">
        <v>1443</v>
      </c>
      <c r="S210" s="11" t="s">
        <v>1444</v>
      </c>
      <c r="T210" s="8">
        <v>544.0</v>
      </c>
    </row>
    <row r="211" ht="22.5" customHeight="1">
      <c r="A211" s="8" t="s">
        <v>108</v>
      </c>
      <c r="B211" s="9" t="s">
        <v>153</v>
      </c>
      <c r="C211" s="8" t="s">
        <v>794</v>
      </c>
      <c r="D211" s="8" t="s">
        <v>1391</v>
      </c>
      <c r="E211" s="9" t="s">
        <v>109</v>
      </c>
      <c r="F211" s="8">
        <v>0.0</v>
      </c>
      <c r="H211" s="8">
        <v>25.0</v>
      </c>
      <c r="I211" s="8">
        <v>0.0</v>
      </c>
      <c r="L211" s="15">
        <v>46089.0</v>
      </c>
      <c r="M211" s="15">
        <v>46120.0</v>
      </c>
      <c r="O211" s="8">
        <v>-411.0</v>
      </c>
      <c r="P211" s="8">
        <v>441.0</v>
      </c>
      <c r="R211" s="8" t="s">
        <v>1445</v>
      </c>
      <c r="T211" s="8">
        <v>545.0</v>
      </c>
    </row>
    <row r="212" ht="22.5" customHeight="1">
      <c r="A212" s="8" t="s">
        <v>927</v>
      </c>
      <c r="B212" s="9" t="s">
        <v>453</v>
      </c>
      <c r="C212" s="8" t="s">
        <v>136</v>
      </c>
      <c r="D212" s="8" t="s">
        <v>1395</v>
      </c>
      <c r="E212" s="9" t="s">
        <v>59</v>
      </c>
      <c r="F212" s="8" t="s">
        <v>1446</v>
      </c>
      <c r="H212" s="8">
        <v>10.0</v>
      </c>
      <c r="I212" s="8">
        <v>36.7</v>
      </c>
      <c r="J212" s="8">
        <v>4079.48</v>
      </c>
      <c r="K212" s="8">
        <v>0.0</v>
      </c>
      <c r="L212" s="15">
        <v>46103.0</v>
      </c>
      <c r="M212" s="15">
        <v>46134.0</v>
      </c>
      <c r="N212" s="8">
        <v>1.0</v>
      </c>
      <c r="O212" s="8">
        <v>-397.0</v>
      </c>
      <c r="P212" s="8">
        <v>427.0</v>
      </c>
      <c r="Q212" s="17">
        <v>46095.0</v>
      </c>
      <c r="R212" s="8" t="s">
        <v>1447</v>
      </c>
      <c r="S212" s="11" t="s">
        <v>1448</v>
      </c>
      <c r="T212" s="8">
        <v>546.0</v>
      </c>
    </row>
    <row r="213" ht="22.5" customHeight="1">
      <c r="A213" s="8" t="s">
        <v>1449</v>
      </c>
      <c r="B213" s="9" t="s">
        <v>456</v>
      </c>
      <c r="C213" s="8" t="s">
        <v>794</v>
      </c>
      <c r="D213" s="8" t="s">
        <v>67</v>
      </c>
      <c r="E213" s="9" t="s">
        <v>59</v>
      </c>
      <c r="F213" s="8">
        <v>1.0</v>
      </c>
      <c r="H213" s="8">
        <v>75.0</v>
      </c>
      <c r="I213" s="8">
        <v>75.0</v>
      </c>
      <c r="L213" s="15">
        <v>46091.0</v>
      </c>
      <c r="M213" s="15">
        <v>46122.0</v>
      </c>
      <c r="O213" s="8">
        <v>-409.0</v>
      </c>
      <c r="P213" s="8">
        <v>439.0</v>
      </c>
      <c r="R213" s="8" t="s">
        <v>1450</v>
      </c>
      <c r="S213" s="11" t="s">
        <v>1451</v>
      </c>
      <c r="T213" s="8">
        <v>547.0</v>
      </c>
    </row>
    <row r="214" ht="22.5" customHeight="1">
      <c r="B214" s="9" t="s">
        <v>148</v>
      </c>
      <c r="C214" s="8" t="s">
        <v>136</v>
      </c>
      <c r="D214" s="8" t="s">
        <v>1452</v>
      </c>
      <c r="E214" s="9" t="s">
        <v>59</v>
      </c>
      <c r="F214" s="8" t="s">
        <v>1262</v>
      </c>
      <c r="H214" s="8">
        <v>15.0</v>
      </c>
      <c r="I214" s="8">
        <v>120.0</v>
      </c>
      <c r="J214" s="8">
        <v>13292.78</v>
      </c>
      <c r="K214" s="8">
        <v>0.0</v>
      </c>
      <c r="L214" s="15">
        <v>46106.0</v>
      </c>
      <c r="M214" s="15">
        <v>46137.0</v>
      </c>
      <c r="N214" s="8">
        <v>1.0</v>
      </c>
      <c r="O214" s="8">
        <v>-394.0</v>
      </c>
      <c r="P214" s="8">
        <v>424.0</v>
      </c>
      <c r="Q214" s="17">
        <v>46119.0</v>
      </c>
      <c r="R214" s="8" t="s">
        <v>1453</v>
      </c>
      <c r="S214" s="11" t="s">
        <v>1454</v>
      </c>
      <c r="T214" s="8">
        <v>548.0</v>
      </c>
    </row>
    <row r="215" ht="22.5" customHeight="1">
      <c r="B215" s="8" t="s">
        <v>484</v>
      </c>
      <c r="C215" s="8" t="s">
        <v>795</v>
      </c>
      <c r="D215" s="8" t="s">
        <v>1400</v>
      </c>
      <c r="E215" s="8" t="s">
        <v>1401</v>
      </c>
      <c r="F215" s="8">
        <v>8.0</v>
      </c>
      <c r="H215" s="8">
        <v>15.0</v>
      </c>
      <c r="I215" s="8">
        <v>120.0</v>
      </c>
      <c r="L215" s="15">
        <v>46084.0</v>
      </c>
      <c r="M215" s="15">
        <v>46115.0</v>
      </c>
      <c r="O215" s="8">
        <v>-416.0</v>
      </c>
      <c r="P215" s="8">
        <v>446.0</v>
      </c>
      <c r="R215" s="8" t="e">
        <v>#N/A</v>
      </c>
      <c r="S215" s="11" t="s">
        <v>1455</v>
      </c>
      <c r="T215" s="8">
        <v>549.0</v>
      </c>
    </row>
    <row r="216" ht="22.5" customHeight="1">
      <c r="A216" s="8" t="s">
        <v>1425</v>
      </c>
      <c r="B216" s="9" t="s">
        <v>447</v>
      </c>
      <c r="C216" s="8" t="s">
        <v>794</v>
      </c>
      <c r="D216" s="8" t="s">
        <v>1372</v>
      </c>
      <c r="E216" s="9" t="s">
        <v>29</v>
      </c>
      <c r="F216" s="8">
        <v>5.5</v>
      </c>
      <c r="G216" s="16">
        <v>0.34</v>
      </c>
      <c r="H216" s="8">
        <v>100.0</v>
      </c>
      <c r="I216" s="8">
        <v>363.0</v>
      </c>
      <c r="L216" s="15">
        <v>46057.0</v>
      </c>
      <c r="M216" s="15">
        <v>46085.0</v>
      </c>
      <c r="O216" s="8">
        <v>-446.0</v>
      </c>
      <c r="P216" s="8">
        <v>476.0</v>
      </c>
      <c r="R216" s="8" t="s">
        <v>1456</v>
      </c>
      <c r="T216" s="8">
        <v>525.0</v>
      </c>
    </row>
    <row r="217" ht="22.5" customHeight="1">
      <c r="B217" s="9" t="s">
        <v>400</v>
      </c>
      <c r="C217" s="8" t="s">
        <v>136</v>
      </c>
      <c r="D217" s="8" t="s">
        <v>1375</v>
      </c>
      <c r="E217" s="9" t="s">
        <v>59</v>
      </c>
      <c r="F217" s="8">
        <v>1.0</v>
      </c>
      <c r="H217" s="8">
        <v>12.0</v>
      </c>
      <c r="I217" s="8">
        <v>12.0</v>
      </c>
      <c r="J217" s="8">
        <v>1310.25</v>
      </c>
      <c r="K217" s="8">
        <v>0.0</v>
      </c>
      <c r="L217" s="15">
        <v>46058.0</v>
      </c>
      <c r="M217" s="15">
        <v>46086.0</v>
      </c>
      <c r="N217" s="8">
        <v>1.0</v>
      </c>
      <c r="O217" s="8">
        <v>-445.0</v>
      </c>
      <c r="P217" s="8">
        <v>475.0</v>
      </c>
      <c r="R217" s="8" t="s">
        <v>1457</v>
      </c>
      <c r="S217" s="11" t="s">
        <v>1458</v>
      </c>
      <c r="T217" s="8">
        <v>526.0</v>
      </c>
    </row>
    <row r="218" ht="22.5" customHeight="1">
      <c r="A218" s="8" t="s">
        <v>1441</v>
      </c>
      <c r="B218" s="9" t="s">
        <v>224</v>
      </c>
      <c r="C218" s="8" t="s">
        <v>794</v>
      </c>
      <c r="D218" s="8" t="s">
        <v>1430</v>
      </c>
      <c r="E218" s="9" t="s">
        <v>29</v>
      </c>
      <c r="F218" s="8">
        <v>1.0</v>
      </c>
      <c r="H218" s="8">
        <v>150.0</v>
      </c>
      <c r="I218" s="8">
        <v>150.0</v>
      </c>
      <c r="L218" s="15">
        <v>46055.0</v>
      </c>
      <c r="M218" s="15">
        <v>46083.0</v>
      </c>
      <c r="O218" s="8">
        <v>-448.0</v>
      </c>
      <c r="P218" s="8">
        <v>478.0</v>
      </c>
      <c r="R218" s="8" t="s">
        <v>1459</v>
      </c>
      <c r="T218" s="8">
        <v>527.0</v>
      </c>
    </row>
    <row r="219" ht="22.5" customHeight="1">
      <c r="A219" s="8" t="s">
        <v>1441</v>
      </c>
      <c r="B219" s="9" t="s">
        <v>412</v>
      </c>
      <c r="C219" s="8" t="s">
        <v>795</v>
      </c>
      <c r="D219" s="8" t="s">
        <v>1460</v>
      </c>
      <c r="E219" s="9" t="s">
        <v>38</v>
      </c>
      <c r="F219" s="8">
        <v>3.0</v>
      </c>
      <c r="G219" s="16">
        <v>0.66</v>
      </c>
      <c r="H219" s="8">
        <v>1000.0</v>
      </c>
      <c r="I219" s="8">
        <v>1020.0</v>
      </c>
      <c r="L219" s="15">
        <v>46059.0</v>
      </c>
      <c r="M219" s="15">
        <v>46087.0</v>
      </c>
      <c r="O219" s="8">
        <v>-444.0</v>
      </c>
      <c r="P219" s="8">
        <v>474.0</v>
      </c>
      <c r="R219" s="8" t="s">
        <v>1461</v>
      </c>
      <c r="T219" s="8">
        <v>528.0</v>
      </c>
    </row>
    <row r="220" ht="22.5" customHeight="1">
      <c r="B220" s="9" t="s">
        <v>371</v>
      </c>
      <c r="C220" s="8" t="s">
        <v>136</v>
      </c>
      <c r="D220" s="8" t="s">
        <v>1256</v>
      </c>
      <c r="E220" s="9" t="s">
        <v>38</v>
      </c>
      <c r="F220" s="8">
        <v>3.0</v>
      </c>
      <c r="H220" s="8">
        <v>3000.0</v>
      </c>
      <c r="I220" s="8">
        <v>9000.0</v>
      </c>
      <c r="J220" s="8">
        <v>9000.0</v>
      </c>
      <c r="K220" s="8">
        <v>0.0</v>
      </c>
      <c r="L220" s="15">
        <v>46056.0</v>
      </c>
      <c r="M220" s="15">
        <v>46084.0</v>
      </c>
      <c r="N220" s="8">
        <v>1.0</v>
      </c>
      <c r="O220" s="8">
        <v>-447.0</v>
      </c>
      <c r="P220" s="8">
        <v>477.0</v>
      </c>
      <c r="Q220" s="17">
        <v>46095.0</v>
      </c>
      <c r="R220" s="8" t="s">
        <v>1462</v>
      </c>
      <c r="S220" s="11" t="s">
        <v>1463</v>
      </c>
      <c r="T220" s="8">
        <v>529.0</v>
      </c>
    </row>
    <row r="221" ht="22.5" customHeight="1">
      <c r="A221" s="8" t="s">
        <v>1435</v>
      </c>
      <c r="B221" s="9" t="s">
        <v>359</v>
      </c>
      <c r="C221" s="8" t="s">
        <v>136</v>
      </c>
      <c r="D221" s="8" t="s">
        <v>1294</v>
      </c>
      <c r="E221" s="9" t="s">
        <v>38</v>
      </c>
      <c r="F221" s="8">
        <v>3.0</v>
      </c>
      <c r="G221" s="16">
        <v>0.15</v>
      </c>
      <c r="H221" s="8" t="s">
        <v>1295</v>
      </c>
      <c r="I221" s="8">
        <v>21000.0</v>
      </c>
      <c r="J221" s="8">
        <v>21000.0</v>
      </c>
      <c r="K221" s="8">
        <v>0.0</v>
      </c>
      <c r="L221" s="15">
        <v>46071.0</v>
      </c>
      <c r="M221" s="15">
        <v>46099.0</v>
      </c>
      <c r="N221" s="8">
        <v>1.0</v>
      </c>
      <c r="O221" s="8">
        <v>-432.0</v>
      </c>
      <c r="P221" s="8">
        <v>462.0</v>
      </c>
      <c r="Q221" s="17">
        <v>46092.0</v>
      </c>
      <c r="R221" s="8" t="s">
        <v>1464</v>
      </c>
      <c r="S221" s="11" t="s">
        <v>1465</v>
      </c>
      <c r="T221" s="8">
        <v>530.0</v>
      </c>
    </row>
    <row r="222" ht="22.5" customHeight="1">
      <c r="A222" s="8" t="s">
        <v>1438</v>
      </c>
      <c r="B222" s="9" t="s">
        <v>147</v>
      </c>
      <c r="C222" s="8" t="s">
        <v>1466</v>
      </c>
      <c r="D222" s="8" t="s">
        <v>1354</v>
      </c>
      <c r="E222" s="9" t="s">
        <v>59</v>
      </c>
      <c r="F222" s="8" t="s">
        <v>1467</v>
      </c>
      <c r="H222" s="8">
        <v>15.0</v>
      </c>
      <c r="I222" s="8">
        <v>255.0</v>
      </c>
      <c r="J222" s="8">
        <v>27369.3</v>
      </c>
      <c r="K222" s="8">
        <v>0.0</v>
      </c>
      <c r="L222" s="15">
        <v>46054.0</v>
      </c>
      <c r="M222" s="15">
        <v>46082.0</v>
      </c>
      <c r="N222" s="8">
        <v>1.0</v>
      </c>
      <c r="O222" s="8">
        <v>-449.0</v>
      </c>
      <c r="P222" s="8">
        <v>479.0</v>
      </c>
      <c r="Q222" s="17">
        <v>46091.0</v>
      </c>
      <c r="R222" s="8" t="s">
        <v>1468</v>
      </c>
      <c r="S222" s="11" t="s">
        <v>1469</v>
      </c>
      <c r="T222" s="8">
        <v>531.0</v>
      </c>
    </row>
    <row r="223" ht="22.5" customHeight="1">
      <c r="A223" s="8" t="s">
        <v>1441</v>
      </c>
      <c r="B223" s="9" t="s">
        <v>432</v>
      </c>
      <c r="C223" s="8" t="s">
        <v>794</v>
      </c>
      <c r="D223" s="8" t="s">
        <v>1386</v>
      </c>
      <c r="E223" s="9" t="s">
        <v>50</v>
      </c>
      <c r="F223" s="8">
        <v>0.0</v>
      </c>
      <c r="H223" s="8">
        <v>12.0</v>
      </c>
      <c r="I223" s="8">
        <v>0.0</v>
      </c>
      <c r="L223" s="15">
        <v>46055.0</v>
      </c>
      <c r="M223" s="15">
        <v>46083.0</v>
      </c>
      <c r="O223" s="8">
        <v>-448.0</v>
      </c>
      <c r="P223" s="8">
        <v>478.0</v>
      </c>
      <c r="R223" s="8" t="s">
        <v>1470</v>
      </c>
      <c r="T223" s="8">
        <v>532.0</v>
      </c>
    </row>
    <row r="224" ht="22.5" customHeight="1">
      <c r="B224" s="9" t="s">
        <v>403</v>
      </c>
      <c r="C224" s="8" t="s">
        <v>136</v>
      </c>
      <c r="D224" s="8" t="s">
        <v>1302</v>
      </c>
      <c r="E224" s="9" t="s">
        <v>38</v>
      </c>
      <c r="F224" s="8">
        <v>4.0</v>
      </c>
      <c r="H224" s="8" t="s">
        <v>1295</v>
      </c>
      <c r="I224" s="8">
        <v>27000.0</v>
      </c>
      <c r="J224" s="8">
        <v>27000.0</v>
      </c>
      <c r="K224" s="8">
        <v>0.0</v>
      </c>
      <c r="L224" s="15">
        <v>46062.0</v>
      </c>
      <c r="M224" s="15">
        <v>46090.0</v>
      </c>
      <c r="N224" s="8">
        <v>1.0</v>
      </c>
      <c r="O224" s="8">
        <v>-441.0</v>
      </c>
      <c r="P224" s="8">
        <v>471.0</v>
      </c>
      <c r="Q224" s="17">
        <v>46098.0</v>
      </c>
      <c r="R224" s="8" t="s">
        <v>1471</v>
      </c>
      <c r="S224" s="11" t="s">
        <v>1472</v>
      </c>
      <c r="T224" s="8">
        <v>533.0</v>
      </c>
    </row>
    <row r="225" ht="22.5" customHeight="1">
      <c r="A225" s="8" t="s">
        <v>108</v>
      </c>
      <c r="B225" s="9" t="s">
        <v>153</v>
      </c>
      <c r="C225" s="8" t="s">
        <v>794</v>
      </c>
      <c r="D225" s="8" t="s">
        <v>1391</v>
      </c>
      <c r="E225" s="9" t="s">
        <v>109</v>
      </c>
      <c r="F225" s="8">
        <v>0.0</v>
      </c>
      <c r="H225" s="8">
        <v>25.0</v>
      </c>
      <c r="I225" s="8">
        <v>0.0</v>
      </c>
      <c r="L225" s="15">
        <v>46061.0</v>
      </c>
      <c r="M225" s="15">
        <v>46089.0</v>
      </c>
      <c r="O225" s="8">
        <v>-442.0</v>
      </c>
      <c r="P225" s="8">
        <v>472.0</v>
      </c>
      <c r="R225" s="8" t="s">
        <v>1473</v>
      </c>
      <c r="T225" s="8">
        <v>534.0</v>
      </c>
    </row>
    <row r="226" ht="22.5" customHeight="1">
      <c r="A226" s="8" t="s">
        <v>927</v>
      </c>
      <c r="B226" s="9" t="s">
        <v>453</v>
      </c>
      <c r="C226" s="8" t="s">
        <v>136</v>
      </c>
      <c r="D226" s="8" t="s">
        <v>1395</v>
      </c>
      <c r="E226" s="9" t="s">
        <v>59</v>
      </c>
      <c r="F226" s="8" t="s">
        <v>1474</v>
      </c>
      <c r="H226" s="8">
        <v>10.0</v>
      </c>
      <c r="I226" s="8">
        <v>71.7</v>
      </c>
      <c r="J226" s="8">
        <v>7835.73</v>
      </c>
      <c r="K226" s="8">
        <v>0.0</v>
      </c>
      <c r="L226" s="15">
        <v>46075.0</v>
      </c>
      <c r="M226" s="15">
        <v>46103.0</v>
      </c>
      <c r="N226" s="8">
        <v>1.0</v>
      </c>
      <c r="O226" s="8">
        <v>-428.0</v>
      </c>
      <c r="P226" s="8">
        <v>458.0</v>
      </c>
      <c r="Q226" s="17">
        <v>46095.0</v>
      </c>
      <c r="R226" s="8" t="s">
        <v>1475</v>
      </c>
      <c r="S226" s="11" t="s">
        <v>1476</v>
      </c>
      <c r="T226" s="8">
        <v>535.0</v>
      </c>
    </row>
    <row r="227" ht="22.5" customHeight="1">
      <c r="A227" s="8" t="s">
        <v>1477</v>
      </c>
      <c r="B227" s="9" t="s">
        <v>456</v>
      </c>
      <c r="C227" s="8" t="s">
        <v>136</v>
      </c>
      <c r="D227" s="8" t="s">
        <v>67</v>
      </c>
      <c r="E227" s="9" t="s">
        <v>59</v>
      </c>
      <c r="F227" s="8">
        <v>1.0</v>
      </c>
      <c r="H227" s="8">
        <v>75.0</v>
      </c>
      <c r="I227" s="8">
        <v>75.0</v>
      </c>
      <c r="L227" s="15">
        <v>46063.0</v>
      </c>
      <c r="M227" s="15">
        <v>46091.0</v>
      </c>
      <c r="O227" s="8">
        <v>-440.0</v>
      </c>
      <c r="P227" s="8">
        <v>470.0</v>
      </c>
      <c r="S227" s="11" t="s">
        <v>1478</v>
      </c>
      <c r="T227" s="8">
        <v>536.0</v>
      </c>
    </row>
    <row r="228" ht="22.5" customHeight="1">
      <c r="A228" s="8" t="s">
        <v>1479</v>
      </c>
      <c r="B228" s="9" t="s">
        <v>1480</v>
      </c>
      <c r="C228" s="8" t="s">
        <v>136</v>
      </c>
      <c r="D228" s="8" t="s">
        <v>1481</v>
      </c>
      <c r="E228" s="8" t="s">
        <v>38</v>
      </c>
      <c r="F228" s="8" t="s">
        <v>1482</v>
      </c>
      <c r="H228" s="8">
        <v>3000.0</v>
      </c>
      <c r="I228" s="8">
        <v>375.0</v>
      </c>
      <c r="J228" s="8">
        <v>375.0</v>
      </c>
      <c r="K228" s="8">
        <v>375.0</v>
      </c>
      <c r="L228" s="15">
        <v>46033.0</v>
      </c>
      <c r="M228" s="15">
        <v>46064.0</v>
      </c>
      <c r="N228" s="8">
        <v>0.0</v>
      </c>
      <c r="O228" s="8">
        <v>-467.0</v>
      </c>
      <c r="P228" s="8">
        <v>497.0</v>
      </c>
      <c r="R228" s="8" t="s">
        <v>1483</v>
      </c>
      <c r="S228" s="11" t="s">
        <v>1484</v>
      </c>
      <c r="T228" s="8">
        <v>507.0</v>
      </c>
    </row>
    <row r="229" ht="22.5" customHeight="1">
      <c r="A229" s="8" t="s">
        <v>1425</v>
      </c>
      <c r="B229" s="9" t="s">
        <v>447</v>
      </c>
      <c r="C229" s="8" t="s">
        <v>136</v>
      </c>
      <c r="D229" s="8" t="s">
        <v>1485</v>
      </c>
      <c r="E229" s="9" t="s">
        <v>29</v>
      </c>
      <c r="F229" s="8">
        <v>5.0</v>
      </c>
      <c r="G229" s="16">
        <v>0.3</v>
      </c>
      <c r="H229" s="8">
        <v>100.0</v>
      </c>
      <c r="I229" s="8">
        <v>500.0</v>
      </c>
      <c r="J229" s="8">
        <v>11000.0</v>
      </c>
      <c r="K229" s="8">
        <v>11000.0</v>
      </c>
      <c r="L229" s="15">
        <v>46026.0</v>
      </c>
      <c r="M229" s="15">
        <v>46057.0</v>
      </c>
      <c r="N229" s="8">
        <v>0.0</v>
      </c>
      <c r="O229" s="8">
        <v>-474.0</v>
      </c>
      <c r="P229" s="8">
        <v>504.0</v>
      </c>
      <c r="R229" s="8" t="s">
        <v>1486</v>
      </c>
      <c r="S229" s="11" t="s">
        <v>1487</v>
      </c>
      <c r="T229" s="8">
        <v>508.0</v>
      </c>
    </row>
    <row r="230" ht="22.5" customHeight="1">
      <c r="B230" s="9" t="s">
        <v>400</v>
      </c>
      <c r="C230" s="8" t="s">
        <v>136</v>
      </c>
      <c r="D230" s="8" t="s">
        <v>1375</v>
      </c>
      <c r="E230" s="9" t="s">
        <v>59</v>
      </c>
      <c r="F230" s="8">
        <v>3.0</v>
      </c>
      <c r="H230" s="8">
        <v>12.0</v>
      </c>
      <c r="I230" s="8">
        <v>36.0</v>
      </c>
      <c r="J230" s="8">
        <v>3835.38</v>
      </c>
      <c r="K230" s="8">
        <v>0.0</v>
      </c>
      <c r="L230" s="15">
        <v>46027.0</v>
      </c>
      <c r="M230" s="15">
        <v>46058.0</v>
      </c>
      <c r="N230" s="8">
        <v>1.0</v>
      </c>
      <c r="O230" s="8">
        <v>-473.0</v>
      </c>
      <c r="P230" s="8">
        <v>503.0</v>
      </c>
      <c r="R230" s="8" t="s">
        <v>1488</v>
      </c>
      <c r="S230" s="11" t="s">
        <v>1489</v>
      </c>
      <c r="T230" s="8">
        <v>509.0</v>
      </c>
    </row>
    <row r="231" ht="22.5" customHeight="1">
      <c r="B231" s="9" t="s">
        <v>224</v>
      </c>
      <c r="C231" s="8" t="s">
        <v>136</v>
      </c>
      <c r="D231" s="8" t="s">
        <v>1430</v>
      </c>
      <c r="E231" s="9" t="s">
        <v>29</v>
      </c>
      <c r="F231" s="8">
        <v>1.0</v>
      </c>
      <c r="H231" s="8">
        <v>150.0</v>
      </c>
      <c r="I231" s="8">
        <v>150.0</v>
      </c>
      <c r="J231" s="8">
        <v>3354.0</v>
      </c>
      <c r="K231" s="8">
        <v>3354.0</v>
      </c>
      <c r="L231" s="15">
        <v>46024.0</v>
      </c>
      <c r="M231" s="15">
        <v>46055.0</v>
      </c>
      <c r="N231" s="8">
        <v>0.0</v>
      </c>
      <c r="O231" s="8">
        <v>-476.0</v>
      </c>
      <c r="P231" s="8">
        <v>506.0</v>
      </c>
      <c r="R231" s="8" t="s">
        <v>1490</v>
      </c>
      <c r="S231" s="11" t="s">
        <v>1491</v>
      </c>
      <c r="T231" s="8">
        <v>510.0</v>
      </c>
    </row>
    <row r="232" ht="22.5" customHeight="1">
      <c r="A232" s="8" t="s">
        <v>1492</v>
      </c>
      <c r="B232" s="9" t="s">
        <v>465</v>
      </c>
      <c r="D232" s="8" t="s">
        <v>1493</v>
      </c>
      <c r="E232" s="9" t="s">
        <v>59</v>
      </c>
      <c r="F232" s="8">
        <v>0.0</v>
      </c>
      <c r="H232" s="8">
        <v>15.0</v>
      </c>
      <c r="I232" s="8">
        <v>240.0</v>
      </c>
      <c r="L232" s="15">
        <v>46041.0</v>
      </c>
      <c r="M232" s="15">
        <v>46072.0</v>
      </c>
      <c r="O232" s="8">
        <v>-459.0</v>
      </c>
      <c r="P232" s="8">
        <v>489.0</v>
      </c>
      <c r="R232" s="8" t="s">
        <v>1494</v>
      </c>
      <c r="T232" s="8">
        <v>511.0</v>
      </c>
    </row>
    <row r="233" ht="22.5" customHeight="1">
      <c r="B233" s="9" t="s">
        <v>412</v>
      </c>
      <c r="C233" s="8" t="s">
        <v>136</v>
      </c>
      <c r="D233" s="8" t="s">
        <v>1460</v>
      </c>
      <c r="E233" s="9" t="s">
        <v>38</v>
      </c>
      <c r="F233" s="8">
        <v>3.0</v>
      </c>
      <c r="H233" s="8">
        <v>1000.0</v>
      </c>
      <c r="I233" s="8">
        <v>3000.0</v>
      </c>
      <c r="J233" s="8">
        <v>3000.0</v>
      </c>
      <c r="K233" s="8">
        <v>3000.0</v>
      </c>
      <c r="L233" s="15">
        <v>46028.0</v>
      </c>
      <c r="M233" s="15">
        <v>46059.0</v>
      </c>
      <c r="N233" s="8">
        <v>0.0</v>
      </c>
      <c r="O233" s="8">
        <v>-472.0</v>
      </c>
      <c r="P233" s="8">
        <v>502.0</v>
      </c>
      <c r="R233" s="8" t="s">
        <v>1495</v>
      </c>
      <c r="S233" s="11" t="s">
        <v>1496</v>
      </c>
      <c r="T233" s="8">
        <v>512.0</v>
      </c>
    </row>
    <row r="234" ht="22.5" customHeight="1">
      <c r="B234" s="9" t="s">
        <v>441</v>
      </c>
      <c r="C234" s="8" t="s">
        <v>136</v>
      </c>
      <c r="D234" s="8" t="s">
        <v>1460</v>
      </c>
      <c r="E234" s="9" t="s">
        <v>38</v>
      </c>
      <c r="F234" s="8">
        <v>3.0</v>
      </c>
      <c r="H234" s="8">
        <v>1000.0</v>
      </c>
      <c r="I234" s="8">
        <v>3000.0</v>
      </c>
      <c r="J234" s="8">
        <v>3000.0</v>
      </c>
      <c r="K234" s="8">
        <v>3000.0</v>
      </c>
      <c r="L234" s="15">
        <v>46046.0</v>
      </c>
      <c r="M234" s="15">
        <v>46077.0</v>
      </c>
      <c r="N234" s="8">
        <v>0.0</v>
      </c>
      <c r="O234" s="8">
        <v>-454.0</v>
      </c>
      <c r="P234" s="8">
        <v>484.0</v>
      </c>
      <c r="R234" s="8" t="s">
        <v>1497</v>
      </c>
      <c r="S234" s="11" t="s">
        <v>1498</v>
      </c>
      <c r="T234" s="8">
        <v>513.0</v>
      </c>
    </row>
    <row r="235" ht="22.5" customHeight="1">
      <c r="A235" s="8" t="s">
        <v>1499</v>
      </c>
      <c r="B235" s="9" t="s">
        <v>377</v>
      </c>
      <c r="D235" s="8" t="s">
        <v>1500</v>
      </c>
      <c r="E235" s="9" t="s">
        <v>38</v>
      </c>
      <c r="F235" s="8">
        <v>2.0</v>
      </c>
      <c r="H235" s="8">
        <v>8000.0</v>
      </c>
      <c r="I235" s="8">
        <v>16000.0</v>
      </c>
      <c r="L235" s="15">
        <v>46030.0</v>
      </c>
      <c r="M235" s="15">
        <v>46061.0</v>
      </c>
      <c r="O235" s="8">
        <v>-470.0</v>
      </c>
      <c r="P235" s="8">
        <v>500.0</v>
      </c>
      <c r="R235" s="8" t="s">
        <v>1501</v>
      </c>
      <c r="T235" s="8">
        <v>514.0</v>
      </c>
    </row>
    <row r="236" ht="22.5" customHeight="1">
      <c r="B236" s="9" t="s">
        <v>371</v>
      </c>
      <c r="C236" s="8" t="s">
        <v>136</v>
      </c>
      <c r="D236" s="8" t="s">
        <v>1256</v>
      </c>
      <c r="E236" s="9" t="s">
        <v>38</v>
      </c>
      <c r="F236" s="8">
        <v>3.0</v>
      </c>
      <c r="H236" s="8">
        <v>3000.0</v>
      </c>
      <c r="I236" s="8">
        <v>9000.0</v>
      </c>
      <c r="J236" s="8">
        <v>9000.0</v>
      </c>
      <c r="K236" s="8">
        <v>0.0</v>
      </c>
      <c r="L236" s="15">
        <v>46025.0</v>
      </c>
      <c r="M236" s="15">
        <v>46056.0</v>
      </c>
      <c r="N236" s="8">
        <v>1.0</v>
      </c>
      <c r="O236" s="8">
        <v>-475.0</v>
      </c>
      <c r="P236" s="8">
        <v>505.0</v>
      </c>
      <c r="R236" s="8" t="s">
        <v>1502</v>
      </c>
      <c r="S236" s="11" t="s">
        <v>1503</v>
      </c>
      <c r="T236" s="8">
        <v>515.0</v>
      </c>
    </row>
    <row r="237" ht="22.5" customHeight="1">
      <c r="A237" s="8" t="s">
        <v>1435</v>
      </c>
      <c r="B237" s="9" t="s">
        <v>359</v>
      </c>
      <c r="C237" s="8" t="s">
        <v>136</v>
      </c>
      <c r="D237" s="8" t="s">
        <v>1294</v>
      </c>
      <c r="E237" s="9" t="s">
        <v>38</v>
      </c>
      <c r="F237" s="8">
        <v>4.0</v>
      </c>
      <c r="H237" s="8">
        <v>6000.0</v>
      </c>
      <c r="I237" s="8">
        <v>24000.0</v>
      </c>
      <c r="J237" s="8">
        <v>24000.0</v>
      </c>
      <c r="K237" s="8">
        <v>0.0</v>
      </c>
      <c r="L237" s="15">
        <v>46040.0</v>
      </c>
      <c r="M237" s="15">
        <v>46071.0</v>
      </c>
      <c r="N237" s="8">
        <v>1.0</v>
      </c>
      <c r="O237" s="8">
        <v>-460.0</v>
      </c>
      <c r="P237" s="8">
        <v>490.0</v>
      </c>
      <c r="R237" s="8" t="s">
        <v>1504</v>
      </c>
      <c r="S237" s="11" t="s">
        <v>1505</v>
      </c>
      <c r="T237" s="8">
        <v>516.0</v>
      </c>
    </row>
    <row r="238" ht="22.5" customHeight="1">
      <c r="A238" s="8" t="s">
        <v>1506</v>
      </c>
      <c r="B238" s="9" t="s">
        <v>365</v>
      </c>
      <c r="C238" s="8" t="s">
        <v>136</v>
      </c>
      <c r="D238" s="8" t="s">
        <v>1507</v>
      </c>
      <c r="E238" s="9" t="s">
        <v>38</v>
      </c>
      <c r="F238" s="8">
        <v>3.0</v>
      </c>
      <c r="H238" s="8">
        <v>5000.0</v>
      </c>
      <c r="I238" s="8">
        <v>15000.0</v>
      </c>
      <c r="J238" s="8">
        <v>7500.0</v>
      </c>
      <c r="K238" s="8">
        <v>0.0</v>
      </c>
      <c r="L238" s="15">
        <v>46029.0</v>
      </c>
      <c r="M238" s="15">
        <v>46060.0</v>
      </c>
      <c r="N238" s="8">
        <v>1.0</v>
      </c>
      <c r="O238" s="8">
        <v>-471.0</v>
      </c>
      <c r="P238" s="8">
        <v>501.0</v>
      </c>
      <c r="R238" s="8" t="s">
        <v>1508</v>
      </c>
      <c r="S238" s="11" t="s">
        <v>1509</v>
      </c>
      <c r="T238" s="8">
        <v>517.0</v>
      </c>
    </row>
    <row r="239" ht="22.5" customHeight="1">
      <c r="A239" s="8" t="s">
        <v>1510</v>
      </c>
      <c r="B239" s="9" t="s">
        <v>432</v>
      </c>
      <c r="D239" s="8" t="s">
        <v>1386</v>
      </c>
      <c r="E239" s="9" t="s">
        <v>50</v>
      </c>
      <c r="F239" s="8">
        <v>8.0</v>
      </c>
      <c r="H239" s="8">
        <v>12.0</v>
      </c>
      <c r="I239" s="8">
        <v>96.0</v>
      </c>
      <c r="L239" s="15">
        <v>46024.0</v>
      </c>
      <c r="M239" s="15">
        <v>46055.0</v>
      </c>
      <c r="O239" s="8">
        <v>-476.0</v>
      </c>
      <c r="P239" s="8">
        <v>506.0</v>
      </c>
      <c r="R239" s="8" t="s">
        <v>1511</v>
      </c>
      <c r="T239" s="8">
        <v>518.0</v>
      </c>
    </row>
    <row r="240" ht="22.5" customHeight="1">
      <c r="B240" s="9" t="s">
        <v>403</v>
      </c>
      <c r="C240" s="8" t="s">
        <v>136</v>
      </c>
      <c r="D240" s="8" t="s">
        <v>1302</v>
      </c>
      <c r="E240" s="9" t="s">
        <v>38</v>
      </c>
      <c r="F240" s="8">
        <v>4.0</v>
      </c>
      <c r="H240" s="8" t="s">
        <v>1295</v>
      </c>
      <c r="I240" s="8">
        <v>27000.0</v>
      </c>
      <c r="J240" s="8">
        <v>27000.0</v>
      </c>
      <c r="K240" s="8">
        <v>0.0</v>
      </c>
      <c r="L240" s="15">
        <v>46031.0</v>
      </c>
      <c r="M240" s="15">
        <v>46062.0</v>
      </c>
      <c r="N240" s="8">
        <v>1.0</v>
      </c>
      <c r="O240" s="8">
        <v>-469.0</v>
      </c>
      <c r="P240" s="8">
        <v>499.0</v>
      </c>
      <c r="R240" s="8" t="s">
        <v>1512</v>
      </c>
      <c r="S240" s="11" t="s">
        <v>1513</v>
      </c>
      <c r="T240" s="8">
        <v>519.0</v>
      </c>
    </row>
    <row r="241" ht="22.5" customHeight="1">
      <c r="A241" s="8" t="s">
        <v>1514</v>
      </c>
      <c r="B241" s="9" t="s">
        <v>426</v>
      </c>
      <c r="C241" s="8" t="s">
        <v>136</v>
      </c>
      <c r="D241" s="8" t="s">
        <v>1256</v>
      </c>
      <c r="E241" s="9" t="s">
        <v>38</v>
      </c>
      <c r="F241" s="8">
        <v>3.0</v>
      </c>
      <c r="H241" s="8">
        <v>3000.0</v>
      </c>
      <c r="I241" s="8">
        <v>9000.0</v>
      </c>
      <c r="J241" s="8">
        <v>9000.0</v>
      </c>
      <c r="K241" s="8">
        <v>9000.0</v>
      </c>
      <c r="L241" s="15">
        <v>46042.0</v>
      </c>
      <c r="M241" s="15">
        <v>46073.0</v>
      </c>
      <c r="N241" s="8">
        <v>0.0</v>
      </c>
      <c r="O241" s="8">
        <v>-458.0</v>
      </c>
      <c r="P241" s="8">
        <v>488.0</v>
      </c>
      <c r="R241" s="8" t="s">
        <v>1515</v>
      </c>
      <c r="S241" s="11" t="s">
        <v>1516</v>
      </c>
      <c r="T241" s="8">
        <v>520.0</v>
      </c>
    </row>
    <row r="242" ht="22.5" customHeight="1">
      <c r="B242" s="9" t="s">
        <v>409</v>
      </c>
      <c r="C242" s="8" t="s">
        <v>136</v>
      </c>
      <c r="D242" s="8" t="s">
        <v>1517</v>
      </c>
      <c r="E242" s="9" t="s">
        <v>29</v>
      </c>
      <c r="F242" s="8">
        <v>1.0</v>
      </c>
      <c r="H242" s="8">
        <v>150.0</v>
      </c>
      <c r="I242" s="8">
        <v>150.0</v>
      </c>
      <c r="J242" s="8">
        <v>3423.31</v>
      </c>
      <c r="K242" s="8">
        <v>3423.31</v>
      </c>
      <c r="L242" s="15">
        <v>46027.0</v>
      </c>
      <c r="M242" s="15">
        <v>46058.0</v>
      </c>
      <c r="N242" s="8">
        <v>0.0</v>
      </c>
      <c r="O242" s="8">
        <v>-473.0</v>
      </c>
      <c r="P242" s="8">
        <v>503.0</v>
      </c>
      <c r="R242" s="8" t="s">
        <v>1518</v>
      </c>
      <c r="S242" s="11" t="s">
        <v>1519</v>
      </c>
      <c r="T242" s="8">
        <v>521.0</v>
      </c>
    </row>
    <row r="243" ht="22.5" customHeight="1">
      <c r="A243" s="8" t="s">
        <v>1520</v>
      </c>
      <c r="B243" s="9" t="s">
        <v>153</v>
      </c>
      <c r="C243" s="8" t="s">
        <v>136</v>
      </c>
      <c r="D243" s="8" t="s">
        <v>1391</v>
      </c>
      <c r="E243" s="9" t="s">
        <v>109</v>
      </c>
      <c r="F243" s="8">
        <v>1.0</v>
      </c>
      <c r="H243" s="8">
        <v>25.0</v>
      </c>
      <c r="I243" s="8">
        <v>25.0</v>
      </c>
      <c r="J243" s="8">
        <v>1568.37</v>
      </c>
      <c r="K243" s="8">
        <v>0.0</v>
      </c>
      <c r="L243" s="15">
        <v>46030.0</v>
      </c>
      <c r="M243" s="15">
        <v>46061.0</v>
      </c>
      <c r="N243" s="8">
        <v>1.0</v>
      </c>
      <c r="O243" s="8">
        <v>-470.0</v>
      </c>
      <c r="P243" s="8">
        <v>500.0</v>
      </c>
      <c r="Q243" s="17">
        <v>46192.0</v>
      </c>
      <c r="R243" s="8" t="s">
        <v>1521</v>
      </c>
      <c r="S243" s="11" t="s">
        <v>1522</v>
      </c>
      <c r="T243" s="8">
        <v>522.0</v>
      </c>
    </row>
    <row r="244" ht="22.5" customHeight="1">
      <c r="A244" s="8" t="s">
        <v>1523</v>
      </c>
      <c r="B244" s="9" t="s">
        <v>453</v>
      </c>
      <c r="C244" s="8" t="s">
        <v>136</v>
      </c>
      <c r="D244" s="8" t="s">
        <v>1395</v>
      </c>
      <c r="E244" s="9" t="s">
        <v>59</v>
      </c>
      <c r="F244" s="8">
        <v>8.58</v>
      </c>
      <c r="H244" s="8">
        <v>10.0</v>
      </c>
      <c r="I244" s="8">
        <v>85.8</v>
      </c>
      <c r="J244" s="8">
        <v>9133.71</v>
      </c>
      <c r="K244" s="8">
        <v>0.0</v>
      </c>
      <c r="L244" s="15">
        <v>46044.0</v>
      </c>
      <c r="M244" s="15">
        <v>46075.0</v>
      </c>
      <c r="N244" s="8">
        <v>1.0</v>
      </c>
      <c r="O244" s="8">
        <v>-456.0</v>
      </c>
      <c r="P244" s="8">
        <v>486.0</v>
      </c>
      <c r="Q244" s="17">
        <v>46095.0</v>
      </c>
      <c r="R244" s="8" t="s">
        <v>1524</v>
      </c>
      <c r="S244" s="11" t="s">
        <v>1525</v>
      </c>
      <c r="T244" s="8">
        <v>523.0</v>
      </c>
    </row>
    <row r="245" ht="22.5" customHeight="1">
      <c r="A245" s="8" t="s">
        <v>1449</v>
      </c>
      <c r="B245" s="9" t="s">
        <v>456</v>
      </c>
      <c r="C245" s="8" t="s">
        <v>136</v>
      </c>
      <c r="D245" s="8" t="s">
        <v>67</v>
      </c>
      <c r="E245" s="9" t="s">
        <v>59</v>
      </c>
      <c r="F245" s="8">
        <v>1.0</v>
      </c>
      <c r="H245" s="8">
        <v>75.0</v>
      </c>
      <c r="I245" s="8">
        <v>75.0</v>
      </c>
      <c r="L245" s="15">
        <v>46032.0</v>
      </c>
      <c r="M245" s="15">
        <v>46063.0</v>
      </c>
      <c r="O245" s="8">
        <v>-468.0</v>
      </c>
      <c r="P245" s="8">
        <v>498.0</v>
      </c>
      <c r="R245" s="8" t="s">
        <v>1526</v>
      </c>
      <c r="S245" s="11" t="s">
        <v>1527</v>
      </c>
      <c r="T245" s="8">
        <v>524.0</v>
      </c>
    </row>
    <row r="246" ht="22.5" customHeight="1">
      <c r="A246" s="8" t="s">
        <v>1425</v>
      </c>
      <c r="B246" s="9" t="s">
        <v>447</v>
      </c>
      <c r="C246" s="8" t="s">
        <v>136</v>
      </c>
      <c r="D246" s="8" t="s">
        <v>1485</v>
      </c>
      <c r="E246" s="9" t="s">
        <v>29</v>
      </c>
      <c r="F246" s="8">
        <v>5.0</v>
      </c>
      <c r="H246" s="8">
        <v>100.0</v>
      </c>
      <c r="I246" s="8">
        <v>500.0</v>
      </c>
      <c r="J246" s="8">
        <v>11257.45</v>
      </c>
      <c r="K246" s="8">
        <v>11000.0</v>
      </c>
      <c r="L246" s="15">
        <v>46360.0</v>
      </c>
      <c r="M246" s="15">
        <v>46026.0</v>
      </c>
      <c r="N246" s="8">
        <v>0.0</v>
      </c>
      <c r="O246" s="8">
        <v>-505.0</v>
      </c>
      <c r="P246" s="8">
        <v>535.0</v>
      </c>
      <c r="R246" s="8" t="s">
        <v>1528</v>
      </c>
      <c r="S246" s="11" t="s">
        <v>1529</v>
      </c>
      <c r="T246" s="8">
        <v>489.0</v>
      </c>
    </row>
    <row r="247" ht="22.5" customHeight="1">
      <c r="B247" s="9" t="s">
        <v>400</v>
      </c>
      <c r="C247" s="8" t="s">
        <v>136</v>
      </c>
      <c r="D247" s="8" t="s">
        <v>1375</v>
      </c>
      <c r="E247" s="9" t="s">
        <v>59</v>
      </c>
      <c r="F247" s="8" t="s">
        <v>1402</v>
      </c>
      <c r="H247" s="8">
        <v>12.0</v>
      </c>
      <c r="I247" s="8">
        <v>36.0</v>
      </c>
      <c r="J247" s="8">
        <v>3890.02</v>
      </c>
      <c r="K247" s="8">
        <v>0.0</v>
      </c>
      <c r="L247" s="15">
        <v>46361.0</v>
      </c>
      <c r="M247" s="15">
        <v>46027.0</v>
      </c>
      <c r="N247" s="8">
        <v>1.0</v>
      </c>
      <c r="O247" s="8">
        <v>-504.0</v>
      </c>
      <c r="P247" s="8">
        <v>534.0</v>
      </c>
      <c r="R247" s="8" t="s">
        <v>1530</v>
      </c>
      <c r="S247" s="11" t="s">
        <v>1531</v>
      </c>
      <c r="T247" s="8">
        <v>490.0</v>
      </c>
    </row>
    <row r="248" ht="22.5" customHeight="1">
      <c r="A248" s="8" t="s">
        <v>1510</v>
      </c>
      <c r="B248" s="9" t="s">
        <v>224</v>
      </c>
      <c r="C248" s="8" t="s">
        <v>136</v>
      </c>
      <c r="D248" s="8" t="s">
        <v>1430</v>
      </c>
      <c r="E248" s="9" t="s">
        <v>29</v>
      </c>
      <c r="F248" s="8">
        <v>1.0</v>
      </c>
      <c r="H248" s="8">
        <v>150.0</v>
      </c>
      <c r="I248" s="8">
        <v>150.0</v>
      </c>
      <c r="J248" s="8">
        <v>3378.77</v>
      </c>
      <c r="K248" s="8">
        <v>3378.77</v>
      </c>
      <c r="L248" s="15">
        <v>46358.0</v>
      </c>
      <c r="M248" s="15">
        <v>46024.0</v>
      </c>
      <c r="N248" s="8">
        <v>0.0</v>
      </c>
      <c r="O248" s="8">
        <v>-507.0</v>
      </c>
      <c r="P248" s="8">
        <v>537.0</v>
      </c>
      <c r="R248" s="8" t="s">
        <v>1532</v>
      </c>
      <c r="S248" s="11" t="s">
        <v>1533</v>
      </c>
      <c r="T248" s="8">
        <v>491.0</v>
      </c>
    </row>
    <row r="249" ht="22.5" customHeight="1">
      <c r="A249" s="8" t="s">
        <v>1534</v>
      </c>
      <c r="B249" s="9" t="s">
        <v>465</v>
      </c>
      <c r="C249" s="8" t="s">
        <v>136</v>
      </c>
      <c r="D249" s="8" t="s">
        <v>1493</v>
      </c>
      <c r="E249" s="9" t="s">
        <v>59</v>
      </c>
      <c r="F249" s="8" t="s">
        <v>1535</v>
      </c>
      <c r="H249" s="8">
        <v>15.0</v>
      </c>
      <c r="I249" s="8">
        <v>47.55</v>
      </c>
      <c r="J249" s="8">
        <v>5069.04</v>
      </c>
      <c r="K249" s="8">
        <v>5069.04</v>
      </c>
      <c r="L249" s="15">
        <v>46375.0</v>
      </c>
      <c r="M249" s="15">
        <v>46041.0</v>
      </c>
      <c r="N249" s="8">
        <v>0.0</v>
      </c>
      <c r="O249" s="8">
        <v>-490.0</v>
      </c>
      <c r="P249" s="8">
        <v>520.0</v>
      </c>
      <c r="R249" s="8" t="s">
        <v>1536</v>
      </c>
      <c r="S249" s="11" t="s">
        <v>1537</v>
      </c>
      <c r="T249" s="8">
        <v>492.0</v>
      </c>
    </row>
    <row r="250" ht="22.5" customHeight="1">
      <c r="A250" s="8" t="s">
        <v>1538</v>
      </c>
      <c r="B250" s="9" t="s">
        <v>412</v>
      </c>
      <c r="C250" s="8" t="s">
        <v>136</v>
      </c>
      <c r="D250" s="8" t="s">
        <v>1460</v>
      </c>
      <c r="E250" s="9" t="s">
        <v>38</v>
      </c>
      <c r="F250" s="8">
        <v>3.0</v>
      </c>
      <c r="H250" s="8">
        <v>1000.0</v>
      </c>
      <c r="I250" s="8">
        <v>3000.0</v>
      </c>
      <c r="J250" s="8">
        <v>3000.0</v>
      </c>
      <c r="K250" s="8">
        <v>3000.0</v>
      </c>
      <c r="L250" s="15">
        <v>46362.0</v>
      </c>
      <c r="M250" s="15">
        <v>46028.0</v>
      </c>
      <c r="N250" s="8">
        <v>0.0</v>
      </c>
      <c r="O250" s="8">
        <v>-503.0</v>
      </c>
      <c r="P250" s="8">
        <v>533.0</v>
      </c>
      <c r="R250" s="8" t="s">
        <v>1539</v>
      </c>
      <c r="S250" s="11" t="s">
        <v>1540</v>
      </c>
      <c r="T250" s="8">
        <v>493.0</v>
      </c>
    </row>
    <row r="251" ht="22.5" customHeight="1">
      <c r="A251" s="8" t="s">
        <v>1541</v>
      </c>
      <c r="B251" s="9" t="s">
        <v>441</v>
      </c>
      <c r="C251" s="8" t="s">
        <v>136</v>
      </c>
      <c r="D251" s="8" t="s">
        <v>1460</v>
      </c>
      <c r="E251" s="9" t="s">
        <v>38</v>
      </c>
      <c r="F251" s="8">
        <v>3.0</v>
      </c>
      <c r="H251" s="8">
        <v>1000.0</v>
      </c>
      <c r="I251" s="8">
        <v>3000.0</v>
      </c>
      <c r="J251" s="8">
        <v>3000.0</v>
      </c>
      <c r="K251" s="8">
        <v>3000.0</v>
      </c>
      <c r="L251" s="15">
        <v>46380.0</v>
      </c>
      <c r="M251" s="15">
        <v>46046.0</v>
      </c>
      <c r="N251" s="8">
        <v>0.0</v>
      </c>
      <c r="O251" s="8">
        <v>-485.0</v>
      </c>
      <c r="P251" s="8">
        <v>515.0</v>
      </c>
      <c r="R251" s="8" t="s">
        <v>1542</v>
      </c>
      <c r="S251" s="11" t="s">
        <v>1543</v>
      </c>
      <c r="T251" s="8">
        <v>494.0</v>
      </c>
    </row>
    <row r="252" ht="22.5" customHeight="1">
      <c r="A252" s="8" t="s">
        <v>1544</v>
      </c>
      <c r="B252" s="9" t="s">
        <v>371</v>
      </c>
      <c r="C252" s="8" t="s">
        <v>136</v>
      </c>
      <c r="D252" s="8" t="s">
        <v>1256</v>
      </c>
      <c r="E252" s="9" t="s">
        <v>38</v>
      </c>
      <c r="F252" s="8">
        <v>3.0</v>
      </c>
      <c r="H252" s="8">
        <v>3000.0</v>
      </c>
      <c r="I252" s="8">
        <v>9000.0</v>
      </c>
      <c r="J252" s="8">
        <v>9000.0</v>
      </c>
      <c r="K252" s="8">
        <v>0.0</v>
      </c>
      <c r="L252" s="15">
        <v>46359.0</v>
      </c>
      <c r="M252" s="15">
        <v>46025.0</v>
      </c>
      <c r="N252" s="8">
        <v>1.0</v>
      </c>
      <c r="O252" s="8">
        <v>-506.0</v>
      </c>
      <c r="P252" s="8">
        <v>536.0</v>
      </c>
      <c r="R252" s="8" t="s">
        <v>1545</v>
      </c>
      <c r="S252" s="11" t="s">
        <v>1546</v>
      </c>
      <c r="T252" s="8">
        <v>495.0</v>
      </c>
    </row>
    <row r="253" ht="22.5" customHeight="1">
      <c r="A253" s="8" t="s">
        <v>1435</v>
      </c>
      <c r="B253" s="9" t="s">
        <v>359</v>
      </c>
      <c r="C253" s="8" t="s">
        <v>136</v>
      </c>
      <c r="D253" s="8" t="s">
        <v>1294</v>
      </c>
      <c r="E253" s="9" t="s">
        <v>38</v>
      </c>
      <c r="F253" s="8">
        <v>4.0</v>
      </c>
      <c r="H253" s="8">
        <v>6000.0</v>
      </c>
      <c r="I253" s="8">
        <v>24000.0</v>
      </c>
      <c r="J253" s="8">
        <v>24000.0</v>
      </c>
      <c r="K253" s="8">
        <v>0.0</v>
      </c>
      <c r="L253" s="15">
        <v>46374.0</v>
      </c>
      <c r="M253" s="15">
        <v>46040.0</v>
      </c>
      <c r="N253" s="8">
        <v>1.0</v>
      </c>
      <c r="O253" s="8">
        <v>-491.0</v>
      </c>
      <c r="P253" s="8">
        <v>521.0</v>
      </c>
      <c r="R253" s="8" t="s">
        <v>1547</v>
      </c>
      <c r="S253" s="11" t="s">
        <v>1548</v>
      </c>
      <c r="T253" s="8">
        <v>496.0</v>
      </c>
    </row>
    <row r="254" ht="22.5" customHeight="1">
      <c r="A254" s="8" t="s">
        <v>1549</v>
      </c>
      <c r="B254" s="9" t="s">
        <v>462</v>
      </c>
      <c r="C254" s="8" t="s">
        <v>136</v>
      </c>
      <c r="D254" s="8" t="s">
        <v>1550</v>
      </c>
      <c r="E254" s="9" t="s">
        <v>59</v>
      </c>
      <c r="F254" s="8" t="s">
        <v>1551</v>
      </c>
      <c r="H254" s="8">
        <v>10.0</v>
      </c>
      <c r="I254" s="8">
        <v>35.0</v>
      </c>
      <c r="J254" s="8">
        <v>3745.93</v>
      </c>
      <c r="K254" s="8">
        <v>3745.93</v>
      </c>
      <c r="L254" s="15">
        <v>46370.0</v>
      </c>
      <c r="M254" s="15">
        <v>46036.0</v>
      </c>
      <c r="N254" s="8">
        <v>0.0</v>
      </c>
      <c r="O254" s="8">
        <v>-495.0</v>
      </c>
      <c r="P254" s="8">
        <v>525.0</v>
      </c>
      <c r="R254" s="8" t="s">
        <v>1552</v>
      </c>
      <c r="S254" s="11" t="s">
        <v>1553</v>
      </c>
      <c r="T254" s="8">
        <v>497.0</v>
      </c>
    </row>
    <row r="255" ht="22.5" customHeight="1">
      <c r="B255" s="9" t="s">
        <v>432</v>
      </c>
      <c r="C255" s="8" t="s">
        <v>136</v>
      </c>
      <c r="D255" s="8" t="s">
        <v>1386</v>
      </c>
      <c r="E255" s="9" t="s">
        <v>50</v>
      </c>
      <c r="F255" s="8">
        <v>8.0</v>
      </c>
      <c r="H255" s="8">
        <v>12.0</v>
      </c>
      <c r="I255" s="8">
        <v>96.0</v>
      </c>
      <c r="J255" s="8">
        <v>8134.76</v>
      </c>
      <c r="K255" s="8">
        <v>8134.76</v>
      </c>
      <c r="L255" s="15">
        <v>46358.0</v>
      </c>
      <c r="M255" s="15">
        <v>46024.0</v>
      </c>
      <c r="N255" s="8">
        <v>0.0</v>
      </c>
      <c r="O255" s="8">
        <v>-507.0</v>
      </c>
      <c r="P255" s="8">
        <v>537.0</v>
      </c>
      <c r="R255" s="8" t="s">
        <v>1554</v>
      </c>
      <c r="S255" s="11" t="s">
        <v>1555</v>
      </c>
      <c r="T255" s="8">
        <v>498.0</v>
      </c>
    </row>
    <row r="256" ht="22.5" customHeight="1">
      <c r="B256" s="9" t="s">
        <v>403</v>
      </c>
      <c r="C256" s="8" t="s">
        <v>136</v>
      </c>
      <c r="D256" s="8" t="s">
        <v>1302</v>
      </c>
      <c r="E256" s="9" t="s">
        <v>38</v>
      </c>
      <c r="F256" s="8">
        <v>5.0</v>
      </c>
      <c r="H256" s="8" t="s">
        <v>1295</v>
      </c>
      <c r="I256" s="8">
        <v>27000.0</v>
      </c>
      <c r="J256" s="8">
        <v>27000.0</v>
      </c>
      <c r="K256" s="8">
        <v>0.0</v>
      </c>
      <c r="L256" s="15">
        <v>46365.0</v>
      </c>
      <c r="M256" s="15">
        <v>46031.0</v>
      </c>
      <c r="N256" s="8">
        <v>1.0</v>
      </c>
      <c r="O256" s="8">
        <v>-500.0</v>
      </c>
      <c r="P256" s="8">
        <v>530.0</v>
      </c>
      <c r="R256" s="8" t="s">
        <v>1556</v>
      </c>
      <c r="S256" s="11" t="s">
        <v>1557</v>
      </c>
      <c r="T256" s="8">
        <v>499.0</v>
      </c>
    </row>
    <row r="257" ht="22.5" customHeight="1">
      <c r="A257" s="8" t="s">
        <v>1514</v>
      </c>
      <c r="B257" s="9" t="s">
        <v>426</v>
      </c>
      <c r="C257" s="8" t="s">
        <v>136</v>
      </c>
      <c r="D257" s="8" t="s">
        <v>1256</v>
      </c>
      <c r="E257" s="9" t="s">
        <v>38</v>
      </c>
      <c r="F257" s="8">
        <v>3.0</v>
      </c>
      <c r="H257" s="8">
        <v>3000.0</v>
      </c>
      <c r="I257" s="8">
        <v>9000.0</v>
      </c>
      <c r="J257" s="8">
        <v>9000.0</v>
      </c>
      <c r="K257" s="8">
        <v>9000.0</v>
      </c>
      <c r="L257" s="15">
        <v>46376.0</v>
      </c>
      <c r="M257" s="15">
        <v>46042.0</v>
      </c>
      <c r="N257" s="8">
        <v>0.0</v>
      </c>
      <c r="O257" s="8">
        <v>-489.0</v>
      </c>
      <c r="P257" s="8">
        <v>519.0</v>
      </c>
      <c r="R257" s="8" t="s">
        <v>1558</v>
      </c>
      <c r="S257" s="11" t="s">
        <v>1559</v>
      </c>
      <c r="T257" s="8">
        <v>500.0</v>
      </c>
    </row>
    <row r="258" ht="22.5" customHeight="1">
      <c r="B258" s="9" t="s">
        <v>415</v>
      </c>
      <c r="C258" s="8" t="s">
        <v>794</v>
      </c>
      <c r="D258" s="8" t="s">
        <v>1560</v>
      </c>
      <c r="E258" s="9" t="s">
        <v>109</v>
      </c>
      <c r="F258" s="8">
        <v>10.25</v>
      </c>
      <c r="H258" s="8">
        <v>30.0</v>
      </c>
      <c r="I258" s="8">
        <v>307.5</v>
      </c>
      <c r="L258" s="15">
        <v>46365.0</v>
      </c>
      <c r="M258" s="15">
        <v>46031.0</v>
      </c>
      <c r="O258" s="8">
        <v>-500.0</v>
      </c>
      <c r="P258" s="8">
        <v>530.0</v>
      </c>
      <c r="R258" s="8" t="s">
        <v>1561</v>
      </c>
      <c r="T258" s="8">
        <v>501.0</v>
      </c>
    </row>
    <row r="259" ht="22.5" customHeight="1">
      <c r="A259" s="8" t="s">
        <v>1562</v>
      </c>
      <c r="B259" s="9" t="s">
        <v>406</v>
      </c>
      <c r="C259" s="8" t="s">
        <v>795</v>
      </c>
      <c r="D259" s="8" t="s">
        <v>1563</v>
      </c>
      <c r="E259" s="9" t="s">
        <v>29</v>
      </c>
      <c r="F259" s="8">
        <v>1.0</v>
      </c>
      <c r="H259" s="8">
        <v>150.0</v>
      </c>
      <c r="I259" s="8">
        <v>150.0</v>
      </c>
      <c r="L259" s="15">
        <v>46376.0</v>
      </c>
      <c r="M259" s="15">
        <v>46042.0</v>
      </c>
      <c r="O259" s="8">
        <v>-489.0</v>
      </c>
      <c r="P259" s="8">
        <v>519.0</v>
      </c>
      <c r="R259" s="8" t="s">
        <v>1564</v>
      </c>
      <c r="T259" s="8">
        <v>502.0</v>
      </c>
    </row>
    <row r="260" ht="22.5" customHeight="1">
      <c r="B260" s="9" t="s">
        <v>409</v>
      </c>
      <c r="C260" s="8" t="s">
        <v>136</v>
      </c>
      <c r="D260" s="8" t="s">
        <v>1517</v>
      </c>
      <c r="E260" s="9" t="s">
        <v>29</v>
      </c>
      <c r="F260" s="8">
        <v>1.0</v>
      </c>
      <c r="H260" s="8">
        <v>150.0</v>
      </c>
      <c r="I260" s="8">
        <v>150.0</v>
      </c>
      <c r="J260" s="8">
        <v>3300.0</v>
      </c>
      <c r="K260" s="8">
        <v>3300.0</v>
      </c>
      <c r="L260" s="15">
        <v>46361.0</v>
      </c>
      <c r="M260" s="15">
        <v>46027.0</v>
      </c>
      <c r="N260" s="8">
        <v>0.0</v>
      </c>
      <c r="O260" s="8">
        <v>-504.0</v>
      </c>
      <c r="P260" s="8">
        <v>534.0</v>
      </c>
      <c r="R260" s="8" t="s">
        <v>1565</v>
      </c>
      <c r="S260" s="11" t="s">
        <v>1566</v>
      </c>
      <c r="T260" s="8">
        <v>503.0</v>
      </c>
    </row>
    <row r="261" ht="22.5" customHeight="1">
      <c r="A261" s="8" t="s">
        <v>108</v>
      </c>
      <c r="B261" s="9" t="s">
        <v>153</v>
      </c>
      <c r="C261" s="8" t="s">
        <v>136</v>
      </c>
      <c r="D261" s="8" t="s">
        <v>1391</v>
      </c>
      <c r="E261" s="9" t="s">
        <v>109</v>
      </c>
      <c r="F261" s="8" t="s">
        <v>1402</v>
      </c>
      <c r="H261" s="8">
        <v>25.0</v>
      </c>
      <c r="I261" s="8">
        <v>75.0</v>
      </c>
      <c r="J261" s="8">
        <v>4698.21</v>
      </c>
      <c r="K261" s="8">
        <v>0.0</v>
      </c>
      <c r="L261" s="15">
        <v>46379.0</v>
      </c>
      <c r="M261" s="15">
        <v>46045.0</v>
      </c>
      <c r="N261" s="8">
        <v>1.0</v>
      </c>
      <c r="O261" s="8">
        <v>-486.0</v>
      </c>
      <c r="P261" s="8">
        <v>516.0</v>
      </c>
      <c r="Q261" s="17">
        <v>46192.0</v>
      </c>
      <c r="R261" s="8" t="s">
        <v>1567</v>
      </c>
      <c r="S261" s="11" t="s">
        <v>1568</v>
      </c>
      <c r="T261" s="8">
        <v>504.0</v>
      </c>
    </row>
    <row r="262" ht="22.5" customHeight="1">
      <c r="A262" s="8" t="s">
        <v>1569</v>
      </c>
      <c r="B262" s="9" t="s">
        <v>453</v>
      </c>
      <c r="C262" s="8" t="s">
        <v>136</v>
      </c>
      <c r="D262" s="8" t="s">
        <v>1395</v>
      </c>
      <c r="E262" s="9" t="s">
        <v>59</v>
      </c>
      <c r="F262" s="8" t="s">
        <v>1402</v>
      </c>
      <c r="H262" s="8">
        <v>10.0</v>
      </c>
      <c r="I262" s="8">
        <v>30.0</v>
      </c>
      <c r="J262" s="8">
        <v>3202.18</v>
      </c>
      <c r="K262" s="8">
        <v>0.0</v>
      </c>
      <c r="L262" s="15">
        <v>46378.0</v>
      </c>
      <c r="M262" s="15">
        <v>46044.0</v>
      </c>
      <c r="N262" s="8">
        <v>1.0</v>
      </c>
      <c r="O262" s="8">
        <v>-487.0</v>
      </c>
      <c r="P262" s="8">
        <v>517.0</v>
      </c>
      <c r="Q262" s="17">
        <v>46095.0</v>
      </c>
      <c r="R262" s="8" t="s">
        <v>1570</v>
      </c>
      <c r="S262" s="11" t="s">
        <v>1571</v>
      </c>
      <c r="T262" s="8">
        <v>505.0</v>
      </c>
    </row>
    <row r="263" ht="22.5" customHeight="1">
      <c r="A263" s="8" t="s">
        <v>1449</v>
      </c>
      <c r="B263" s="9" t="s">
        <v>456</v>
      </c>
      <c r="C263" s="8" t="s">
        <v>136</v>
      </c>
      <c r="D263" s="8" t="s">
        <v>67</v>
      </c>
      <c r="E263" s="9" t="s">
        <v>59</v>
      </c>
      <c r="F263" s="8">
        <v>1.0</v>
      </c>
      <c r="H263" s="8">
        <v>75.0</v>
      </c>
      <c r="I263" s="8">
        <v>75.0</v>
      </c>
      <c r="J263" s="8">
        <v>8135.41</v>
      </c>
      <c r="K263" s="8">
        <v>8135.41</v>
      </c>
      <c r="L263" s="15">
        <v>46366.0</v>
      </c>
      <c r="M263" s="15">
        <v>46032.0</v>
      </c>
      <c r="N263" s="8">
        <v>0.0</v>
      </c>
      <c r="O263" s="8">
        <v>-499.0</v>
      </c>
      <c r="P263" s="8">
        <v>529.0</v>
      </c>
      <c r="R263" s="8" t="s">
        <v>1572</v>
      </c>
      <c r="S263" s="11" t="s">
        <v>1573</v>
      </c>
      <c r="T263" s="8">
        <v>506.0</v>
      </c>
    </row>
    <row r="264" ht="22.5" customHeight="1">
      <c r="A264" s="8" t="s">
        <v>1574</v>
      </c>
      <c r="B264" s="9" t="s">
        <v>447</v>
      </c>
      <c r="C264" s="8" t="s">
        <v>136</v>
      </c>
      <c r="D264" s="8" t="s">
        <v>1485</v>
      </c>
      <c r="E264" s="9" t="s">
        <v>29</v>
      </c>
      <c r="F264" s="8">
        <v>5.0</v>
      </c>
      <c r="H264" s="8">
        <v>100.0</v>
      </c>
      <c r="I264" s="8">
        <v>500.0</v>
      </c>
      <c r="J264" s="8">
        <v>11000.0</v>
      </c>
      <c r="K264" s="8">
        <v>11000.0</v>
      </c>
      <c r="L264" s="15">
        <v>46330.0</v>
      </c>
      <c r="M264" s="15">
        <v>46360.0</v>
      </c>
      <c r="N264" s="8">
        <v>0.0</v>
      </c>
      <c r="O264" s="8">
        <v>-536.0</v>
      </c>
      <c r="P264" s="8">
        <v>566.0</v>
      </c>
      <c r="R264" s="8" t="s">
        <v>1575</v>
      </c>
      <c r="S264" s="11" t="s">
        <v>1576</v>
      </c>
      <c r="T264" s="8">
        <v>470.0</v>
      </c>
    </row>
    <row r="265" ht="22.5" customHeight="1">
      <c r="B265" s="9" t="s">
        <v>400</v>
      </c>
      <c r="C265" s="8" t="s">
        <v>136</v>
      </c>
      <c r="D265" s="8" t="s">
        <v>1375</v>
      </c>
      <c r="E265" s="9" t="s">
        <v>59</v>
      </c>
      <c r="F265" s="8">
        <v>3.0</v>
      </c>
      <c r="H265" s="8">
        <v>12.0</v>
      </c>
      <c r="I265" s="8">
        <v>36.0</v>
      </c>
      <c r="J265" s="8">
        <v>3948.33</v>
      </c>
      <c r="K265" s="8">
        <v>0.0</v>
      </c>
      <c r="L265" s="15">
        <v>46331.0</v>
      </c>
      <c r="M265" s="15">
        <v>46361.0</v>
      </c>
      <c r="N265" s="8">
        <v>1.0</v>
      </c>
      <c r="O265" s="8">
        <v>-535.0</v>
      </c>
      <c r="P265" s="8">
        <v>565.0</v>
      </c>
      <c r="R265" s="8" t="s">
        <v>1577</v>
      </c>
      <c r="S265" s="11" t="s">
        <v>1578</v>
      </c>
      <c r="T265" s="8">
        <v>471.0</v>
      </c>
    </row>
    <row r="266" ht="22.5" customHeight="1">
      <c r="B266" s="9" t="s">
        <v>224</v>
      </c>
      <c r="C266" s="8" t="s">
        <v>136</v>
      </c>
      <c r="D266" s="8" t="s">
        <v>1430</v>
      </c>
      <c r="E266" s="9" t="s">
        <v>29</v>
      </c>
      <c r="F266" s="8">
        <v>1.0</v>
      </c>
      <c r="H266" s="8">
        <v>150.0</v>
      </c>
      <c r="I266" s="8">
        <v>150.0</v>
      </c>
      <c r="J266" s="8">
        <v>3354.0</v>
      </c>
      <c r="K266" s="8">
        <v>3354.0</v>
      </c>
      <c r="L266" s="15">
        <v>46328.0</v>
      </c>
      <c r="M266" s="15">
        <v>46358.0</v>
      </c>
      <c r="N266" s="8">
        <v>0.0</v>
      </c>
      <c r="O266" s="8">
        <v>-538.0</v>
      </c>
      <c r="P266" s="8">
        <v>568.0</v>
      </c>
      <c r="R266" s="8" t="s">
        <v>1579</v>
      </c>
      <c r="S266" s="11" t="s">
        <v>1580</v>
      </c>
      <c r="T266" s="8">
        <v>472.0</v>
      </c>
    </row>
    <row r="267" ht="22.5" customHeight="1">
      <c r="A267" s="8" t="s">
        <v>1574</v>
      </c>
      <c r="B267" s="9" t="s">
        <v>450</v>
      </c>
      <c r="C267" s="8" t="s">
        <v>136</v>
      </c>
      <c r="D267" s="8" t="s">
        <v>1581</v>
      </c>
      <c r="E267" s="8" t="s">
        <v>38</v>
      </c>
      <c r="F267" s="8">
        <v>3.0</v>
      </c>
      <c r="H267" s="8">
        <v>2500.0</v>
      </c>
      <c r="I267" s="8">
        <v>7500.0</v>
      </c>
      <c r="J267" s="8">
        <v>7500.0</v>
      </c>
      <c r="K267" s="8">
        <v>7500.0</v>
      </c>
      <c r="L267" s="15">
        <v>46330.0</v>
      </c>
      <c r="M267" s="15">
        <v>46360.0</v>
      </c>
      <c r="N267" s="8">
        <v>0.0</v>
      </c>
      <c r="O267" s="8">
        <v>-536.0</v>
      </c>
      <c r="P267" s="8">
        <v>566.0</v>
      </c>
      <c r="R267" s="8" t="s">
        <v>1582</v>
      </c>
      <c r="S267" s="11" t="s">
        <v>1583</v>
      </c>
      <c r="T267" s="8">
        <v>473.0</v>
      </c>
    </row>
    <row r="268" ht="22.5" customHeight="1">
      <c r="A268" s="8" t="s">
        <v>1538</v>
      </c>
      <c r="B268" s="9" t="s">
        <v>412</v>
      </c>
      <c r="C268" s="8" t="s">
        <v>136</v>
      </c>
      <c r="D268" s="8" t="s">
        <v>1460</v>
      </c>
      <c r="E268" s="9" t="s">
        <v>38</v>
      </c>
      <c r="F268" s="8">
        <v>3.0</v>
      </c>
      <c r="H268" s="8">
        <v>1000.0</v>
      </c>
      <c r="I268" s="8">
        <v>3000.0</v>
      </c>
      <c r="J268" s="8">
        <v>3000.0</v>
      </c>
      <c r="L268" s="15">
        <v>46332.0</v>
      </c>
      <c r="M268" s="15">
        <v>46362.0</v>
      </c>
      <c r="O268" s="8">
        <v>-534.0</v>
      </c>
      <c r="P268" s="8">
        <v>564.0</v>
      </c>
      <c r="R268" s="8" t="s">
        <v>1584</v>
      </c>
      <c r="S268" s="11" t="s">
        <v>1585</v>
      </c>
      <c r="T268" s="8">
        <v>474.0</v>
      </c>
    </row>
    <row r="269" ht="22.5" customHeight="1">
      <c r="A269" s="8" t="s">
        <v>1586</v>
      </c>
      <c r="B269" s="9" t="s">
        <v>441</v>
      </c>
      <c r="C269" s="8" t="s">
        <v>136</v>
      </c>
      <c r="D269" s="8" t="s">
        <v>1460</v>
      </c>
      <c r="E269" s="9" t="s">
        <v>38</v>
      </c>
      <c r="F269" s="8">
        <v>3.0</v>
      </c>
      <c r="H269" s="8">
        <v>1000.0</v>
      </c>
      <c r="I269" s="8">
        <v>3000.0</v>
      </c>
      <c r="J269" s="8">
        <v>3000.0</v>
      </c>
      <c r="L269" s="15">
        <v>46350.0</v>
      </c>
      <c r="M269" s="15">
        <v>46380.0</v>
      </c>
      <c r="O269" s="8">
        <v>-516.0</v>
      </c>
      <c r="P269" s="8">
        <v>546.0</v>
      </c>
      <c r="R269" s="8" t="s">
        <v>1587</v>
      </c>
      <c r="S269" s="11" t="s">
        <v>1588</v>
      </c>
      <c r="T269" s="8">
        <v>475.0</v>
      </c>
    </row>
    <row r="270" ht="22.5" customHeight="1">
      <c r="A270" s="8" t="s">
        <v>1544</v>
      </c>
      <c r="B270" s="9" t="s">
        <v>371</v>
      </c>
      <c r="C270" s="8" t="s">
        <v>136</v>
      </c>
      <c r="D270" s="8" t="s">
        <v>1256</v>
      </c>
      <c r="E270" s="9" t="s">
        <v>38</v>
      </c>
      <c r="F270" s="8">
        <v>3.0</v>
      </c>
      <c r="H270" s="8">
        <v>3000.0</v>
      </c>
      <c r="I270" s="8">
        <v>9000.0</v>
      </c>
      <c r="J270" s="8">
        <v>9000.0</v>
      </c>
      <c r="K270" s="8">
        <v>0.0</v>
      </c>
      <c r="L270" s="15">
        <v>46329.0</v>
      </c>
      <c r="M270" s="15">
        <v>46359.0</v>
      </c>
      <c r="N270" s="8">
        <v>1.0</v>
      </c>
      <c r="O270" s="8">
        <v>-537.0</v>
      </c>
      <c r="P270" s="8">
        <v>567.0</v>
      </c>
      <c r="R270" s="8" t="s">
        <v>1589</v>
      </c>
      <c r="S270" s="11" t="s">
        <v>1590</v>
      </c>
      <c r="T270" s="8">
        <v>476.0</v>
      </c>
    </row>
    <row r="271" ht="22.5" customHeight="1">
      <c r="A271" s="8" t="s">
        <v>1574</v>
      </c>
      <c r="B271" s="9" t="s">
        <v>444</v>
      </c>
      <c r="C271" s="8" t="s">
        <v>136</v>
      </c>
      <c r="D271" s="8" t="s">
        <v>1591</v>
      </c>
      <c r="E271" s="9" t="s">
        <v>29</v>
      </c>
      <c r="F271" s="8">
        <v>4.0</v>
      </c>
      <c r="H271" s="8">
        <v>125.0</v>
      </c>
      <c r="I271" s="8">
        <v>500.0</v>
      </c>
      <c r="J271" s="8">
        <v>11000.0</v>
      </c>
      <c r="K271" s="8">
        <v>11000.0</v>
      </c>
      <c r="L271" s="15">
        <v>46328.0</v>
      </c>
      <c r="M271" s="15">
        <v>46358.0</v>
      </c>
      <c r="N271" s="8">
        <v>0.0</v>
      </c>
      <c r="O271" s="8">
        <v>-538.0</v>
      </c>
      <c r="P271" s="8">
        <v>568.0</v>
      </c>
      <c r="R271" s="8" t="s">
        <v>1592</v>
      </c>
      <c r="S271" s="11" t="s">
        <v>1593</v>
      </c>
      <c r="T271" s="8">
        <v>477.0</v>
      </c>
    </row>
    <row r="272" ht="22.5" customHeight="1">
      <c r="A272" s="8" t="s">
        <v>1594</v>
      </c>
      <c r="B272" s="9" t="s">
        <v>359</v>
      </c>
      <c r="C272" s="8" t="s">
        <v>136</v>
      </c>
      <c r="D272" s="8" t="s">
        <v>1294</v>
      </c>
      <c r="E272" s="9" t="s">
        <v>38</v>
      </c>
      <c r="F272" s="8">
        <v>3.0</v>
      </c>
      <c r="H272" s="8">
        <v>6000.0</v>
      </c>
      <c r="I272" s="8">
        <v>18000.0</v>
      </c>
      <c r="J272" s="8">
        <v>18000.0</v>
      </c>
      <c r="K272" s="8">
        <v>0.0</v>
      </c>
      <c r="L272" s="15">
        <v>46344.0</v>
      </c>
      <c r="M272" s="15">
        <v>46374.0</v>
      </c>
      <c r="N272" s="8">
        <v>1.0</v>
      </c>
      <c r="O272" s="8">
        <v>-522.0</v>
      </c>
      <c r="P272" s="8">
        <v>552.0</v>
      </c>
      <c r="R272" s="8" t="s">
        <v>1595</v>
      </c>
      <c r="S272" s="11" t="s">
        <v>1596</v>
      </c>
      <c r="T272" s="8">
        <v>478.0</v>
      </c>
    </row>
    <row r="273" ht="22.5" customHeight="1">
      <c r="A273" s="8" t="s">
        <v>1597</v>
      </c>
      <c r="B273" s="9" t="s">
        <v>459</v>
      </c>
      <c r="C273" s="8" t="s">
        <v>136</v>
      </c>
      <c r="D273" s="8" t="s">
        <v>1372</v>
      </c>
      <c r="E273" s="9" t="s">
        <v>29</v>
      </c>
      <c r="F273" s="8">
        <v>4.0</v>
      </c>
      <c r="H273" s="8">
        <v>149.0</v>
      </c>
      <c r="I273" s="8">
        <v>529.0</v>
      </c>
      <c r="J273" s="8">
        <v>11922.0</v>
      </c>
      <c r="K273" s="8">
        <v>0.0</v>
      </c>
      <c r="L273" s="15">
        <v>46352.0</v>
      </c>
      <c r="M273" s="15">
        <v>46382.0</v>
      </c>
      <c r="N273" s="8">
        <v>1.0</v>
      </c>
      <c r="O273" s="8">
        <v>-514.0</v>
      </c>
      <c r="P273" s="8">
        <v>544.0</v>
      </c>
      <c r="R273" s="8" t="s">
        <v>1598</v>
      </c>
      <c r="S273" s="11" t="s">
        <v>1599</v>
      </c>
      <c r="T273" s="8">
        <v>479.0</v>
      </c>
    </row>
    <row r="274" ht="22.5" customHeight="1">
      <c r="B274" s="9" t="s">
        <v>432</v>
      </c>
      <c r="C274" s="8" t="s">
        <v>136</v>
      </c>
      <c r="D274" s="8" t="s">
        <v>1386</v>
      </c>
      <c r="E274" s="9" t="s">
        <v>50</v>
      </c>
      <c r="F274" s="8">
        <v>8.0</v>
      </c>
      <c r="H274" s="8">
        <v>12.0</v>
      </c>
      <c r="I274" s="8">
        <v>96.0</v>
      </c>
      <c r="J274" s="8">
        <v>8054.4</v>
      </c>
      <c r="K274" s="8">
        <v>8054.4</v>
      </c>
      <c r="L274" s="15">
        <v>46328.0</v>
      </c>
      <c r="M274" s="15">
        <v>46358.0</v>
      </c>
      <c r="N274" s="8">
        <v>0.0</v>
      </c>
      <c r="O274" s="8">
        <v>-538.0</v>
      </c>
      <c r="P274" s="8">
        <v>568.0</v>
      </c>
      <c r="R274" s="8" t="s">
        <v>1600</v>
      </c>
      <c r="S274" s="11" t="s">
        <v>1601</v>
      </c>
      <c r="T274" s="8">
        <v>480.0</v>
      </c>
    </row>
    <row r="275" ht="22.5" customHeight="1">
      <c r="B275" s="9" t="s">
        <v>403</v>
      </c>
      <c r="C275" s="8" t="s">
        <v>136</v>
      </c>
      <c r="D275" s="8" t="s">
        <v>1302</v>
      </c>
      <c r="E275" s="9" t="s">
        <v>38</v>
      </c>
      <c r="F275" s="8">
        <v>5.0</v>
      </c>
      <c r="H275" s="8" t="s">
        <v>1295</v>
      </c>
      <c r="I275" s="8">
        <v>27000.0</v>
      </c>
      <c r="J275" s="8">
        <v>15000.0</v>
      </c>
      <c r="K275" s="8">
        <v>0.0</v>
      </c>
      <c r="L275" s="15">
        <v>46335.0</v>
      </c>
      <c r="M275" s="15">
        <v>46365.0</v>
      </c>
      <c r="N275" s="8">
        <v>1.0</v>
      </c>
      <c r="O275" s="8">
        <v>-531.0</v>
      </c>
      <c r="P275" s="8">
        <v>561.0</v>
      </c>
      <c r="R275" s="8" t="s">
        <v>1602</v>
      </c>
      <c r="S275" s="11" t="s">
        <v>1603</v>
      </c>
      <c r="T275" s="8">
        <v>481.0</v>
      </c>
    </row>
    <row r="276" ht="22.5" customHeight="1">
      <c r="A276" s="8" t="s">
        <v>1514</v>
      </c>
      <c r="B276" s="9" t="s">
        <v>426</v>
      </c>
      <c r="C276" s="8" t="s">
        <v>136</v>
      </c>
      <c r="D276" s="8" t="s">
        <v>1256</v>
      </c>
      <c r="E276" s="9" t="s">
        <v>38</v>
      </c>
      <c r="F276" s="8">
        <v>3.0</v>
      </c>
      <c r="H276" s="8">
        <v>3000.0</v>
      </c>
      <c r="I276" s="8">
        <v>9000.0</v>
      </c>
      <c r="J276" s="8">
        <v>9000.0</v>
      </c>
      <c r="K276" s="8">
        <v>9000.0</v>
      </c>
      <c r="L276" s="15">
        <v>46346.0</v>
      </c>
      <c r="M276" s="15">
        <v>46376.0</v>
      </c>
      <c r="N276" s="8">
        <v>0.0</v>
      </c>
      <c r="O276" s="8">
        <v>-520.0</v>
      </c>
      <c r="P276" s="8">
        <v>550.0</v>
      </c>
      <c r="R276" s="8" t="s">
        <v>1604</v>
      </c>
      <c r="S276" s="11" t="s">
        <v>1605</v>
      </c>
      <c r="T276" s="8">
        <v>482.0</v>
      </c>
    </row>
    <row r="277" ht="22.5" customHeight="1">
      <c r="B277" s="9" t="s">
        <v>415</v>
      </c>
      <c r="D277" s="8" t="s">
        <v>1560</v>
      </c>
      <c r="E277" s="9" t="s">
        <v>109</v>
      </c>
      <c r="F277" s="8">
        <v>10.25</v>
      </c>
      <c r="H277" s="8">
        <v>30.0</v>
      </c>
      <c r="I277" s="8">
        <v>307.5</v>
      </c>
      <c r="L277" s="15">
        <v>46335.0</v>
      </c>
      <c r="M277" s="15">
        <v>46365.0</v>
      </c>
      <c r="O277" s="8">
        <v>-531.0</v>
      </c>
      <c r="P277" s="8">
        <v>561.0</v>
      </c>
      <c r="R277" s="8" t="s">
        <v>1606</v>
      </c>
      <c r="T277" s="8">
        <v>483.0</v>
      </c>
    </row>
    <row r="278" ht="22.5" customHeight="1">
      <c r="B278" s="9" t="s">
        <v>406</v>
      </c>
      <c r="C278" s="8" t="s">
        <v>136</v>
      </c>
      <c r="D278" s="8" t="s">
        <v>1563</v>
      </c>
      <c r="E278" s="9" t="s">
        <v>29</v>
      </c>
      <c r="F278" s="8">
        <v>1.0</v>
      </c>
      <c r="H278" s="8">
        <v>150.0</v>
      </c>
      <c r="I278" s="8">
        <v>150.0</v>
      </c>
      <c r="J278" s="8">
        <v>3300.0</v>
      </c>
      <c r="K278" s="8">
        <v>3300.0</v>
      </c>
      <c r="L278" s="15">
        <v>46346.0</v>
      </c>
      <c r="M278" s="15">
        <v>46376.0</v>
      </c>
      <c r="N278" s="8">
        <v>0.0</v>
      </c>
      <c r="O278" s="8">
        <v>-520.0</v>
      </c>
      <c r="P278" s="8">
        <v>550.0</v>
      </c>
      <c r="R278" s="8" t="s">
        <v>1607</v>
      </c>
      <c r="S278" s="11" t="s">
        <v>1608</v>
      </c>
      <c r="T278" s="8">
        <v>484.0</v>
      </c>
    </row>
    <row r="279" ht="22.5" customHeight="1">
      <c r="B279" s="9" t="s">
        <v>409</v>
      </c>
      <c r="C279" s="8" t="s">
        <v>136</v>
      </c>
      <c r="D279" s="8" t="s">
        <v>1517</v>
      </c>
      <c r="E279" s="9" t="s">
        <v>29</v>
      </c>
      <c r="F279" s="8">
        <v>1.0</v>
      </c>
      <c r="H279" s="8">
        <v>150.0</v>
      </c>
      <c r="I279" s="8">
        <v>150.0</v>
      </c>
      <c r="J279" s="8">
        <v>3300.0</v>
      </c>
      <c r="K279" s="8">
        <v>3300.0</v>
      </c>
      <c r="L279" s="15">
        <v>46331.0</v>
      </c>
      <c r="M279" s="15">
        <v>46361.0</v>
      </c>
      <c r="N279" s="8">
        <v>0.0</v>
      </c>
      <c r="O279" s="8">
        <v>-535.0</v>
      </c>
      <c r="P279" s="8">
        <v>565.0</v>
      </c>
      <c r="R279" s="8" t="s">
        <v>1609</v>
      </c>
      <c r="S279" s="11" t="s">
        <v>1610</v>
      </c>
      <c r="T279" s="8">
        <v>485.0</v>
      </c>
    </row>
    <row r="280" ht="22.5" customHeight="1">
      <c r="A280" s="8" t="s">
        <v>1611</v>
      </c>
      <c r="B280" s="9" t="s">
        <v>153</v>
      </c>
      <c r="C280" s="8" t="s">
        <v>136</v>
      </c>
      <c r="D280" s="8" t="s">
        <v>1395</v>
      </c>
      <c r="E280" s="9" t="s">
        <v>109</v>
      </c>
      <c r="F280" s="8">
        <v>2.0</v>
      </c>
      <c r="H280" s="8">
        <v>25.0</v>
      </c>
      <c r="I280" s="8">
        <v>50.0</v>
      </c>
      <c r="J280" s="8">
        <v>3129.84</v>
      </c>
      <c r="K280" s="8">
        <v>0.0</v>
      </c>
      <c r="L280" s="15">
        <v>46349.0</v>
      </c>
      <c r="M280" s="15">
        <v>46379.0</v>
      </c>
      <c r="N280" s="8">
        <v>1.0</v>
      </c>
      <c r="O280" s="8">
        <v>-517.0</v>
      </c>
      <c r="P280" s="8">
        <v>547.0</v>
      </c>
      <c r="Q280" s="17">
        <v>46192.0</v>
      </c>
      <c r="R280" s="8" t="s">
        <v>1612</v>
      </c>
      <c r="S280" s="11" t="s">
        <v>1613</v>
      </c>
      <c r="T280" s="8">
        <v>486.0</v>
      </c>
    </row>
    <row r="281" ht="22.5" customHeight="1">
      <c r="A281" s="8" t="s">
        <v>1569</v>
      </c>
      <c r="B281" s="9" t="s">
        <v>453</v>
      </c>
      <c r="C281" s="8" t="s">
        <v>136</v>
      </c>
      <c r="D281" s="8" t="s">
        <v>1395</v>
      </c>
      <c r="E281" s="9" t="s">
        <v>59</v>
      </c>
      <c r="F281" s="8">
        <v>5.0</v>
      </c>
      <c r="H281" s="8">
        <v>10.0</v>
      </c>
      <c r="I281" s="8">
        <v>50.0</v>
      </c>
      <c r="J281" s="8">
        <v>5289.93</v>
      </c>
      <c r="L281" s="15">
        <v>46348.0</v>
      </c>
      <c r="M281" s="15">
        <v>46378.0</v>
      </c>
      <c r="O281" s="8">
        <v>-518.0</v>
      </c>
      <c r="P281" s="8">
        <v>548.0</v>
      </c>
      <c r="R281" s="8" t="s">
        <v>1614</v>
      </c>
      <c r="S281" s="11" t="s">
        <v>1615</v>
      </c>
      <c r="T281" s="8">
        <v>487.0</v>
      </c>
    </row>
    <row r="282" ht="22.5" customHeight="1">
      <c r="A282" s="8" t="s">
        <v>1449</v>
      </c>
      <c r="B282" s="9" t="s">
        <v>456</v>
      </c>
      <c r="C282" s="8" t="s">
        <v>136</v>
      </c>
      <c r="D282" s="8" t="s">
        <v>67</v>
      </c>
      <c r="E282" s="9" t="s">
        <v>59</v>
      </c>
      <c r="F282" s="8">
        <v>1.0</v>
      </c>
      <c r="H282" s="8">
        <v>75.0</v>
      </c>
      <c r="I282" s="8">
        <v>75.0</v>
      </c>
      <c r="J282" s="8">
        <v>7500.0</v>
      </c>
      <c r="K282" s="8">
        <v>7500.0</v>
      </c>
      <c r="L282" s="15">
        <v>46336.0</v>
      </c>
      <c r="M282" s="15">
        <v>46366.0</v>
      </c>
      <c r="N282" s="8">
        <v>0.0</v>
      </c>
      <c r="O282" s="8">
        <v>-530.0</v>
      </c>
      <c r="P282" s="8">
        <v>560.0</v>
      </c>
      <c r="R282" s="8" t="s">
        <v>1616</v>
      </c>
      <c r="S282" s="11" t="s">
        <v>1617</v>
      </c>
      <c r="T282" s="8">
        <v>488.0</v>
      </c>
    </row>
    <row r="283" ht="22.5" customHeight="1">
      <c r="A283" s="8" t="s">
        <v>1574</v>
      </c>
      <c r="B283" s="9" t="s">
        <v>447</v>
      </c>
      <c r="C283" s="8" t="s">
        <v>136</v>
      </c>
      <c r="D283" s="8" t="s">
        <v>1485</v>
      </c>
      <c r="E283" s="9" t="s">
        <v>29</v>
      </c>
      <c r="F283" s="8">
        <v>4.0</v>
      </c>
      <c r="H283" s="8">
        <v>100.0</v>
      </c>
      <c r="I283" s="8">
        <v>400.0</v>
      </c>
      <c r="J283" s="8">
        <v>8800.0</v>
      </c>
      <c r="K283" s="8">
        <v>0.0</v>
      </c>
      <c r="L283" s="15">
        <v>46299.0</v>
      </c>
      <c r="M283" s="15">
        <v>46330.0</v>
      </c>
      <c r="N283" s="8">
        <v>1.0</v>
      </c>
      <c r="O283" s="8">
        <v>-566.0</v>
      </c>
      <c r="P283" s="8">
        <v>596.0</v>
      </c>
      <c r="R283" s="8" t="s">
        <v>1618</v>
      </c>
      <c r="S283" s="11" t="s">
        <v>1619</v>
      </c>
      <c r="T283" s="8">
        <v>453.0</v>
      </c>
    </row>
    <row r="284" ht="22.5" customHeight="1">
      <c r="B284" s="9" t="s">
        <v>400</v>
      </c>
      <c r="C284" s="8" t="s">
        <v>136</v>
      </c>
      <c r="D284" s="8" t="s">
        <v>1375</v>
      </c>
      <c r="E284" s="9" t="s">
        <v>59</v>
      </c>
      <c r="F284" s="8">
        <v>3.0</v>
      </c>
      <c r="H284" s="8">
        <v>12.0</v>
      </c>
      <c r="I284" s="8">
        <v>36.0</v>
      </c>
      <c r="J284" s="8">
        <v>3971.67</v>
      </c>
      <c r="K284" s="8">
        <v>0.0</v>
      </c>
      <c r="L284" s="15">
        <v>46300.0</v>
      </c>
      <c r="M284" s="15">
        <v>46331.0</v>
      </c>
      <c r="N284" s="8">
        <v>1.0</v>
      </c>
      <c r="O284" s="8">
        <v>-565.0</v>
      </c>
      <c r="P284" s="8">
        <v>595.0</v>
      </c>
      <c r="R284" s="8" t="s">
        <v>1620</v>
      </c>
      <c r="S284" s="11" t="s">
        <v>1621</v>
      </c>
      <c r="T284" s="8">
        <v>454.0</v>
      </c>
    </row>
    <row r="285" ht="22.5" customHeight="1">
      <c r="B285" s="9" t="s">
        <v>224</v>
      </c>
      <c r="C285" s="8" t="s">
        <v>136</v>
      </c>
      <c r="D285" s="8" t="s">
        <v>1430</v>
      </c>
      <c r="E285" s="9" t="s">
        <v>29</v>
      </c>
      <c r="F285" s="8">
        <v>1.0</v>
      </c>
      <c r="H285" s="8">
        <v>150.0</v>
      </c>
      <c r="I285" s="8">
        <v>150.0</v>
      </c>
      <c r="J285" s="8">
        <v>3354.0</v>
      </c>
      <c r="K285" s="8">
        <v>3354.0</v>
      </c>
      <c r="L285" s="15">
        <v>46297.0</v>
      </c>
      <c r="M285" s="15">
        <v>46328.0</v>
      </c>
      <c r="N285" s="8">
        <v>0.0</v>
      </c>
      <c r="O285" s="8">
        <v>-568.0</v>
      </c>
      <c r="P285" s="8">
        <v>598.0</v>
      </c>
      <c r="R285" s="8" t="s">
        <v>1622</v>
      </c>
      <c r="S285" s="11" t="s">
        <v>1623</v>
      </c>
      <c r="T285" s="8">
        <v>455.0</v>
      </c>
    </row>
    <row r="286" ht="22.5" customHeight="1">
      <c r="A286" s="8" t="s">
        <v>1574</v>
      </c>
      <c r="B286" s="9" t="s">
        <v>450</v>
      </c>
      <c r="C286" s="8" t="s">
        <v>136</v>
      </c>
      <c r="D286" s="8" t="s">
        <v>1581</v>
      </c>
      <c r="E286" s="8" t="s">
        <v>38</v>
      </c>
      <c r="F286" s="8">
        <v>3.0</v>
      </c>
      <c r="H286" s="8">
        <v>2500.0</v>
      </c>
      <c r="I286" s="8">
        <v>7500.0</v>
      </c>
      <c r="J286" s="8">
        <v>7500.0</v>
      </c>
      <c r="K286" s="8">
        <v>7500.0</v>
      </c>
      <c r="L286" s="15">
        <v>46299.0</v>
      </c>
      <c r="M286" s="15">
        <v>46330.0</v>
      </c>
      <c r="N286" s="8">
        <v>0.0</v>
      </c>
      <c r="O286" s="8">
        <v>-566.0</v>
      </c>
      <c r="P286" s="8">
        <v>596.0</v>
      </c>
      <c r="R286" s="8" t="s">
        <v>1624</v>
      </c>
      <c r="S286" s="11" t="s">
        <v>1625</v>
      </c>
      <c r="T286" s="8">
        <v>456.0</v>
      </c>
    </row>
    <row r="287" ht="22.5" customHeight="1">
      <c r="A287" s="8" t="s">
        <v>1538</v>
      </c>
      <c r="B287" s="9" t="s">
        <v>412</v>
      </c>
      <c r="C287" s="8" t="s">
        <v>136</v>
      </c>
      <c r="D287" s="8" t="s">
        <v>1460</v>
      </c>
      <c r="E287" s="9" t="s">
        <v>38</v>
      </c>
      <c r="F287" s="8">
        <v>3.0</v>
      </c>
      <c r="H287" s="8">
        <v>1000.0</v>
      </c>
      <c r="I287" s="8">
        <v>3000.0</v>
      </c>
      <c r="J287" s="8">
        <v>3000.0</v>
      </c>
      <c r="K287" s="8">
        <v>0.0</v>
      </c>
      <c r="L287" s="15">
        <v>46301.0</v>
      </c>
      <c r="M287" s="15">
        <v>46332.0</v>
      </c>
      <c r="N287" s="8">
        <v>1.0</v>
      </c>
      <c r="O287" s="8">
        <v>-564.0</v>
      </c>
      <c r="P287" s="8">
        <v>594.0</v>
      </c>
      <c r="R287" s="8" t="s">
        <v>1626</v>
      </c>
      <c r="S287" s="11" t="s">
        <v>1627</v>
      </c>
      <c r="T287" s="8">
        <v>457.0</v>
      </c>
    </row>
    <row r="288" ht="22.5" customHeight="1">
      <c r="A288" s="8" t="s">
        <v>1586</v>
      </c>
      <c r="B288" s="9" t="s">
        <v>441</v>
      </c>
      <c r="C288" s="8" t="s">
        <v>136</v>
      </c>
      <c r="D288" s="8" t="s">
        <v>1460</v>
      </c>
      <c r="E288" s="9" t="s">
        <v>38</v>
      </c>
      <c r="F288" s="8">
        <v>3.0</v>
      </c>
      <c r="H288" s="8">
        <v>1000.0</v>
      </c>
      <c r="I288" s="8">
        <v>3000.0</v>
      </c>
      <c r="J288" s="8">
        <v>3000.0</v>
      </c>
      <c r="K288" s="8">
        <v>0.0</v>
      </c>
      <c r="L288" s="15">
        <v>46319.0</v>
      </c>
      <c r="M288" s="15">
        <v>46350.0</v>
      </c>
      <c r="N288" s="8">
        <v>1.0</v>
      </c>
      <c r="O288" s="8">
        <v>-546.0</v>
      </c>
      <c r="P288" s="8">
        <v>576.0</v>
      </c>
      <c r="R288" s="8" t="s">
        <v>1628</v>
      </c>
      <c r="S288" s="11" t="s">
        <v>1629</v>
      </c>
      <c r="T288" s="8">
        <v>458.0</v>
      </c>
    </row>
    <row r="289" ht="22.5" customHeight="1">
      <c r="A289" s="8" t="s">
        <v>1544</v>
      </c>
      <c r="B289" s="9" t="s">
        <v>371</v>
      </c>
      <c r="C289" s="8" t="s">
        <v>136</v>
      </c>
      <c r="D289" s="8" t="s">
        <v>1256</v>
      </c>
      <c r="E289" s="9" t="s">
        <v>38</v>
      </c>
      <c r="F289" s="8">
        <v>3.0</v>
      </c>
      <c r="H289" s="8">
        <v>3000.0</v>
      </c>
      <c r="I289" s="8">
        <v>9000.0</v>
      </c>
      <c r="J289" s="8">
        <v>9000.0</v>
      </c>
      <c r="L289" s="15">
        <v>46298.0</v>
      </c>
      <c r="M289" s="15">
        <v>46329.0</v>
      </c>
      <c r="O289" s="8">
        <v>-567.0</v>
      </c>
      <c r="P289" s="8">
        <v>597.0</v>
      </c>
      <c r="R289" s="8" t="s">
        <v>1630</v>
      </c>
      <c r="S289" s="11" t="s">
        <v>1631</v>
      </c>
      <c r="T289" s="8">
        <v>459.0</v>
      </c>
    </row>
    <row r="290" ht="22.5" customHeight="1">
      <c r="A290" s="8" t="s">
        <v>1574</v>
      </c>
      <c r="B290" s="9" t="s">
        <v>444</v>
      </c>
      <c r="C290" s="8" t="s">
        <v>136</v>
      </c>
      <c r="D290" s="8" t="s">
        <v>1591</v>
      </c>
      <c r="E290" s="9" t="s">
        <v>29</v>
      </c>
      <c r="F290" s="8">
        <v>4.0</v>
      </c>
      <c r="H290" s="8">
        <v>125.0</v>
      </c>
      <c r="I290" s="8">
        <v>500.0</v>
      </c>
      <c r="J290" s="8">
        <v>11000.0</v>
      </c>
      <c r="K290" s="8">
        <v>11000.0</v>
      </c>
      <c r="L290" s="15">
        <v>46297.0</v>
      </c>
      <c r="M290" s="15">
        <v>46328.0</v>
      </c>
      <c r="N290" s="8">
        <v>0.0</v>
      </c>
      <c r="O290" s="8">
        <v>-568.0</v>
      </c>
      <c r="P290" s="8">
        <v>598.0</v>
      </c>
      <c r="R290" s="8" t="s">
        <v>1632</v>
      </c>
      <c r="S290" s="11" t="s">
        <v>1633</v>
      </c>
      <c r="T290" s="8">
        <v>460.0</v>
      </c>
    </row>
    <row r="291" ht="22.5" customHeight="1">
      <c r="A291" s="8" t="s">
        <v>1634</v>
      </c>
      <c r="B291" s="9" t="s">
        <v>359</v>
      </c>
      <c r="C291" s="8" t="s">
        <v>136</v>
      </c>
      <c r="D291" s="8" t="s">
        <v>1294</v>
      </c>
      <c r="E291" s="9" t="s">
        <v>38</v>
      </c>
      <c r="F291" s="8">
        <v>3.0</v>
      </c>
      <c r="H291" s="8">
        <v>6000.0</v>
      </c>
      <c r="I291" s="8">
        <v>18000.0</v>
      </c>
      <c r="J291" s="8">
        <v>18000.0</v>
      </c>
      <c r="L291" s="15">
        <v>46313.0</v>
      </c>
      <c r="M291" s="15">
        <v>46344.0</v>
      </c>
      <c r="O291" s="8">
        <v>-552.0</v>
      </c>
      <c r="P291" s="8">
        <v>582.0</v>
      </c>
      <c r="R291" s="8" t="s">
        <v>1635</v>
      </c>
      <c r="S291" s="11" t="s">
        <v>1636</v>
      </c>
      <c r="T291" s="8">
        <v>461.0</v>
      </c>
    </row>
    <row r="292" ht="22.5" customHeight="1">
      <c r="A292" s="8" t="s">
        <v>1637</v>
      </c>
      <c r="B292" s="9" t="s">
        <v>344</v>
      </c>
      <c r="C292" s="8" t="s">
        <v>136</v>
      </c>
      <c r="D292" s="8" t="s">
        <v>1638</v>
      </c>
      <c r="E292" s="9" t="s">
        <v>38</v>
      </c>
      <c r="F292" s="8">
        <v>2.0</v>
      </c>
      <c r="H292" s="8">
        <v>8000.0</v>
      </c>
      <c r="I292" s="8">
        <v>16000.0</v>
      </c>
      <c r="J292" s="8">
        <v>16000.0</v>
      </c>
      <c r="K292" s="8">
        <v>0.0</v>
      </c>
      <c r="L292" s="15">
        <v>46306.0</v>
      </c>
      <c r="M292" s="15">
        <v>46337.0</v>
      </c>
      <c r="N292" s="8">
        <v>1.0</v>
      </c>
      <c r="O292" s="8">
        <v>-559.0</v>
      </c>
      <c r="P292" s="8">
        <v>589.0</v>
      </c>
      <c r="R292" s="8" t="s">
        <v>1639</v>
      </c>
      <c r="S292" s="11" t="s">
        <v>1640</v>
      </c>
      <c r="T292" s="8">
        <v>462.0</v>
      </c>
    </row>
    <row r="293" ht="22.5" customHeight="1">
      <c r="B293" s="9" t="s">
        <v>432</v>
      </c>
      <c r="C293" s="8" t="s">
        <v>136</v>
      </c>
      <c r="D293" s="8" t="s">
        <v>1386</v>
      </c>
      <c r="E293" s="9" t="s">
        <v>50</v>
      </c>
      <c r="F293" s="8">
        <v>8.0</v>
      </c>
      <c r="H293" s="8">
        <v>12.0</v>
      </c>
      <c r="I293" s="8">
        <v>96.0</v>
      </c>
      <c r="J293" s="8">
        <v>8054.4</v>
      </c>
      <c r="K293" s="8">
        <v>8054.4</v>
      </c>
      <c r="L293" s="15">
        <v>46297.0</v>
      </c>
      <c r="M293" s="15">
        <v>46328.0</v>
      </c>
      <c r="N293" s="8">
        <v>0.0</v>
      </c>
      <c r="O293" s="8">
        <v>-568.0</v>
      </c>
      <c r="P293" s="8">
        <v>598.0</v>
      </c>
      <c r="R293" s="8" t="s">
        <v>1641</v>
      </c>
      <c r="S293" s="11" t="s">
        <v>1642</v>
      </c>
      <c r="T293" s="8">
        <v>463.0</v>
      </c>
    </row>
    <row r="294" ht="22.5" customHeight="1">
      <c r="B294" s="9" t="s">
        <v>403</v>
      </c>
      <c r="C294" s="8" t="s">
        <v>136</v>
      </c>
      <c r="D294" s="8" t="s">
        <v>1643</v>
      </c>
      <c r="E294" s="9" t="s">
        <v>38</v>
      </c>
      <c r="F294" s="8">
        <v>2.0</v>
      </c>
      <c r="H294" s="8" t="s">
        <v>1295</v>
      </c>
      <c r="I294" s="8">
        <v>15000.0</v>
      </c>
      <c r="J294" s="8">
        <v>15000.0</v>
      </c>
      <c r="K294" s="8">
        <v>0.0</v>
      </c>
      <c r="L294" s="15">
        <v>46304.0</v>
      </c>
      <c r="M294" s="15">
        <v>46335.0</v>
      </c>
      <c r="N294" s="8">
        <v>1.0</v>
      </c>
      <c r="O294" s="8">
        <v>-561.0</v>
      </c>
      <c r="P294" s="8">
        <v>591.0</v>
      </c>
      <c r="R294" s="8" t="s">
        <v>1644</v>
      </c>
      <c r="S294" s="11" t="s">
        <v>1645</v>
      </c>
      <c r="T294" s="8">
        <v>464.0</v>
      </c>
    </row>
    <row r="295" ht="22.5" customHeight="1">
      <c r="A295" s="8" t="s">
        <v>1514</v>
      </c>
      <c r="B295" s="9" t="s">
        <v>426</v>
      </c>
      <c r="C295" s="8" t="s">
        <v>136</v>
      </c>
      <c r="D295" s="8" t="s">
        <v>1256</v>
      </c>
      <c r="E295" s="9" t="s">
        <v>38</v>
      </c>
      <c r="F295" s="8">
        <v>3.0</v>
      </c>
      <c r="H295" s="8">
        <v>3000.0</v>
      </c>
      <c r="I295" s="8">
        <v>9000.0</v>
      </c>
      <c r="J295" s="8">
        <v>9000.0</v>
      </c>
      <c r="L295" s="15">
        <v>46315.0</v>
      </c>
      <c r="M295" s="15">
        <v>46346.0</v>
      </c>
      <c r="O295" s="8">
        <v>-550.0</v>
      </c>
      <c r="P295" s="8">
        <v>580.0</v>
      </c>
      <c r="R295" s="8" t="s">
        <v>1646</v>
      </c>
      <c r="S295" s="11" t="s">
        <v>1647</v>
      </c>
      <c r="T295" s="8">
        <v>465.0</v>
      </c>
    </row>
    <row r="296" ht="22.5" customHeight="1">
      <c r="B296" s="9" t="s">
        <v>415</v>
      </c>
      <c r="D296" s="8" t="s">
        <v>1560</v>
      </c>
      <c r="E296" s="9" t="s">
        <v>109</v>
      </c>
      <c r="F296" s="8">
        <v>10.25</v>
      </c>
      <c r="H296" s="8">
        <v>30.0</v>
      </c>
      <c r="I296" s="8">
        <v>307.5</v>
      </c>
      <c r="L296" s="15">
        <v>46304.0</v>
      </c>
      <c r="M296" s="15">
        <v>46335.0</v>
      </c>
      <c r="O296" s="8">
        <v>-561.0</v>
      </c>
      <c r="P296" s="8">
        <v>591.0</v>
      </c>
      <c r="R296" s="8" t="s">
        <v>1648</v>
      </c>
      <c r="T296" s="8">
        <v>466.0</v>
      </c>
    </row>
    <row r="297" ht="22.5" customHeight="1">
      <c r="B297" s="9" t="s">
        <v>406</v>
      </c>
      <c r="C297" s="8" t="s">
        <v>136</v>
      </c>
      <c r="D297" s="8" t="s">
        <v>1563</v>
      </c>
      <c r="E297" s="9" t="s">
        <v>29</v>
      </c>
      <c r="F297" s="8">
        <v>1.0</v>
      </c>
      <c r="H297" s="8">
        <v>150.0</v>
      </c>
      <c r="I297" s="8">
        <v>150.0</v>
      </c>
      <c r="J297" s="8">
        <v>3300.0</v>
      </c>
      <c r="K297" s="8">
        <v>3300.0</v>
      </c>
      <c r="L297" s="15">
        <v>46315.0</v>
      </c>
      <c r="M297" s="15">
        <v>46346.0</v>
      </c>
      <c r="N297" s="8">
        <v>0.0</v>
      </c>
      <c r="O297" s="8">
        <v>-550.0</v>
      </c>
      <c r="P297" s="8">
        <v>580.0</v>
      </c>
      <c r="R297" s="8" t="s">
        <v>1649</v>
      </c>
      <c r="S297" s="11" t="s">
        <v>1650</v>
      </c>
      <c r="T297" s="8">
        <v>467.0</v>
      </c>
    </row>
    <row r="298" ht="22.5" customHeight="1">
      <c r="B298" s="9" t="s">
        <v>409</v>
      </c>
      <c r="C298" s="8" t="s">
        <v>136</v>
      </c>
      <c r="D298" s="8" t="s">
        <v>1517</v>
      </c>
      <c r="E298" s="9" t="s">
        <v>29</v>
      </c>
      <c r="F298" s="8">
        <v>1.0</v>
      </c>
      <c r="H298" s="8">
        <v>150.0</v>
      </c>
      <c r="I298" s="8">
        <v>150.0</v>
      </c>
      <c r="J298" s="8">
        <v>3300.0</v>
      </c>
      <c r="K298" s="8">
        <v>3300.0</v>
      </c>
      <c r="L298" s="15">
        <v>46300.0</v>
      </c>
      <c r="M298" s="15">
        <v>46331.0</v>
      </c>
      <c r="N298" s="8">
        <v>0.0</v>
      </c>
      <c r="O298" s="8">
        <v>-565.0</v>
      </c>
      <c r="P298" s="8">
        <v>595.0</v>
      </c>
      <c r="R298" s="8" t="s">
        <v>1651</v>
      </c>
      <c r="S298" s="11" t="s">
        <v>1652</v>
      </c>
      <c r="T298" s="8">
        <v>468.0</v>
      </c>
    </row>
    <row r="299" ht="22.5" customHeight="1">
      <c r="A299" s="8" t="s">
        <v>1569</v>
      </c>
      <c r="B299" s="9" t="s">
        <v>453</v>
      </c>
      <c r="C299" s="8" t="s">
        <v>136</v>
      </c>
      <c r="D299" s="8" t="s">
        <v>1395</v>
      </c>
      <c r="E299" s="9" t="s">
        <v>59</v>
      </c>
      <c r="F299" s="8">
        <v>1.0</v>
      </c>
      <c r="H299" s="8">
        <v>10.0</v>
      </c>
      <c r="I299" s="8">
        <v>10.0</v>
      </c>
      <c r="J299" s="8">
        <v>12000.0</v>
      </c>
      <c r="K299" s="8">
        <v>0.0</v>
      </c>
      <c r="L299" s="15">
        <v>46317.0</v>
      </c>
      <c r="M299" s="15">
        <v>46348.0</v>
      </c>
      <c r="N299" s="8">
        <v>1.0</v>
      </c>
      <c r="O299" s="8">
        <v>-548.0</v>
      </c>
      <c r="P299" s="8">
        <v>578.0</v>
      </c>
      <c r="R299" s="8" t="s">
        <v>1653</v>
      </c>
      <c r="S299" s="11" t="s">
        <v>1654</v>
      </c>
      <c r="T299" s="8">
        <v>469.0</v>
      </c>
    </row>
    <row r="300" ht="22.5" customHeight="1">
      <c r="B300" s="9" t="s">
        <v>400</v>
      </c>
      <c r="C300" s="8" t="s">
        <v>136</v>
      </c>
      <c r="D300" s="8" t="s">
        <v>1375</v>
      </c>
      <c r="E300" s="9" t="s">
        <v>59</v>
      </c>
      <c r="F300" s="8">
        <v>4.0</v>
      </c>
      <c r="H300" s="8">
        <v>10.0</v>
      </c>
      <c r="I300" s="8">
        <v>40.0</v>
      </c>
      <c r="J300" s="8">
        <v>4426.75</v>
      </c>
      <c r="K300" s="8">
        <v>0.0</v>
      </c>
      <c r="L300" s="15">
        <v>46270.0</v>
      </c>
      <c r="M300" s="15">
        <v>46300.0</v>
      </c>
      <c r="N300" s="8">
        <v>1.0</v>
      </c>
      <c r="O300" s="8">
        <v>-596.0</v>
      </c>
      <c r="P300" s="8">
        <v>626.0</v>
      </c>
      <c r="R300" s="8" t="s">
        <v>1655</v>
      </c>
      <c r="S300" s="11" t="s">
        <v>1656</v>
      </c>
      <c r="T300" s="8">
        <v>437.0</v>
      </c>
    </row>
    <row r="301" ht="22.5" customHeight="1">
      <c r="B301" s="9" t="s">
        <v>224</v>
      </c>
      <c r="C301" s="8" t="s">
        <v>136</v>
      </c>
      <c r="D301" s="8" t="s">
        <v>1430</v>
      </c>
      <c r="E301" s="9" t="s">
        <v>29</v>
      </c>
      <c r="F301" s="8">
        <v>1.0</v>
      </c>
      <c r="H301" s="8">
        <v>150.0</v>
      </c>
      <c r="I301" s="8">
        <v>150.0</v>
      </c>
      <c r="J301" s="8">
        <v>3354.0</v>
      </c>
      <c r="K301" s="8">
        <v>3354.0</v>
      </c>
      <c r="L301" s="15">
        <v>46267.0</v>
      </c>
      <c r="M301" s="15">
        <v>46297.0</v>
      </c>
      <c r="N301" s="8">
        <v>0.0</v>
      </c>
      <c r="O301" s="8">
        <v>-599.0</v>
      </c>
      <c r="P301" s="8">
        <v>629.0</v>
      </c>
      <c r="R301" s="8" t="s">
        <v>1657</v>
      </c>
      <c r="S301" s="11" t="s">
        <v>1658</v>
      </c>
      <c r="T301" s="8">
        <v>438.0</v>
      </c>
    </row>
    <row r="302" ht="22.5" customHeight="1">
      <c r="A302" s="8" t="s">
        <v>1538</v>
      </c>
      <c r="B302" s="9" t="s">
        <v>412</v>
      </c>
      <c r="C302" s="8" t="s">
        <v>136</v>
      </c>
      <c r="D302" s="8" t="s">
        <v>1460</v>
      </c>
      <c r="E302" s="9" t="s">
        <v>38</v>
      </c>
      <c r="F302" s="8">
        <v>3.0</v>
      </c>
      <c r="H302" s="8">
        <v>1000.0</v>
      </c>
      <c r="I302" s="8">
        <v>3000.0</v>
      </c>
      <c r="J302" s="8">
        <v>3000.0</v>
      </c>
      <c r="K302" s="8">
        <v>0.0</v>
      </c>
      <c r="L302" s="15">
        <v>46271.0</v>
      </c>
      <c r="M302" s="15">
        <v>46301.0</v>
      </c>
      <c r="N302" s="8">
        <v>1.0</v>
      </c>
      <c r="O302" s="8">
        <v>-595.0</v>
      </c>
      <c r="P302" s="8">
        <v>625.0</v>
      </c>
      <c r="R302" s="8" t="s">
        <v>1659</v>
      </c>
      <c r="S302" s="11" t="s">
        <v>1660</v>
      </c>
      <c r="T302" s="8">
        <v>439.0</v>
      </c>
    </row>
    <row r="303" ht="22.5" customHeight="1">
      <c r="A303" s="8" t="s">
        <v>1586</v>
      </c>
      <c r="B303" s="9" t="s">
        <v>441</v>
      </c>
      <c r="C303" s="8" t="s">
        <v>136</v>
      </c>
      <c r="D303" s="8" t="s">
        <v>1460</v>
      </c>
      <c r="E303" s="9" t="s">
        <v>38</v>
      </c>
      <c r="F303" s="8">
        <v>3.0</v>
      </c>
      <c r="H303" s="8">
        <v>1000.0</v>
      </c>
      <c r="I303" s="8">
        <v>3000.0</v>
      </c>
      <c r="J303" s="8">
        <v>3000.0</v>
      </c>
      <c r="K303" s="8">
        <v>0.0</v>
      </c>
      <c r="L303" s="15">
        <v>46289.0</v>
      </c>
      <c r="M303" s="15">
        <v>46319.0</v>
      </c>
      <c r="N303" s="8">
        <v>1.0</v>
      </c>
      <c r="O303" s="8">
        <v>-577.0</v>
      </c>
      <c r="P303" s="8">
        <v>607.0</v>
      </c>
      <c r="R303" s="8" t="s">
        <v>1661</v>
      </c>
      <c r="S303" s="11" t="s">
        <v>1662</v>
      </c>
      <c r="T303" s="8">
        <v>440.0</v>
      </c>
    </row>
    <row r="304" ht="22.5" customHeight="1">
      <c r="A304" s="8" t="s">
        <v>1663</v>
      </c>
      <c r="B304" s="9" t="s">
        <v>377</v>
      </c>
      <c r="C304" s="8" t="s">
        <v>794</v>
      </c>
      <c r="D304" s="8" t="s">
        <v>1664</v>
      </c>
      <c r="E304" s="9" t="s">
        <v>38</v>
      </c>
      <c r="F304" s="8">
        <v>1.0</v>
      </c>
      <c r="H304" s="8">
        <v>8000.0</v>
      </c>
      <c r="I304" s="8">
        <v>8000.0</v>
      </c>
      <c r="J304" s="8">
        <v>8000.0</v>
      </c>
      <c r="K304" s="8">
        <v>0.0</v>
      </c>
      <c r="L304" s="15">
        <v>46280.0</v>
      </c>
      <c r="M304" s="15">
        <v>46310.0</v>
      </c>
      <c r="N304" s="8">
        <v>1.0</v>
      </c>
      <c r="O304" s="8">
        <v>-586.0</v>
      </c>
      <c r="P304" s="8">
        <v>616.0</v>
      </c>
      <c r="R304" s="8" t="s">
        <v>1665</v>
      </c>
      <c r="T304" s="8">
        <v>441.0</v>
      </c>
    </row>
    <row r="305" ht="22.5" customHeight="1">
      <c r="A305" s="8" t="s">
        <v>1544</v>
      </c>
      <c r="B305" s="9" t="s">
        <v>371</v>
      </c>
      <c r="C305" s="8" t="s">
        <v>136</v>
      </c>
      <c r="D305" s="8" t="s">
        <v>1256</v>
      </c>
      <c r="E305" s="9" t="s">
        <v>38</v>
      </c>
      <c r="F305" s="8">
        <v>3.0</v>
      </c>
      <c r="H305" s="8">
        <v>3000.0</v>
      </c>
      <c r="I305" s="8">
        <v>9000.0</v>
      </c>
      <c r="J305" s="8">
        <v>9000.0</v>
      </c>
      <c r="K305" s="8">
        <v>0.0</v>
      </c>
      <c r="L305" s="15">
        <v>46268.0</v>
      </c>
      <c r="M305" s="15">
        <v>46298.0</v>
      </c>
      <c r="N305" s="8">
        <v>1.0</v>
      </c>
      <c r="O305" s="8">
        <v>-598.0</v>
      </c>
      <c r="P305" s="8">
        <v>628.0</v>
      </c>
      <c r="R305" s="8" t="s">
        <v>1666</v>
      </c>
      <c r="S305" s="11" t="s">
        <v>1667</v>
      </c>
      <c r="T305" s="8">
        <v>442.0</v>
      </c>
    </row>
    <row r="306" ht="22.5" customHeight="1">
      <c r="A306" s="8" t="s">
        <v>1574</v>
      </c>
      <c r="B306" s="9" t="s">
        <v>444</v>
      </c>
      <c r="C306" s="8" t="s">
        <v>136</v>
      </c>
      <c r="D306" s="8" t="s">
        <v>1591</v>
      </c>
      <c r="E306" s="9" t="s">
        <v>29</v>
      </c>
      <c r="F306" s="8">
        <v>4.0</v>
      </c>
      <c r="H306" s="8">
        <v>125.0</v>
      </c>
      <c r="I306" s="8">
        <v>500.0</v>
      </c>
      <c r="J306" s="8">
        <v>11000.0</v>
      </c>
      <c r="K306" s="8">
        <v>0.0</v>
      </c>
      <c r="L306" s="15">
        <v>46267.0</v>
      </c>
      <c r="M306" s="15">
        <v>46297.0</v>
      </c>
      <c r="N306" s="8">
        <v>1.0</v>
      </c>
      <c r="O306" s="8">
        <v>-599.0</v>
      </c>
      <c r="P306" s="8">
        <v>629.0</v>
      </c>
      <c r="R306" s="8" t="s">
        <v>1668</v>
      </c>
      <c r="S306" s="11" t="s">
        <v>1669</v>
      </c>
      <c r="T306" s="8">
        <v>443.0</v>
      </c>
    </row>
    <row r="307" ht="22.5" customHeight="1">
      <c r="A307" s="8" t="s">
        <v>1634</v>
      </c>
      <c r="B307" s="9" t="s">
        <v>359</v>
      </c>
      <c r="C307" s="8" t="s">
        <v>136</v>
      </c>
      <c r="D307" s="8" t="s">
        <v>1294</v>
      </c>
      <c r="E307" s="9" t="s">
        <v>38</v>
      </c>
      <c r="F307" s="8">
        <v>3.0</v>
      </c>
      <c r="H307" s="8">
        <v>6000.0</v>
      </c>
      <c r="I307" s="8">
        <v>18000.0</v>
      </c>
      <c r="J307" s="8">
        <v>18000.0</v>
      </c>
      <c r="K307" s="8">
        <v>0.0</v>
      </c>
      <c r="L307" s="15">
        <v>46283.0</v>
      </c>
      <c r="M307" s="15">
        <v>46313.0</v>
      </c>
      <c r="N307" s="8">
        <v>1.0</v>
      </c>
      <c r="O307" s="8">
        <v>-583.0</v>
      </c>
      <c r="P307" s="8">
        <v>613.0</v>
      </c>
      <c r="R307" s="8" t="s">
        <v>1670</v>
      </c>
      <c r="S307" s="11" t="s">
        <v>1671</v>
      </c>
      <c r="T307" s="8">
        <v>444.0</v>
      </c>
    </row>
    <row r="308" ht="22.5" customHeight="1">
      <c r="A308" s="8" t="s">
        <v>1672</v>
      </c>
      <c r="B308" s="9" t="s">
        <v>281</v>
      </c>
      <c r="C308" s="8" t="s">
        <v>136</v>
      </c>
      <c r="D308" s="8" t="s">
        <v>1673</v>
      </c>
      <c r="E308" s="9" t="s">
        <v>29</v>
      </c>
      <c r="F308" s="8">
        <v>2.0</v>
      </c>
      <c r="H308" s="8">
        <v>250.0</v>
      </c>
      <c r="I308" s="8">
        <v>500.0</v>
      </c>
      <c r="J308" s="8">
        <v>11180.0</v>
      </c>
      <c r="K308" s="8">
        <v>11180.0</v>
      </c>
      <c r="L308" s="15">
        <v>46277.0</v>
      </c>
      <c r="M308" s="15">
        <v>46307.0</v>
      </c>
      <c r="N308" s="8">
        <v>0.0</v>
      </c>
      <c r="O308" s="8">
        <v>-589.0</v>
      </c>
      <c r="P308" s="8">
        <v>619.0</v>
      </c>
      <c r="R308" s="8" t="s">
        <v>1674</v>
      </c>
      <c r="S308" s="11" t="s">
        <v>1675</v>
      </c>
      <c r="T308" s="8">
        <v>445.0</v>
      </c>
    </row>
    <row r="309" ht="22.5" customHeight="1">
      <c r="A309" s="8" t="s">
        <v>1676</v>
      </c>
      <c r="B309" s="9" t="s">
        <v>344</v>
      </c>
      <c r="C309" s="8" t="s">
        <v>136</v>
      </c>
      <c r="D309" s="8" t="s">
        <v>1638</v>
      </c>
      <c r="E309" s="9" t="s">
        <v>38</v>
      </c>
      <c r="F309" s="8">
        <v>2.0</v>
      </c>
      <c r="H309" s="8">
        <v>8000.0</v>
      </c>
      <c r="I309" s="8">
        <v>16000.0</v>
      </c>
      <c r="J309" s="8">
        <v>16000.0</v>
      </c>
      <c r="K309" s="8">
        <v>0.0</v>
      </c>
      <c r="L309" s="15">
        <v>46276.0</v>
      </c>
      <c r="M309" s="15">
        <v>46306.0</v>
      </c>
      <c r="N309" s="8">
        <v>1.0</v>
      </c>
      <c r="O309" s="8">
        <v>-590.0</v>
      </c>
      <c r="P309" s="8">
        <v>620.0</v>
      </c>
      <c r="R309" s="8" t="s">
        <v>1677</v>
      </c>
      <c r="S309" s="11" t="s">
        <v>1678</v>
      </c>
      <c r="T309" s="8">
        <v>446.0</v>
      </c>
    </row>
    <row r="310" ht="22.5" customHeight="1">
      <c r="A310" s="8" t="s">
        <v>1679</v>
      </c>
      <c r="B310" s="9" t="s">
        <v>432</v>
      </c>
      <c r="C310" s="8" t="s">
        <v>136</v>
      </c>
      <c r="D310" s="8" t="s">
        <v>1386</v>
      </c>
      <c r="E310" s="9" t="s">
        <v>50</v>
      </c>
      <c r="F310" s="8">
        <v>8.0</v>
      </c>
      <c r="H310" s="8">
        <v>12.0</v>
      </c>
      <c r="I310" s="8">
        <v>96.0</v>
      </c>
      <c r="J310" s="8">
        <v>8054.4</v>
      </c>
      <c r="K310" s="8">
        <v>8054.4</v>
      </c>
      <c r="L310" s="15">
        <v>46267.0</v>
      </c>
      <c r="M310" s="15">
        <v>46297.0</v>
      </c>
      <c r="N310" s="8">
        <v>0.0</v>
      </c>
      <c r="O310" s="8">
        <v>-599.0</v>
      </c>
      <c r="P310" s="8">
        <v>629.0</v>
      </c>
      <c r="R310" s="8" t="s">
        <v>1680</v>
      </c>
      <c r="S310" s="11" t="s">
        <v>1681</v>
      </c>
      <c r="T310" s="8">
        <v>447.0</v>
      </c>
    </row>
    <row r="311" ht="22.5" customHeight="1">
      <c r="A311" s="8" t="s">
        <v>1682</v>
      </c>
      <c r="B311" s="9" t="s">
        <v>403</v>
      </c>
      <c r="C311" s="8" t="s">
        <v>136</v>
      </c>
      <c r="D311" s="8" t="s">
        <v>1643</v>
      </c>
      <c r="E311" s="9" t="s">
        <v>38</v>
      </c>
      <c r="F311" s="8">
        <v>2.0</v>
      </c>
      <c r="H311" s="8" t="s">
        <v>1295</v>
      </c>
      <c r="I311" s="8">
        <v>15000.0</v>
      </c>
      <c r="J311" s="8">
        <v>15000.0</v>
      </c>
      <c r="K311" s="8">
        <v>0.0</v>
      </c>
      <c r="L311" s="15">
        <v>46274.0</v>
      </c>
      <c r="M311" s="15">
        <v>46304.0</v>
      </c>
      <c r="N311" s="8">
        <v>1.0</v>
      </c>
      <c r="O311" s="8">
        <v>-592.0</v>
      </c>
      <c r="P311" s="8">
        <v>622.0</v>
      </c>
      <c r="R311" s="8" t="s">
        <v>1683</v>
      </c>
      <c r="S311" s="11" t="s">
        <v>1684</v>
      </c>
      <c r="T311" s="8">
        <v>448.0</v>
      </c>
    </row>
    <row r="312" ht="22.5" customHeight="1">
      <c r="A312" s="8" t="s">
        <v>1514</v>
      </c>
      <c r="B312" s="9" t="s">
        <v>426</v>
      </c>
      <c r="C312" s="8" t="s">
        <v>136</v>
      </c>
      <c r="D312" s="8" t="s">
        <v>1256</v>
      </c>
      <c r="E312" s="9" t="s">
        <v>38</v>
      </c>
      <c r="F312" s="8">
        <v>3.0</v>
      </c>
      <c r="H312" s="8">
        <v>3000.0</v>
      </c>
      <c r="I312" s="8">
        <v>9000.0</v>
      </c>
      <c r="J312" s="8">
        <v>9000.0</v>
      </c>
      <c r="K312" s="8">
        <v>0.0</v>
      </c>
      <c r="L312" s="15">
        <v>46285.0</v>
      </c>
      <c r="M312" s="15">
        <v>46315.0</v>
      </c>
      <c r="N312" s="8">
        <v>1.0</v>
      </c>
      <c r="O312" s="8">
        <v>-581.0</v>
      </c>
      <c r="P312" s="8">
        <v>611.0</v>
      </c>
      <c r="R312" s="8" t="s">
        <v>1685</v>
      </c>
      <c r="S312" s="11" t="s">
        <v>1686</v>
      </c>
      <c r="T312" s="8">
        <v>449.0</v>
      </c>
    </row>
    <row r="313" ht="22.5" customHeight="1">
      <c r="B313" s="9" t="s">
        <v>415</v>
      </c>
      <c r="C313" s="8" t="s">
        <v>136</v>
      </c>
      <c r="D313" s="8" t="s">
        <v>1560</v>
      </c>
      <c r="E313" s="9" t="s">
        <v>109</v>
      </c>
      <c r="F313" s="8">
        <v>10.25</v>
      </c>
      <c r="H313" s="8">
        <v>30.0</v>
      </c>
      <c r="I313" s="8">
        <v>307.5</v>
      </c>
      <c r="J313" s="8">
        <v>0.0</v>
      </c>
      <c r="K313" s="8">
        <v>0.0</v>
      </c>
      <c r="L313" s="15">
        <v>46274.0</v>
      </c>
      <c r="M313" s="15">
        <v>46304.0</v>
      </c>
      <c r="N313" s="8">
        <v>1.0</v>
      </c>
      <c r="O313" s="8">
        <v>-592.0</v>
      </c>
      <c r="P313" s="8">
        <v>622.0</v>
      </c>
      <c r="R313" s="8" t="s">
        <v>1687</v>
      </c>
      <c r="S313" s="11" t="s">
        <v>1688</v>
      </c>
      <c r="T313" s="8">
        <v>450.0</v>
      </c>
    </row>
    <row r="314" ht="22.5" customHeight="1">
      <c r="B314" s="9" t="s">
        <v>406</v>
      </c>
      <c r="C314" s="8" t="s">
        <v>136</v>
      </c>
      <c r="D314" s="8" t="s">
        <v>1563</v>
      </c>
      <c r="E314" s="9" t="s">
        <v>29</v>
      </c>
      <c r="F314" s="8">
        <v>1.0</v>
      </c>
      <c r="H314" s="8">
        <v>150.0</v>
      </c>
      <c r="I314" s="8">
        <v>150.0</v>
      </c>
      <c r="J314" s="8">
        <v>3300.0</v>
      </c>
      <c r="K314" s="8">
        <v>3300.0</v>
      </c>
      <c r="L314" s="15">
        <v>46285.0</v>
      </c>
      <c r="M314" s="15">
        <v>46315.0</v>
      </c>
      <c r="N314" s="8">
        <v>0.0</v>
      </c>
      <c r="O314" s="8">
        <v>-581.0</v>
      </c>
      <c r="P314" s="8">
        <v>611.0</v>
      </c>
      <c r="R314" s="8" t="s">
        <v>1689</v>
      </c>
      <c r="S314" s="11" t="s">
        <v>1690</v>
      </c>
      <c r="T314" s="8">
        <v>451.0</v>
      </c>
    </row>
    <row r="315" ht="22.5" customHeight="1">
      <c r="B315" s="9" t="s">
        <v>409</v>
      </c>
      <c r="C315" s="8" t="s">
        <v>136</v>
      </c>
      <c r="D315" s="8" t="s">
        <v>1517</v>
      </c>
      <c r="E315" s="9" t="s">
        <v>29</v>
      </c>
      <c r="F315" s="8">
        <v>1.0</v>
      </c>
      <c r="H315" s="8">
        <v>150.0</v>
      </c>
      <c r="I315" s="8">
        <v>150.0</v>
      </c>
      <c r="J315" s="8">
        <v>3300.0</v>
      </c>
      <c r="K315" s="8">
        <v>3300.0</v>
      </c>
      <c r="L315" s="15">
        <v>46270.0</v>
      </c>
      <c r="M315" s="15">
        <v>46300.0</v>
      </c>
      <c r="N315" s="8">
        <v>0.0</v>
      </c>
      <c r="O315" s="8">
        <v>-596.0</v>
      </c>
      <c r="P315" s="8">
        <v>626.0</v>
      </c>
      <c r="R315" s="8" t="s">
        <v>1691</v>
      </c>
      <c r="S315" s="11" t="s">
        <v>1692</v>
      </c>
      <c r="T315" s="8">
        <v>452.0</v>
      </c>
    </row>
    <row r="316" ht="22.5" customHeight="1">
      <c r="A316" s="8" t="s">
        <v>1693</v>
      </c>
      <c r="B316" s="9" t="s">
        <v>400</v>
      </c>
      <c r="C316" s="8" t="s">
        <v>136</v>
      </c>
      <c r="D316" s="8" t="s">
        <v>1375</v>
      </c>
      <c r="E316" s="9" t="s">
        <v>59</v>
      </c>
      <c r="F316" s="8">
        <v>1.0</v>
      </c>
      <c r="H316" s="8">
        <v>10.0</v>
      </c>
      <c r="I316" s="8">
        <v>10.0</v>
      </c>
      <c r="J316" s="8">
        <v>1074.19</v>
      </c>
      <c r="L316" s="15">
        <v>46239.0</v>
      </c>
      <c r="M316" s="15">
        <v>46270.0</v>
      </c>
      <c r="O316" s="8">
        <v>-626.0</v>
      </c>
      <c r="P316" s="8">
        <v>656.0</v>
      </c>
      <c r="R316" s="8" t="s">
        <v>1694</v>
      </c>
      <c r="T316" s="8">
        <v>424.0</v>
      </c>
    </row>
    <row r="317" ht="22.5" customHeight="1">
      <c r="A317" s="8" t="s">
        <v>1695</v>
      </c>
      <c r="B317" s="9" t="s">
        <v>224</v>
      </c>
      <c r="C317" s="8" t="s">
        <v>136</v>
      </c>
      <c r="D317" s="8" t="s">
        <v>1430</v>
      </c>
      <c r="E317" s="9" t="s">
        <v>29</v>
      </c>
      <c r="F317" s="8">
        <v>1.0</v>
      </c>
      <c r="H317" s="8">
        <v>150.0</v>
      </c>
      <c r="I317" s="8">
        <v>150.0</v>
      </c>
      <c r="J317" s="8">
        <v>3354.0</v>
      </c>
      <c r="K317" s="8">
        <v>3354.0</v>
      </c>
      <c r="L317" s="15">
        <v>46236.0</v>
      </c>
      <c r="M317" s="15">
        <v>46267.0</v>
      </c>
      <c r="N317" s="8">
        <v>0.0</v>
      </c>
      <c r="O317" s="8">
        <v>-629.0</v>
      </c>
      <c r="P317" s="8">
        <v>659.0</v>
      </c>
      <c r="R317" s="8" t="s">
        <v>1696</v>
      </c>
      <c r="T317" s="8">
        <v>425.0</v>
      </c>
    </row>
    <row r="318" ht="22.5" customHeight="1">
      <c r="A318" s="8" t="s">
        <v>1697</v>
      </c>
      <c r="B318" s="9" t="s">
        <v>412</v>
      </c>
      <c r="C318" s="8" t="s">
        <v>136</v>
      </c>
      <c r="D318" s="8" t="s">
        <v>1460</v>
      </c>
      <c r="E318" s="9" t="s">
        <v>38</v>
      </c>
      <c r="F318" s="8">
        <v>3.0</v>
      </c>
      <c r="H318" s="8">
        <v>1000.0</v>
      </c>
      <c r="I318" s="8">
        <v>3000.0</v>
      </c>
      <c r="J318" s="8">
        <v>3000.0</v>
      </c>
      <c r="K318" s="8">
        <v>0.0</v>
      </c>
      <c r="L318" s="15">
        <v>46240.0</v>
      </c>
      <c r="M318" s="15">
        <v>46271.0</v>
      </c>
      <c r="N318" s="8">
        <v>1.0</v>
      </c>
      <c r="O318" s="8">
        <v>-625.0</v>
      </c>
      <c r="P318" s="8">
        <v>655.0</v>
      </c>
      <c r="R318" s="8" t="s">
        <v>1698</v>
      </c>
      <c r="T318" s="8">
        <v>426.0</v>
      </c>
    </row>
    <row r="319" ht="22.5" customHeight="1">
      <c r="A319" s="8" t="s">
        <v>1699</v>
      </c>
      <c r="B319" s="9" t="s">
        <v>441</v>
      </c>
      <c r="C319" s="8" t="s">
        <v>136</v>
      </c>
      <c r="D319" s="8" t="s">
        <v>1460</v>
      </c>
      <c r="E319" s="9" t="s">
        <v>38</v>
      </c>
      <c r="F319" s="8">
        <v>3.0</v>
      </c>
      <c r="H319" s="8">
        <v>1000.0</v>
      </c>
      <c r="I319" s="8">
        <v>3000.0</v>
      </c>
      <c r="J319" s="8">
        <v>3000.0</v>
      </c>
      <c r="K319" s="8">
        <v>0.0</v>
      </c>
      <c r="L319" s="15">
        <v>46258.0</v>
      </c>
      <c r="M319" s="15">
        <v>46289.0</v>
      </c>
      <c r="N319" s="8">
        <v>1.0</v>
      </c>
      <c r="O319" s="8">
        <v>-607.0</v>
      </c>
      <c r="P319" s="8">
        <v>637.0</v>
      </c>
      <c r="R319" s="8" t="s">
        <v>1700</v>
      </c>
      <c r="T319" s="8">
        <v>427.0</v>
      </c>
    </row>
    <row r="320" ht="22.5" customHeight="1">
      <c r="A320" s="8" t="s">
        <v>1701</v>
      </c>
      <c r="B320" s="9" t="s">
        <v>438</v>
      </c>
      <c r="C320" s="8" t="s">
        <v>136</v>
      </c>
      <c r="D320" s="8" t="s">
        <v>1563</v>
      </c>
      <c r="E320" s="9" t="s">
        <v>29</v>
      </c>
      <c r="F320" s="8" t="s">
        <v>1262</v>
      </c>
      <c r="H320" s="8">
        <v>10.0</v>
      </c>
      <c r="I320" s="8">
        <v>80.0</v>
      </c>
      <c r="J320" s="8">
        <v>8583.2</v>
      </c>
      <c r="K320" s="8">
        <v>8583.2</v>
      </c>
      <c r="L320" s="15">
        <v>46235.0</v>
      </c>
      <c r="M320" s="15">
        <v>46266.0</v>
      </c>
      <c r="N320" s="8">
        <v>0.0</v>
      </c>
      <c r="O320" s="8">
        <v>-630.0</v>
      </c>
      <c r="P320" s="8">
        <v>660.0</v>
      </c>
      <c r="R320" s="8" t="s">
        <v>1702</v>
      </c>
      <c r="T320" s="8">
        <v>428.0</v>
      </c>
    </row>
    <row r="321" ht="22.5" customHeight="1">
      <c r="A321" s="8" t="s">
        <v>1544</v>
      </c>
      <c r="B321" s="9" t="s">
        <v>371</v>
      </c>
      <c r="C321" s="8" t="s">
        <v>136</v>
      </c>
      <c r="D321" s="8" t="s">
        <v>1256</v>
      </c>
      <c r="E321" s="9" t="s">
        <v>38</v>
      </c>
      <c r="F321" s="8">
        <v>3.0</v>
      </c>
      <c r="H321" s="8">
        <v>3000.0</v>
      </c>
      <c r="I321" s="8">
        <v>9000.0</v>
      </c>
      <c r="J321" s="8">
        <v>9000.0</v>
      </c>
      <c r="K321" s="8">
        <v>0.0</v>
      </c>
      <c r="L321" s="15">
        <v>46237.0</v>
      </c>
      <c r="M321" s="15">
        <v>46268.0</v>
      </c>
      <c r="N321" s="8">
        <v>1.0</v>
      </c>
      <c r="O321" s="8">
        <v>-628.0</v>
      </c>
      <c r="P321" s="8">
        <v>658.0</v>
      </c>
      <c r="R321" s="8" t="s">
        <v>1703</v>
      </c>
      <c r="T321" s="8">
        <v>429.0</v>
      </c>
    </row>
    <row r="322" ht="22.5" customHeight="1">
      <c r="A322" s="8" t="s">
        <v>1435</v>
      </c>
      <c r="B322" s="9" t="s">
        <v>359</v>
      </c>
      <c r="C322" s="8" t="s">
        <v>136</v>
      </c>
      <c r="D322" s="8" t="s">
        <v>1294</v>
      </c>
      <c r="E322" s="9" t="s">
        <v>38</v>
      </c>
      <c r="F322" s="8">
        <v>4.0</v>
      </c>
      <c r="H322" s="8">
        <v>6000.0</v>
      </c>
      <c r="I322" s="8">
        <v>24000.0</v>
      </c>
      <c r="J322" s="8">
        <v>24000.0</v>
      </c>
      <c r="K322" s="8">
        <v>0.0</v>
      </c>
      <c r="L322" s="15">
        <v>46252.0</v>
      </c>
      <c r="M322" s="15">
        <v>46283.0</v>
      </c>
      <c r="N322" s="8">
        <v>1.0</v>
      </c>
      <c r="O322" s="8">
        <v>-613.0</v>
      </c>
      <c r="P322" s="8">
        <v>643.0</v>
      </c>
      <c r="R322" s="8" t="s">
        <v>1704</v>
      </c>
      <c r="T322" s="8">
        <v>430.0</v>
      </c>
    </row>
    <row r="323" ht="22.5" customHeight="1">
      <c r="A323" s="8" t="s">
        <v>1705</v>
      </c>
      <c r="B323" s="9" t="s">
        <v>432</v>
      </c>
      <c r="C323" s="8" t="s">
        <v>136</v>
      </c>
      <c r="D323" s="8" t="s">
        <v>1386</v>
      </c>
      <c r="E323" s="9" t="s">
        <v>50</v>
      </c>
      <c r="F323" s="8">
        <v>8.0</v>
      </c>
      <c r="H323" s="8">
        <v>12.0</v>
      </c>
      <c r="I323" s="8">
        <v>96.0</v>
      </c>
      <c r="J323" s="8">
        <v>8054.4</v>
      </c>
      <c r="K323" s="8">
        <v>8054.4</v>
      </c>
      <c r="L323" s="15">
        <v>46236.0</v>
      </c>
      <c r="M323" s="15">
        <v>46267.0</v>
      </c>
      <c r="N323" s="8">
        <v>0.0</v>
      </c>
      <c r="O323" s="8">
        <v>-629.0</v>
      </c>
      <c r="P323" s="8">
        <v>659.0</v>
      </c>
      <c r="R323" s="8" t="s">
        <v>1706</v>
      </c>
      <c r="T323" s="8">
        <v>431.0</v>
      </c>
    </row>
    <row r="324" ht="22.5" customHeight="1">
      <c r="B324" s="9" t="s">
        <v>403</v>
      </c>
      <c r="C324" s="8" t="s">
        <v>136</v>
      </c>
      <c r="D324" s="8" t="s">
        <v>1643</v>
      </c>
      <c r="E324" s="9" t="s">
        <v>38</v>
      </c>
      <c r="F324" s="8">
        <v>2.0</v>
      </c>
      <c r="H324" s="8" t="s">
        <v>1295</v>
      </c>
      <c r="I324" s="8">
        <v>15000.0</v>
      </c>
      <c r="J324" s="8">
        <v>15000.0</v>
      </c>
      <c r="K324" s="8">
        <v>0.0</v>
      </c>
      <c r="L324" s="15">
        <v>46243.0</v>
      </c>
      <c r="M324" s="15">
        <v>46274.0</v>
      </c>
      <c r="N324" s="8">
        <v>1.0</v>
      </c>
      <c r="O324" s="8">
        <v>-622.0</v>
      </c>
      <c r="P324" s="8">
        <v>652.0</v>
      </c>
      <c r="R324" s="8" t="s">
        <v>1707</v>
      </c>
      <c r="T324" s="8">
        <v>432.0</v>
      </c>
    </row>
    <row r="325" ht="22.5" customHeight="1">
      <c r="A325" s="8" t="s">
        <v>1708</v>
      </c>
      <c r="B325" s="9" t="s">
        <v>426</v>
      </c>
      <c r="C325" s="8" t="s">
        <v>136</v>
      </c>
      <c r="D325" s="8" t="s">
        <v>1256</v>
      </c>
      <c r="E325" s="9" t="s">
        <v>38</v>
      </c>
      <c r="F325" s="8">
        <v>3.0</v>
      </c>
      <c r="H325" s="8">
        <v>3000.0</v>
      </c>
      <c r="I325" s="8">
        <v>9000.0</v>
      </c>
      <c r="J325" s="8">
        <v>9000.0</v>
      </c>
      <c r="K325" s="8">
        <v>0.0</v>
      </c>
      <c r="L325" s="15">
        <v>46254.0</v>
      </c>
      <c r="M325" s="15">
        <v>46285.0</v>
      </c>
      <c r="N325" s="8">
        <v>1.0</v>
      </c>
      <c r="O325" s="8">
        <v>-611.0</v>
      </c>
      <c r="P325" s="8">
        <v>641.0</v>
      </c>
      <c r="R325" s="8" t="s">
        <v>1709</v>
      </c>
      <c r="T325" s="8">
        <v>433.0</v>
      </c>
    </row>
    <row r="326" ht="22.5" customHeight="1">
      <c r="A326" s="8" t="s">
        <v>1710</v>
      </c>
      <c r="B326" s="9" t="s">
        <v>415</v>
      </c>
      <c r="C326" s="8" t="s">
        <v>136</v>
      </c>
      <c r="D326" s="8" t="s">
        <v>1560</v>
      </c>
      <c r="E326" s="9" t="s">
        <v>109</v>
      </c>
      <c r="F326" s="8">
        <v>10.25</v>
      </c>
      <c r="H326" s="8">
        <v>30.0</v>
      </c>
      <c r="I326" s="8">
        <v>307.5</v>
      </c>
      <c r="J326" s="8">
        <v>19372.5</v>
      </c>
      <c r="K326" s="8">
        <v>0.0</v>
      </c>
      <c r="L326" s="15">
        <v>46243.0</v>
      </c>
      <c r="M326" s="15">
        <v>46274.0</v>
      </c>
      <c r="N326" s="8">
        <v>1.0</v>
      </c>
      <c r="O326" s="8">
        <v>-622.0</v>
      </c>
      <c r="P326" s="8">
        <v>652.0</v>
      </c>
      <c r="R326" s="8" t="s">
        <v>1711</v>
      </c>
      <c r="T326" s="8">
        <v>434.0</v>
      </c>
    </row>
    <row r="327" ht="22.5" customHeight="1">
      <c r="A327" s="8" t="s">
        <v>1712</v>
      </c>
      <c r="B327" s="9" t="s">
        <v>406</v>
      </c>
      <c r="C327" s="8" t="s">
        <v>136</v>
      </c>
      <c r="D327" s="8" t="s">
        <v>1563</v>
      </c>
      <c r="E327" s="9" t="s">
        <v>29</v>
      </c>
      <c r="F327" s="8">
        <v>1.0</v>
      </c>
      <c r="H327" s="8">
        <v>150.0</v>
      </c>
      <c r="I327" s="8">
        <v>150.0</v>
      </c>
      <c r="J327" s="8">
        <v>3300.0</v>
      </c>
      <c r="K327" s="8">
        <v>0.0</v>
      </c>
      <c r="L327" s="15">
        <v>46254.0</v>
      </c>
      <c r="M327" s="15">
        <v>46285.0</v>
      </c>
      <c r="N327" s="8">
        <v>1.0</v>
      </c>
      <c r="O327" s="8">
        <v>-611.0</v>
      </c>
      <c r="P327" s="8">
        <v>641.0</v>
      </c>
      <c r="R327" s="8" t="s">
        <v>1713</v>
      </c>
      <c r="T327" s="8">
        <v>435.0</v>
      </c>
    </row>
    <row r="328" ht="22.5" customHeight="1">
      <c r="A328" s="8" t="s">
        <v>1714</v>
      </c>
      <c r="B328" s="9" t="s">
        <v>409</v>
      </c>
      <c r="C328" s="8" t="s">
        <v>136</v>
      </c>
      <c r="D328" s="8" t="s">
        <v>1517</v>
      </c>
      <c r="E328" s="9" t="s">
        <v>29</v>
      </c>
      <c r="F328" s="8">
        <v>1.0</v>
      </c>
      <c r="H328" s="8">
        <v>150.0</v>
      </c>
      <c r="I328" s="8">
        <v>150.0</v>
      </c>
      <c r="J328" s="8">
        <v>3300.0</v>
      </c>
      <c r="K328" s="8">
        <v>0.0</v>
      </c>
      <c r="L328" s="15">
        <v>46239.0</v>
      </c>
      <c r="M328" s="15">
        <v>46270.0</v>
      </c>
      <c r="N328" s="8">
        <v>1.0</v>
      </c>
      <c r="O328" s="8">
        <v>-626.0</v>
      </c>
      <c r="P328" s="8">
        <v>656.0</v>
      </c>
      <c r="R328" s="8" t="s">
        <v>1715</v>
      </c>
      <c r="T328" s="8">
        <v>436.0</v>
      </c>
    </row>
    <row r="329" ht="22.5" customHeight="1">
      <c r="A329" s="8" t="s">
        <v>1716</v>
      </c>
      <c r="B329" s="9" t="s">
        <v>224</v>
      </c>
      <c r="C329" s="8" t="s">
        <v>136</v>
      </c>
      <c r="D329" s="8" t="s">
        <v>1430</v>
      </c>
      <c r="E329" s="9" t="s">
        <v>29</v>
      </c>
      <c r="F329" s="8">
        <v>1.0</v>
      </c>
      <c r="H329" s="8">
        <v>150.0</v>
      </c>
      <c r="I329" s="8">
        <v>150.0</v>
      </c>
      <c r="J329" s="8">
        <v>3333.67</v>
      </c>
      <c r="K329" s="8">
        <v>3354.0</v>
      </c>
      <c r="L329" s="15">
        <v>46205.0</v>
      </c>
      <c r="M329" s="15">
        <v>46236.0</v>
      </c>
      <c r="N329" s="8">
        <v>0.0</v>
      </c>
      <c r="O329" s="8">
        <v>-660.0</v>
      </c>
      <c r="P329" s="8">
        <v>690.0</v>
      </c>
      <c r="R329" s="8" t="s">
        <v>1717</v>
      </c>
      <c r="T329" s="8">
        <v>410.0</v>
      </c>
    </row>
    <row r="330" ht="22.5" customHeight="1">
      <c r="A330" s="8" t="s">
        <v>1697</v>
      </c>
      <c r="B330" s="9" t="s">
        <v>412</v>
      </c>
      <c r="C330" s="8" t="s">
        <v>136</v>
      </c>
      <c r="D330" s="8" t="s">
        <v>1460</v>
      </c>
      <c r="E330" s="9" t="s">
        <v>38</v>
      </c>
      <c r="F330" s="8">
        <v>3.0</v>
      </c>
      <c r="H330" s="8">
        <v>1000.0</v>
      </c>
      <c r="I330" s="8">
        <v>3000.0</v>
      </c>
      <c r="J330" s="8">
        <v>3000.0</v>
      </c>
      <c r="K330" s="8">
        <v>0.0</v>
      </c>
      <c r="L330" s="15">
        <v>46209.0</v>
      </c>
      <c r="M330" s="15">
        <v>46240.0</v>
      </c>
      <c r="N330" s="8">
        <v>1.0</v>
      </c>
      <c r="O330" s="8">
        <v>-656.0</v>
      </c>
      <c r="P330" s="8">
        <v>686.0</v>
      </c>
      <c r="Q330" s="17">
        <v>46255.0</v>
      </c>
      <c r="R330" s="8" t="s">
        <v>1718</v>
      </c>
      <c r="T330" s="8">
        <v>411.0</v>
      </c>
    </row>
    <row r="331" ht="22.5" customHeight="1">
      <c r="A331" s="8" t="s">
        <v>1719</v>
      </c>
      <c r="B331" s="9" t="s">
        <v>441</v>
      </c>
      <c r="C331" s="8" t="s">
        <v>136</v>
      </c>
      <c r="D331" s="8" t="s">
        <v>1460</v>
      </c>
      <c r="E331" s="9" t="s">
        <v>38</v>
      </c>
      <c r="F331" s="8">
        <v>3.0</v>
      </c>
      <c r="H331" s="8">
        <v>1000.0</v>
      </c>
      <c r="I331" s="8">
        <v>3000.0</v>
      </c>
      <c r="J331" s="8">
        <v>3000.0</v>
      </c>
      <c r="K331" s="8">
        <v>0.0</v>
      </c>
      <c r="L331" s="15">
        <v>46227.0</v>
      </c>
      <c r="M331" s="15">
        <v>46258.0</v>
      </c>
      <c r="N331" s="8">
        <v>1.0</v>
      </c>
      <c r="O331" s="8">
        <v>-638.0</v>
      </c>
      <c r="P331" s="8">
        <v>668.0</v>
      </c>
      <c r="R331" s="8" t="s">
        <v>1720</v>
      </c>
      <c r="T331" s="8">
        <v>412.0</v>
      </c>
    </row>
    <row r="332" ht="22.5" customHeight="1">
      <c r="A332" s="8" t="s">
        <v>1721</v>
      </c>
      <c r="B332" s="9" t="s">
        <v>236</v>
      </c>
      <c r="C332" s="8" t="s">
        <v>136</v>
      </c>
      <c r="D332" s="8" t="s">
        <v>1664</v>
      </c>
      <c r="E332" s="9" t="s">
        <v>29</v>
      </c>
      <c r="F332" s="8">
        <v>8.0</v>
      </c>
      <c r="H332" s="8">
        <v>10.0</v>
      </c>
      <c r="I332" s="8">
        <v>80.0</v>
      </c>
      <c r="J332" s="8">
        <v>8561.6</v>
      </c>
      <c r="K332" s="8">
        <v>0.0</v>
      </c>
      <c r="L332" s="15">
        <v>46219.0</v>
      </c>
      <c r="M332" s="15">
        <v>46250.0</v>
      </c>
      <c r="N332" s="8">
        <v>1.0</v>
      </c>
      <c r="O332" s="8">
        <v>-646.0</v>
      </c>
      <c r="P332" s="8">
        <v>676.0</v>
      </c>
      <c r="R332" s="8" t="s">
        <v>1722</v>
      </c>
      <c r="T332" s="8">
        <v>413.0</v>
      </c>
    </row>
    <row r="333" ht="22.5" customHeight="1">
      <c r="B333" s="9" t="s">
        <v>438</v>
      </c>
      <c r="C333" s="8" t="s">
        <v>136</v>
      </c>
      <c r="D333" s="8" t="s">
        <v>1563</v>
      </c>
      <c r="E333" s="9" t="s">
        <v>29</v>
      </c>
      <c r="F333" s="8" t="s">
        <v>1262</v>
      </c>
      <c r="H333" s="8">
        <v>10.0</v>
      </c>
      <c r="I333" s="8">
        <v>80.0</v>
      </c>
      <c r="J333" s="8">
        <v>8583.2</v>
      </c>
      <c r="K333" s="8">
        <v>0.0</v>
      </c>
      <c r="L333" s="15">
        <v>46204.0</v>
      </c>
      <c r="M333" s="15">
        <v>46235.0</v>
      </c>
      <c r="N333" s="8">
        <v>1.0</v>
      </c>
      <c r="O333" s="8">
        <v>-661.0</v>
      </c>
      <c r="P333" s="8">
        <v>691.0</v>
      </c>
      <c r="R333" s="8" t="s">
        <v>1723</v>
      </c>
      <c r="T333" s="8">
        <v>414.0</v>
      </c>
    </row>
    <row r="334" ht="22.5" customHeight="1">
      <c r="A334" s="8" t="s">
        <v>1544</v>
      </c>
      <c r="B334" s="9" t="s">
        <v>371</v>
      </c>
      <c r="C334" s="8" t="s">
        <v>136</v>
      </c>
      <c r="D334" s="8" t="s">
        <v>1256</v>
      </c>
      <c r="E334" s="9" t="s">
        <v>38</v>
      </c>
      <c r="F334" s="8">
        <v>3.0</v>
      </c>
      <c r="H334" s="8">
        <v>3000.0</v>
      </c>
      <c r="I334" s="8">
        <v>9000.0</v>
      </c>
      <c r="J334" s="8">
        <v>9000.0</v>
      </c>
      <c r="K334" s="8">
        <v>0.0</v>
      </c>
      <c r="L334" s="15">
        <v>46206.0</v>
      </c>
      <c r="M334" s="15">
        <v>46237.0</v>
      </c>
      <c r="N334" s="8">
        <v>1.0</v>
      </c>
      <c r="O334" s="8">
        <v>-659.0</v>
      </c>
      <c r="P334" s="8">
        <v>689.0</v>
      </c>
      <c r="R334" s="8" t="s">
        <v>1724</v>
      </c>
      <c r="T334" s="8">
        <v>415.0</v>
      </c>
    </row>
    <row r="335" ht="22.5" customHeight="1">
      <c r="A335" s="8" t="s">
        <v>1725</v>
      </c>
      <c r="B335" s="9" t="s">
        <v>359</v>
      </c>
      <c r="C335" s="8" t="s">
        <v>136</v>
      </c>
      <c r="D335" s="8" t="s">
        <v>1294</v>
      </c>
      <c r="E335" s="9" t="s">
        <v>38</v>
      </c>
      <c r="F335" s="8">
        <v>4.0</v>
      </c>
      <c r="H335" s="8">
        <v>6000.0</v>
      </c>
      <c r="I335" s="8">
        <v>24000.0</v>
      </c>
      <c r="J335" s="8">
        <v>24000.0</v>
      </c>
      <c r="K335" s="8">
        <v>0.0</v>
      </c>
      <c r="L335" s="15">
        <v>46207.0</v>
      </c>
      <c r="M335" s="15">
        <v>46238.0</v>
      </c>
      <c r="N335" s="8">
        <v>1.0</v>
      </c>
      <c r="O335" s="8">
        <v>-658.0</v>
      </c>
      <c r="P335" s="8">
        <v>688.0</v>
      </c>
      <c r="R335" s="8" t="s">
        <v>1726</v>
      </c>
      <c r="T335" s="8">
        <v>416.0</v>
      </c>
    </row>
    <row r="336" ht="22.5" customHeight="1">
      <c r="A336" s="8" t="s">
        <v>1727</v>
      </c>
      <c r="B336" s="9" t="s">
        <v>281</v>
      </c>
      <c r="C336" s="8" t="s">
        <v>136</v>
      </c>
      <c r="D336" s="8" t="s">
        <v>1728</v>
      </c>
      <c r="E336" s="9" t="s">
        <v>29</v>
      </c>
      <c r="F336" s="8">
        <v>2.0</v>
      </c>
      <c r="H336" s="8">
        <v>250.0</v>
      </c>
      <c r="I336" s="8">
        <v>500.0</v>
      </c>
      <c r="J336" s="8">
        <v>11180.0</v>
      </c>
      <c r="K336" s="8">
        <v>0.0</v>
      </c>
      <c r="L336" s="15">
        <v>46229.0</v>
      </c>
      <c r="M336" s="15">
        <v>46260.0</v>
      </c>
      <c r="N336" s="8">
        <v>1.0</v>
      </c>
      <c r="O336" s="8">
        <v>-636.0</v>
      </c>
      <c r="P336" s="8">
        <v>666.0</v>
      </c>
      <c r="R336" s="8" t="s">
        <v>1729</v>
      </c>
      <c r="T336" s="8">
        <v>417.0</v>
      </c>
    </row>
    <row r="337" ht="22.5" customHeight="1">
      <c r="A337" s="8" t="s">
        <v>1705</v>
      </c>
      <c r="B337" s="9" t="s">
        <v>432</v>
      </c>
      <c r="C337" s="8" t="s">
        <v>136</v>
      </c>
      <c r="D337" s="8" t="s">
        <v>1386</v>
      </c>
      <c r="E337" s="9" t="s">
        <v>50</v>
      </c>
      <c r="F337" s="8">
        <v>8.0</v>
      </c>
      <c r="H337" s="8">
        <v>12.0</v>
      </c>
      <c r="I337" s="8">
        <v>96.0</v>
      </c>
      <c r="J337" s="8">
        <v>8054.4</v>
      </c>
      <c r="K337" s="8">
        <v>2081.0</v>
      </c>
      <c r="L337" s="15">
        <v>46205.0</v>
      </c>
      <c r="M337" s="15">
        <v>46236.0</v>
      </c>
      <c r="N337" s="8">
        <v>0.0</v>
      </c>
      <c r="O337" s="8">
        <v>-660.0</v>
      </c>
      <c r="P337" s="8">
        <v>690.0</v>
      </c>
      <c r="R337" s="8" t="s">
        <v>1730</v>
      </c>
      <c r="T337" s="8">
        <v>418.0</v>
      </c>
    </row>
    <row r="338" ht="22.5" customHeight="1">
      <c r="B338" s="9" t="s">
        <v>403</v>
      </c>
      <c r="C338" s="8" t="s">
        <v>136</v>
      </c>
      <c r="D338" s="8" t="s">
        <v>1643</v>
      </c>
      <c r="E338" s="9" t="s">
        <v>38</v>
      </c>
      <c r="F338" s="8">
        <v>2.0</v>
      </c>
      <c r="H338" s="8" t="s">
        <v>1295</v>
      </c>
      <c r="I338" s="8">
        <v>15000.0</v>
      </c>
      <c r="J338" s="8">
        <v>15000.0</v>
      </c>
      <c r="K338" s="8">
        <v>0.0</v>
      </c>
      <c r="L338" s="15">
        <v>46212.0</v>
      </c>
      <c r="M338" s="15">
        <v>46243.0</v>
      </c>
      <c r="N338" s="8">
        <v>1.0</v>
      </c>
      <c r="O338" s="8">
        <v>-653.0</v>
      </c>
      <c r="P338" s="8">
        <v>683.0</v>
      </c>
      <c r="R338" s="8" t="s">
        <v>1731</v>
      </c>
      <c r="T338" s="8">
        <v>419.0</v>
      </c>
    </row>
    <row r="339" ht="22.5" customHeight="1">
      <c r="A339" s="8" t="s">
        <v>1708</v>
      </c>
      <c r="B339" s="9" t="s">
        <v>426</v>
      </c>
      <c r="C339" s="8" t="s">
        <v>136</v>
      </c>
      <c r="D339" s="8" t="s">
        <v>1256</v>
      </c>
      <c r="E339" s="9" t="s">
        <v>38</v>
      </c>
      <c r="F339" s="8">
        <v>3.0</v>
      </c>
      <c r="H339" s="8">
        <v>3000.0</v>
      </c>
      <c r="I339" s="8">
        <v>9000.0</v>
      </c>
      <c r="J339" s="8">
        <v>9000.0</v>
      </c>
      <c r="K339" s="8">
        <v>0.0</v>
      </c>
      <c r="L339" s="15">
        <v>46223.0</v>
      </c>
      <c r="M339" s="15">
        <v>46254.0</v>
      </c>
      <c r="N339" s="8">
        <v>1.0</v>
      </c>
      <c r="O339" s="8">
        <v>-642.0</v>
      </c>
      <c r="P339" s="8">
        <v>672.0</v>
      </c>
      <c r="R339" s="8" t="s">
        <v>1732</v>
      </c>
      <c r="T339" s="8">
        <v>420.0</v>
      </c>
    </row>
    <row r="340" ht="22.5" customHeight="1">
      <c r="A340" s="8" t="s">
        <v>1733</v>
      </c>
      <c r="B340" s="9" t="s">
        <v>415</v>
      </c>
      <c r="C340" s="8" t="s">
        <v>136</v>
      </c>
      <c r="D340" s="8" t="s">
        <v>1560</v>
      </c>
      <c r="E340" s="9" t="s">
        <v>109</v>
      </c>
      <c r="F340" s="8">
        <v>10.25</v>
      </c>
      <c r="H340" s="8">
        <v>30.0</v>
      </c>
      <c r="I340" s="8">
        <v>307.5</v>
      </c>
      <c r="J340" s="8">
        <v>0.0</v>
      </c>
      <c r="K340" s="8">
        <v>0.0</v>
      </c>
      <c r="L340" s="15">
        <v>46212.0</v>
      </c>
      <c r="M340" s="15">
        <v>46243.0</v>
      </c>
      <c r="N340" s="8">
        <v>1.0</v>
      </c>
      <c r="O340" s="8">
        <v>-653.0</v>
      </c>
      <c r="P340" s="8">
        <v>683.0</v>
      </c>
      <c r="R340" s="8" t="s">
        <v>1734</v>
      </c>
      <c r="T340" s="8">
        <v>421.0</v>
      </c>
    </row>
    <row r="341" ht="22.5" customHeight="1">
      <c r="A341" s="8">
        <v>0.1667</v>
      </c>
      <c r="B341" s="9" t="s">
        <v>406</v>
      </c>
      <c r="C341" s="8" t="s">
        <v>136</v>
      </c>
      <c r="D341" s="8" t="s">
        <v>1563</v>
      </c>
      <c r="E341" s="9" t="s">
        <v>29</v>
      </c>
      <c r="F341" s="8">
        <v>1.0</v>
      </c>
      <c r="H341" s="8">
        <v>150.0</v>
      </c>
      <c r="I341" s="8">
        <v>150.0</v>
      </c>
      <c r="J341" s="8">
        <v>3300.0</v>
      </c>
      <c r="K341" s="8">
        <v>3300.0</v>
      </c>
      <c r="L341" s="15">
        <v>46223.0</v>
      </c>
      <c r="M341" s="15">
        <v>46254.0</v>
      </c>
      <c r="N341" s="8">
        <v>0.0</v>
      </c>
      <c r="O341" s="8">
        <v>-642.0</v>
      </c>
      <c r="P341" s="8">
        <v>672.0</v>
      </c>
      <c r="R341" s="8" t="s">
        <v>1735</v>
      </c>
      <c r="T341" s="8">
        <v>422.0</v>
      </c>
    </row>
    <row r="342" ht="22.5" customHeight="1">
      <c r="A342" s="8" t="s">
        <v>1736</v>
      </c>
      <c r="B342" s="9" t="s">
        <v>409</v>
      </c>
      <c r="C342" s="8" t="s">
        <v>136</v>
      </c>
      <c r="D342" s="8" t="s">
        <v>1517</v>
      </c>
      <c r="E342" s="9" t="s">
        <v>29</v>
      </c>
      <c r="F342" s="8">
        <v>1.0</v>
      </c>
      <c r="H342" s="8">
        <v>150.0</v>
      </c>
      <c r="I342" s="8">
        <v>150.0</v>
      </c>
      <c r="J342" s="8">
        <v>3300.0</v>
      </c>
      <c r="K342" s="8">
        <v>3300.0</v>
      </c>
      <c r="L342" s="15">
        <v>46208.0</v>
      </c>
      <c r="M342" s="15">
        <v>46239.0</v>
      </c>
      <c r="N342" s="8">
        <v>0.0</v>
      </c>
      <c r="O342" s="8">
        <v>-657.0</v>
      </c>
      <c r="P342" s="8">
        <v>687.0</v>
      </c>
      <c r="R342" s="8" t="s">
        <v>1737</v>
      </c>
      <c r="T342" s="8">
        <v>423.0</v>
      </c>
    </row>
    <row r="343" ht="22.5" customHeight="1">
      <c r="A343" s="8" t="s">
        <v>1738</v>
      </c>
      <c r="B343" s="9" t="s">
        <v>400</v>
      </c>
      <c r="C343" s="8" t="s">
        <v>136</v>
      </c>
      <c r="D343" s="8" t="s">
        <v>1375</v>
      </c>
      <c r="E343" s="9" t="s">
        <v>59</v>
      </c>
      <c r="F343" s="8">
        <v>0.0</v>
      </c>
      <c r="H343" s="8">
        <v>10.0</v>
      </c>
      <c r="I343" s="8">
        <v>0.0</v>
      </c>
      <c r="J343" s="8">
        <v>0.0</v>
      </c>
      <c r="K343" s="8">
        <v>0.0</v>
      </c>
      <c r="L343" s="15">
        <v>46178.0</v>
      </c>
      <c r="M343" s="15">
        <v>46208.0</v>
      </c>
      <c r="N343" s="8">
        <v>1.0</v>
      </c>
      <c r="O343" s="8">
        <v>-688.0</v>
      </c>
      <c r="P343" s="8">
        <v>718.0</v>
      </c>
      <c r="R343" s="8" t="s">
        <v>1739</v>
      </c>
      <c r="T343" s="8">
        <v>397.0</v>
      </c>
    </row>
    <row r="344" ht="22.5" customHeight="1">
      <c r="A344" s="8" t="s">
        <v>1740</v>
      </c>
      <c r="B344" s="9" t="s">
        <v>224</v>
      </c>
      <c r="C344" s="8" t="s">
        <v>136</v>
      </c>
      <c r="D344" s="8" t="s">
        <v>1741</v>
      </c>
      <c r="E344" s="9" t="s">
        <v>29</v>
      </c>
      <c r="F344" s="8">
        <v>4.0</v>
      </c>
      <c r="H344" s="8">
        <v>150.0</v>
      </c>
      <c r="I344" s="8">
        <v>600.0</v>
      </c>
      <c r="J344" s="8">
        <v>13416.0</v>
      </c>
      <c r="K344" s="8">
        <v>13416.0</v>
      </c>
      <c r="L344" s="15">
        <v>46175.0</v>
      </c>
      <c r="M344" s="15">
        <v>46205.0</v>
      </c>
      <c r="N344" s="8">
        <v>0.0</v>
      </c>
      <c r="O344" s="8">
        <v>-691.0</v>
      </c>
      <c r="P344" s="8">
        <v>721.0</v>
      </c>
      <c r="R344" s="8" t="s">
        <v>1742</v>
      </c>
      <c r="T344" s="8">
        <v>398.0</v>
      </c>
    </row>
    <row r="345" ht="22.5" customHeight="1">
      <c r="A345" s="8" t="s">
        <v>1697</v>
      </c>
      <c r="B345" s="9" t="s">
        <v>412</v>
      </c>
      <c r="C345" s="8" t="s">
        <v>136</v>
      </c>
      <c r="D345" s="8" t="s">
        <v>1460</v>
      </c>
      <c r="E345" s="9" t="s">
        <v>38</v>
      </c>
      <c r="F345" s="8">
        <v>3.0</v>
      </c>
      <c r="H345" s="8">
        <v>1000.0</v>
      </c>
      <c r="I345" s="8">
        <v>3000.0</v>
      </c>
      <c r="J345" s="8">
        <v>2499.9</v>
      </c>
      <c r="K345" s="8">
        <v>0.0</v>
      </c>
      <c r="L345" s="15">
        <v>46179.0</v>
      </c>
      <c r="M345" s="15">
        <v>46209.0</v>
      </c>
      <c r="N345" s="8">
        <v>1.0</v>
      </c>
      <c r="O345" s="8">
        <v>-687.0</v>
      </c>
      <c r="P345" s="8">
        <v>717.0</v>
      </c>
      <c r="R345" s="8" t="s">
        <v>1743</v>
      </c>
      <c r="T345" s="8">
        <v>399.0</v>
      </c>
    </row>
    <row r="346" ht="22.5" customHeight="1">
      <c r="B346" s="9" t="s">
        <v>377</v>
      </c>
      <c r="C346" s="8" t="s">
        <v>136</v>
      </c>
      <c r="D346" s="8" t="s">
        <v>1744</v>
      </c>
      <c r="E346" s="9" t="s">
        <v>38</v>
      </c>
      <c r="F346" s="8" t="s">
        <v>1745</v>
      </c>
      <c r="H346" s="8">
        <v>700.0</v>
      </c>
      <c r="I346" s="8">
        <v>3500.0</v>
      </c>
      <c r="J346" s="8">
        <v>3500.0</v>
      </c>
      <c r="K346" s="8">
        <v>0.0</v>
      </c>
      <c r="L346" s="15">
        <v>46181.0</v>
      </c>
      <c r="M346" s="15">
        <v>46211.0</v>
      </c>
      <c r="N346" s="8">
        <v>1.0</v>
      </c>
      <c r="O346" s="8">
        <v>-685.0</v>
      </c>
      <c r="P346" s="8">
        <v>715.0</v>
      </c>
      <c r="R346" s="8" t="s">
        <v>1746</v>
      </c>
      <c r="T346" s="8">
        <v>400.0</v>
      </c>
    </row>
    <row r="347" ht="22.5" customHeight="1">
      <c r="A347" s="8" t="s">
        <v>1747</v>
      </c>
      <c r="B347" s="9" t="s">
        <v>371</v>
      </c>
      <c r="C347" s="8" t="s">
        <v>136</v>
      </c>
      <c r="D347" s="8" t="s">
        <v>1256</v>
      </c>
      <c r="E347" s="9" t="s">
        <v>38</v>
      </c>
      <c r="F347" s="8">
        <v>3.0</v>
      </c>
      <c r="H347" s="8">
        <v>2500.0</v>
      </c>
      <c r="I347" s="8">
        <v>7500.0</v>
      </c>
      <c r="J347" s="8">
        <v>7500.0</v>
      </c>
      <c r="K347" s="8">
        <v>0.0</v>
      </c>
      <c r="L347" s="15">
        <v>46176.0</v>
      </c>
      <c r="M347" s="15">
        <v>46206.0</v>
      </c>
      <c r="N347" s="8">
        <v>1.0</v>
      </c>
      <c r="O347" s="8">
        <v>-690.0</v>
      </c>
      <c r="P347" s="8">
        <v>720.0</v>
      </c>
      <c r="R347" s="8" t="s">
        <v>1748</v>
      </c>
      <c r="T347" s="8">
        <v>401.0</v>
      </c>
    </row>
    <row r="348" ht="22.5" customHeight="1">
      <c r="A348" s="8" t="s">
        <v>1749</v>
      </c>
      <c r="B348" s="9" t="s">
        <v>435</v>
      </c>
      <c r="C348" s="8" t="s">
        <v>136</v>
      </c>
      <c r="D348" s="8" t="s">
        <v>1750</v>
      </c>
      <c r="E348" s="9" t="s">
        <v>15</v>
      </c>
      <c r="F348" s="8">
        <v>3.0</v>
      </c>
      <c r="G348" s="8">
        <v>20.0</v>
      </c>
      <c r="H348" s="8">
        <v>15000.0</v>
      </c>
      <c r="I348" s="8">
        <v>36000.0</v>
      </c>
      <c r="J348" s="8">
        <v>10843.37</v>
      </c>
      <c r="K348" s="8">
        <v>0.0</v>
      </c>
      <c r="L348" s="15">
        <v>46175.0</v>
      </c>
      <c r="N348" s="8">
        <v>1.0</v>
      </c>
      <c r="P348" s="8">
        <v>30.0</v>
      </c>
      <c r="R348" s="8" t="s">
        <v>1751</v>
      </c>
      <c r="T348" s="8">
        <v>402.0</v>
      </c>
    </row>
    <row r="349" ht="22.5" customHeight="1">
      <c r="A349" s="8" t="s">
        <v>1752</v>
      </c>
      <c r="B349" s="9" t="s">
        <v>359</v>
      </c>
      <c r="C349" s="8" t="s">
        <v>136</v>
      </c>
      <c r="D349" s="8" t="s">
        <v>1294</v>
      </c>
      <c r="E349" s="9" t="s">
        <v>38</v>
      </c>
      <c r="F349" s="8">
        <v>3.0</v>
      </c>
      <c r="H349" s="8">
        <v>5000.0</v>
      </c>
      <c r="I349" s="8">
        <v>15000.0</v>
      </c>
      <c r="J349" s="8">
        <v>15000.0</v>
      </c>
      <c r="K349" s="8">
        <v>0.0</v>
      </c>
      <c r="L349" s="15">
        <v>46191.0</v>
      </c>
      <c r="M349" s="15">
        <v>46221.0</v>
      </c>
      <c r="N349" s="8">
        <v>1.0</v>
      </c>
      <c r="O349" s="8">
        <v>-675.0</v>
      </c>
      <c r="P349" s="8">
        <v>705.0</v>
      </c>
      <c r="R349" s="8" t="s">
        <v>1753</v>
      </c>
      <c r="T349" s="8">
        <v>403.0</v>
      </c>
    </row>
    <row r="350" ht="22.5" customHeight="1">
      <c r="A350" s="8" t="s">
        <v>1754</v>
      </c>
      <c r="B350" s="9" t="s">
        <v>432</v>
      </c>
      <c r="C350" s="8" t="s">
        <v>136</v>
      </c>
      <c r="D350" s="8" t="s">
        <v>1386</v>
      </c>
      <c r="E350" s="9" t="s">
        <v>50</v>
      </c>
      <c r="F350" s="8">
        <v>13.25</v>
      </c>
      <c r="H350" s="8">
        <v>12.0</v>
      </c>
      <c r="I350" s="8">
        <v>159.0</v>
      </c>
      <c r="J350" s="8">
        <v>13340.1</v>
      </c>
      <c r="K350" s="8">
        <v>12081.6</v>
      </c>
      <c r="L350" s="15">
        <v>46175.0</v>
      </c>
      <c r="M350" s="15">
        <v>46205.0</v>
      </c>
      <c r="N350" s="8">
        <v>0.0</v>
      </c>
      <c r="O350" s="8">
        <v>-691.0</v>
      </c>
      <c r="P350" s="8">
        <v>721.0</v>
      </c>
      <c r="R350" s="8" t="s">
        <v>1755</v>
      </c>
      <c r="T350" s="8">
        <v>404.0</v>
      </c>
    </row>
    <row r="351" ht="22.5" customHeight="1">
      <c r="B351" s="9" t="s">
        <v>403</v>
      </c>
      <c r="C351" s="8" t="s">
        <v>136</v>
      </c>
      <c r="D351" s="8" t="s">
        <v>1643</v>
      </c>
      <c r="E351" s="9" t="s">
        <v>38</v>
      </c>
      <c r="F351" s="8">
        <v>2.0</v>
      </c>
      <c r="H351" s="8" t="s">
        <v>1295</v>
      </c>
      <c r="I351" s="8">
        <v>15000.0</v>
      </c>
      <c r="J351" s="8">
        <v>15000.0</v>
      </c>
      <c r="K351" s="8">
        <v>0.0</v>
      </c>
      <c r="L351" s="15">
        <v>46182.0</v>
      </c>
      <c r="M351" s="15">
        <v>46212.0</v>
      </c>
      <c r="N351" s="8">
        <v>1.0</v>
      </c>
      <c r="O351" s="8">
        <v>-684.0</v>
      </c>
      <c r="P351" s="8">
        <v>714.0</v>
      </c>
      <c r="R351" s="8" t="s">
        <v>1756</v>
      </c>
      <c r="T351" s="8">
        <v>405.0</v>
      </c>
    </row>
    <row r="352" ht="22.5" customHeight="1">
      <c r="A352" s="8" t="s">
        <v>1514</v>
      </c>
      <c r="B352" s="9" t="s">
        <v>426</v>
      </c>
      <c r="C352" s="8" t="s">
        <v>136</v>
      </c>
      <c r="D352" s="8" t="s">
        <v>1256</v>
      </c>
      <c r="E352" s="9" t="s">
        <v>38</v>
      </c>
      <c r="F352" s="8">
        <v>3.0</v>
      </c>
      <c r="H352" s="8">
        <v>3000.0</v>
      </c>
      <c r="I352" s="8">
        <v>9000.0</v>
      </c>
      <c r="J352" s="8">
        <v>9000.0</v>
      </c>
      <c r="K352" s="8">
        <v>0.0</v>
      </c>
      <c r="L352" s="15">
        <v>46193.0</v>
      </c>
      <c r="M352" s="15">
        <v>46223.0</v>
      </c>
      <c r="N352" s="8">
        <v>1.0</v>
      </c>
      <c r="O352" s="8">
        <v>-673.0</v>
      </c>
      <c r="P352" s="8">
        <v>703.0</v>
      </c>
      <c r="R352" s="8" t="s">
        <v>1757</v>
      </c>
      <c r="T352" s="8">
        <v>406.0</v>
      </c>
    </row>
    <row r="353" ht="22.5" customHeight="1">
      <c r="B353" s="9" t="s">
        <v>415</v>
      </c>
      <c r="C353" s="8" t="s">
        <v>136</v>
      </c>
      <c r="D353" s="8" t="s">
        <v>1560</v>
      </c>
      <c r="E353" s="9" t="s">
        <v>109</v>
      </c>
      <c r="F353" s="8">
        <v>10.25</v>
      </c>
      <c r="H353" s="8">
        <v>30.0</v>
      </c>
      <c r="I353" s="8">
        <v>307.5</v>
      </c>
      <c r="J353" s="8">
        <v>0.0</v>
      </c>
      <c r="K353" s="8">
        <v>0.0</v>
      </c>
      <c r="L353" s="15">
        <v>46182.0</v>
      </c>
      <c r="M353" s="15">
        <v>46212.0</v>
      </c>
      <c r="N353" s="8">
        <v>1.0</v>
      </c>
      <c r="O353" s="8">
        <v>-684.0</v>
      </c>
      <c r="P353" s="8">
        <v>714.0</v>
      </c>
      <c r="R353" s="8" t="s">
        <v>1758</v>
      </c>
      <c r="T353" s="8">
        <v>407.0</v>
      </c>
    </row>
    <row r="354" ht="22.5" customHeight="1">
      <c r="A354" s="8">
        <v>0.1667</v>
      </c>
      <c r="B354" s="9" t="s">
        <v>406</v>
      </c>
      <c r="C354" s="8" t="s">
        <v>136</v>
      </c>
      <c r="D354" s="8" t="s">
        <v>1563</v>
      </c>
      <c r="E354" s="9" t="s">
        <v>29</v>
      </c>
      <c r="F354" s="8">
        <v>1.0</v>
      </c>
      <c r="H354" s="8">
        <v>150.0</v>
      </c>
      <c r="I354" s="8">
        <v>150.0</v>
      </c>
      <c r="J354" s="8">
        <v>3300.0</v>
      </c>
      <c r="L354" s="15">
        <v>46193.0</v>
      </c>
      <c r="M354" s="15">
        <v>46223.0</v>
      </c>
      <c r="O354" s="8">
        <v>-673.0</v>
      </c>
      <c r="P354" s="8">
        <v>703.0</v>
      </c>
      <c r="R354" s="8" t="s">
        <v>1759</v>
      </c>
      <c r="T354" s="8">
        <v>408.0</v>
      </c>
    </row>
    <row r="355" ht="22.5" customHeight="1">
      <c r="B355" s="9" t="s">
        <v>409</v>
      </c>
      <c r="C355" s="8" t="s">
        <v>136</v>
      </c>
      <c r="D355" s="8" t="s">
        <v>1517</v>
      </c>
      <c r="E355" s="9" t="s">
        <v>29</v>
      </c>
      <c r="F355" s="8">
        <v>1.0</v>
      </c>
      <c r="H355" s="8">
        <v>150.0</v>
      </c>
      <c r="I355" s="8">
        <v>150.0</v>
      </c>
      <c r="J355" s="8">
        <v>3300.0</v>
      </c>
      <c r="L355" s="15">
        <v>46178.0</v>
      </c>
      <c r="M355" s="15">
        <v>46208.0</v>
      </c>
      <c r="O355" s="8">
        <v>-688.0</v>
      </c>
      <c r="P355" s="8">
        <v>718.0</v>
      </c>
      <c r="R355" s="8" t="s">
        <v>1760</v>
      </c>
      <c r="T355" s="8">
        <v>409.0</v>
      </c>
    </row>
    <row r="356" ht="22.5" customHeight="1">
      <c r="B356" s="9" t="s">
        <v>400</v>
      </c>
      <c r="C356" s="8" t="s">
        <v>136</v>
      </c>
      <c r="D356" s="8" t="s">
        <v>1375</v>
      </c>
      <c r="E356" s="9" t="s">
        <v>59</v>
      </c>
      <c r="F356" s="8">
        <v>0.0</v>
      </c>
      <c r="H356" s="8">
        <v>10.0</v>
      </c>
      <c r="I356" s="8">
        <v>0.0</v>
      </c>
      <c r="J356" s="8">
        <v>0.0</v>
      </c>
      <c r="K356" s="8">
        <v>0.0</v>
      </c>
      <c r="L356" s="15">
        <v>46147.0</v>
      </c>
      <c r="M356" s="15">
        <v>46178.0</v>
      </c>
      <c r="N356" s="8">
        <v>1.0</v>
      </c>
      <c r="O356" s="8">
        <v>-718.0</v>
      </c>
      <c r="P356" s="8">
        <v>748.0</v>
      </c>
      <c r="R356" s="8" t="s">
        <v>1761</v>
      </c>
      <c r="T356" s="8">
        <v>381.0</v>
      </c>
    </row>
    <row r="357" ht="22.5" customHeight="1">
      <c r="A357" s="8" t="s">
        <v>1762</v>
      </c>
      <c r="B357" s="9" t="s">
        <v>224</v>
      </c>
      <c r="C357" s="8" t="s">
        <v>136</v>
      </c>
      <c r="D357" s="8" t="s">
        <v>1741</v>
      </c>
      <c r="E357" s="9" t="s">
        <v>29</v>
      </c>
      <c r="F357" s="8">
        <v>4.0</v>
      </c>
      <c r="H357" s="8">
        <v>150.0</v>
      </c>
      <c r="I357" s="8">
        <v>600.0</v>
      </c>
      <c r="J357" s="8">
        <v>12600.0</v>
      </c>
      <c r="K357" s="8">
        <v>4725.0</v>
      </c>
      <c r="L357" s="15">
        <v>46144.0</v>
      </c>
      <c r="M357" s="15">
        <v>46175.0</v>
      </c>
      <c r="N357" s="8">
        <v>0.0</v>
      </c>
      <c r="O357" s="8">
        <v>-721.0</v>
      </c>
      <c r="P357" s="8">
        <v>751.0</v>
      </c>
      <c r="Q357" s="17">
        <v>46293.0</v>
      </c>
      <c r="R357" s="8" t="s">
        <v>1763</v>
      </c>
      <c r="T357" s="8">
        <v>382.0</v>
      </c>
    </row>
    <row r="358" ht="22.5" customHeight="1">
      <c r="A358" s="8" t="s">
        <v>1764</v>
      </c>
      <c r="B358" s="9" t="s">
        <v>412</v>
      </c>
      <c r="C358" s="8" t="s">
        <v>136</v>
      </c>
      <c r="D358" s="8" t="s">
        <v>1460</v>
      </c>
      <c r="E358" s="9" t="s">
        <v>38</v>
      </c>
      <c r="F358" s="8">
        <v>3.0</v>
      </c>
      <c r="H358" s="8">
        <v>1000.0</v>
      </c>
      <c r="I358" s="8">
        <v>3000.0</v>
      </c>
      <c r="J358" s="8">
        <v>2499.9</v>
      </c>
      <c r="K358" s="8">
        <v>0.0</v>
      </c>
      <c r="L358" s="15">
        <v>46148.0</v>
      </c>
      <c r="M358" s="15">
        <v>46179.0</v>
      </c>
      <c r="N358" s="8">
        <v>1.0</v>
      </c>
      <c r="O358" s="8">
        <v>-717.0</v>
      </c>
      <c r="P358" s="8">
        <v>747.0</v>
      </c>
      <c r="R358" s="8" t="s">
        <v>1765</v>
      </c>
      <c r="T358" s="8">
        <v>383.0</v>
      </c>
    </row>
    <row r="359" ht="22.5" customHeight="1">
      <c r="B359" s="9" t="s">
        <v>377</v>
      </c>
      <c r="C359" s="8" t="s">
        <v>136</v>
      </c>
      <c r="D359" s="8" t="s">
        <v>1744</v>
      </c>
      <c r="E359" s="9" t="s">
        <v>38</v>
      </c>
      <c r="F359" s="8" t="s">
        <v>1402</v>
      </c>
      <c r="H359" s="8">
        <v>700.0</v>
      </c>
      <c r="I359" s="8">
        <v>2100.0</v>
      </c>
      <c r="J359" s="8">
        <v>2100.0</v>
      </c>
      <c r="K359" s="8">
        <v>0.0</v>
      </c>
      <c r="L359" s="15">
        <v>46150.0</v>
      </c>
      <c r="M359" s="15">
        <v>46181.0</v>
      </c>
      <c r="N359" s="8">
        <v>1.0</v>
      </c>
      <c r="O359" s="8">
        <v>-715.0</v>
      </c>
      <c r="P359" s="8">
        <v>745.0</v>
      </c>
      <c r="R359" s="8" t="s">
        <v>1766</v>
      </c>
      <c r="T359" s="8">
        <v>384.0</v>
      </c>
    </row>
    <row r="360" ht="22.5" customHeight="1">
      <c r="B360" s="9" t="s">
        <v>371</v>
      </c>
      <c r="C360" s="8" t="s">
        <v>136</v>
      </c>
      <c r="D360" s="8" t="s">
        <v>1767</v>
      </c>
      <c r="E360" s="9" t="s">
        <v>38</v>
      </c>
      <c r="F360" s="8">
        <v>2.0</v>
      </c>
      <c r="H360" s="8">
        <v>2500.0</v>
      </c>
      <c r="I360" s="8">
        <v>5000.0</v>
      </c>
      <c r="J360" s="8">
        <v>5000.0</v>
      </c>
      <c r="K360" s="8">
        <v>0.0</v>
      </c>
      <c r="L360" s="15">
        <v>46145.0</v>
      </c>
      <c r="M360" s="15">
        <v>46176.0</v>
      </c>
      <c r="N360" s="8">
        <v>1.0</v>
      </c>
      <c r="O360" s="8">
        <v>-720.0</v>
      </c>
      <c r="P360" s="8">
        <v>750.0</v>
      </c>
      <c r="R360" s="8" t="s">
        <v>1768</v>
      </c>
      <c r="T360" s="8">
        <v>385.0</v>
      </c>
    </row>
    <row r="361" ht="22.5" customHeight="1">
      <c r="A361" s="8" t="s">
        <v>1752</v>
      </c>
      <c r="B361" s="9" t="s">
        <v>359</v>
      </c>
      <c r="C361" s="8" t="s">
        <v>136</v>
      </c>
      <c r="D361" s="8" t="s">
        <v>1769</v>
      </c>
      <c r="E361" s="9" t="s">
        <v>38</v>
      </c>
      <c r="F361" s="8">
        <v>3.0</v>
      </c>
      <c r="G361" s="16">
        <v>0.17</v>
      </c>
      <c r="H361" s="8">
        <v>6000.0</v>
      </c>
      <c r="I361" s="8">
        <v>15000.0</v>
      </c>
      <c r="J361" s="8">
        <v>15000.0</v>
      </c>
      <c r="K361" s="8">
        <v>0.0</v>
      </c>
      <c r="L361" s="15">
        <v>46160.0</v>
      </c>
      <c r="M361" s="15">
        <v>46191.0</v>
      </c>
      <c r="N361" s="8">
        <v>1.0</v>
      </c>
      <c r="O361" s="8">
        <v>-705.0</v>
      </c>
      <c r="P361" s="8">
        <v>735.0</v>
      </c>
      <c r="R361" s="8" t="s">
        <v>1770</v>
      </c>
      <c r="T361" s="8">
        <v>386.0</v>
      </c>
    </row>
    <row r="362" ht="22.5" customHeight="1">
      <c r="A362" s="8" t="s">
        <v>1771</v>
      </c>
      <c r="B362" s="9" t="s">
        <v>281</v>
      </c>
      <c r="C362" s="8" t="s">
        <v>136</v>
      </c>
      <c r="D362" s="8" t="s">
        <v>1728</v>
      </c>
      <c r="E362" s="9" t="s">
        <v>29</v>
      </c>
      <c r="F362" s="8">
        <v>2.0</v>
      </c>
      <c r="H362" s="8">
        <v>18.75</v>
      </c>
      <c r="I362" s="8">
        <v>37.5</v>
      </c>
      <c r="J362" s="8">
        <v>825.0</v>
      </c>
      <c r="K362" s="8">
        <v>0.0</v>
      </c>
      <c r="L362" s="15">
        <v>46153.0</v>
      </c>
      <c r="M362" s="15">
        <v>46184.0</v>
      </c>
      <c r="N362" s="8">
        <v>1.0</v>
      </c>
      <c r="O362" s="8">
        <v>-712.0</v>
      </c>
      <c r="P362" s="8">
        <v>742.0</v>
      </c>
      <c r="R362" s="8" t="s">
        <v>1772</v>
      </c>
      <c r="T362" s="8">
        <v>387.0</v>
      </c>
    </row>
    <row r="363" ht="22.5" customHeight="1">
      <c r="A363" s="8" t="s">
        <v>794</v>
      </c>
      <c r="B363" s="9" t="s">
        <v>344</v>
      </c>
      <c r="F363" s="8">
        <v>5.0</v>
      </c>
      <c r="H363" s="8" t="s">
        <v>1773</v>
      </c>
      <c r="I363" s="8">
        <v>21000.0</v>
      </c>
      <c r="L363" s="15">
        <v>46145.0</v>
      </c>
      <c r="M363" s="15">
        <v>46176.0</v>
      </c>
      <c r="O363" s="8">
        <v>-720.0</v>
      </c>
      <c r="P363" s="8">
        <v>750.0</v>
      </c>
      <c r="R363" s="8" t="s">
        <v>1774</v>
      </c>
      <c r="T363" s="8">
        <v>388.0</v>
      </c>
    </row>
    <row r="364" ht="22.5" customHeight="1">
      <c r="A364" s="8" t="s">
        <v>1775</v>
      </c>
      <c r="B364" s="9" t="s">
        <v>429</v>
      </c>
      <c r="C364" s="8" t="s">
        <v>136</v>
      </c>
      <c r="D364" s="8" t="s">
        <v>64</v>
      </c>
      <c r="E364" s="9" t="s">
        <v>38</v>
      </c>
      <c r="F364" s="8" t="s">
        <v>1262</v>
      </c>
      <c r="H364" s="8">
        <v>1000.0</v>
      </c>
      <c r="I364" s="8">
        <v>8000.0</v>
      </c>
      <c r="J364" s="8">
        <v>8000.0</v>
      </c>
      <c r="K364" s="8">
        <v>0.0</v>
      </c>
      <c r="L364" s="15">
        <v>46151.0</v>
      </c>
      <c r="M364" s="15">
        <v>46182.0</v>
      </c>
      <c r="N364" s="8">
        <v>1.0</v>
      </c>
      <c r="O364" s="8">
        <v>-714.0</v>
      </c>
      <c r="P364" s="8">
        <v>744.0</v>
      </c>
      <c r="R364" s="8" t="s">
        <v>1776</v>
      </c>
      <c r="T364" s="8">
        <v>389.0</v>
      </c>
    </row>
    <row r="365" ht="22.5" customHeight="1">
      <c r="B365" s="9" t="s">
        <v>403</v>
      </c>
      <c r="C365" s="8" t="s">
        <v>136</v>
      </c>
      <c r="D365" s="8" t="s">
        <v>1643</v>
      </c>
      <c r="E365" s="9" t="s">
        <v>38</v>
      </c>
      <c r="F365" s="8">
        <v>2.0</v>
      </c>
      <c r="H365" s="8" t="s">
        <v>1295</v>
      </c>
      <c r="I365" s="8">
        <v>15000.0</v>
      </c>
      <c r="J365" s="8">
        <v>15000.0</v>
      </c>
      <c r="K365" s="8">
        <v>0.0</v>
      </c>
      <c r="L365" s="15">
        <v>46151.0</v>
      </c>
      <c r="M365" s="15">
        <v>46182.0</v>
      </c>
      <c r="N365" s="8">
        <v>1.0</v>
      </c>
      <c r="O365" s="8">
        <v>-714.0</v>
      </c>
      <c r="P365" s="8">
        <v>744.0</v>
      </c>
      <c r="R365" s="8" t="s">
        <v>1777</v>
      </c>
      <c r="T365" s="8">
        <v>390.0</v>
      </c>
    </row>
    <row r="366" ht="22.5" customHeight="1">
      <c r="A366" s="8" t="s">
        <v>1778</v>
      </c>
      <c r="B366" s="9" t="s">
        <v>426</v>
      </c>
      <c r="C366" s="8" t="s">
        <v>136</v>
      </c>
      <c r="D366" s="8" t="s">
        <v>1256</v>
      </c>
      <c r="E366" s="9" t="s">
        <v>38</v>
      </c>
      <c r="F366" s="8">
        <v>3.0</v>
      </c>
      <c r="H366" s="8">
        <v>3000.0</v>
      </c>
      <c r="I366" s="8">
        <v>9000.0</v>
      </c>
      <c r="J366" s="8">
        <v>9000.0</v>
      </c>
      <c r="K366" s="8">
        <v>0.0</v>
      </c>
      <c r="L366" s="15">
        <v>46162.0</v>
      </c>
      <c r="M366" s="15">
        <v>46193.0</v>
      </c>
      <c r="N366" s="8">
        <v>1.0</v>
      </c>
      <c r="O366" s="8">
        <v>-703.0</v>
      </c>
      <c r="P366" s="8">
        <v>733.0</v>
      </c>
      <c r="R366" s="8" t="s">
        <v>1779</v>
      </c>
      <c r="T366" s="8">
        <v>391.0</v>
      </c>
    </row>
    <row r="367" ht="22.5" customHeight="1">
      <c r="A367" s="8" t="s">
        <v>1710</v>
      </c>
      <c r="B367" s="9" t="s">
        <v>415</v>
      </c>
      <c r="C367" s="8" t="s">
        <v>136</v>
      </c>
      <c r="D367" s="8" t="s">
        <v>1560</v>
      </c>
      <c r="E367" s="9" t="s">
        <v>109</v>
      </c>
      <c r="F367" s="8">
        <v>10.25</v>
      </c>
      <c r="H367" s="8">
        <v>30.0</v>
      </c>
      <c r="I367" s="8">
        <v>307.5</v>
      </c>
      <c r="J367" s="8">
        <v>0.0</v>
      </c>
      <c r="K367" s="8">
        <v>0.0</v>
      </c>
      <c r="L367" s="15">
        <v>46151.0</v>
      </c>
      <c r="M367" s="15">
        <v>46182.0</v>
      </c>
      <c r="N367" s="8">
        <v>1.0</v>
      </c>
      <c r="O367" s="8">
        <v>-714.0</v>
      </c>
      <c r="P367" s="8">
        <v>744.0</v>
      </c>
      <c r="R367" s="8" t="s">
        <v>1780</v>
      </c>
      <c r="T367" s="8">
        <v>392.0</v>
      </c>
    </row>
    <row r="368" ht="22.5" customHeight="1">
      <c r="A368" s="8">
        <v>0.1667</v>
      </c>
      <c r="B368" s="9" t="s">
        <v>406</v>
      </c>
      <c r="C368" s="8" t="s">
        <v>136</v>
      </c>
      <c r="D368" s="8" t="s">
        <v>1563</v>
      </c>
      <c r="E368" s="9" t="s">
        <v>29</v>
      </c>
      <c r="F368" s="8">
        <v>1.0</v>
      </c>
      <c r="H368" s="8">
        <v>150.0</v>
      </c>
      <c r="I368" s="8">
        <v>150.0</v>
      </c>
      <c r="J368" s="8">
        <v>3300.0</v>
      </c>
      <c r="L368" s="15">
        <v>46162.0</v>
      </c>
      <c r="M368" s="15">
        <v>46193.0</v>
      </c>
      <c r="O368" s="8">
        <v>-703.0</v>
      </c>
      <c r="P368" s="8">
        <v>733.0</v>
      </c>
      <c r="R368" s="8" t="s">
        <v>1781</v>
      </c>
      <c r="T368" s="8">
        <v>393.0</v>
      </c>
    </row>
    <row r="369" ht="22.5" customHeight="1">
      <c r="A369" s="8" t="s">
        <v>1782</v>
      </c>
      <c r="B369" s="9" t="s">
        <v>423</v>
      </c>
      <c r="C369" s="8" t="s">
        <v>136</v>
      </c>
      <c r="D369" s="8" t="s">
        <v>1783</v>
      </c>
      <c r="E369" s="9" t="s">
        <v>29</v>
      </c>
      <c r="F369" s="8">
        <v>2.0</v>
      </c>
      <c r="G369" s="16">
        <v>0.17</v>
      </c>
      <c r="H369" s="8">
        <v>130.0</v>
      </c>
      <c r="I369" s="8">
        <v>360.0</v>
      </c>
      <c r="J369" s="8">
        <v>7200.0</v>
      </c>
      <c r="K369" s="8">
        <v>7200.0</v>
      </c>
      <c r="L369" s="15">
        <v>46162.0</v>
      </c>
      <c r="M369" s="15">
        <v>46193.0</v>
      </c>
      <c r="N369" s="8">
        <v>0.0</v>
      </c>
      <c r="O369" s="8">
        <v>-703.0</v>
      </c>
      <c r="P369" s="8">
        <v>733.0</v>
      </c>
      <c r="R369" s="8" t="s">
        <v>1784</v>
      </c>
      <c r="T369" s="8">
        <v>394.0</v>
      </c>
    </row>
    <row r="370" ht="22.5" customHeight="1">
      <c r="A370" s="8" t="s">
        <v>1785</v>
      </c>
      <c r="B370" s="9" t="s">
        <v>391</v>
      </c>
      <c r="C370" s="8" t="s">
        <v>136</v>
      </c>
      <c r="D370" s="8" t="s">
        <v>1786</v>
      </c>
      <c r="E370" s="9" t="s">
        <v>29</v>
      </c>
      <c r="F370" s="8">
        <v>3.0</v>
      </c>
      <c r="H370" s="8">
        <v>100.0</v>
      </c>
      <c r="I370" s="8">
        <v>300.0</v>
      </c>
      <c r="J370" s="8">
        <v>6600.0</v>
      </c>
      <c r="K370" s="8">
        <v>0.0</v>
      </c>
      <c r="L370" s="15">
        <v>46161.0</v>
      </c>
      <c r="M370" s="15">
        <v>46192.0</v>
      </c>
      <c r="N370" s="8">
        <v>1.0</v>
      </c>
      <c r="O370" s="8">
        <v>-704.0</v>
      </c>
      <c r="P370" s="8">
        <v>734.0</v>
      </c>
      <c r="R370" s="8" t="s">
        <v>1787</v>
      </c>
      <c r="T370" s="8">
        <v>395.0</v>
      </c>
    </row>
    <row r="371" ht="22.5" customHeight="1">
      <c r="B371" s="9" t="s">
        <v>409</v>
      </c>
      <c r="C371" s="8" t="s">
        <v>136</v>
      </c>
      <c r="D371" s="8" t="s">
        <v>1517</v>
      </c>
      <c r="E371" s="9" t="s">
        <v>29</v>
      </c>
      <c r="F371" s="8">
        <v>1.0</v>
      </c>
      <c r="H371" s="8">
        <v>150.0</v>
      </c>
      <c r="I371" s="8">
        <v>150.0</v>
      </c>
      <c r="J371" s="8">
        <v>3300.0</v>
      </c>
      <c r="K371" s="8">
        <v>0.0</v>
      </c>
      <c r="L371" s="15">
        <v>46147.0</v>
      </c>
      <c r="M371" s="15">
        <v>46178.0</v>
      </c>
      <c r="N371" s="8">
        <v>1.0</v>
      </c>
      <c r="O371" s="8">
        <v>-718.0</v>
      </c>
      <c r="P371" s="8">
        <v>748.0</v>
      </c>
      <c r="R371" s="8" t="s">
        <v>1788</v>
      </c>
      <c r="T371" s="8">
        <v>396.0</v>
      </c>
    </row>
    <row r="372" ht="22.5" customHeight="1">
      <c r="B372" s="9" t="s">
        <v>400</v>
      </c>
      <c r="C372" s="8" t="s">
        <v>136</v>
      </c>
      <c r="D372" s="8" t="s">
        <v>1375</v>
      </c>
      <c r="E372" s="9" t="s">
        <v>59</v>
      </c>
      <c r="F372" s="8">
        <v>0.0</v>
      </c>
      <c r="H372" s="8">
        <v>10.0</v>
      </c>
      <c r="I372" s="8">
        <v>0.0</v>
      </c>
      <c r="J372" s="8">
        <v>0.0</v>
      </c>
      <c r="K372" s="8">
        <v>0.0</v>
      </c>
      <c r="L372" s="15">
        <v>46117.0</v>
      </c>
      <c r="M372" s="15">
        <v>46147.0</v>
      </c>
      <c r="N372" s="8">
        <v>1.0</v>
      </c>
      <c r="O372" s="8">
        <v>-749.0</v>
      </c>
      <c r="P372" s="8">
        <v>779.0</v>
      </c>
      <c r="R372" s="8" t="s">
        <v>1789</v>
      </c>
      <c r="T372" s="8">
        <v>365.0</v>
      </c>
    </row>
    <row r="373" ht="22.5" customHeight="1">
      <c r="A373" s="8" t="s">
        <v>1790</v>
      </c>
      <c r="B373" s="9" t="s">
        <v>418</v>
      </c>
      <c r="C373" s="8" t="s">
        <v>136</v>
      </c>
      <c r="D373" s="8" t="s">
        <v>1791</v>
      </c>
      <c r="E373" s="9" t="s">
        <v>57</v>
      </c>
      <c r="F373" s="8">
        <v>10.16</v>
      </c>
      <c r="H373" s="8">
        <v>35.0</v>
      </c>
      <c r="I373" s="8">
        <v>355.6</v>
      </c>
      <c r="J373" s="8">
        <v>7951.22</v>
      </c>
      <c r="K373" s="8">
        <v>0.0</v>
      </c>
      <c r="L373" s="15">
        <v>46121.0</v>
      </c>
      <c r="M373" s="15">
        <v>46151.0</v>
      </c>
      <c r="N373" s="8">
        <v>1.0</v>
      </c>
      <c r="O373" s="8">
        <v>-745.0</v>
      </c>
      <c r="P373" s="8">
        <v>775.0</v>
      </c>
      <c r="R373" s="8" t="s">
        <v>1792</v>
      </c>
      <c r="T373" s="8">
        <v>366.0</v>
      </c>
    </row>
    <row r="374" ht="22.5" customHeight="1">
      <c r="A374" s="8" t="s">
        <v>1764</v>
      </c>
      <c r="B374" s="9" t="s">
        <v>412</v>
      </c>
      <c r="C374" s="8" t="s">
        <v>136</v>
      </c>
      <c r="D374" s="8" t="s">
        <v>1460</v>
      </c>
      <c r="E374" s="9" t="s">
        <v>38</v>
      </c>
      <c r="F374" s="8">
        <v>3.0</v>
      </c>
      <c r="H374" s="8">
        <v>1000.0</v>
      </c>
      <c r="I374" s="8">
        <v>3000.0</v>
      </c>
      <c r="J374" s="8">
        <v>2499.9</v>
      </c>
      <c r="K374" s="8">
        <v>0.0</v>
      </c>
      <c r="L374" s="15">
        <v>46118.0</v>
      </c>
      <c r="M374" s="15">
        <v>46148.0</v>
      </c>
      <c r="N374" s="8">
        <v>1.0</v>
      </c>
      <c r="O374" s="8">
        <v>-748.0</v>
      </c>
      <c r="P374" s="8">
        <v>778.0</v>
      </c>
      <c r="R374" s="8" t="s">
        <v>1793</v>
      </c>
      <c r="T374" s="8">
        <v>367.0</v>
      </c>
    </row>
    <row r="375" ht="22.5" customHeight="1">
      <c r="A375" s="8" t="s">
        <v>1794</v>
      </c>
      <c r="B375" s="9" t="s">
        <v>290</v>
      </c>
      <c r="C375" s="8" t="s">
        <v>136</v>
      </c>
      <c r="D375" s="8" t="s">
        <v>1795</v>
      </c>
      <c r="E375" s="9" t="s">
        <v>29</v>
      </c>
      <c r="F375" s="8">
        <v>1.0</v>
      </c>
      <c r="H375" s="8">
        <v>6000.0</v>
      </c>
      <c r="I375" s="8">
        <v>6000.0</v>
      </c>
      <c r="J375" s="8">
        <v>6000.0</v>
      </c>
      <c r="K375" s="8">
        <v>0.0</v>
      </c>
      <c r="L375" s="15">
        <v>46133.0</v>
      </c>
      <c r="M375" s="15">
        <v>46163.0</v>
      </c>
      <c r="N375" s="8">
        <v>1.0</v>
      </c>
      <c r="O375" s="8">
        <v>-733.0</v>
      </c>
      <c r="P375" s="8">
        <v>763.0</v>
      </c>
      <c r="R375" s="8" t="s">
        <v>1796</v>
      </c>
      <c r="T375" s="8">
        <v>368.0</v>
      </c>
    </row>
    <row r="376" ht="22.5" customHeight="1">
      <c r="B376" s="9" t="s">
        <v>371</v>
      </c>
      <c r="C376" s="8" t="s">
        <v>136</v>
      </c>
      <c r="D376" s="8" t="s">
        <v>1767</v>
      </c>
      <c r="E376" s="9" t="s">
        <v>38</v>
      </c>
      <c r="F376" s="8">
        <v>2.0</v>
      </c>
      <c r="H376" s="8">
        <v>2500.0</v>
      </c>
      <c r="I376" s="8">
        <v>5000.0</v>
      </c>
      <c r="J376" s="8">
        <v>5000.0</v>
      </c>
      <c r="K376" s="8">
        <v>0.0</v>
      </c>
      <c r="L376" s="15">
        <v>46115.0</v>
      </c>
      <c r="M376" s="15">
        <v>46145.0</v>
      </c>
      <c r="N376" s="8">
        <v>1.0</v>
      </c>
      <c r="O376" s="8">
        <v>-751.0</v>
      </c>
      <c r="P376" s="8">
        <v>781.0</v>
      </c>
      <c r="R376" s="8" t="s">
        <v>1797</v>
      </c>
      <c r="T376" s="8">
        <v>369.0</v>
      </c>
    </row>
    <row r="377" ht="22.5" customHeight="1">
      <c r="A377" s="8" t="s">
        <v>1798</v>
      </c>
      <c r="B377" s="9" t="s">
        <v>359</v>
      </c>
      <c r="C377" s="8" t="s">
        <v>136</v>
      </c>
      <c r="D377" s="8" t="s">
        <v>1799</v>
      </c>
      <c r="E377" s="9" t="s">
        <v>38</v>
      </c>
      <c r="F377" s="8">
        <v>2.0</v>
      </c>
      <c r="H377" s="8">
        <v>6000.0</v>
      </c>
      <c r="I377" s="8">
        <v>10000.0</v>
      </c>
      <c r="J377" s="8">
        <v>10000.0</v>
      </c>
      <c r="K377" s="8">
        <v>0.0</v>
      </c>
      <c r="L377" s="15">
        <v>46130.0</v>
      </c>
      <c r="M377" s="15">
        <v>46160.0</v>
      </c>
      <c r="N377" s="8">
        <v>1.0</v>
      </c>
      <c r="O377" s="8">
        <v>-736.0</v>
      </c>
      <c r="P377" s="8">
        <v>766.0</v>
      </c>
      <c r="R377" s="8" t="s">
        <v>1800</v>
      </c>
      <c r="T377" s="8">
        <v>370.0</v>
      </c>
    </row>
    <row r="378" ht="22.5" customHeight="1">
      <c r="A378" s="8" t="s">
        <v>1801</v>
      </c>
      <c r="B378" s="9" t="s">
        <v>272</v>
      </c>
      <c r="C378" s="8" t="s">
        <v>794</v>
      </c>
      <c r="D378" s="8" t="s">
        <v>1802</v>
      </c>
      <c r="E378" s="9" t="s">
        <v>29</v>
      </c>
      <c r="F378" s="8">
        <v>1.0</v>
      </c>
      <c r="H378" s="8">
        <v>300.0</v>
      </c>
      <c r="I378" s="8">
        <v>300.0</v>
      </c>
      <c r="L378" s="15">
        <v>46121.0</v>
      </c>
      <c r="M378" s="15">
        <v>46151.0</v>
      </c>
      <c r="O378" s="8">
        <v>-745.0</v>
      </c>
      <c r="P378" s="8">
        <v>775.0</v>
      </c>
      <c r="R378" s="8" t="s">
        <v>1803</v>
      </c>
      <c r="T378" s="8">
        <v>371.0</v>
      </c>
    </row>
    <row r="379" ht="22.5" customHeight="1">
      <c r="A379" s="8" t="s">
        <v>1804</v>
      </c>
      <c r="B379" s="9" t="s">
        <v>365</v>
      </c>
      <c r="C379" s="8" t="s">
        <v>136</v>
      </c>
      <c r="D379" s="8" t="s">
        <v>1805</v>
      </c>
      <c r="E379" s="9" t="s">
        <v>38</v>
      </c>
      <c r="F379" s="8">
        <v>1.0</v>
      </c>
      <c r="H379" s="8">
        <v>5000.0</v>
      </c>
      <c r="I379" s="8">
        <v>5000.0</v>
      </c>
      <c r="J379" s="8">
        <v>5000.0</v>
      </c>
      <c r="K379" s="8">
        <v>3750.0</v>
      </c>
      <c r="L379" s="15">
        <v>46132.0</v>
      </c>
      <c r="M379" s="15">
        <v>46162.0</v>
      </c>
      <c r="N379" s="8">
        <v>0.0</v>
      </c>
      <c r="O379" s="8">
        <v>-734.0</v>
      </c>
      <c r="P379" s="8">
        <v>764.0</v>
      </c>
      <c r="R379" s="8" t="s">
        <v>1806</v>
      </c>
      <c r="T379" s="8">
        <v>372.0</v>
      </c>
    </row>
    <row r="380" ht="22.5" customHeight="1">
      <c r="A380" s="8" t="s">
        <v>1807</v>
      </c>
      <c r="B380" s="9" t="s">
        <v>281</v>
      </c>
      <c r="C380" s="8" t="s">
        <v>136</v>
      </c>
      <c r="D380" s="8" t="s">
        <v>1808</v>
      </c>
      <c r="E380" s="9" t="s">
        <v>29</v>
      </c>
      <c r="F380" s="8">
        <v>3.0</v>
      </c>
      <c r="H380" s="8">
        <v>100.0</v>
      </c>
      <c r="I380" s="8">
        <v>300.0</v>
      </c>
      <c r="J380" s="8">
        <v>6000.0</v>
      </c>
      <c r="K380" s="8">
        <v>0.0</v>
      </c>
      <c r="L380" s="15">
        <v>46123.0</v>
      </c>
      <c r="M380" s="15">
        <v>46153.0</v>
      </c>
      <c r="N380" s="8">
        <v>1.0</v>
      </c>
      <c r="O380" s="8">
        <v>-743.0</v>
      </c>
      <c r="P380" s="8">
        <v>773.0</v>
      </c>
      <c r="R380" s="8" t="s">
        <v>1809</v>
      </c>
      <c r="T380" s="8">
        <v>373.0</v>
      </c>
    </row>
    <row r="381" ht="22.5" customHeight="1">
      <c r="A381" s="8" t="s">
        <v>1810</v>
      </c>
      <c r="B381" s="9" t="s">
        <v>344</v>
      </c>
      <c r="C381" s="8" t="s">
        <v>136</v>
      </c>
      <c r="F381" s="8">
        <v>2.0</v>
      </c>
      <c r="H381" s="8" t="s">
        <v>1811</v>
      </c>
      <c r="I381" s="8">
        <v>13875.0</v>
      </c>
      <c r="J381" s="8">
        <v>13875.0</v>
      </c>
      <c r="K381" s="8">
        <v>0.0</v>
      </c>
      <c r="L381" s="15">
        <v>46129.0</v>
      </c>
      <c r="M381" s="15">
        <v>46159.0</v>
      </c>
      <c r="N381" s="8">
        <v>1.0</v>
      </c>
      <c r="O381" s="8">
        <v>-737.0</v>
      </c>
      <c r="P381" s="8">
        <v>767.0</v>
      </c>
      <c r="R381" s="8" t="s">
        <v>1812</v>
      </c>
      <c r="T381" s="8">
        <v>374.0</v>
      </c>
    </row>
    <row r="382" ht="22.5" customHeight="1">
      <c r="A382" s="8" t="s">
        <v>1813</v>
      </c>
      <c r="B382" s="9" t="s">
        <v>403</v>
      </c>
      <c r="C382" s="8" t="s">
        <v>136</v>
      </c>
      <c r="D382" s="8" t="s">
        <v>1643</v>
      </c>
      <c r="E382" s="9" t="s">
        <v>38</v>
      </c>
      <c r="F382" s="8">
        <v>2.0</v>
      </c>
      <c r="H382" s="8" t="s">
        <v>1295</v>
      </c>
      <c r="I382" s="8">
        <v>15000.0</v>
      </c>
      <c r="J382" s="8">
        <v>15000.0</v>
      </c>
      <c r="K382" s="8">
        <v>0.0</v>
      </c>
      <c r="L382" s="15">
        <v>46121.0</v>
      </c>
      <c r="M382" s="15">
        <v>46151.0</v>
      </c>
      <c r="N382" s="8">
        <v>1.0</v>
      </c>
      <c r="O382" s="8">
        <v>-745.0</v>
      </c>
      <c r="P382" s="8">
        <v>775.0</v>
      </c>
      <c r="R382" s="8" t="s">
        <v>1814</v>
      </c>
      <c r="T382" s="8">
        <v>375.0</v>
      </c>
    </row>
    <row r="383" ht="22.5" customHeight="1">
      <c r="A383" s="8" t="s">
        <v>1710</v>
      </c>
      <c r="B383" s="9" t="s">
        <v>415</v>
      </c>
      <c r="C383" s="8" t="s">
        <v>136</v>
      </c>
      <c r="D383" s="8" t="s">
        <v>1560</v>
      </c>
      <c r="E383" s="9" t="s">
        <v>109</v>
      </c>
      <c r="F383" s="8">
        <v>10.25</v>
      </c>
      <c r="H383" s="8">
        <v>30.0</v>
      </c>
      <c r="I383" s="8">
        <v>307.5</v>
      </c>
      <c r="J383" s="8">
        <v>0.0</v>
      </c>
      <c r="K383" s="8">
        <v>0.0</v>
      </c>
      <c r="L383" s="15">
        <v>46121.0</v>
      </c>
      <c r="M383" s="15">
        <v>46151.0</v>
      </c>
      <c r="N383" s="8">
        <v>1.0</v>
      </c>
      <c r="O383" s="8">
        <v>-745.0</v>
      </c>
      <c r="P383" s="8">
        <v>775.0</v>
      </c>
      <c r="Q383" s="17">
        <v>46255.0</v>
      </c>
      <c r="R383" s="8" t="s">
        <v>1815</v>
      </c>
      <c r="T383" s="8">
        <v>376.0</v>
      </c>
    </row>
    <row r="384" ht="22.5" customHeight="1">
      <c r="A384" s="8">
        <v>0.1667</v>
      </c>
      <c r="B384" s="9" t="s">
        <v>406</v>
      </c>
      <c r="C384" s="8" t="s">
        <v>136</v>
      </c>
      <c r="D384" s="8" t="s">
        <v>1563</v>
      </c>
      <c r="E384" s="9" t="s">
        <v>29</v>
      </c>
      <c r="F384" s="8">
        <v>1.0</v>
      </c>
      <c r="H384" s="8">
        <v>150.0</v>
      </c>
      <c r="I384" s="8">
        <v>150.0</v>
      </c>
      <c r="J384" s="8">
        <v>3300.0</v>
      </c>
      <c r="K384" s="8">
        <v>0.0</v>
      </c>
      <c r="L384" s="15">
        <v>46132.0</v>
      </c>
      <c r="M384" s="15">
        <v>46162.0</v>
      </c>
      <c r="N384" s="8">
        <v>1.0</v>
      </c>
      <c r="O384" s="8">
        <v>-734.0</v>
      </c>
      <c r="P384" s="8">
        <v>764.0</v>
      </c>
      <c r="R384" s="8" t="s">
        <v>1816</v>
      </c>
      <c r="T384" s="8">
        <v>377.0</v>
      </c>
    </row>
    <row r="385" ht="22.5" customHeight="1">
      <c r="A385" s="8" t="s">
        <v>1785</v>
      </c>
      <c r="B385" s="9" t="s">
        <v>391</v>
      </c>
      <c r="C385" s="8" t="s">
        <v>136</v>
      </c>
      <c r="D385" s="8" t="s">
        <v>1786</v>
      </c>
      <c r="E385" s="9" t="s">
        <v>29</v>
      </c>
      <c r="F385" s="8">
        <v>3.0</v>
      </c>
      <c r="H385" s="8">
        <v>100.0</v>
      </c>
      <c r="I385" s="8">
        <v>300.0</v>
      </c>
      <c r="J385" s="8">
        <v>6600.0</v>
      </c>
      <c r="K385" s="8">
        <v>0.0</v>
      </c>
      <c r="L385" s="15">
        <v>46131.0</v>
      </c>
      <c r="M385" s="15">
        <v>46161.0</v>
      </c>
      <c r="N385" s="8">
        <v>1.0</v>
      </c>
      <c r="O385" s="8">
        <v>-735.0</v>
      </c>
      <c r="P385" s="8">
        <v>765.0</v>
      </c>
      <c r="R385" s="8" t="s">
        <v>1817</v>
      </c>
      <c r="T385" s="8">
        <v>378.0</v>
      </c>
    </row>
    <row r="386" ht="22.5" customHeight="1">
      <c r="B386" s="9" t="s">
        <v>409</v>
      </c>
      <c r="C386" s="8" t="s">
        <v>136</v>
      </c>
      <c r="D386" s="8" t="s">
        <v>1517</v>
      </c>
      <c r="E386" s="9" t="s">
        <v>29</v>
      </c>
      <c r="F386" s="8">
        <v>1.0</v>
      </c>
      <c r="H386" s="8">
        <v>150.0</v>
      </c>
      <c r="I386" s="8">
        <v>150.0</v>
      </c>
      <c r="J386" s="8">
        <v>3300.0</v>
      </c>
      <c r="K386" s="8">
        <v>0.0</v>
      </c>
      <c r="L386" s="15">
        <v>46117.0</v>
      </c>
      <c r="M386" s="15">
        <v>46147.0</v>
      </c>
      <c r="N386" s="8">
        <v>1.0</v>
      </c>
      <c r="O386" s="8">
        <v>-749.0</v>
      </c>
      <c r="P386" s="8">
        <v>779.0</v>
      </c>
      <c r="R386" s="8" t="s">
        <v>1818</v>
      </c>
      <c r="T386" s="8">
        <v>379.0</v>
      </c>
    </row>
    <row r="387" ht="22.5" customHeight="1">
      <c r="A387" s="8" t="s">
        <v>1710</v>
      </c>
      <c r="B387" s="9" t="s">
        <v>153</v>
      </c>
      <c r="C387" s="8" t="s">
        <v>136</v>
      </c>
      <c r="D387" s="8" t="s">
        <v>1744</v>
      </c>
      <c r="E387" s="9" t="s">
        <v>109</v>
      </c>
      <c r="F387" s="8">
        <v>47.3</v>
      </c>
      <c r="H387" s="8">
        <v>20.0</v>
      </c>
      <c r="I387" s="8">
        <v>946.0</v>
      </c>
      <c r="J387" s="8">
        <v>59938.56</v>
      </c>
      <c r="K387" s="8">
        <v>0.0</v>
      </c>
      <c r="L387" s="15">
        <v>46121.0</v>
      </c>
      <c r="M387" s="15">
        <v>46151.0</v>
      </c>
      <c r="N387" s="8">
        <v>1.0</v>
      </c>
      <c r="O387" s="8">
        <v>-745.0</v>
      </c>
      <c r="P387" s="8">
        <v>775.0</v>
      </c>
      <c r="R387" s="8" t="s">
        <v>1819</v>
      </c>
      <c r="T387" s="8">
        <v>380.0</v>
      </c>
    </row>
    <row r="388" ht="22.5" customHeight="1">
      <c r="A388" s="8" t="s">
        <v>1820</v>
      </c>
      <c r="B388" s="9" t="s">
        <v>400</v>
      </c>
      <c r="C388" s="8" t="s">
        <v>136</v>
      </c>
      <c r="D388" s="8" t="s">
        <v>1375</v>
      </c>
      <c r="E388" s="9" t="s">
        <v>59</v>
      </c>
      <c r="F388" s="8">
        <v>4.0</v>
      </c>
      <c r="H388" s="8">
        <v>10.0</v>
      </c>
      <c r="I388" s="8">
        <v>40.0</v>
      </c>
      <c r="J388" s="8">
        <v>4212.37</v>
      </c>
      <c r="K388" s="8">
        <v>0.0</v>
      </c>
      <c r="L388" s="15">
        <v>46086.0</v>
      </c>
      <c r="M388" s="15">
        <v>46117.0</v>
      </c>
      <c r="N388" s="8">
        <v>1.0</v>
      </c>
      <c r="O388" s="8">
        <v>-779.0</v>
      </c>
      <c r="P388" s="8">
        <v>809.0</v>
      </c>
      <c r="R388" s="8" t="s">
        <v>1821</v>
      </c>
      <c r="T388" s="8">
        <v>352.0</v>
      </c>
    </row>
    <row r="389" ht="22.5" customHeight="1">
      <c r="A389" s="8" t="s">
        <v>1822</v>
      </c>
      <c r="B389" s="9" t="s">
        <v>412</v>
      </c>
      <c r="C389" s="8" t="s">
        <v>136</v>
      </c>
      <c r="D389" s="8" t="s">
        <v>1460</v>
      </c>
      <c r="E389" s="9" t="s">
        <v>38</v>
      </c>
      <c r="F389" s="8">
        <v>3.0</v>
      </c>
      <c r="H389" s="8">
        <v>1000.0</v>
      </c>
      <c r="I389" s="8">
        <v>3000.0</v>
      </c>
      <c r="J389" s="8">
        <v>2499.9</v>
      </c>
      <c r="K389" s="8">
        <v>2499.9</v>
      </c>
      <c r="L389" s="15">
        <v>46087.0</v>
      </c>
      <c r="M389" s="15">
        <v>46118.0</v>
      </c>
      <c r="N389" s="8">
        <v>0.0</v>
      </c>
      <c r="O389" s="8">
        <v>-778.0</v>
      </c>
      <c r="P389" s="8">
        <v>808.0</v>
      </c>
      <c r="R389" s="8" t="s">
        <v>1823</v>
      </c>
      <c r="T389" s="8">
        <v>353.0</v>
      </c>
    </row>
    <row r="390" ht="22.5" customHeight="1">
      <c r="A390" s="8" t="s">
        <v>1794</v>
      </c>
      <c r="B390" s="9" t="s">
        <v>290</v>
      </c>
      <c r="C390" s="8" t="s">
        <v>136</v>
      </c>
      <c r="D390" s="8" t="s">
        <v>1795</v>
      </c>
      <c r="E390" s="9" t="s">
        <v>29</v>
      </c>
      <c r="F390" s="8">
        <v>1.0</v>
      </c>
      <c r="H390" s="8">
        <v>6000.0</v>
      </c>
      <c r="I390" s="8">
        <v>6000.0</v>
      </c>
      <c r="J390" s="8">
        <v>6000.0</v>
      </c>
      <c r="K390" s="8">
        <v>0.0</v>
      </c>
      <c r="L390" s="15">
        <v>46102.0</v>
      </c>
      <c r="M390" s="15">
        <v>46133.0</v>
      </c>
      <c r="N390" s="8">
        <v>1.0</v>
      </c>
      <c r="O390" s="8">
        <v>-763.0</v>
      </c>
      <c r="P390" s="8">
        <v>793.0</v>
      </c>
      <c r="R390" s="8" t="s">
        <v>1824</v>
      </c>
      <c r="T390" s="8">
        <v>354.0</v>
      </c>
    </row>
    <row r="391" ht="22.5" customHeight="1">
      <c r="B391" s="9" t="s">
        <v>371</v>
      </c>
      <c r="C391" s="8" t="s">
        <v>136</v>
      </c>
      <c r="D391" s="8" t="s">
        <v>1767</v>
      </c>
      <c r="E391" s="9" t="s">
        <v>38</v>
      </c>
      <c r="F391" s="8">
        <v>2.0</v>
      </c>
      <c r="H391" s="8">
        <v>2500.0</v>
      </c>
      <c r="I391" s="8">
        <v>5000.0</v>
      </c>
      <c r="J391" s="8">
        <v>5000.0</v>
      </c>
      <c r="K391" s="8">
        <v>0.0</v>
      </c>
      <c r="L391" s="15">
        <v>46084.0</v>
      </c>
      <c r="M391" s="15">
        <v>46115.0</v>
      </c>
      <c r="N391" s="8">
        <v>1.0</v>
      </c>
      <c r="O391" s="8">
        <v>-781.0</v>
      </c>
      <c r="P391" s="8">
        <v>811.0</v>
      </c>
      <c r="R391" s="8" t="s">
        <v>1825</v>
      </c>
      <c r="T391" s="8">
        <v>355.0</v>
      </c>
    </row>
    <row r="392" ht="22.5" customHeight="1">
      <c r="A392" s="8" t="s">
        <v>1752</v>
      </c>
      <c r="B392" s="9" t="s">
        <v>359</v>
      </c>
      <c r="C392" s="8" t="s">
        <v>136</v>
      </c>
      <c r="D392" s="8" t="s">
        <v>1799</v>
      </c>
      <c r="E392" s="9" t="s">
        <v>38</v>
      </c>
      <c r="F392" s="8">
        <v>2.0</v>
      </c>
      <c r="H392" s="8">
        <v>6000.0</v>
      </c>
      <c r="I392" s="8">
        <v>10000.0</v>
      </c>
      <c r="J392" s="8">
        <v>10000.0</v>
      </c>
      <c r="K392" s="8">
        <v>0.0</v>
      </c>
      <c r="L392" s="15">
        <v>46099.0</v>
      </c>
      <c r="M392" s="15">
        <v>46130.0</v>
      </c>
      <c r="N392" s="8">
        <v>1.0</v>
      </c>
      <c r="O392" s="8">
        <v>-766.0</v>
      </c>
      <c r="P392" s="8">
        <v>796.0</v>
      </c>
      <c r="R392" s="8" t="s">
        <v>1826</v>
      </c>
      <c r="T392" s="8">
        <v>356.0</v>
      </c>
    </row>
    <row r="393" ht="22.5" customHeight="1">
      <c r="A393" s="8" t="s">
        <v>1801</v>
      </c>
      <c r="B393" s="9" t="s">
        <v>272</v>
      </c>
      <c r="D393" s="8" t="s">
        <v>1802</v>
      </c>
      <c r="F393" s="8">
        <v>1.0</v>
      </c>
      <c r="H393" s="8">
        <v>300.0</v>
      </c>
      <c r="I393" s="8">
        <v>300.0</v>
      </c>
      <c r="L393" s="15">
        <v>46090.0</v>
      </c>
      <c r="M393" s="15">
        <v>46121.0</v>
      </c>
      <c r="O393" s="8">
        <v>-775.0</v>
      </c>
      <c r="P393" s="8">
        <v>805.0</v>
      </c>
      <c r="R393" s="8" t="s">
        <v>1827</v>
      </c>
      <c r="T393" s="8">
        <v>357.0</v>
      </c>
    </row>
    <row r="394" ht="22.5" customHeight="1">
      <c r="B394" s="9" t="s">
        <v>365</v>
      </c>
      <c r="C394" s="8" t="s">
        <v>136</v>
      </c>
      <c r="D394" s="8" t="s">
        <v>1805</v>
      </c>
      <c r="E394" s="9" t="s">
        <v>38</v>
      </c>
      <c r="F394" s="8">
        <v>1.0</v>
      </c>
      <c r="H394" s="8">
        <v>5000.0</v>
      </c>
      <c r="I394" s="8">
        <v>5000.0</v>
      </c>
      <c r="J394" s="8">
        <v>5000.0</v>
      </c>
      <c r="K394" s="8">
        <v>0.0</v>
      </c>
      <c r="L394" s="15">
        <v>46086.0</v>
      </c>
      <c r="M394" s="15">
        <v>46117.0</v>
      </c>
      <c r="N394" s="8">
        <v>1.0</v>
      </c>
      <c r="O394" s="8">
        <v>-779.0</v>
      </c>
      <c r="P394" s="8">
        <v>809.0</v>
      </c>
      <c r="R394" s="8" t="s">
        <v>1828</v>
      </c>
      <c r="T394" s="8">
        <v>358.0</v>
      </c>
    </row>
    <row r="395" ht="22.5" customHeight="1">
      <c r="A395" s="8" t="s">
        <v>1829</v>
      </c>
      <c r="B395" s="9" t="s">
        <v>302</v>
      </c>
      <c r="C395" s="8" t="s">
        <v>136</v>
      </c>
      <c r="D395" s="8" t="s">
        <v>1830</v>
      </c>
      <c r="E395" s="9" t="s">
        <v>29</v>
      </c>
      <c r="F395" s="8">
        <v>3.0</v>
      </c>
      <c r="G395" s="16">
        <v>0.33</v>
      </c>
      <c r="H395" s="8">
        <v>100.0</v>
      </c>
      <c r="I395" s="8">
        <v>300.0</v>
      </c>
      <c r="J395" s="8">
        <v>6000.0</v>
      </c>
      <c r="K395" s="8">
        <v>8000.0</v>
      </c>
      <c r="L395" s="15">
        <v>46089.0</v>
      </c>
      <c r="M395" s="15">
        <v>46120.0</v>
      </c>
      <c r="N395" s="8">
        <v>0.0</v>
      </c>
      <c r="O395" s="8">
        <v>-776.0</v>
      </c>
      <c r="P395" s="8">
        <v>806.0</v>
      </c>
      <c r="R395" s="8" t="s">
        <v>1831</v>
      </c>
      <c r="T395" s="8">
        <v>359.0</v>
      </c>
    </row>
    <row r="396" ht="22.5" customHeight="1">
      <c r="A396" s="8" t="s">
        <v>1832</v>
      </c>
      <c r="B396" s="9" t="s">
        <v>281</v>
      </c>
      <c r="C396" s="8" t="s">
        <v>136</v>
      </c>
      <c r="D396" s="8" t="s">
        <v>1808</v>
      </c>
      <c r="E396" s="9" t="s">
        <v>29</v>
      </c>
      <c r="F396" s="8">
        <v>3.0</v>
      </c>
      <c r="G396" s="16">
        <v>0.33</v>
      </c>
      <c r="H396" s="8">
        <v>100.0</v>
      </c>
      <c r="I396" s="8">
        <v>300.0</v>
      </c>
      <c r="J396" s="8">
        <v>6000.0</v>
      </c>
      <c r="K396" s="8">
        <v>0.0</v>
      </c>
      <c r="L396" s="15">
        <v>46092.0</v>
      </c>
      <c r="M396" s="15">
        <v>46123.0</v>
      </c>
      <c r="N396" s="8">
        <v>1.0</v>
      </c>
      <c r="O396" s="8">
        <v>-773.0</v>
      </c>
      <c r="P396" s="8">
        <v>803.0</v>
      </c>
      <c r="R396" s="8" t="s">
        <v>1833</v>
      </c>
      <c r="T396" s="8">
        <v>360.0</v>
      </c>
    </row>
    <row r="397" ht="22.5" customHeight="1">
      <c r="B397" s="9" t="s">
        <v>403</v>
      </c>
      <c r="C397" s="8" t="s">
        <v>136</v>
      </c>
      <c r="D397" s="8" t="s">
        <v>1643</v>
      </c>
      <c r="E397" s="9" t="s">
        <v>38</v>
      </c>
      <c r="F397" s="8">
        <v>2.0</v>
      </c>
      <c r="H397" s="8" t="s">
        <v>1295</v>
      </c>
      <c r="I397" s="8">
        <v>15000.0</v>
      </c>
      <c r="J397" s="8">
        <v>15000.0</v>
      </c>
      <c r="K397" s="8">
        <v>0.0</v>
      </c>
      <c r="L397" s="15">
        <v>46090.0</v>
      </c>
      <c r="M397" s="15">
        <v>46121.0</v>
      </c>
      <c r="N397" s="8">
        <v>1.0</v>
      </c>
      <c r="O397" s="8">
        <v>-775.0</v>
      </c>
      <c r="P397" s="8">
        <v>805.0</v>
      </c>
      <c r="R397" s="8" t="s">
        <v>1834</v>
      </c>
      <c r="T397" s="8">
        <v>361.0</v>
      </c>
    </row>
    <row r="398" ht="22.5" customHeight="1">
      <c r="A398" s="8">
        <v>0.1667</v>
      </c>
      <c r="B398" s="9" t="s">
        <v>406</v>
      </c>
      <c r="C398" s="8" t="s">
        <v>136</v>
      </c>
      <c r="D398" s="8" t="s">
        <v>1563</v>
      </c>
      <c r="E398" s="9" t="s">
        <v>29</v>
      </c>
      <c r="F398" s="8">
        <v>1.0</v>
      </c>
      <c r="H398" s="8">
        <v>150.0</v>
      </c>
      <c r="I398" s="8">
        <v>150.0</v>
      </c>
      <c r="J398" s="8">
        <v>3300.0</v>
      </c>
      <c r="K398" s="8">
        <v>0.0</v>
      </c>
      <c r="L398" s="15">
        <v>46101.0</v>
      </c>
      <c r="M398" s="15">
        <v>46132.0</v>
      </c>
      <c r="N398" s="8">
        <v>1.0</v>
      </c>
      <c r="O398" s="8">
        <v>-764.0</v>
      </c>
      <c r="P398" s="8">
        <v>794.0</v>
      </c>
      <c r="R398" s="8" t="s">
        <v>1835</v>
      </c>
      <c r="T398" s="8">
        <v>362.0</v>
      </c>
    </row>
    <row r="399" ht="22.5" customHeight="1">
      <c r="A399" s="8" t="s">
        <v>1785</v>
      </c>
      <c r="B399" s="9" t="s">
        <v>391</v>
      </c>
      <c r="C399" s="8" t="s">
        <v>136</v>
      </c>
      <c r="D399" s="8" t="s">
        <v>1786</v>
      </c>
      <c r="E399" s="9" t="s">
        <v>29</v>
      </c>
      <c r="F399" s="8">
        <v>3.0</v>
      </c>
      <c r="H399" s="8">
        <v>100.0</v>
      </c>
      <c r="I399" s="8">
        <v>300.0</v>
      </c>
      <c r="J399" s="8">
        <v>6600.0</v>
      </c>
      <c r="K399" s="8">
        <v>0.0</v>
      </c>
      <c r="L399" s="15">
        <v>46100.0</v>
      </c>
      <c r="M399" s="15">
        <v>46131.0</v>
      </c>
      <c r="N399" s="8">
        <v>1.0</v>
      </c>
      <c r="O399" s="8">
        <v>-765.0</v>
      </c>
      <c r="P399" s="8">
        <v>795.0</v>
      </c>
      <c r="R399" s="8" t="s">
        <v>1836</v>
      </c>
      <c r="T399" s="8">
        <v>363.0</v>
      </c>
    </row>
    <row r="400" ht="22.5" customHeight="1">
      <c r="B400" s="9" t="s">
        <v>409</v>
      </c>
      <c r="C400" s="8" t="s">
        <v>136</v>
      </c>
      <c r="D400" s="8" t="s">
        <v>1517</v>
      </c>
      <c r="E400" s="9" t="s">
        <v>29</v>
      </c>
      <c r="F400" s="8">
        <v>1.0</v>
      </c>
      <c r="H400" s="8">
        <v>150.0</v>
      </c>
      <c r="I400" s="8">
        <v>150.0</v>
      </c>
      <c r="J400" s="8">
        <v>3300.0</v>
      </c>
      <c r="K400" s="8">
        <v>0.0</v>
      </c>
      <c r="L400" s="15">
        <v>46086.0</v>
      </c>
      <c r="M400" s="15">
        <v>46117.0</v>
      </c>
      <c r="N400" s="8">
        <v>1.0</v>
      </c>
      <c r="O400" s="8">
        <v>-779.0</v>
      </c>
      <c r="P400" s="8">
        <v>809.0</v>
      </c>
      <c r="R400" s="8" t="s">
        <v>1837</v>
      </c>
      <c r="T400" s="8">
        <v>364.0</v>
      </c>
    </row>
    <row r="401" ht="22.5" customHeight="1">
      <c r="A401" s="8">
        <v>1.0</v>
      </c>
      <c r="B401" s="9" t="s">
        <v>400</v>
      </c>
      <c r="C401" s="8" t="s">
        <v>136</v>
      </c>
      <c r="D401" s="8" t="s">
        <v>1375</v>
      </c>
      <c r="E401" s="9" t="s">
        <v>59</v>
      </c>
      <c r="F401" s="8">
        <v>1.5</v>
      </c>
      <c r="H401" s="8">
        <v>10.0</v>
      </c>
      <c r="I401" s="8">
        <v>15.0</v>
      </c>
      <c r="J401" s="8">
        <v>1578.75</v>
      </c>
      <c r="K401" s="8">
        <v>0.0</v>
      </c>
      <c r="L401" s="15">
        <v>46073.0</v>
      </c>
      <c r="M401" s="15">
        <v>46101.0</v>
      </c>
      <c r="N401" s="8">
        <v>1.0</v>
      </c>
      <c r="O401" s="8">
        <v>-795.0</v>
      </c>
      <c r="P401" s="8">
        <v>825.0</v>
      </c>
      <c r="R401" s="8" t="s">
        <v>1838</v>
      </c>
      <c r="T401" s="8">
        <v>334.0</v>
      </c>
    </row>
    <row r="402" ht="22.5" customHeight="1">
      <c r="A402" s="8" t="s">
        <v>1839</v>
      </c>
      <c r="B402" s="9" t="s">
        <v>224</v>
      </c>
      <c r="C402" s="8" t="s">
        <v>136</v>
      </c>
      <c r="D402" s="8" t="s">
        <v>1741</v>
      </c>
      <c r="E402" s="9" t="s">
        <v>29</v>
      </c>
      <c r="F402" s="8">
        <v>4.0</v>
      </c>
      <c r="H402" s="8">
        <v>150.0</v>
      </c>
      <c r="I402" s="8">
        <v>600.0</v>
      </c>
      <c r="J402" s="8">
        <v>13200.0</v>
      </c>
      <c r="K402" s="8">
        <v>0.0</v>
      </c>
      <c r="L402" s="15">
        <v>46068.0</v>
      </c>
      <c r="M402" s="15">
        <v>46096.0</v>
      </c>
      <c r="N402" s="8">
        <v>1.0</v>
      </c>
      <c r="O402" s="8">
        <v>-800.0</v>
      </c>
      <c r="P402" s="8">
        <v>830.0</v>
      </c>
      <c r="R402" s="8" t="s">
        <v>1840</v>
      </c>
      <c r="T402" s="8">
        <v>335.0</v>
      </c>
    </row>
    <row r="403" ht="22.5" customHeight="1">
      <c r="A403" s="8" t="s">
        <v>794</v>
      </c>
      <c r="B403" s="9" t="s">
        <v>347</v>
      </c>
      <c r="C403" s="8" t="s">
        <v>794</v>
      </c>
      <c r="D403" s="8" t="s">
        <v>1841</v>
      </c>
      <c r="E403" s="9" t="s">
        <v>38</v>
      </c>
      <c r="F403" s="8">
        <v>2.0</v>
      </c>
      <c r="H403" s="8" t="s">
        <v>1842</v>
      </c>
      <c r="I403" s="8">
        <v>10000.0</v>
      </c>
      <c r="L403" s="15">
        <v>46056.0</v>
      </c>
      <c r="M403" s="15">
        <v>46084.0</v>
      </c>
      <c r="O403" s="8">
        <v>-812.0</v>
      </c>
      <c r="P403" s="8">
        <v>842.0</v>
      </c>
      <c r="R403" s="8" t="s">
        <v>1843</v>
      </c>
      <c r="T403" s="8">
        <v>336.0</v>
      </c>
    </row>
    <row r="404" ht="22.5" customHeight="1">
      <c r="B404" s="9" t="s">
        <v>377</v>
      </c>
      <c r="C404" s="8" t="s">
        <v>136</v>
      </c>
      <c r="D404" s="8" t="s">
        <v>1844</v>
      </c>
      <c r="E404" s="9" t="s">
        <v>38</v>
      </c>
      <c r="F404" s="8">
        <v>4.0</v>
      </c>
      <c r="G404" s="16">
        <v>0.17</v>
      </c>
      <c r="H404" s="8">
        <v>2500.0</v>
      </c>
      <c r="I404" s="8">
        <v>10000.0</v>
      </c>
      <c r="J404" s="8">
        <v>10000.0</v>
      </c>
      <c r="K404" s="8">
        <v>0.0</v>
      </c>
      <c r="L404" s="15">
        <v>46061.0</v>
      </c>
      <c r="M404" s="15">
        <v>46089.0</v>
      </c>
      <c r="N404" s="8">
        <v>1.0</v>
      </c>
      <c r="O404" s="8">
        <v>-807.0</v>
      </c>
      <c r="P404" s="8">
        <v>837.0</v>
      </c>
      <c r="R404" s="8" t="s">
        <v>1845</v>
      </c>
      <c r="T404" s="8">
        <v>337.0</v>
      </c>
    </row>
    <row r="405" ht="22.5" customHeight="1">
      <c r="A405" s="8" t="s">
        <v>1794</v>
      </c>
      <c r="B405" s="9" t="s">
        <v>290</v>
      </c>
      <c r="C405" s="8" t="s">
        <v>136</v>
      </c>
      <c r="D405" s="8" t="s">
        <v>1795</v>
      </c>
      <c r="E405" s="9" t="s">
        <v>29</v>
      </c>
      <c r="F405" s="8">
        <v>1.0</v>
      </c>
      <c r="H405" s="8">
        <v>6000.0</v>
      </c>
      <c r="I405" s="8">
        <v>6000.0</v>
      </c>
      <c r="J405" s="8">
        <v>6000.0</v>
      </c>
      <c r="K405" s="8">
        <v>0.0</v>
      </c>
      <c r="L405" s="15">
        <v>46074.0</v>
      </c>
      <c r="M405" s="15">
        <v>46102.0</v>
      </c>
      <c r="N405" s="8">
        <v>1.0</v>
      </c>
      <c r="O405" s="8">
        <v>-794.0</v>
      </c>
      <c r="P405" s="8">
        <v>824.0</v>
      </c>
      <c r="R405" s="8" t="s">
        <v>1846</v>
      </c>
      <c r="T405" s="8">
        <v>338.0</v>
      </c>
    </row>
    <row r="406" ht="22.5" customHeight="1">
      <c r="B406" s="9" t="s">
        <v>371</v>
      </c>
      <c r="C406" s="8" t="s">
        <v>136</v>
      </c>
      <c r="D406" s="8" t="s">
        <v>1767</v>
      </c>
      <c r="E406" s="9" t="s">
        <v>38</v>
      </c>
      <c r="F406" s="8">
        <v>2.0</v>
      </c>
      <c r="H406" s="8">
        <v>2500.0</v>
      </c>
      <c r="I406" s="8">
        <v>5000.0</v>
      </c>
      <c r="J406" s="8">
        <v>5000.0</v>
      </c>
      <c r="K406" s="8">
        <v>0.0</v>
      </c>
      <c r="L406" s="15">
        <v>46056.0</v>
      </c>
      <c r="M406" s="15">
        <v>46084.0</v>
      </c>
      <c r="N406" s="8">
        <v>1.0</v>
      </c>
      <c r="O406" s="8">
        <v>-812.0</v>
      </c>
      <c r="P406" s="8">
        <v>842.0</v>
      </c>
      <c r="R406" s="8" t="s">
        <v>1847</v>
      </c>
      <c r="T406" s="8">
        <v>339.0</v>
      </c>
    </row>
    <row r="407" ht="22.5" customHeight="1">
      <c r="A407" s="8" t="s">
        <v>1848</v>
      </c>
      <c r="B407" s="9" t="s">
        <v>359</v>
      </c>
      <c r="C407" s="8" t="s">
        <v>136</v>
      </c>
      <c r="D407" s="8" t="s">
        <v>1799</v>
      </c>
      <c r="E407" s="9" t="s">
        <v>38</v>
      </c>
      <c r="F407" s="8">
        <v>2.0</v>
      </c>
      <c r="H407" s="8">
        <v>6000.0</v>
      </c>
      <c r="I407" s="8">
        <v>10000.0</v>
      </c>
      <c r="J407" s="8">
        <v>10000.0</v>
      </c>
      <c r="K407" s="8">
        <v>0.0</v>
      </c>
      <c r="L407" s="15">
        <v>46071.0</v>
      </c>
      <c r="M407" s="15">
        <v>46099.0</v>
      </c>
      <c r="N407" s="8">
        <v>1.0</v>
      </c>
      <c r="O407" s="8">
        <v>-797.0</v>
      </c>
      <c r="P407" s="8">
        <v>827.0</v>
      </c>
      <c r="R407" s="8" t="s">
        <v>1849</v>
      </c>
      <c r="T407" s="8">
        <v>340.0</v>
      </c>
    </row>
    <row r="408" ht="22.5" customHeight="1">
      <c r="A408" s="8" t="s">
        <v>1801</v>
      </c>
      <c r="B408" s="9" t="s">
        <v>272</v>
      </c>
      <c r="C408" s="8" t="s">
        <v>136</v>
      </c>
      <c r="D408" s="8" t="s">
        <v>1802</v>
      </c>
      <c r="E408" s="9" t="s">
        <v>29</v>
      </c>
      <c r="F408" s="8">
        <v>1.0</v>
      </c>
      <c r="H408" s="8">
        <v>300.0</v>
      </c>
      <c r="I408" s="8">
        <v>300.0</v>
      </c>
      <c r="J408" s="8">
        <v>6600.0</v>
      </c>
      <c r="K408" s="8">
        <v>6600.0</v>
      </c>
      <c r="L408" s="15">
        <v>46064.0</v>
      </c>
      <c r="M408" s="15">
        <v>46092.0</v>
      </c>
      <c r="N408" s="8">
        <v>0.0</v>
      </c>
      <c r="O408" s="8">
        <v>-804.0</v>
      </c>
      <c r="P408" s="8">
        <v>834.0</v>
      </c>
      <c r="R408" s="8" t="s">
        <v>1850</v>
      </c>
      <c r="T408" s="8">
        <v>341.0</v>
      </c>
    </row>
    <row r="409" ht="22.5" customHeight="1">
      <c r="B409" s="9" t="s">
        <v>314</v>
      </c>
      <c r="C409" s="8" t="s">
        <v>794</v>
      </c>
      <c r="D409" s="8" t="s">
        <v>1851</v>
      </c>
      <c r="E409" s="9" t="s">
        <v>29</v>
      </c>
      <c r="F409" s="8">
        <v>5.0</v>
      </c>
      <c r="H409" s="8">
        <v>100.0</v>
      </c>
      <c r="I409" s="8">
        <v>500.0</v>
      </c>
      <c r="L409" s="15">
        <v>46074.0</v>
      </c>
      <c r="M409" s="15">
        <v>46102.0</v>
      </c>
      <c r="O409" s="8">
        <v>-794.0</v>
      </c>
      <c r="P409" s="8">
        <v>824.0</v>
      </c>
      <c r="R409" s="8" t="s">
        <v>1852</v>
      </c>
      <c r="T409" s="8">
        <v>342.0</v>
      </c>
    </row>
    <row r="410" ht="22.5" customHeight="1">
      <c r="B410" s="9" t="s">
        <v>365</v>
      </c>
      <c r="C410" s="8" t="s">
        <v>136</v>
      </c>
      <c r="D410" s="8" t="s">
        <v>1853</v>
      </c>
      <c r="E410" s="9" t="s">
        <v>38</v>
      </c>
      <c r="F410" s="8">
        <v>3.0</v>
      </c>
      <c r="H410" s="8">
        <v>2500.0</v>
      </c>
      <c r="I410" s="8">
        <v>7500.0</v>
      </c>
      <c r="J410" s="8">
        <v>7500.0</v>
      </c>
      <c r="K410" s="8">
        <v>0.0</v>
      </c>
      <c r="L410" s="15">
        <v>46058.0</v>
      </c>
      <c r="M410" s="15">
        <v>46086.0</v>
      </c>
      <c r="N410" s="8">
        <v>1.0</v>
      </c>
      <c r="O410" s="8">
        <v>-810.0</v>
      </c>
      <c r="P410" s="8">
        <v>840.0</v>
      </c>
      <c r="R410" s="8" t="s">
        <v>1854</v>
      </c>
      <c r="T410" s="8">
        <v>343.0</v>
      </c>
    </row>
    <row r="411" ht="22.5" customHeight="1">
      <c r="B411" s="9" t="s">
        <v>302</v>
      </c>
      <c r="C411" s="8" t="s">
        <v>136</v>
      </c>
      <c r="D411" s="8" t="s">
        <v>1830</v>
      </c>
      <c r="E411" s="9" t="s">
        <v>29</v>
      </c>
      <c r="F411" s="8">
        <v>3.0</v>
      </c>
      <c r="G411" s="16">
        <v>0.33</v>
      </c>
      <c r="H411" s="8">
        <v>100.0</v>
      </c>
      <c r="I411" s="8">
        <v>300.0</v>
      </c>
      <c r="J411" s="8">
        <v>6000.0</v>
      </c>
      <c r="K411" s="8">
        <v>6000.0</v>
      </c>
      <c r="L411" s="15">
        <v>46061.0</v>
      </c>
      <c r="M411" s="15">
        <v>46089.0</v>
      </c>
      <c r="N411" s="8">
        <v>0.0</v>
      </c>
      <c r="O411" s="8">
        <v>-807.0</v>
      </c>
      <c r="P411" s="8">
        <v>837.0</v>
      </c>
      <c r="R411" s="8" t="s">
        <v>1855</v>
      </c>
      <c r="T411" s="8">
        <v>344.0</v>
      </c>
    </row>
    <row r="412" ht="22.5" customHeight="1">
      <c r="A412" s="8" t="s">
        <v>1856</v>
      </c>
      <c r="B412" s="9" t="s">
        <v>281</v>
      </c>
      <c r="C412" s="8" t="s">
        <v>136</v>
      </c>
      <c r="D412" s="8" t="s">
        <v>1808</v>
      </c>
      <c r="E412" s="9" t="s">
        <v>29</v>
      </c>
      <c r="F412" s="8">
        <v>3.0</v>
      </c>
      <c r="G412" s="16">
        <v>0.33</v>
      </c>
      <c r="H412" s="8">
        <v>100.0</v>
      </c>
      <c r="I412" s="8">
        <v>300.0</v>
      </c>
      <c r="J412" s="8">
        <v>6000.0</v>
      </c>
      <c r="K412" s="8">
        <v>0.0</v>
      </c>
      <c r="L412" s="15">
        <v>46064.0</v>
      </c>
      <c r="M412" s="15">
        <v>46092.0</v>
      </c>
      <c r="N412" s="8">
        <v>1.0</v>
      </c>
      <c r="O412" s="8">
        <v>-804.0</v>
      </c>
      <c r="P412" s="8">
        <v>834.0</v>
      </c>
      <c r="R412" s="8" t="s">
        <v>1857</v>
      </c>
      <c r="T412" s="8">
        <v>345.0</v>
      </c>
    </row>
    <row r="413" ht="22.5" customHeight="1">
      <c r="A413" s="8">
        <v>0.1667</v>
      </c>
      <c r="B413" s="9" t="s">
        <v>230</v>
      </c>
      <c r="C413" s="8" t="s">
        <v>794</v>
      </c>
      <c r="D413" s="8" t="s">
        <v>1851</v>
      </c>
      <c r="E413" s="9" t="s">
        <v>29</v>
      </c>
      <c r="F413" s="8">
        <v>5.0</v>
      </c>
      <c r="H413" s="8">
        <v>120.0</v>
      </c>
      <c r="I413" s="8">
        <v>500.0</v>
      </c>
      <c r="L413" s="15">
        <v>46062.0</v>
      </c>
      <c r="M413" s="15">
        <v>46090.0</v>
      </c>
      <c r="O413" s="8">
        <v>-806.0</v>
      </c>
      <c r="P413" s="8">
        <v>836.0</v>
      </c>
      <c r="R413" s="8" t="s">
        <v>1858</v>
      </c>
      <c r="T413" s="8">
        <v>346.0</v>
      </c>
    </row>
    <row r="414" ht="22.5" customHeight="1">
      <c r="A414" s="8" t="s">
        <v>1859</v>
      </c>
      <c r="B414" s="9" t="s">
        <v>344</v>
      </c>
      <c r="C414" s="8" t="s">
        <v>136</v>
      </c>
      <c r="D414" s="8" t="s">
        <v>1860</v>
      </c>
      <c r="E414" s="9" t="s">
        <v>38</v>
      </c>
      <c r="F414" s="8">
        <v>5.0</v>
      </c>
      <c r="H414" s="8" t="s">
        <v>1773</v>
      </c>
      <c r="I414" s="8">
        <v>21000.0</v>
      </c>
      <c r="J414" s="8">
        <v>16500.0</v>
      </c>
      <c r="K414" s="8">
        <v>0.0</v>
      </c>
      <c r="L414" s="15">
        <v>46056.0</v>
      </c>
      <c r="M414" s="15">
        <v>46084.0</v>
      </c>
      <c r="N414" s="8">
        <v>1.0</v>
      </c>
      <c r="O414" s="8">
        <v>-812.0</v>
      </c>
      <c r="P414" s="8">
        <v>842.0</v>
      </c>
      <c r="R414" s="8" t="s">
        <v>1861</v>
      </c>
      <c r="T414" s="8">
        <v>347.0</v>
      </c>
    </row>
    <row r="415" ht="22.5" customHeight="1">
      <c r="A415" s="8">
        <v>0.1667</v>
      </c>
      <c r="B415" s="9" t="s">
        <v>403</v>
      </c>
      <c r="C415" s="8" t="s">
        <v>136</v>
      </c>
      <c r="D415" s="8" t="s">
        <v>1643</v>
      </c>
      <c r="E415" s="9" t="s">
        <v>38</v>
      </c>
      <c r="F415" s="8">
        <v>2.0</v>
      </c>
      <c r="H415" s="8" t="s">
        <v>1295</v>
      </c>
      <c r="I415" s="8">
        <v>12500.0</v>
      </c>
      <c r="J415" s="8">
        <v>12500.0</v>
      </c>
      <c r="K415" s="8">
        <v>0.0</v>
      </c>
      <c r="L415" s="15">
        <v>46062.0</v>
      </c>
      <c r="M415" s="15">
        <v>46090.0</v>
      </c>
      <c r="N415" s="8">
        <v>1.0</v>
      </c>
      <c r="O415" s="8">
        <v>-806.0</v>
      </c>
      <c r="P415" s="8">
        <v>836.0</v>
      </c>
      <c r="R415" s="8" t="s">
        <v>1862</v>
      </c>
      <c r="T415" s="8">
        <v>348.0</v>
      </c>
    </row>
    <row r="416" ht="22.5" customHeight="1">
      <c r="A416" s="8">
        <v>0.1667</v>
      </c>
      <c r="B416" s="9" t="s">
        <v>406</v>
      </c>
      <c r="C416" s="8" t="s">
        <v>136</v>
      </c>
      <c r="D416" s="8" t="s">
        <v>1563</v>
      </c>
      <c r="E416" s="9" t="s">
        <v>29</v>
      </c>
      <c r="F416" s="8">
        <v>1.0</v>
      </c>
      <c r="H416" s="8">
        <v>150.0</v>
      </c>
      <c r="I416" s="8">
        <v>150.0</v>
      </c>
      <c r="J416" s="8">
        <v>3300.0</v>
      </c>
      <c r="K416" s="8">
        <v>3300.0</v>
      </c>
      <c r="L416" s="15">
        <v>46073.0</v>
      </c>
      <c r="M416" s="15">
        <v>46101.0</v>
      </c>
      <c r="N416" s="8">
        <v>0.0</v>
      </c>
      <c r="O416" s="8">
        <v>-795.0</v>
      </c>
      <c r="P416" s="8">
        <v>825.0</v>
      </c>
      <c r="R416" s="8" t="s">
        <v>1863</v>
      </c>
      <c r="T416" s="8">
        <v>349.0</v>
      </c>
    </row>
    <row r="417" ht="22.5" customHeight="1">
      <c r="A417" s="8" t="s">
        <v>1864</v>
      </c>
      <c r="B417" s="9" t="s">
        <v>383</v>
      </c>
      <c r="D417" s="8" t="s">
        <v>1033</v>
      </c>
      <c r="F417" s="8">
        <v>1.0</v>
      </c>
      <c r="H417" s="8">
        <v>150.0</v>
      </c>
      <c r="I417" s="8">
        <v>150.0</v>
      </c>
      <c r="L417" s="15">
        <v>46385.0</v>
      </c>
      <c r="M417" s="15">
        <v>46051.0</v>
      </c>
      <c r="O417" s="8">
        <v>-480.0</v>
      </c>
      <c r="P417" s="8">
        <v>510.0</v>
      </c>
      <c r="R417" s="8" t="s">
        <v>1865</v>
      </c>
      <c r="T417" s="8">
        <v>350.0</v>
      </c>
    </row>
    <row r="418" ht="22.5" customHeight="1">
      <c r="A418" s="8" t="s">
        <v>1866</v>
      </c>
      <c r="B418" s="9" t="s">
        <v>391</v>
      </c>
      <c r="C418" s="8" t="s">
        <v>136</v>
      </c>
      <c r="D418" s="8" t="s">
        <v>1786</v>
      </c>
      <c r="E418" s="9" t="s">
        <v>29</v>
      </c>
      <c r="F418" s="8">
        <v>3.0</v>
      </c>
      <c r="H418" s="8">
        <v>100.0</v>
      </c>
      <c r="I418" s="8">
        <v>300.0</v>
      </c>
      <c r="J418" s="8">
        <v>6600.0</v>
      </c>
      <c r="K418" s="8">
        <v>0.0</v>
      </c>
      <c r="L418" s="15">
        <v>46060.0</v>
      </c>
      <c r="M418" s="15">
        <v>46088.0</v>
      </c>
      <c r="N418" s="8">
        <v>1.0</v>
      </c>
      <c r="O418" s="8">
        <v>-443.0</v>
      </c>
      <c r="P418" s="8">
        <v>473.0</v>
      </c>
      <c r="R418" s="8" t="s">
        <v>1867</v>
      </c>
      <c r="T418" s="8">
        <v>351.0</v>
      </c>
    </row>
    <row r="419" ht="22.5" customHeight="1">
      <c r="A419" s="8" t="s">
        <v>1868</v>
      </c>
      <c r="B419" s="9" t="s">
        <v>400</v>
      </c>
      <c r="C419" s="8" t="s">
        <v>136</v>
      </c>
      <c r="D419" s="8" t="s">
        <v>1375</v>
      </c>
      <c r="E419" s="9" t="s">
        <v>59</v>
      </c>
      <c r="F419" s="8">
        <v>4.5</v>
      </c>
      <c r="H419" s="8">
        <v>10.0</v>
      </c>
      <c r="I419" s="8">
        <v>45.0</v>
      </c>
      <c r="J419" s="8">
        <v>4736.25</v>
      </c>
      <c r="K419" s="8">
        <v>0.0</v>
      </c>
      <c r="L419" s="15">
        <v>46042.0</v>
      </c>
      <c r="M419" s="15">
        <v>46073.0</v>
      </c>
      <c r="N419" s="8">
        <v>1.0</v>
      </c>
      <c r="O419" s="8">
        <v>-824.0</v>
      </c>
      <c r="P419" s="8">
        <v>854.0</v>
      </c>
      <c r="R419" s="8" t="s">
        <v>1869</v>
      </c>
      <c r="T419" s="8">
        <v>316.0</v>
      </c>
    </row>
    <row r="420" ht="22.5" customHeight="1">
      <c r="A420" s="8" t="s">
        <v>1870</v>
      </c>
      <c r="B420" s="9" t="s">
        <v>224</v>
      </c>
      <c r="C420" s="8" t="s">
        <v>136</v>
      </c>
      <c r="D420" s="8" t="s">
        <v>1741</v>
      </c>
      <c r="E420" s="9" t="s">
        <v>29</v>
      </c>
      <c r="F420" s="8">
        <v>4.0</v>
      </c>
      <c r="H420" s="8">
        <v>150.0</v>
      </c>
      <c r="I420" s="8">
        <v>600.0</v>
      </c>
      <c r="J420" s="8">
        <v>13200.0</v>
      </c>
      <c r="K420" s="8">
        <v>700.0</v>
      </c>
      <c r="L420" s="15">
        <v>46037.0</v>
      </c>
      <c r="M420" s="15">
        <v>46068.0</v>
      </c>
      <c r="N420" s="8">
        <v>0.0</v>
      </c>
      <c r="O420" s="8">
        <v>-829.0</v>
      </c>
      <c r="P420" s="8">
        <v>859.0</v>
      </c>
      <c r="R420" s="8" t="s">
        <v>1871</v>
      </c>
      <c r="T420" s="8">
        <v>317.0</v>
      </c>
    </row>
    <row r="421" ht="22.5" customHeight="1">
      <c r="A421" s="8" t="s">
        <v>794</v>
      </c>
      <c r="B421" s="9" t="s">
        <v>347</v>
      </c>
      <c r="C421" s="8" t="s">
        <v>794</v>
      </c>
      <c r="D421" s="8" t="s">
        <v>1841</v>
      </c>
      <c r="E421" s="9" t="s">
        <v>38</v>
      </c>
      <c r="F421" s="8">
        <v>2.0</v>
      </c>
      <c r="H421" s="8" t="s">
        <v>1842</v>
      </c>
      <c r="I421" s="8">
        <v>10000.0</v>
      </c>
      <c r="L421" s="15">
        <v>46025.0</v>
      </c>
      <c r="M421" s="15">
        <v>46056.0</v>
      </c>
      <c r="O421" s="8">
        <v>-841.0</v>
      </c>
      <c r="P421" s="8">
        <v>871.0</v>
      </c>
      <c r="R421" s="8" t="s">
        <v>1872</v>
      </c>
      <c r="T421" s="8">
        <v>318.0</v>
      </c>
    </row>
    <row r="422" ht="22.5" customHeight="1">
      <c r="A422" s="8">
        <v>0.5</v>
      </c>
      <c r="B422" s="9" t="s">
        <v>397</v>
      </c>
      <c r="C422" s="8" t="s">
        <v>136</v>
      </c>
      <c r="D422" s="8" t="s">
        <v>1873</v>
      </c>
      <c r="E422" s="9" t="s">
        <v>29</v>
      </c>
      <c r="F422" s="8">
        <v>3.0</v>
      </c>
      <c r="H422" s="8">
        <v>100.0</v>
      </c>
      <c r="I422" s="8">
        <v>150.0</v>
      </c>
      <c r="J422" s="8">
        <v>3300.0</v>
      </c>
      <c r="K422" s="8">
        <v>3300.0</v>
      </c>
      <c r="L422" s="15">
        <v>46030.0</v>
      </c>
      <c r="M422" s="15">
        <v>46061.0</v>
      </c>
      <c r="N422" s="8">
        <v>0.0</v>
      </c>
      <c r="O422" s="8">
        <v>-836.0</v>
      </c>
      <c r="P422" s="8">
        <v>866.0</v>
      </c>
      <c r="R422" s="8" t="s">
        <v>1874</v>
      </c>
      <c r="T422" s="8">
        <v>319.0</v>
      </c>
    </row>
    <row r="423" ht="22.5" customHeight="1">
      <c r="B423" s="9" t="s">
        <v>394</v>
      </c>
      <c r="C423" s="8" t="s">
        <v>136</v>
      </c>
      <c r="D423" s="8" t="s">
        <v>1873</v>
      </c>
      <c r="E423" s="9" t="s">
        <v>29</v>
      </c>
      <c r="F423" s="8">
        <v>3.0</v>
      </c>
      <c r="H423" s="8">
        <v>100.0</v>
      </c>
      <c r="I423" s="8">
        <v>150.0</v>
      </c>
      <c r="J423" s="8">
        <v>3300.0</v>
      </c>
      <c r="K423" s="8">
        <v>3300.0</v>
      </c>
      <c r="L423" s="15">
        <v>46023.0</v>
      </c>
      <c r="M423" s="15">
        <v>46054.0</v>
      </c>
      <c r="N423" s="8">
        <v>0.0</v>
      </c>
      <c r="O423" s="8">
        <v>-843.0</v>
      </c>
      <c r="P423" s="8">
        <v>873.0</v>
      </c>
      <c r="R423" s="8" t="s">
        <v>1875</v>
      </c>
      <c r="T423" s="8">
        <v>320.0</v>
      </c>
    </row>
    <row r="424" ht="22.5" customHeight="1">
      <c r="A424" s="8" t="s">
        <v>1876</v>
      </c>
      <c r="B424" s="9" t="s">
        <v>290</v>
      </c>
      <c r="C424" s="8" t="s">
        <v>136</v>
      </c>
      <c r="D424" s="8" t="s">
        <v>1795</v>
      </c>
      <c r="E424" s="9" t="s">
        <v>29</v>
      </c>
      <c r="F424" s="8">
        <v>2.0</v>
      </c>
      <c r="H424" s="8">
        <v>6000.0</v>
      </c>
      <c r="I424" s="8">
        <v>12000.0</v>
      </c>
      <c r="J424" s="8">
        <v>12000.0</v>
      </c>
      <c r="K424" s="8">
        <v>0.0</v>
      </c>
      <c r="L424" s="15">
        <v>46043.0</v>
      </c>
      <c r="M424" s="15">
        <v>46074.0</v>
      </c>
      <c r="N424" s="8">
        <v>1.0</v>
      </c>
      <c r="O424" s="8">
        <v>-823.0</v>
      </c>
      <c r="P424" s="8">
        <v>853.0</v>
      </c>
      <c r="R424" s="8" t="s">
        <v>1877</v>
      </c>
      <c r="T424" s="8">
        <v>321.0</v>
      </c>
    </row>
    <row r="425" ht="22.5" customHeight="1">
      <c r="A425" s="8" t="s">
        <v>1878</v>
      </c>
      <c r="B425" s="9" t="s">
        <v>386</v>
      </c>
      <c r="C425" s="8" t="s">
        <v>136</v>
      </c>
      <c r="D425" s="8" t="s">
        <v>1879</v>
      </c>
      <c r="E425" s="9" t="s">
        <v>38</v>
      </c>
      <c r="F425" s="8">
        <v>3.0</v>
      </c>
      <c r="H425" s="8">
        <v>2500.0</v>
      </c>
      <c r="I425" s="8">
        <v>6250.0</v>
      </c>
      <c r="J425" s="8">
        <v>6250.0</v>
      </c>
      <c r="K425" s="8">
        <v>0.0</v>
      </c>
      <c r="L425" s="15">
        <v>46034.0</v>
      </c>
      <c r="M425" s="15">
        <v>46065.0</v>
      </c>
      <c r="N425" s="8">
        <v>1.0</v>
      </c>
      <c r="O425" s="8">
        <v>-832.0</v>
      </c>
      <c r="P425" s="8">
        <v>862.0</v>
      </c>
      <c r="R425" s="8" t="s">
        <v>1880</v>
      </c>
      <c r="T425" s="8">
        <v>322.0</v>
      </c>
    </row>
    <row r="426" ht="22.5" customHeight="1">
      <c r="A426" s="8">
        <v>45358.0</v>
      </c>
      <c r="B426" s="9" t="s">
        <v>371</v>
      </c>
      <c r="C426" s="8" t="s">
        <v>136</v>
      </c>
      <c r="D426" s="8" t="s">
        <v>1767</v>
      </c>
      <c r="E426" s="9" t="s">
        <v>38</v>
      </c>
      <c r="F426" s="8">
        <v>2.0</v>
      </c>
      <c r="H426" s="8">
        <v>2500.0</v>
      </c>
      <c r="I426" s="8">
        <v>5000.0</v>
      </c>
      <c r="J426" s="8">
        <v>5000.0</v>
      </c>
      <c r="K426" s="8">
        <v>0.0</v>
      </c>
      <c r="L426" s="15">
        <v>46025.0</v>
      </c>
      <c r="M426" s="15">
        <v>46056.0</v>
      </c>
      <c r="N426" s="8">
        <v>1.0</v>
      </c>
      <c r="O426" s="8">
        <v>-841.0</v>
      </c>
      <c r="P426" s="8">
        <v>871.0</v>
      </c>
      <c r="R426" s="8" t="s">
        <v>1881</v>
      </c>
      <c r="T426" s="8">
        <v>323.0</v>
      </c>
    </row>
    <row r="427" ht="22.5" customHeight="1">
      <c r="A427" s="8" t="s">
        <v>1882</v>
      </c>
      <c r="B427" s="9" t="s">
        <v>359</v>
      </c>
      <c r="C427" s="8" t="s">
        <v>136</v>
      </c>
      <c r="D427" s="8" t="s">
        <v>1799</v>
      </c>
      <c r="E427" s="9" t="s">
        <v>38</v>
      </c>
      <c r="F427" s="8">
        <v>2.0</v>
      </c>
      <c r="H427" s="8">
        <v>6000.0</v>
      </c>
      <c r="I427" s="8">
        <v>10000.0</v>
      </c>
      <c r="J427" s="8">
        <v>10000.0</v>
      </c>
      <c r="K427" s="8">
        <v>0.0</v>
      </c>
      <c r="L427" s="15">
        <v>46040.0</v>
      </c>
      <c r="M427" s="15">
        <v>46071.0</v>
      </c>
      <c r="N427" s="8">
        <v>1.0</v>
      </c>
      <c r="O427" s="8">
        <v>-826.0</v>
      </c>
      <c r="P427" s="8">
        <v>856.0</v>
      </c>
      <c r="R427" s="8" t="s">
        <v>1883</v>
      </c>
      <c r="T427" s="8">
        <v>324.0</v>
      </c>
    </row>
    <row r="428" ht="22.5" customHeight="1">
      <c r="A428" s="8" t="s">
        <v>1884</v>
      </c>
      <c r="B428" s="9" t="s">
        <v>272</v>
      </c>
      <c r="C428" s="8" t="s">
        <v>136</v>
      </c>
      <c r="D428" s="8" t="s">
        <v>1802</v>
      </c>
      <c r="E428" s="9" t="s">
        <v>29</v>
      </c>
      <c r="F428" s="8">
        <v>2.0</v>
      </c>
      <c r="G428" s="8">
        <v>16.67</v>
      </c>
      <c r="H428" s="8">
        <v>250.0</v>
      </c>
      <c r="I428" s="8">
        <v>500.0</v>
      </c>
      <c r="J428" s="8">
        <v>11000.0</v>
      </c>
      <c r="K428" s="8">
        <v>11000.0</v>
      </c>
      <c r="L428" s="15">
        <v>46033.0</v>
      </c>
      <c r="M428" s="15">
        <v>46064.0</v>
      </c>
      <c r="N428" s="8">
        <v>0.0</v>
      </c>
      <c r="O428" s="8">
        <v>-833.0</v>
      </c>
      <c r="P428" s="8">
        <v>863.0</v>
      </c>
      <c r="R428" s="8" t="s">
        <v>1885</v>
      </c>
      <c r="T428" s="8">
        <v>325.0</v>
      </c>
    </row>
    <row r="429" ht="22.5" customHeight="1">
      <c r="B429" s="9" t="s">
        <v>314</v>
      </c>
      <c r="C429" s="8" t="s">
        <v>794</v>
      </c>
      <c r="D429" s="8" t="s">
        <v>1851</v>
      </c>
      <c r="E429" s="9" t="s">
        <v>29</v>
      </c>
      <c r="F429" s="8">
        <v>5.0</v>
      </c>
      <c r="H429" s="8">
        <v>100.0</v>
      </c>
      <c r="I429" s="8">
        <v>500.0</v>
      </c>
      <c r="L429" s="15">
        <v>46043.0</v>
      </c>
      <c r="M429" s="15">
        <v>46074.0</v>
      </c>
      <c r="O429" s="8">
        <v>-823.0</v>
      </c>
      <c r="P429" s="8">
        <v>853.0</v>
      </c>
      <c r="R429" s="8" t="s">
        <v>1886</v>
      </c>
      <c r="T429" s="8">
        <v>326.0</v>
      </c>
    </row>
    <row r="430" ht="22.5" customHeight="1">
      <c r="A430" s="8" t="s">
        <v>1887</v>
      </c>
      <c r="B430" s="9" t="s">
        <v>365</v>
      </c>
      <c r="C430" s="8" t="s">
        <v>136</v>
      </c>
      <c r="D430" s="8" t="s">
        <v>1853</v>
      </c>
      <c r="E430" s="9" t="s">
        <v>38</v>
      </c>
      <c r="F430" s="8">
        <v>3.0</v>
      </c>
      <c r="H430" s="8">
        <v>2500.0</v>
      </c>
      <c r="I430" s="8">
        <v>5625.0</v>
      </c>
      <c r="J430" s="8">
        <v>5625.0</v>
      </c>
      <c r="K430" s="8">
        <v>5625.0</v>
      </c>
      <c r="L430" s="15">
        <v>46042.0</v>
      </c>
      <c r="M430" s="15">
        <v>46073.0</v>
      </c>
      <c r="N430" s="8">
        <v>0.0</v>
      </c>
      <c r="O430" s="8">
        <v>-824.0</v>
      </c>
      <c r="P430" s="8">
        <v>854.0</v>
      </c>
      <c r="R430" s="8" t="s">
        <v>1888</v>
      </c>
      <c r="T430" s="8">
        <v>327.0</v>
      </c>
    </row>
    <row r="431" ht="22.5" customHeight="1">
      <c r="B431" s="9" t="s">
        <v>302</v>
      </c>
      <c r="C431" s="8" t="s">
        <v>136</v>
      </c>
      <c r="D431" s="8" t="s">
        <v>1889</v>
      </c>
      <c r="E431" s="9" t="s">
        <v>29</v>
      </c>
      <c r="F431" s="8">
        <v>3.0</v>
      </c>
      <c r="G431" s="16">
        <v>0.33</v>
      </c>
      <c r="H431" s="8">
        <v>100.0</v>
      </c>
      <c r="I431" s="8">
        <v>300.0</v>
      </c>
      <c r="J431" s="8">
        <v>6000.0</v>
      </c>
      <c r="K431" s="8">
        <v>6000.0</v>
      </c>
      <c r="L431" s="15">
        <v>46023.0</v>
      </c>
      <c r="M431" s="15">
        <v>46054.0</v>
      </c>
      <c r="N431" s="8">
        <v>0.0</v>
      </c>
      <c r="O431" s="8">
        <v>-843.0</v>
      </c>
      <c r="P431" s="8">
        <v>873.0</v>
      </c>
      <c r="R431" s="8" t="s">
        <v>1890</v>
      </c>
      <c r="T431" s="8">
        <v>328.0</v>
      </c>
    </row>
    <row r="432" ht="22.5" customHeight="1">
      <c r="A432" s="8">
        <v>0.5</v>
      </c>
      <c r="B432" s="9" t="s">
        <v>281</v>
      </c>
      <c r="C432" s="8" t="s">
        <v>136</v>
      </c>
      <c r="D432" s="8" t="s">
        <v>1808</v>
      </c>
      <c r="E432" s="9" t="s">
        <v>29</v>
      </c>
      <c r="F432" s="8">
        <v>3.0</v>
      </c>
      <c r="G432" s="16">
        <v>0.33</v>
      </c>
      <c r="H432" s="8">
        <v>100.0</v>
      </c>
      <c r="I432" s="8">
        <v>150.0</v>
      </c>
      <c r="J432" s="8">
        <v>3000.0</v>
      </c>
      <c r="K432" s="8">
        <v>0.0</v>
      </c>
      <c r="L432" s="15">
        <v>46033.0</v>
      </c>
      <c r="M432" s="15">
        <v>46064.0</v>
      </c>
      <c r="N432" s="8">
        <v>1.0</v>
      </c>
      <c r="O432" s="8">
        <v>-833.0</v>
      </c>
      <c r="P432" s="8">
        <v>863.0</v>
      </c>
      <c r="R432" s="8" t="s">
        <v>1891</v>
      </c>
      <c r="T432" s="8">
        <v>329.0</v>
      </c>
    </row>
    <row r="433" ht="22.5" customHeight="1">
      <c r="B433" s="9" t="s">
        <v>230</v>
      </c>
      <c r="C433" s="8" t="s">
        <v>794</v>
      </c>
      <c r="D433" s="8" t="s">
        <v>1851</v>
      </c>
      <c r="E433" s="9" t="s">
        <v>29</v>
      </c>
      <c r="F433" s="8">
        <v>5.0</v>
      </c>
      <c r="H433" s="8">
        <v>120.0</v>
      </c>
      <c r="I433" s="8">
        <v>500.0</v>
      </c>
      <c r="L433" s="15">
        <v>46031.0</v>
      </c>
      <c r="M433" s="15">
        <v>46062.0</v>
      </c>
      <c r="O433" s="8">
        <v>-835.0</v>
      </c>
      <c r="P433" s="8">
        <v>865.0</v>
      </c>
      <c r="R433" s="8" t="s">
        <v>1892</v>
      </c>
      <c r="T433" s="8">
        <v>330.0</v>
      </c>
    </row>
    <row r="434" ht="22.5" customHeight="1">
      <c r="A434" s="8" t="s">
        <v>1859</v>
      </c>
      <c r="B434" s="9" t="s">
        <v>344</v>
      </c>
      <c r="C434" s="8" t="s">
        <v>136</v>
      </c>
      <c r="D434" s="8" t="s">
        <v>1893</v>
      </c>
      <c r="E434" s="9" t="s">
        <v>38</v>
      </c>
      <c r="F434" s="8">
        <v>3.0</v>
      </c>
      <c r="H434" s="8" t="s">
        <v>1773</v>
      </c>
      <c r="I434" s="8">
        <v>21000.0</v>
      </c>
      <c r="J434" s="8">
        <v>16500.0</v>
      </c>
      <c r="K434" s="8">
        <v>0.0</v>
      </c>
      <c r="L434" s="15">
        <v>46025.0</v>
      </c>
      <c r="M434" s="15">
        <v>46056.0</v>
      </c>
      <c r="N434" s="8">
        <v>1.0</v>
      </c>
      <c r="O434" s="8">
        <v>-841.0</v>
      </c>
      <c r="P434" s="8">
        <v>871.0</v>
      </c>
      <c r="R434" s="8" t="s">
        <v>1894</v>
      </c>
      <c r="T434" s="8">
        <v>331.0</v>
      </c>
    </row>
    <row r="435" ht="22.5" customHeight="1">
      <c r="A435" s="8" t="s">
        <v>1895</v>
      </c>
      <c r="B435" s="9" t="s">
        <v>391</v>
      </c>
      <c r="C435" s="8" t="s">
        <v>136</v>
      </c>
      <c r="D435" s="8" t="s">
        <v>1786</v>
      </c>
      <c r="E435" s="9" t="s">
        <v>29</v>
      </c>
      <c r="F435" s="8">
        <v>3.0</v>
      </c>
      <c r="H435" s="8">
        <v>100.0</v>
      </c>
      <c r="I435" s="8">
        <v>225.0</v>
      </c>
      <c r="J435" s="8">
        <v>6250.0</v>
      </c>
      <c r="K435" s="8">
        <v>0.0</v>
      </c>
      <c r="L435" s="15">
        <v>46029.0</v>
      </c>
      <c r="M435" s="15">
        <v>46060.0</v>
      </c>
      <c r="N435" s="8">
        <v>1.0</v>
      </c>
      <c r="O435" s="8">
        <v>-837.0</v>
      </c>
      <c r="P435" s="8">
        <v>867.0</v>
      </c>
      <c r="R435" s="8" t="s">
        <v>1896</v>
      </c>
      <c r="T435" s="8">
        <v>332.0</v>
      </c>
    </row>
    <row r="436" ht="22.5" customHeight="1">
      <c r="A436" s="8" t="s">
        <v>1897</v>
      </c>
      <c r="B436" s="9" t="s">
        <v>151</v>
      </c>
      <c r="C436" s="8" t="s">
        <v>794</v>
      </c>
      <c r="D436" s="8" t="s">
        <v>1873</v>
      </c>
      <c r="E436" s="9" t="s">
        <v>29</v>
      </c>
      <c r="F436" s="8">
        <v>3.0</v>
      </c>
      <c r="H436" s="8">
        <v>100.0</v>
      </c>
      <c r="I436" s="8">
        <v>300.0</v>
      </c>
      <c r="L436" s="15">
        <v>46029.0</v>
      </c>
      <c r="M436" s="15">
        <v>46060.0</v>
      </c>
      <c r="O436" s="8">
        <v>-837.0</v>
      </c>
      <c r="P436" s="8">
        <v>867.0</v>
      </c>
      <c r="R436" s="8" t="s">
        <v>1898</v>
      </c>
      <c r="T436" s="8">
        <v>333.0</v>
      </c>
    </row>
    <row r="437" ht="22.5" customHeight="1">
      <c r="B437" s="9" t="s">
        <v>224</v>
      </c>
      <c r="C437" s="8" t="s">
        <v>136</v>
      </c>
      <c r="D437" s="8" t="s">
        <v>1741</v>
      </c>
      <c r="E437" s="9" t="s">
        <v>29</v>
      </c>
      <c r="F437" s="8">
        <v>3.0</v>
      </c>
      <c r="H437" s="8">
        <v>150.0</v>
      </c>
      <c r="I437" s="8">
        <v>450.0</v>
      </c>
      <c r="J437" s="8">
        <v>9000.0</v>
      </c>
      <c r="K437" s="8">
        <v>0.0</v>
      </c>
      <c r="L437" s="15">
        <v>46371.0</v>
      </c>
      <c r="M437" s="15">
        <v>46037.0</v>
      </c>
      <c r="N437" s="8">
        <v>1.0</v>
      </c>
      <c r="O437" s="8">
        <v>-860.0</v>
      </c>
      <c r="P437" s="8">
        <v>890.0</v>
      </c>
      <c r="R437" s="8" t="s">
        <v>1899</v>
      </c>
      <c r="T437" s="8">
        <v>301.0</v>
      </c>
    </row>
    <row r="438" ht="22.5" customHeight="1">
      <c r="A438" s="8" t="s">
        <v>794</v>
      </c>
      <c r="B438" s="9" t="s">
        <v>347</v>
      </c>
      <c r="C438" s="8" t="s">
        <v>794</v>
      </c>
      <c r="D438" s="8" t="s">
        <v>1841</v>
      </c>
      <c r="E438" s="9" t="s">
        <v>38</v>
      </c>
      <c r="F438" s="8">
        <v>2.0</v>
      </c>
      <c r="H438" s="8" t="s">
        <v>1842</v>
      </c>
      <c r="I438" s="8">
        <v>10000.0</v>
      </c>
      <c r="L438" s="15">
        <v>46359.0</v>
      </c>
      <c r="M438" s="15">
        <v>46025.0</v>
      </c>
      <c r="O438" s="8">
        <v>-872.0</v>
      </c>
      <c r="P438" s="8">
        <v>902.0</v>
      </c>
      <c r="R438" s="8" t="s">
        <v>1900</v>
      </c>
      <c r="T438" s="8">
        <v>302.0</v>
      </c>
    </row>
    <row r="439" ht="22.5" customHeight="1">
      <c r="B439" s="9" t="s">
        <v>394</v>
      </c>
      <c r="C439" s="8" t="s">
        <v>136</v>
      </c>
      <c r="D439" s="8" t="s">
        <v>1873</v>
      </c>
      <c r="E439" s="9" t="s">
        <v>29</v>
      </c>
      <c r="F439" s="8">
        <v>3.0</v>
      </c>
      <c r="H439" s="8">
        <v>100.0</v>
      </c>
      <c r="I439" s="8">
        <v>300.0</v>
      </c>
      <c r="J439" s="8">
        <v>6600.0</v>
      </c>
      <c r="K439" s="8">
        <v>6600.0</v>
      </c>
      <c r="L439" s="15">
        <v>46357.0</v>
      </c>
      <c r="M439" s="15">
        <v>46023.0</v>
      </c>
      <c r="N439" s="8">
        <v>0.0</v>
      </c>
      <c r="O439" s="8">
        <v>-874.0</v>
      </c>
      <c r="P439" s="8">
        <v>904.0</v>
      </c>
      <c r="R439" s="8" t="s">
        <v>1901</v>
      </c>
      <c r="T439" s="8">
        <v>303.0</v>
      </c>
    </row>
    <row r="440" ht="22.5" customHeight="1">
      <c r="A440" s="8" t="s">
        <v>1876</v>
      </c>
      <c r="B440" s="9" t="s">
        <v>290</v>
      </c>
      <c r="C440" s="8" t="s">
        <v>136</v>
      </c>
      <c r="D440" s="8" t="s">
        <v>1795</v>
      </c>
      <c r="E440" s="9" t="s">
        <v>29</v>
      </c>
      <c r="F440" s="8">
        <v>2.0</v>
      </c>
      <c r="H440" s="8">
        <v>6000.0</v>
      </c>
      <c r="I440" s="8">
        <v>12000.0</v>
      </c>
      <c r="J440" s="8">
        <v>12000.0</v>
      </c>
      <c r="K440" s="8">
        <v>0.0</v>
      </c>
      <c r="L440" s="15">
        <v>46377.0</v>
      </c>
      <c r="M440" s="15">
        <v>46043.0</v>
      </c>
      <c r="N440" s="8">
        <v>1.0</v>
      </c>
      <c r="O440" s="8">
        <v>-854.0</v>
      </c>
      <c r="P440" s="8">
        <v>884.0</v>
      </c>
      <c r="R440" s="8" t="s">
        <v>1902</v>
      </c>
      <c r="T440" s="8">
        <v>304.0</v>
      </c>
    </row>
    <row r="441" ht="22.5" customHeight="1">
      <c r="A441" s="8">
        <v>0.25</v>
      </c>
      <c r="B441" s="9" t="s">
        <v>386</v>
      </c>
      <c r="C441" s="8" t="s">
        <v>136</v>
      </c>
      <c r="D441" s="8" t="s">
        <v>1879</v>
      </c>
      <c r="E441" s="9" t="s">
        <v>38</v>
      </c>
      <c r="F441" s="8">
        <v>3.0</v>
      </c>
      <c r="H441" s="8">
        <v>2000.0</v>
      </c>
      <c r="I441" s="8">
        <v>5625.0</v>
      </c>
      <c r="J441" s="8">
        <v>5625.0</v>
      </c>
      <c r="K441" s="8">
        <v>0.0</v>
      </c>
      <c r="L441" s="15">
        <v>46368.0</v>
      </c>
      <c r="M441" s="15">
        <v>46034.0</v>
      </c>
      <c r="N441" s="8">
        <v>1.0</v>
      </c>
      <c r="O441" s="8">
        <v>-863.0</v>
      </c>
      <c r="P441" s="8">
        <v>893.0</v>
      </c>
      <c r="R441" s="8" t="s">
        <v>1903</v>
      </c>
      <c r="T441" s="8">
        <v>305.0</v>
      </c>
    </row>
    <row r="442" ht="22.5" customHeight="1">
      <c r="B442" s="9" t="s">
        <v>371</v>
      </c>
      <c r="C442" s="8" t="s">
        <v>136</v>
      </c>
      <c r="D442" s="8" t="s">
        <v>1767</v>
      </c>
      <c r="E442" s="9" t="s">
        <v>38</v>
      </c>
      <c r="F442" s="8">
        <v>2.0</v>
      </c>
      <c r="H442" s="8">
        <v>2500.0</v>
      </c>
      <c r="I442" s="8">
        <v>5000.0</v>
      </c>
      <c r="J442" s="8">
        <v>5000.0</v>
      </c>
      <c r="K442" s="8">
        <v>0.0</v>
      </c>
      <c r="L442" s="15">
        <v>46359.0</v>
      </c>
      <c r="M442" s="15">
        <v>46025.0</v>
      </c>
      <c r="N442" s="8">
        <v>1.0</v>
      </c>
      <c r="O442" s="8">
        <v>-872.0</v>
      </c>
      <c r="P442" s="8">
        <v>902.0</v>
      </c>
      <c r="R442" s="8" t="s">
        <v>1904</v>
      </c>
      <c r="T442" s="8">
        <v>306.0</v>
      </c>
    </row>
    <row r="443" ht="22.5" customHeight="1">
      <c r="A443" s="8" t="s">
        <v>1905</v>
      </c>
      <c r="B443" s="9" t="s">
        <v>359</v>
      </c>
      <c r="C443" s="8" t="s">
        <v>136</v>
      </c>
      <c r="D443" s="8" t="s">
        <v>1799</v>
      </c>
      <c r="E443" s="9" t="s">
        <v>38</v>
      </c>
      <c r="F443" s="8">
        <v>2.0</v>
      </c>
      <c r="H443" s="8">
        <v>6000.0</v>
      </c>
      <c r="I443" s="8">
        <v>10000.0</v>
      </c>
      <c r="J443" s="8">
        <v>10000.0</v>
      </c>
      <c r="K443" s="8">
        <v>0.0</v>
      </c>
      <c r="L443" s="15">
        <v>46374.0</v>
      </c>
      <c r="M443" s="15">
        <v>46040.0</v>
      </c>
      <c r="N443" s="8">
        <v>1.0</v>
      </c>
      <c r="O443" s="8">
        <v>-857.0</v>
      </c>
      <c r="P443" s="8">
        <v>887.0</v>
      </c>
      <c r="R443" s="8" t="s">
        <v>1906</v>
      </c>
      <c r="T443" s="8">
        <v>307.0</v>
      </c>
    </row>
    <row r="444" ht="22.5" customHeight="1">
      <c r="B444" s="9" t="s">
        <v>296</v>
      </c>
      <c r="C444" s="8" t="s">
        <v>136</v>
      </c>
      <c r="D444" s="8" t="s">
        <v>1907</v>
      </c>
      <c r="E444" s="9" t="s">
        <v>29</v>
      </c>
      <c r="F444" s="8">
        <v>2.0</v>
      </c>
      <c r="H444" s="8">
        <v>5000.0</v>
      </c>
      <c r="I444" s="8">
        <v>10000.0</v>
      </c>
      <c r="J444" s="8">
        <v>10000.0</v>
      </c>
      <c r="K444" s="8">
        <v>0.0</v>
      </c>
      <c r="L444" s="15">
        <v>46365.0</v>
      </c>
      <c r="M444" s="15">
        <v>46031.0</v>
      </c>
      <c r="N444" s="8">
        <v>1.0</v>
      </c>
      <c r="O444" s="8">
        <v>-866.0</v>
      </c>
      <c r="P444" s="8">
        <v>896.0</v>
      </c>
      <c r="R444" s="8" t="s">
        <v>1908</v>
      </c>
      <c r="T444" s="8">
        <v>308.0</v>
      </c>
    </row>
    <row r="445" ht="22.5" customHeight="1">
      <c r="B445" s="9" t="s">
        <v>314</v>
      </c>
      <c r="C445" s="8" t="s">
        <v>794</v>
      </c>
      <c r="D445" s="8" t="s">
        <v>1851</v>
      </c>
      <c r="E445" s="9" t="s">
        <v>29</v>
      </c>
      <c r="F445" s="8">
        <v>5.0</v>
      </c>
      <c r="H445" s="8">
        <v>100.0</v>
      </c>
      <c r="I445" s="8">
        <v>500.0</v>
      </c>
      <c r="L445" s="15">
        <v>46377.0</v>
      </c>
      <c r="M445" s="15">
        <v>46043.0</v>
      </c>
      <c r="O445" s="8">
        <v>-854.0</v>
      </c>
      <c r="P445" s="8">
        <v>884.0</v>
      </c>
      <c r="R445" s="8" t="s">
        <v>1909</v>
      </c>
      <c r="T445" s="8">
        <v>309.0</v>
      </c>
    </row>
    <row r="446" ht="22.5" customHeight="1">
      <c r="A446" s="8" t="s">
        <v>1910</v>
      </c>
      <c r="B446" s="9" t="s">
        <v>365</v>
      </c>
      <c r="C446" s="8" t="s">
        <v>136</v>
      </c>
      <c r="D446" s="8" t="s">
        <v>1853</v>
      </c>
      <c r="E446" s="9" t="s">
        <v>38</v>
      </c>
      <c r="F446" s="8">
        <v>3.0</v>
      </c>
      <c r="H446" s="8">
        <v>2500.0</v>
      </c>
      <c r="I446" s="8">
        <v>5625.0</v>
      </c>
      <c r="J446" s="8">
        <v>5625.0</v>
      </c>
      <c r="K446" s="8">
        <v>5625.0</v>
      </c>
      <c r="L446" s="15">
        <v>46376.0</v>
      </c>
      <c r="M446" s="15">
        <v>46042.0</v>
      </c>
      <c r="N446" s="8">
        <v>0.0</v>
      </c>
      <c r="O446" s="8">
        <v>-855.0</v>
      </c>
      <c r="P446" s="8">
        <v>885.0</v>
      </c>
      <c r="R446" s="8" t="s">
        <v>1911</v>
      </c>
      <c r="T446" s="8">
        <v>310.0</v>
      </c>
    </row>
    <row r="447" ht="22.5" customHeight="1">
      <c r="B447" s="9" t="s">
        <v>302</v>
      </c>
      <c r="C447" s="8" t="s">
        <v>136</v>
      </c>
      <c r="D447" s="8" t="s">
        <v>1830</v>
      </c>
      <c r="E447" s="9" t="s">
        <v>29</v>
      </c>
      <c r="F447" s="8">
        <v>3.0</v>
      </c>
      <c r="G447" s="16">
        <v>0.33</v>
      </c>
      <c r="H447" s="8">
        <v>100.0</v>
      </c>
      <c r="I447" s="8">
        <v>300.0</v>
      </c>
      <c r="J447" s="8">
        <v>6000.0</v>
      </c>
      <c r="K447" s="8">
        <v>6000.0</v>
      </c>
      <c r="L447" s="15">
        <v>46357.0</v>
      </c>
      <c r="M447" s="15">
        <v>46023.0</v>
      </c>
      <c r="N447" s="8">
        <v>0.0</v>
      </c>
      <c r="O447" s="8">
        <v>-874.0</v>
      </c>
      <c r="P447" s="8">
        <v>904.0</v>
      </c>
      <c r="R447" s="8" t="s">
        <v>1912</v>
      </c>
      <c r="T447" s="8">
        <v>311.0</v>
      </c>
    </row>
    <row r="448" ht="22.5" customHeight="1">
      <c r="B448" s="9" t="s">
        <v>281</v>
      </c>
      <c r="C448" s="8" t="s">
        <v>136</v>
      </c>
      <c r="D448" s="8" t="s">
        <v>1808</v>
      </c>
      <c r="E448" s="9" t="s">
        <v>29</v>
      </c>
      <c r="F448" s="8">
        <v>3.0</v>
      </c>
      <c r="G448" s="16">
        <v>0.33</v>
      </c>
      <c r="H448" s="8">
        <v>100.0</v>
      </c>
      <c r="I448" s="8">
        <v>300.0</v>
      </c>
      <c r="J448" s="8">
        <v>6000.0</v>
      </c>
      <c r="K448" s="8">
        <v>0.0</v>
      </c>
      <c r="L448" s="15">
        <v>46367.0</v>
      </c>
      <c r="M448" s="15">
        <v>46033.0</v>
      </c>
      <c r="N448" s="8">
        <v>1.0</v>
      </c>
      <c r="O448" s="8">
        <v>-864.0</v>
      </c>
      <c r="P448" s="8">
        <v>894.0</v>
      </c>
      <c r="R448" s="8" t="s">
        <v>1913</v>
      </c>
      <c r="T448" s="8">
        <v>312.0</v>
      </c>
    </row>
    <row r="449" ht="22.5" customHeight="1">
      <c r="A449" s="8" t="s">
        <v>1914</v>
      </c>
      <c r="B449" s="9" t="s">
        <v>344</v>
      </c>
      <c r="C449" s="8" t="s">
        <v>136</v>
      </c>
      <c r="D449" s="8" t="s">
        <v>1915</v>
      </c>
      <c r="E449" s="9" t="s">
        <v>38</v>
      </c>
      <c r="F449" s="8">
        <v>6.0</v>
      </c>
      <c r="H449" s="8" t="s">
        <v>1916</v>
      </c>
      <c r="I449" s="8">
        <v>39000.0</v>
      </c>
      <c r="J449" s="8">
        <v>39000.0</v>
      </c>
      <c r="K449" s="8">
        <v>-6500.0</v>
      </c>
      <c r="L449" s="15">
        <v>46359.0</v>
      </c>
      <c r="M449" s="15">
        <v>46025.0</v>
      </c>
      <c r="N449" s="8">
        <v>1.0</v>
      </c>
      <c r="O449" s="8">
        <v>-872.0</v>
      </c>
      <c r="P449" s="8">
        <v>902.0</v>
      </c>
      <c r="R449" s="8" t="s">
        <v>1917</v>
      </c>
      <c r="T449" s="8">
        <v>313.0</v>
      </c>
    </row>
    <row r="450" ht="22.5" customHeight="1">
      <c r="B450" s="9" t="s">
        <v>391</v>
      </c>
      <c r="C450" s="8" t="s">
        <v>136</v>
      </c>
      <c r="D450" s="8" t="s">
        <v>1918</v>
      </c>
      <c r="E450" s="9" t="s">
        <v>29</v>
      </c>
      <c r="F450" s="8">
        <v>4.0</v>
      </c>
      <c r="G450" s="8">
        <v>33.3</v>
      </c>
      <c r="H450" s="8">
        <v>100.0</v>
      </c>
      <c r="I450" s="8">
        <v>400.0</v>
      </c>
      <c r="J450" s="8">
        <v>8000.0</v>
      </c>
      <c r="K450" s="8">
        <v>0.0</v>
      </c>
      <c r="L450" s="15">
        <v>46363.0</v>
      </c>
      <c r="M450" s="15">
        <v>46029.0</v>
      </c>
      <c r="N450" s="8">
        <v>1.0</v>
      </c>
      <c r="O450" s="8">
        <v>-868.0</v>
      </c>
      <c r="P450" s="8">
        <v>898.0</v>
      </c>
      <c r="R450" s="8" t="s">
        <v>1919</v>
      </c>
      <c r="T450" s="8">
        <v>314.0</v>
      </c>
    </row>
    <row r="451" ht="22.5" customHeight="1">
      <c r="B451" s="9" t="s">
        <v>151</v>
      </c>
      <c r="C451" s="8" t="s">
        <v>136</v>
      </c>
      <c r="D451" s="8" t="s">
        <v>1873</v>
      </c>
      <c r="E451" s="9" t="s">
        <v>29</v>
      </c>
      <c r="F451" s="8">
        <v>3.0</v>
      </c>
      <c r="H451" s="8">
        <v>100.0</v>
      </c>
      <c r="I451" s="8">
        <v>300.0</v>
      </c>
      <c r="J451" s="8">
        <v>6000.0</v>
      </c>
      <c r="K451" s="8">
        <v>6000.0</v>
      </c>
      <c r="L451" s="15">
        <v>46363.0</v>
      </c>
      <c r="M451" s="15">
        <v>46029.0</v>
      </c>
      <c r="N451" s="8">
        <v>0.0</v>
      </c>
      <c r="O451" s="8">
        <v>-868.0</v>
      </c>
      <c r="P451" s="8">
        <v>898.0</v>
      </c>
      <c r="R451" s="8" t="s">
        <v>1920</v>
      </c>
      <c r="T451" s="8">
        <v>315.0</v>
      </c>
    </row>
    <row r="452" ht="22.5" customHeight="1">
      <c r="A452" s="8" t="s">
        <v>1921</v>
      </c>
      <c r="B452" s="9" t="s">
        <v>347</v>
      </c>
      <c r="C452" s="8" t="s">
        <v>794</v>
      </c>
      <c r="D452" s="8" t="s">
        <v>1841</v>
      </c>
      <c r="E452" s="9" t="s">
        <v>38</v>
      </c>
      <c r="F452" s="8">
        <v>2.0</v>
      </c>
      <c r="H452" s="8" t="s">
        <v>1842</v>
      </c>
      <c r="I452" s="8">
        <v>10000.0</v>
      </c>
      <c r="L452" s="15">
        <v>46329.0</v>
      </c>
      <c r="M452" s="15">
        <v>46359.0</v>
      </c>
      <c r="O452" s="8">
        <v>-903.0</v>
      </c>
      <c r="P452" s="8">
        <v>933.0</v>
      </c>
      <c r="R452" s="8" t="s">
        <v>1922</v>
      </c>
      <c r="T452" s="8">
        <v>285.0</v>
      </c>
    </row>
    <row r="453" ht="22.5" customHeight="1">
      <c r="A453" s="8" t="s">
        <v>1923</v>
      </c>
      <c r="B453" s="9" t="s">
        <v>377</v>
      </c>
      <c r="C453" s="8" t="s">
        <v>136</v>
      </c>
      <c r="D453" s="8" t="s">
        <v>1844</v>
      </c>
      <c r="E453" s="9" t="s">
        <v>38</v>
      </c>
      <c r="F453" s="8">
        <v>4.0</v>
      </c>
      <c r="H453" s="8">
        <v>2500.0</v>
      </c>
      <c r="I453" s="8">
        <v>7000.0</v>
      </c>
      <c r="J453" s="8">
        <v>6993.0</v>
      </c>
      <c r="K453" s="8">
        <v>0.0</v>
      </c>
      <c r="L453" s="15">
        <v>46329.0</v>
      </c>
      <c r="M453" s="15">
        <v>46359.0</v>
      </c>
      <c r="N453" s="8">
        <v>1.0</v>
      </c>
      <c r="O453" s="8">
        <v>-903.0</v>
      </c>
      <c r="P453" s="8">
        <v>933.0</v>
      </c>
      <c r="R453" s="8" t="s">
        <v>1924</v>
      </c>
      <c r="T453" s="8">
        <v>286.0</v>
      </c>
    </row>
    <row r="454" ht="22.5" customHeight="1">
      <c r="A454" s="8" t="s">
        <v>1876</v>
      </c>
      <c r="B454" s="9" t="s">
        <v>290</v>
      </c>
      <c r="C454" s="8" t="s">
        <v>136</v>
      </c>
      <c r="D454" s="8" t="s">
        <v>1795</v>
      </c>
      <c r="E454" s="9" t="s">
        <v>29</v>
      </c>
      <c r="F454" s="8">
        <v>2.0</v>
      </c>
      <c r="H454" s="8">
        <v>6000.0</v>
      </c>
      <c r="I454" s="8">
        <v>9000.0</v>
      </c>
      <c r="J454" s="8">
        <v>6000.0</v>
      </c>
      <c r="K454" s="8">
        <v>0.0</v>
      </c>
      <c r="L454" s="15">
        <v>46347.0</v>
      </c>
      <c r="M454" s="15">
        <v>46377.0</v>
      </c>
      <c r="N454" s="8">
        <v>1.0</v>
      </c>
      <c r="O454" s="8">
        <v>-885.0</v>
      </c>
      <c r="P454" s="8">
        <v>915.0</v>
      </c>
      <c r="R454" s="8" t="s">
        <v>1925</v>
      </c>
      <c r="T454" s="8">
        <v>287.0</v>
      </c>
    </row>
    <row r="455" ht="22.5" customHeight="1">
      <c r="A455" s="8" t="s">
        <v>1926</v>
      </c>
      <c r="B455" s="9" t="s">
        <v>386</v>
      </c>
      <c r="C455" s="8" t="s">
        <v>136</v>
      </c>
      <c r="D455" s="8" t="s">
        <v>1879</v>
      </c>
      <c r="E455" s="9" t="s">
        <v>38</v>
      </c>
      <c r="F455" s="8">
        <v>3.0</v>
      </c>
      <c r="H455" s="8">
        <v>2000.0</v>
      </c>
      <c r="I455" s="8">
        <v>7500.0</v>
      </c>
      <c r="J455" s="8">
        <v>7500.0</v>
      </c>
      <c r="K455" s="8">
        <v>0.0</v>
      </c>
      <c r="L455" s="15">
        <v>46338.0</v>
      </c>
      <c r="M455" s="15">
        <v>46368.0</v>
      </c>
      <c r="N455" s="8">
        <v>1.0</v>
      </c>
      <c r="O455" s="8">
        <v>-894.0</v>
      </c>
      <c r="P455" s="8">
        <v>924.0</v>
      </c>
      <c r="R455" s="8" t="s">
        <v>1927</v>
      </c>
      <c r="T455" s="8">
        <v>288.0</v>
      </c>
    </row>
    <row r="456" ht="22.5" customHeight="1">
      <c r="B456" s="9" t="s">
        <v>371</v>
      </c>
      <c r="C456" s="8" t="s">
        <v>136</v>
      </c>
      <c r="D456" s="8" t="s">
        <v>1767</v>
      </c>
      <c r="E456" s="9" t="s">
        <v>38</v>
      </c>
      <c r="F456" s="8">
        <v>2.0</v>
      </c>
      <c r="H456" s="8">
        <v>2500.0</v>
      </c>
      <c r="I456" s="8">
        <v>5000.0</v>
      </c>
      <c r="J456" s="8">
        <v>5000.0</v>
      </c>
      <c r="K456" s="8">
        <v>0.0</v>
      </c>
      <c r="L456" s="15">
        <v>46329.0</v>
      </c>
      <c r="M456" s="15">
        <v>46359.0</v>
      </c>
      <c r="N456" s="8">
        <v>1.0</v>
      </c>
      <c r="O456" s="8">
        <v>-903.0</v>
      </c>
      <c r="P456" s="8">
        <v>933.0</v>
      </c>
      <c r="R456" s="8" t="s">
        <v>1928</v>
      </c>
      <c r="T456" s="8">
        <v>289.0</v>
      </c>
    </row>
    <row r="457" ht="22.5" customHeight="1">
      <c r="A457" s="8" t="s">
        <v>1905</v>
      </c>
      <c r="B457" s="9" t="s">
        <v>359</v>
      </c>
      <c r="C457" s="8" t="s">
        <v>136</v>
      </c>
      <c r="D457" s="8" t="s">
        <v>1799</v>
      </c>
      <c r="E457" s="9" t="s">
        <v>38</v>
      </c>
      <c r="F457" s="8">
        <v>2.0</v>
      </c>
      <c r="H457" s="8">
        <v>6000.0</v>
      </c>
      <c r="I457" s="8">
        <v>10000.0</v>
      </c>
      <c r="J457" s="8">
        <v>10000.0</v>
      </c>
      <c r="K457" s="8">
        <v>0.0</v>
      </c>
      <c r="L457" s="15">
        <v>46344.0</v>
      </c>
      <c r="M457" s="15">
        <v>46374.0</v>
      </c>
      <c r="N457" s="8">
        <v>1.0</v>
      </c>
      <c r="O457" s="8">
        <v>-888.0</v>
      </c>
      <c r="P457" s="8">
        <v>918.0</v>
      </c>
      <c r="R457" s="8" t="s">
        <v>1929</v>
      </c>
      <c r="T457" s="8">
        <v>290.0</v>
      </c>
    </row>
    <row r="458" ht="22.5" customHeight="1">
      <c r="B458" s="9" t="s">
        <v>296</v>
      </c>
      <c r="C458" s="8" t="s">
        <v>136</v>
      </c>
      <c r="D458" s="8" t="s">
        <v>1907</v>
      </c>
      <c r="E458" s="9" t="s">
        <v>29</v>
      </c>
      <c r="F458" s="8">
        <v>2.0</v>
      </c>
      <c r="H458" s="8">
        <v>5000.0</v>
      </c>
      <c r="I458" s="8">
        <v>10000.0</v>
      </c>
      <c r="J458" s="8">
        <v>10000.0</v>
      </c>
      <c r="K458" s="8">
        <v>0.0</v>
      </c>
      <c r="L458" s="15">
        <v>46335.0</v>
      </c>
      <c r="M458" s="15">
        <v>46365.0</v>
      </c>
      <c r="N458" s="8">
        <v>1.0</v>
      </c>
      <c r="O458" s="8">
        <v>-897.0</v>
      </c>
      <c r="P458" s="8">
        <v>927.0</v>
      </c>
      <c r="R458" s="8" t="s">
        <v>1930</v>
      </c>
      <c r="T458" s="8">
        <v>291.0</v>
      </c>
    </row>
    <row r="459" ht="22.5" customHeight="1">
      <c r="A459" s="8" t="s">
        <v>1931</v>
      </c>
      <c r="B459" s="9" t="s">
        <v>221</v>
      </c>
      <c r="C459" s="8" t="s">
        <v>136</v>
      </c>
      <c r="D459" s="8" t="s">
        <v>1767</v>
      </c>
      <c r="E459" s="9" t="s">
        <v>38</v>
      </c>
      <c r="F459" s="8">
        <v>2.0</v>
      </c>
      <c r="H459" s="8">
        <v>2500.0</v>
      </c>
      <c r="I459" s="8">
        <v>3750.0</v>
      </c>
      <c r="J459" s="8">
        <v>3750.0</v>
      </c>
      <c r="K459" s="8">
        <v>3750.0</v>
      </c>
      <c r="L459" s="15">
        <v>46332.0</v>
      </c>
      <c r="M459" s="15">
        <v>46362.0</v>
      </c>
      <c r="N459" s="8">
        <v>0.0</v>
      </c>
      <c r="O459" s="8">
        <v>-900.0</v>
      </c>
      <c r="P459" s="8">
        <v>930.0</v>
      </c>
      <c r="R459" s="8" t="s">
        <v>1932</v>
      </c>
      <c r="T459" s="8">
        <v>292.0</v>
      </c>
    </row>
    <row r="460" ht="22.5" customHeight="1">
      <c r="B460" s="9" t="s">
        <v>314</v>
      </c>
      <c r="C460" s="8" t="s">
        <v>794</v>
      </c>
      <c r="D460" s="8" t="s">
        <v>1851</v>
      </c>
      <c r="E460" s="9" t="s">
        <v>29</v>
      </c>
      <c r="F460" s="8">
        <v>5.0</v>
      </c>
      <c r="H460" s="8">
        <v>100.0</v>
      </c>
      <c r="I460" s="8">
        <v>500.0</v>
      </c>
      <c r="L460" s="15">
        <v>46347.0</v>
      </c>
      <c r="M460" s="15">
        <v>46377.0</v>
      </c>
      <c r="O460" s="8">
        <v>-885.0</v>
      </c>
      <c r="P460" s="8">
        <v>915.0</v>
      </c>
      <c r="R460" s="8" t="s">
        <v>1933</v>
      </c>
      <c r="T460" s="8">
        <v>293.0</v>
      </c>
    </row>
    <row r="461" ht="22.5" customHeight="1">
      <c r="A461" s="8" t="s">
        <v>1910</v>
      </c>
      <c r="B461" s="9" t="s">
        <v>365</v>
      </c>
      <c r="C461" s="8" t="s">
        <v>136</v>
      </c>
      <c r="D461" s="8" t="s">
        <v>1853</v>
      </c>
      <c r="E461" s="9" t="s">
        <v>38</v>
      </c>
      <c r="F461" s="8">
        <v>3.0</v>
      </c>
      <c r="H461" s="8">
        <v>2500.0</v>
      </c>
      <c r="I461" s="8">
        <v>5625.0</v>
      </c>
      <c r="J461" s="8">
        <v>5625.0</v>
      </c>
      <c r="K461" s="8">
        <v>5625.0</v>
      </c>
      <c r="L461" s="15">
        <v>46346.0</v>
      </c>
      <c r="M461" s="15">
        <v>46376.0</v>
      </c>
      <c r="N461" s="8">
        <v>0.0</v>
      </c>
      <c r="O461" s="8">
        <v>-886.0</v>
      </c>
      <c r="P461" s="8">
        <v>916.0</v>
      </c>
      <c r="R461" s="8" t="s">
        <v>1934</v>
      </c>
      <c r="T461" s="8">
        <v>294.0</v>
      </c>
    </row>
    <row r="462" ht="22.5" customHeight="1">
      <c r="A462" s="8" t="s">
        <v>1931</v>
      </c>
      <c r="B462" s="9" t="s">
        <v>302</v>
      </c>
      <c r="C462" s="8" t="s">
        <v>136</v>
      </c>
      <c r="D462" s="8" t="s">
        <v>1830</v>
      </c>
      <c r="E462" s="9" t="s">
        <v>29</v>
      </c>
      <c r="F462" s="8">
        <v>3.0</v>
      </c>
      <c r="G462" s="16">
        <v>0.33</v>
      </c>
      <c r="H462" s="8">
        <v>100.0</v>
      </c>
      <c r="I462" s="8">
        <v>250.0</v>
      </c>
      <c r="J462" s="8">
        <v>5000.0</v>
      </c>
      <c r="K462" s="8">
        <v>4000.0</v>
      </c>
      <c r="L462" s="15">
        <v>46327.0</v>
      </c>
      <c r="M462" s="15">
        <v>46357.0</v>
      </c>
      <c r="N462" s="8">
        <v>0.0</v>
      </c>
      <c r="O462" s="8">
        <v>-905.0</v>
      </c>
      <c r="P462" s="8">
        <v>935.0</v>
      </c>
      <c r="R462" s="8" t="s">
        <v>1935</v>
      </c>
      <c r="T462" s="8">
        <v>295.0</v>
      </c>
    </row>
    <row r="463" ht="22.5" customHeight="1">
      <c r="B463" s="9" t="s">
        <v>281</v>
      </c>
      <c r="C463" s="8" t="s">
        <v>136</v>
      </c>
      <c r="D463" s="8" t="s">
        <v>1936</v>
      </c>
      <c r="E463" s="9" t="s">
        <v>29</v>
      </c>
      <c r="F463" s="8">
        <v>4.0</v>
      </c>
      <c r="G463" s="16">
        <v>0.33</v>
      </c>
      <c r="H463" s="8">
        <v>100.0</v>
      </c>
      <c r="I463" s="8">
        <v>400.0</v>
      </c>
      <c r="J463" s="8">
        <v>8000.0</v>
      </c>
      <c r="K463" s="8">
        <v>0.0</v>
      </c>
      <c r="L463" s="15">
        <v>46337.0</v>
      </c>
      <c r="M463" s="15">
        <v>46367.0</v>
      </c>
      <c r="N463" s="8">
        <v>1.0</v>
      </c>
      <c r="O463" s="8">
        <v>-895.0</v>
      </c>
      <c r="P463" s="8">
        <v>925.0</v>
      </c>
      <c r="R463" s="8" t="s">
        <v>1937</v>
      </c>
      <c r="T463" s="8">
        <v>296.0</v>
      </c>
    </row>
    <row r="464" ht="22.5" customHeight="1">
      <c r="A464" s="8" t="s">
        <v>1938</v>
      </c>
      <c r="B464" s="9" t="s">
        <v>344</v>
      </c>
      <c r="C464" s="8" t="s">
        <v>136</v>
      </c>
      <c r="D464" s="8" t="s">
        <v>1939</v>
      </c>
      <c r="E464" s="9" t="s">
        <v>38</v>
      </c>
      <c r="F464" s="8">
        <v>5.0</v>
      </c>
      <c r="H464" s="8">
        <v>6000.0</v>
      </c>
      <c r="I464" s="8">
        <v>23730.0</v>
      </c>
      <c r="J464" s="8">
        <v>23730.0</v>
      </c>
      <c r="K464" s="8">
        <v>0.0</v>
      </c>
      <c r="L464" s="15">
        <v>46329.0</v>
      </c>
      <c r="M464" s="15">
        <v>46359.0</v>
      </c>
      <c r="N464" s="8">
        <v>1.0</v>
      </c>
      <c r="O464" s="8">
        <v>-903.0</v>
      </c>
      <c r="P464" s="8">
        <v>933.0</v>
      </c>
      <c r="R464" s="8" t="s">
        <v>1940</v>
      </c>
      <c r="T464" s="8">
        <v>297.0</v>
      </c>
    </row>
    <row r="465" ht="22.5" customHeight="1">
      <c r="B465" s="9" t="s">
        <v>195</v>
      </c>
      <c r="C465" s="8" t="s">
        <v>794</v>
      </c>
      <c r="D465" s="8" t="s">
        <v>1941</v>
      </c>
      <c r="E465" s="9" t="s">
        <v>38</v>
      </c>
      <c r="F465" s="8">
        <v>1.0</v>
      </c>
      <c r="H465" s="8" t="s">
        <v>1942</v>
      </c>
      <c r="I465" s="8">
        <v>5000.0</v>
      </c>
      <c r="L465" s="15">
        <v>46334.0</v>
      </c>
      <c r="M465" s="15">
        <v>46364.0</v>
      </c>
      <c r="O465" s="8">
        <v>-898.0</v>
      </c>
      <c r="P465" s="8">
        <v>928.0</v>
      </c>
      <c r="R465" s="8" t="s">
        <v>1943</v>
      </c>
      <c r="T465" s="8">
        <v>298.0</v>
      </c>
    </row>
    <row r="466" ht="22.5" customHeight="1">
      <c r="B466" s="9" t="s">
        <v>151</v>
      </c>
      <c r="C466" s="8" t="s">
        <v>136</v>
      </c>
      <c r="D466" s="8" t="s">
        <v>1873</v>
      </c>
      <c r="E466" s="9" t="s">
        <v>29</v>
      </c>
      <c r="F466" s="8">
        <v>3.0</v>
      </c>
      <c r="H466" s="8">
        <v>100.0</v>
      </c>
      <c r="I466" s="8">
        <v>300.0</v>
      </c>
      <c r="J466" s="8">
        <v>6000.0</v>
      </c>
      <c r="K466" s="8">
        <v>6000.0</v>
      </c>
      <c r="L466" s="15">
        <v>46333.0</v>
      </c>
      <c r="M466" s="15">
        <v>46363.0</v>
      </c>
      <c r="N466" s="8">
        <v>0.0</v>
      </c>
      <c r="O466" s="8">
        <v>-899.0</v>
      </c>
      <c r="P466" s="8">
        <v>929.0</v>
      </c>
      <c r="R466" s="8" t="s">
        <v>1944</v>
      </c>
      <c r="T466" s="8">
        <v>299.0</v>
      </c>
    </row>
    <row r="467" ht="22.5" customHeight="1">
      <c r="B467" s="9" t="s">
        <v>383</v>
      </c>
      <c r="C467" s="8" t="s">
        <v>794</v>
      </c>
      <c r="D467" s="8" t="s">
        <v>1033</v>
      </c>
      <c r="E467" s="9" t="s">
        <v>29</v>
      </c>
      <c r="F467" s="8">
        <v>1.0</v>
      </c>
      <c r="H467" s="8">
        <v>150.0</v>
      </c>
      <c r="I467" s="8">
        <v>150.0</v>
      </c>
      <c r="L467" s="15">
        <v>46294.0</v>
      </c>
      <c r="M467" s="15">
        <v>46324.0</v>
      </c>
      <c r="O467" s="8">
        <v>-938.0</v>
      </c>
      <c r="P467" s="8">
        <v>968.0</v>
      </c>
      <c r="R467" s="8" t="s">
        <v>1945</v>
      </c>
      <c r="T467" s="8">
        <v>300.0</v>
      </c>
    </row>
    <row r="468" ht="22.5" customHeight="1">
      <c r="A468" s="8" t="s">
        <v>1946</v>
      </c>
      <c r="B468" s="9" t="s">
        <v>347</v>
      </c>
      <c r="C468" s="8" t="s">
        <v>136</v>
      </c>
      <c r="D468" s="8" t="s">
        <v>1841</v>
      </c>
      <c r="E468" s="9" t="s">
        <v>38</v>
      </c>
      <c r="F468" s="8">
        <v>2.0</v>
      </c>
      <c r="H468" s="8" t="s">
        <v>1842</v>
      </c>
      <c r="I468" s="8">
        <v>5210.0</v>
      </c>
      <c r="J468" s="8">
        <v>5210.0</v>
      </c>
      <c r="K468" s="8">
        <v>5210.0</v>
      </c>
      <c r="L468" s="15">
        <v>46298.0</v>
      </c>
      <c r="M468" s="15">
        <v>46329.0</v>
      </c>
      <c r="N468" s="8">
        <v>0.0</v>
      </c>
      <c r="O468" s="8">
        <v>-933.0</v>
      </c>
      <c r="P468" s="8">
        <v>963.0</v>
      </c>
      <c r="R468" s="8" t="s">
        <v>1947</v>
      </c>
      <c r="T468" s="8">
        <v>271.0</v>
      </c>
    </row>
    <row r="469" ht="22.5" customHeight="1">
      <c r="B469" s="9" t="s">
        <v>269</v>
      </c>
      <c r="C469" s="8" t="s">
        <v>136</v>
      </c>
      <c r="D469" s="8" t="s">
        <v>1948</v>
      </c>
      <c r="E469" s="9" t="s">
        <v>29</v>
      </c>
      <c r="F469" s="8">
        <v>1.0</v>
      </c>
      <c r="G469" s="16">
        <v>0.17</v>
      </c>
      <c r="H469" s="8">
        <v>256.13</v>
      </c>
      <c r="I469" s="8">
        <v>256.13</v>
      </c>
      <c r="J469" s="8">
        <v>5122.6</v>
      </c>
      <c r="K469" s="8">
        <v>0.0</v>
      </c>
      <c r="L469" s="15">
        <v>46305.0</v>
      </c>
      <c r="M469" s="15">
        <v>46336.0</v>
      </c>
      <c r="N469" s="8">
        <v>1.0</v>
      </c>
      <c r="O469" s="8">
        <v>-926.0</v>
      </c>
      <c r="P469" s="8">
        <v>956.0</v>
      </c>
      <c r="Q469" s="17">
        <v>46038.0</v>
      </c>
      <c r="R469" s="8" t="s">
        <v>1949</v>
      </c>
      <c r="T469" s="8">
        <v>272.0</v>
      </c>
    </row>
    <row r="470" ht="22.5" customHeight="1">
      <c r="A470" s="8" t="s">
        <v>1950</v>
      </c>
      <c r="B470" s="9" t="s">
        <v>377</v>
      </c>
      <c r="C470" s="8" t="s">
        <v>136</v>
      </c>
      <c r="D470" s="8" t="s">
        <v>1844</v>
      </c>
      <c r="E470" s="9" t="s">
        <v>38</v>
      </c>
      <c r="F470" s="8">
        <v>4.0</v>
      </c>
      <c r="H470" s="8">
        <v>2500.0</v>
      </c>
      <c r="I470" s="8">
        <v>8000.0</v>
      </c>
      <c r="J470" s="8">
        <v>6993.0</v>
      </c>
      <c r="K470" s="8">
        <v>0.0</v>
      </c>
      <c r="L470" s="15">
        <v>46298.0</v>
      </c>
      <c r="M470" s="15">
        <v>46329.0</v>
      </c>
      <c r="N470" s="8">
        <v>1.0</v>
      </c>
      <c r="O470" s="8">
        <v>-933.0</v>
      </c>
      <c r="P470" s="8">
        <v>963.0</v>
      </c>
      <c r="R470" s="8" t="s">
        <v>1951</v>
      </c>
      <c r="T470" s="8">
        <v>273.0</v>
      </c>
    </row>
    <row r="471" ht="22.5" customHeight="1">
      <c r="A471" s="8" t="s">
        <v>1952</v>
      </c>
      <c r="B471" s="9" t="s">
        <v>290</v>
      </c>
      <c r="C471" s="8" t="s">
        <v>136</v>
      </c>
      <c r="D471" s="8" t="s">
        <v>1795</v>
      </c>
      <c r="E471" s="9" t="s">
        <v>29</v>
      </c>
      <c r="F471" s="8">
        <v>2.0</v>
      </c>
      <c r="H471" s="8">
        <v>6000.0</v>
      </c>
      <c r="I471" s="8">
        <v>7500.0</v>
      </c>
      <c r="J471" s="8">
        <v>6000.0</v>
      </c>
      <c r="K471" s="8">
        <v>0.0</v>
      </c>
      <c r="L471" s="15">
        <v>46316.0</v>
      </c>
      <c r="M471" s="15">
        <v>46347.0</v>
      </c>
      <c r="N471" s="8">
        <v>1.0</v>
      </c>
      <c r="O471" s="8">
        <v>-915.0</v>
      </c>
      <c r="P471" s="8">
        <v>945.0</v>
      </c>
      <c r="R471" s="8" t="s">
        <v>1953</v>
      </c>
      <c r="T471" s="8">
        <v>274.0</v>
      </c>
    </row>
    <row r="472" ht="22.5" customHeight="1">
      <c r="B472" s="9" t="s">
        <v>371</v>
      </c>
      <c r="C472" s="8" t="s">
        <v>136</v>
      </c>
      <c r="D472" s="8" t="s">
        <v>1767</v>
      </c>
      <c r="E472" s="9" t="s">
        <v>38</v>
      </c>
      <c r="F472" s="8">
        <v>2.0</v>
      </c>
      <c r="H472" s="8">
        <v>2500.0</v>
      </c>
      <c r="I472" s="8">
        <v>5000.0</v>
      </c>
      <c r="J472" s="8">
        <v>5000.0</v>
      </c>
      <c r="K472" s="8">
        <v>0.0</v>
      </c>
      <c r="L472" s="15">
        <v>46298.0</v>
      </c>
      <c r="M472" s="15">
        <v>46329.0</v>
      </c>
      <c r="N472" s="8">
        <v>1.0</v>
      </c>
      <c r="O472" s="8">
        <v>-933.0</v>
      </c>
      <c r="P472" s="8">
        <v>963.0</v>
      </c>
      <c r="R472" s="8" t="s">
        <v>1954</v>
      </c>
      <c r="T472" s="8">
        <v>275.0</v>
      </c>
    </row>
    <row r="473" ht="22.5" customHeight="1">
      <c r="A473" s="8" t="s">
        <v>1955</v>
      </c>
      <c r="B473" s="9" t="s">
        <v>359</v>
      </c>
      <c r="C473" s="8" t="s">
        <v>136</v>
      </c>
      <c r="D473" s="8" t="s">
        <v>1799</v>
      </c>
      <c r="E473" s="9" t="s">
        <v>38</v>
      </c>
      <c r="F473" s="8">
        <v>2.0</v>
      </c>
      <c r="H473" s="8">
        <v>6000.0</v>
      </c>
      <c r="I473" s="8">
        <v>10000.0</v>
      </c>
      <c r="J473" s="8">
        <v>10000.0</v>
      </c>
      <c r="K473" s="8">
        <v>0.0</v>
      </c>
      <c r="L473" s="15">
        <v>46313.0</v>
      </c>
      <c r="M473" s="15">
        <v>46344.0</v>
      </c>
      <c r="N473" s="8">
        <v>1.0</v>
      </c>
      <c r="O473" s="8">
        <v>-918.0</v>
      </c>
      <c r="P473" s="8">
        <v>948.0</v>
      </c>
      <c r="R473" s="8" t="s">
        <v>1956</v>
      </c>
      <c r="T473" s="8">
        <v>276.0</v>
      </c>
    </row>
    <row r="474" ht="22.5" customHeight="1">
      <c r="B474" s="9" t="s">
        <v>296</v>
      </c>
      <c r="C474" s="8" t="s">
        <v>136</v>
      </c>
      <c r="D474" s="8" t="s">
        <v>1907</v>
      </c>
      <c r="E474" s="9" t="s">
        <v>29</v>
      </c>
      <c r="F474" s="8">
        <v>2.0</v>
      </c>
      <c r="H474" s="8">
        <v>5000.0</v>
      </c>
      <c r="I474" s="8">
        <v>10000.0</v>
      </c>
      <c r="J474" s="8">
        <v>10000.0</v>
      </c>
      <c r="K474" s="8">
        <v>0.0</v>
      </c>
      <c r="L474" s="15">
        <v>46304.0</v>
      </c>
      <c r="M474" s="15">
        <v>46335.0</v>
      </c>
      <c r="N474" s="8">
        <v>1.0</v>
      </c>
      <c r="O474" s="8">
        <v>-927.0</v>
      </c>
      <c r="P474" s="8">
        <v>957.0</v>
      </c>
      <c r="R474" s="8" t="s">
        <v>1957</v>
      </c>
      <c r="T474" s="8">
        <v>277.0</v>
      </c>
    </row>
    <row r="475" ht="22.5" customHeight="1">
      <c r="B475" s="9" t="s">
        <v>221</v>
      </c>
      <c r="C475" s="8" t="s">
        <v>136</v>
      </c>
      <c r="D475" s="8" t="s">
        <v>1767</v>
      </c>
      <c r="E475" s="9" t="s">
        <v>38</v>
      </c>
      <c r="F475" s="8">
        <v>2.0</v>
      </c>
      <c r="H475" s="8">
        <v>2500.0</v>
      </c>
      <c r="I475" s="8">
        <v>5000.0</v>
      </c>
      <c r="J475" s="8">
        <v>4000.0</v>
      </c>
      <c r="K475" s="8">
        <v>4000.0</v>
      </c>
      <c r="L475" s="15">
        <v>46301.0</v>
      </c>
      <c r="M475" s="15">
        <v>46332.0</v>
      </c>
      <c r="N475" s="8">
        <v>0.0</v>
      </c>
      <c r="O475" s="8">
        <v>-930.0</v>
      </c>
      <c r="P475" s="8">
        <v>960.0</v>
      </c>
      <c r="R475" s="8" t="s">
        <v>1958</v>
      </c>
      <c r="T475" s="8">
        <v>278.0</v>
      </c>
    </row>
    <row r="476" ht="22.5" customHeight="1">
      <c r="B476" s="9" t="s">
        <v>314</v>
      </c>
      <c r="C476" s="8" t="s">
        <v>794</v>
      </c>
      <c r="D476" s="8" t="s">
        <v>1851</v>
      </c>
      <c r="E476" s="9" t="s">
        <v>29</v>
      </c>
      <c r="F476" s="8">
        <v>5.0</v>
      </c>
      <c r="H476" s="8">
        <v>100.0</v>
      </c>
      <c r="I476" s="8">
        <v>500.0</v>
      </c>
      <c r="L476" s="15">
        <v>46316.0</v>
      </c>
      <c r="M476" s="15">
        <v>46347.0</v>
      </c>
      <c r="O476" s="8">
        <v>-915.0</v>
      </c>
      <c r="P476" s="8">
        <v>945.0</v>
      </c>
      <c r="R476" s="8" t="s">
        <v>1959</v>
      </c>
      <c r="T476" s="8">
        <v>279.0</v>
      </c>
    </row>
    <row r="477" ht="22.5" customHeight="1">
      <c r="A477" s="8" t="s">
        <v>1960</v>
      </c>
      <c r="B477" s="9" t="s">
        <v>365</v>
      </c>
      <c r="C477" s="8" t="s">
        <v>136</v>
      </c>
      <c r="D477" s="8" t="s">
        <v>1853</v>
      </c>
      <c r="E477" s="9" t="s">
        <v>38</v>
      </c>
      <c r="F477" s="8">
        <v>3.0</v>
      </c>
      <c r="H477" s="8">
        <v>2500.0</v>
      </c>
      <c r="I477" s="8">
        <v>5000.0</v>
      </c>
      <c r="J477" s="8">
        <v>5000.0</v>
      </c>
      <c r="K477" s="8">
        <v>5000.0</v>
      </c>
      <c r="L477" s="15">
        <v>46315.0</v>
      </c>
      <c r="M477" s="15">
        <v>46346.0</v>
      </c>
      <c r="N477" s="8">
        <v>0.0</v>
      </c>
      <c r="O477" s="8">
        <v>-916.0</v>
      </c>
      <c r="P477" s="8">
        <v>946.0</v>
      </c>
      <c r="R477" s="8" t="s">
        <v>1961</v>
      </c>
      <c r="T477" s="8">
        <v>280.0</v>
      </c>
    </row>
    <row r="478" ht="22.5" customHeight="1">
      <c r="B478" s="9" t="s">
        <v>302</v>
      </c>
      <c r="C478" s="8" t="s">
        <v>136</v>
      </c>
      <c r="D478" s="8" t="s">
        <v>1889</v>
      </c>
      <c r="E478" s="9" t="s">
        <v>29</v>
      </c>
      <c r="F478" s="8">
        <v>4.0</v>
      </c>
      <c r="G478" s="16">
        <v>0.33</v>
      </c>
      <c r="H478" s="8">
        <v>100.0</v>
      </c>
      <c r="I478" s="8">
        <v>400.0</v>
      </c>
      <c r="J478" s="8">
        <v>8000.0</v>
      </c>
      <c r="K478" s="8">
        <v>0.0</v>
      </c>
      <c r="L478" s="15">
        <v>46296.0</v>
      </c>
      <c r="M478" s="15">
        <v>46327.0</v>
      </c>
      <c r="N478" s="8">
        <v>1.0</v>
      </c>
      <c r="O478" s="8">
        <v>-935.0</v>
      </c>
      <c r="P478" s="8">
        <v>965.0</v>
      </c>
      <c r="R478" s="8" t="s">
        <v>1962</v>
      </c>
      <c r="T478" s="8">
        <v>281.0</v>
      </c>
    </row>
    <row r="479" ht="22.5" customHeight="1">
      <c r="B479" s="9" t="s">
        <v>281</v>
      </c>
      <c r="C479" s="8" t="s">
        <v>136</v>
      </c>
      <c r="D479" s="8" t="s">
        <v>1936</v>
      </c>
      <c r="E479" s="9" t="s">
        <v>29</v>
      </c>
      <c r="F479" s="8">
        <v>4.0</v>
      </c>
      <c r="G479" s="16">
        <v>0.33</v>
      </c>
      <c r="H479" s="8">
        <v>100.0</v>
      </c>
      <c r="I479" s="8">
        <v>400.0</v>
      </c>
      <c r="J479" s="8">
        <v>8000.0</v>
      </c>
      <c r="K479" s="8">
        <v>0.0</v>
      </c>
      <c r="L479" s="15">
        <v>46306.0</v>
      </c>
      <c r="M479" s="15">
        <v>46337.0</v>
      </c>
      <c r="N479" s="8">
        <v>1.0</v>
      </c>
      <c r="O479" s="8">
        <v>-925.0</v>
      </c>
      <c r="P479" s="8">
        <v>955.0</v>
      </c>
      <c r="R479" s="8" t="s">
        <v>1963</v>
      </c>
      <c r="T479" s="8">
        <v>282.0</v>
      </c>
    </row>
    <row r="480" ht="22.5" customHeight="1">
      <c r="A480" s="8" t="s">
        <v>1964</v>
      </c>
      <c r="B480" s="9" t="s">
        <v>344</v>
      </c>
      <c r="C480" s="8" t="s">
        <v>136</v>
      </c>
      <c r="D480" s="8" t="s">
        <v>1939</v>
      </c>
      <c r="E480" s="9" t="s">
        <v>38</v>
      </c>
      <c r="F480" s="8">
        <v>6.0</v>
      </c>
      <c r="H480" s="8" t="s">
        <v>1965</v>
      </c>
      <c r="I480" s="8">
        <v>21875.0</v>
      </c>
      <c r="J480" s="8">
        <v>21875.0</v>
      </c>
      <c r="K480" s="8">
        <v>0.0</v>
      </c>
      <c r="L480" s="15">
        <v>46298.0</v>
      </c>
      <c r="M480" s="15">
        <v>46329.0</v>
      </c>
      <c r="N480" s="8">
        <v>1.0</v>
      </c>
      <c r="O480" s="8">
        <v>-933.0</v>
      </c>
      <c r="P480" s="8">
        <v>963.0</v>
      </c>
      <c r="R480" s="8" t="s">
        <v>1966</v>
      </c>
      <c r="T480" s="8">
        <v>283.0</v>
      </c>
    </row>
    <row r="481" ht="22.5" customHeight="1">
      <c r="B481" s="9" t="s">
        <v>195</v>
      </c>
      <c r="C481" s="8" t="s">
        <v>136</v>
      </c>
      <c r="D481" s="8" t="s">
        <v>1941</v>
      </c>
      <c r="E481" s="9" t="s">
        <v>38</v>
      </c>
      <c r="F481" s="8">
        <v>1.0</v>
      </c>
      <c r="H481" s="8" t="s">
        <v>1942</v>
      </c>
      <c r="I481" s="8">
        <v>5000.0</v>
      </c>
      <c r="J481" s="8" t="s">
        <v>1967</v>
      </c>
      <c r="K481" s="8" t="s">
        <v>1967</v>
      </c>
      <c r="L481" s="15">
        <v>46303.0</v>
      </c>
      <c r="M481" s="15">
        <v>46334.0</v>
      </c>
      <c r="N481" s="8">
        <v>0.0</v>
      </c>
      <c r="O481" s="8">
        <v>-928.0</v>
      </c>
      <c r="P481" s="8">
        <v>958.0</v>
      </c>
      <c r="R481" s="8" t="s">
        <v>1968</v>
      </c>
      <c r="T481" s="8">
        <v>284.0</v>
      </c>
    </row>
    <row r="482" ht="22.5" customHeight="1">
      <c r="A482" s="8" t="s">
        <v>1969</v>
      </c>
      <c r="B482" s="9" t="s">
        <v>332</v>
      </c>
      <c r="C482" s="8" t="s">
        <v>794</v>
      </c>
      <c r="D482" s="8" t="s">
        <v>1563</v>
      </c>
      <c r="E482" s="9" t="s">
        <v>29</v>
      </c>
      <c r="F482" s="8">
        <v>1.0</v>
      </c>
      <c r="H482" s="8">
        <v>150.0</v>
      </c>
      <c r="I482" s="8">
        <v>150.0</v>
      </c>
      <c r="L482" s="15">
        <v>46275.0</v>
      </c>
      <c r="M482" s="15">
        <v>46305.0</v>
      </c>
      <c r="O482" s="8">
        <v>-957.0</v>
      </c>
      <c r="P482" s="8">
        <v>987.0</v>
      </c>
      <c r="R482" s="8" t="s">
        <v>1970</v>
      </c>
      <c r="T482" s="8">
        <v>248.0</v>
      </c>
    </row>
    <row r="483" ht="22.5" customHeight="1">
      <c r="B483" s="9" t="s">
        <v>329</v>
      </c>
      <c r="C483" s="8" t="s">
        <v>136</v>
      </c>
      <c r="D483" s="8" t="s">
        <v>1563</v>
      </c>
      <c r="E483" s="9" t="s">
        <v>29</v>
      </c>
      <c r="F483" s="8">
        <v>1.0</v>
      </c>
      <c r="H483" s="8">
        <v>150.0</v>
      </c>
      <c r="I483" s="8">
        <v>150.0</v>
      </c>
      <c r="J483" s="8">
        <v>3000.0</v>
      </c>
      <c r="K483" s="8">
        <v>0.0</v>
      </c>
      <c r="L483" s="15">
        <v>46275.0</v>
      </c>
      <c r="M483" s="15">
        <v>46305.0</v>
      </c>
      <c r="N483" s="8">
        <v>1.0</v>
      </c>
      <c r="O483" s="8">
        <v>-957.0</v>
      </c>
      <c r="P483" s="8">
        <v>987.0</v>
      </c>
      <c r="R483" s="8" t="s">
        <v>1971</v>
      </c>
      <c r="T483" s="8">
        <v>249.0</v>
      </c>
    </row>
    <row r="484" ht="22.5" customHeight="1">
      <c r="A484" s="8" t="s">
        <v>1972</v>
      </c>
      <c r="B484" s="9" t="s">
        <v>374</v>
      </c>
      <c r="C484" s="8" t="s">
        <v>794</v>
      </c>
      <c r="D484" s="8" t="s">
        <v>1563</v>
      </c>
      <c r="E484" s="9" t="s">
        <v>29</v>
      </c>
      <c r="F484" s="8">
        <v>1.0</v>
      </c>
      <c r="H484" s="8">
        <v>150.0</v>
      </c>
      <c r="I484" s="8">
        <v>150.0</v>
      </c>
      <c r="L484" s="15">
        <v>46267.0</v>
      </c>
      <c r="M484" s="15">
        <v>46297.0</v>
      </c>
      <c r="O484" s="8">
        <v>-965.0</v>
      </c>
      <c r="P484" s="8">
        <v>995.0</v>
      </c>
      <c r="R484" s="8" t="s">
        <v>1973</v>
      </c>
      <c r="T484" s="8">
        <v>250.0</v>
      </c>
    </row>
    <row r="485" ht="22.5" customHeight="1">
      <c r="B485" s="9" t="s">
        <v>326</v>
      </c>
      <c r="C485" s="8" t="s">
        <v>136</v>
      </c>
      <c r="D485" s="8" t="s">
        <v>1974</v>
      </c>
      <c r="E485" s="9" t="s">
        <v>29</v>
      </c>
      <c r="F485" s="8">
        <v>1.0</v>
      </c>
      <c r="H485" s="8">
        <v>250.0</v>
      </c>
      <c r="I485" s="8">
        <v>250.0</v>
      </c>
      <c r="J485" s="8">
        <v>5000.0</v>
      </c>
      <c r="K485" s="8">
        <v>5000.0</v>
      </c>
      <c r="L485" s="15">
        <v>46283.0</v>
      </c>
      <c r="M485" s="15">
        <v>46313.0</v>
      </c>
      <c r="N485" s="8">
        <v>0.0</v>
      </c>
      <c r="O485" s="8">
        <v>-949.0</v>
      </c>
      <c r="P485" s="8">
        <v>979.0</v>
      </c>
      <c r="R485" s="8" t="s">
        <v>1975</v>
      </c>
      <c r="T485" s="8">
        <v>251.0</v>
      </c>
    </row>
    <row r="486" ht="22.5" customHeight="1">
      <c r="A486" s="8">
        <v>0.625</v>
      </c>
      <c r="B486" s="9" t="s">
        <v>347</v>
      </c>
      <c r="C486" s="8" t="s">
        <v>136</v>
      </c>
      <c r="D486" s="8" t="s">
        <v>1841</v>
      </c>
      <c r="E486" s="9" t="s">
        <v>38</v>
      </c>
      <c r="F486" s="8">
        <v>2.0</v>
      </c>
      <c r="H486" s="8">
        <v>6000.0</v>
      </c>
      <c r="I486" s="8">
        <v>4500.0</v>
      </c>
      <c r="J486" s="8">
        <v>4500.0</v>
      </c>
      <c r="K486" s="8">
        <v>4500.0</v>
      </c>
      <c r="L486" s="15">
        <v>46268.0</v>
      </c>
      <c r="N486" s="8">
        <v>0.0</v>
      </c>
      <c r="P486" s="8">
        <v>30.0</v>
      </c>
      <c r="R486" s="8" t="s">
        <v>1976</v>
      </c>
      <c r="T486" s="8">
        <v>252.0</v>
      </c>
    </row>
    <row r="487" ht="22.5" customHeight="1">
      <c r="B487" s="9" t="s">
        <v>350</v>
      </c>
      <c r="C487" s="8" t="s">
        <v>136</v>
      </c>
      <c r="D487" s="8" t="s">
        <v>1977</v>
      </c>
      <c r="E487" s="9" t="s">
        <v>38</v>
      </c>
      <c r="F487" s="8">
        <v>2.0</v>
      </c>
      <c r="H487" s="8" t="s">
        <v>1978</v>
      </c>
      <c r="I487" s="8">
        <v>2000.0</v>
      </c>
      <c r="J487" s="8">
        <v>2000.0</v>
      </c>
      <c r="K487" s="8">
        <v>2000.0</v>
      </c>
      <c r="L487" s="15">
        <v>46287.0</v>
      </c>
      <c r="M487" s="15">
        <v>46317.0</v>
      </c>
      <c r="N487" s="8">
        <v>0.0</v>
      </c>
      <c r="O487" s="8">
        <v>-945.0</v>
      </c>
      <c r="P487" s="8">
        <v>975.0</v>
      </c>
      <c r="R487" s="8" t="s">
        <v>1979</v>
      </c>
      <c r="T487" s="8">
        <v>253.0</v>
      </c>
    </row>
    <row r="488" ht="22.5" customHeight="1">
      <c r="A488" s="8" t="s">
        <v>1980</v>
      </c>
      <c r="B488" s="9" t="s">
        <v>377</v>
      </c>
      <c r="C488" s="8" t="s">
        <v>136</v>
      </c>
      <c r="D488" s="8" t="s">
        <v>1981</v>
      </c>
      <c r="E488" s="9" t="s">
        <v>38</v>
      </c>
      <c r="F488" s="8">
        <v>5.0</v>
      </c>
      <c r="H488" s="8">
        <v>2500.0</v>
      </c>
      <c r="I488" s="8">
        <v>8750.0</v>
      </c>
      <c r="J488" s="8">
        <v>6993.0</v>
      </c>
      <c r="K488" s="8">
        <v>0.0</v>
      </c>
      <c r="L488" s="15">
        <v>46268.0</v>
      </c>
      <c r="M488" s="15">
        <v>46298.0</v>
      </c>
      <c r="N488" s="8">
        <v>1.0</v>
      </c>
      <c r="O488" s="8">
        <v>-964.0</v>
      </c>
      <c r="P488" s="8">
        <v>994.0</v>
      </c>
      <c r="R488" s="8" t="s">
        <v>1982</v>
      </c>
      <c r="T488" s="8">
        <v>254.0</v>
      </c>
    </row>
    <row r="489" ht="22.5" customHeight="1">
      <c r="B489" s="9" t="s">
        <v>290</v>
      </c>
      <c r="C489" s="8" t="s">
        <v>136</v>
      </c>
      <c r="D489" s="8" t="s">
        <v>1795</v>
      </c>
      <c r="E489" s="9" t="s">
        <v>29</v>
      </c>
      <c r="F489" s="8">
        <v>1.0</v>
      </c>
      <c r="H489" s="8">
        <v>6000.0</v>
      </c>
      <c r="I489" s="8">
        <v>6000.0</v>
      </c>
      <c r="J489" s="8">
        <v>6000.0</v>
      </c>
      <c r="K489" s="8">
        <v>0.0</v>
      </c>
      <c r="L489" s="15">
        <v>46286.0</v>
      </c>
      <c r="M489" s="15">
        <v>46316.0</v>
      </c>
      <c r="N489" s="8">
        <v>1.0</v>
      </c>
      <c r="O489" s="8">
        <v>-946.0</v>
      </c>
      <c r="P489" s="8">
        <v>976.0</v>
      </c>
      <c r="R489" s="8" t="s">
        <v>1983</v>
      </c>
      <c r="T489" s="8">
        <v>255.0</v>
      </c>
    </row>
    <row r="490" ht="22.5" customHeight="1">
      <c r="B490" s="9" t="s">
        <v>371</v>
      </c>
      <c r="C490" s="8" t="s">
        <v>136</v>
      </c>
      <c r="D490" s="8" t="s">
        <v>1767</v>
      </c>
      <c r="E490" s="9" t="s">
        <v>38</v>
      </c>
      <c r="F490" s="8">
        <v>2.0</v>
      </c>
      <c r="H490" s="8">
        <v>2500.0</v>
      </c>
      <c r="I490" s="8">
        <v>5000.0</v>
      </c>
      <c r="J490" s="8">
        <v>5000.0</v>
      </c>
      <c r="K490" s="8">
        <v>0.0</v>
      </c>
      <c r="L490" s="15">
        <v>46268.0</v>
      </c>
      <c r="M490" s="15">
        <v>46298.0</v>
      </c>
      <c r="N490" s="8">
        <v>1.0</v>
      </c>
      <c r="O490" s="8">
        <v>-964.0</v>
      </c>
      <c r="P490" s="8">
        <v>994.0</v>
      </c>
      <c r="R490" s="8" t="s">
        <v>1984</v>
      </c>
      <c r="T490" s="8">
        <v>256.0</v>
      </c>
    </row>
    <row r="491" ht="22.5" customHeight="1">
      <c r="B491" s="9" t="s">
        <v>317</v>
      </c>
      <c r="C491" s="8" t="s">
        <v>136</v>
      </c>
      <c r="D491" s="8" t="s">
        <v>1879</v>
      </c>
      <c r="E491" s="9" t="s">
        <v>38</v>
      </c>
      <c r="F491" s="8">
        <v>3.0</v>
      </c>
      <c r="H491" s="8">
        <v>1750.0</v>
      </c>
      <c r="I491" s="8">
        <v>5250.0</v>
      </c>
      <c r="J491" s="8">
        <v>5250.0</v>
      </c>
      <c r="K491" s="8">
        <v>5250.0</v>
      </c>
      <c r="L491" s="15">
        <v>46290.0</v>
      </c>
      <c r="M491" s="15">
        <v>46320.0</v>
      </c>
      <c r="N491" s="8">
        <v>0.0</v>
      </c>
      <c r="O491" s="8">
        <v>-942.0</v>
      </c>
      <c r="P491" s="8">
        <v>972.0</v>
      </c>
      <c r="R491" s="8" t="s">
        <v>1985</v>
      </c>
      <c r="T491" s="8">
        <v>257.0</v>
      </c>
    </row>
    <row r="492" ht="22.5" customHeight="1">
      <c r="A492" s="8" t="s">
        <v>1441</v>
      </c>
      <c r="B492" s="9" t="s">
        <v>242</v>
      </c>
      <c r="D492" s="8" t="s">
        <v>1563</v>
      </c>
      <c r="F492" s="8">
        <v>1.0</v>
      </c>
      <c r="H492" s="8">
        <v>150.0</v>
      </c>
      <c r="I492" s="8">
        <v>150.0</v>
      </c>
      <c r="L492" s="15">
        <v>46289.0</v>
      </c>
      <c r="M492" s="15">
        <v>46319.0</v>
      </c>
      <c r="O492" s="8">
        <v>-943.0</v>
      </c>
      <c r="P492" s="8">
        <v>973.0</v>
      </c>
      <c r="R492" s="8" t="s">
        <v>1986</v>
      </c>
      <c r="T492" s="8">
        <v>258.0</v>
      </c>
    </row>
    <row r="493" ht="22.5" customHeight="1">
      <c r="B493" s="9" t="s">
        <v>299</v>
      </c>
      <c r="C493" s="8" t="s">
        <v>136</v>
      </c>
      <c r="D493" s="8" t="s">
        <v>1802</v>
      </c>
      <c r="E493" s="9" t="s">
        <v>29</v>
      </c>
      <c r="F493" s="8">
        <v>1.0</v>
      </c>
      <c r="H493" s="8">
        <v>300.0</v>
      </c>
      <c r="I493" s="8">
        <v>300.0</v>
      </c>
      <c r="J493" s="8">
        <v>6000.0</v>
      </c>
      <c r="K493" s="8">
        <v>0.0</v>
      </c>
      <c r="L493" s="15">
        <v>46269.0</v>
      </c>
      <c r="M493" s="15">
        <v>46299.0</v>
      </c>
      <c r="N493" s="8">
        <v>1.0</v>
      </c>
      <c r="O493" s="8">
        <v>-963.0</v>
      </c>
      <c r="P493" s="8">
        <v>993.0</v>
      </c>
      <c r="R493" s="8" t="s">
        <v>1987</v>
      </c>
      <c r="T493" s="8">
        <v>259.0</v>
      </c>
    </row>
    <row r="494" ht="22.5" customHeight="1">
      <c r="A494" s="8" t="s">
        <v>1905</v>
      </c>
      <c r="B494" s="9" t="s">
        <v>359</v>
      </c>
      <c r="C494" s="8" t="s">
        <v>136</v>
      </c>
      <c r="D494" s="8" t="s">
        <v>1799</v>
      </c>
      <c r="E494" s="9" t="s">
        <v>38</v>
      </c>
      <c r="F494" s="8">
        <v>2.0</v>
      </c>
      <c r="H494" s="8">
        <v>6000.0</v>
      </c>
      <c r="I494" s="8">
        <v>10000.0</v>
      </c>
      <c r="J494" s="8">
        <v>10000.0</v>
      </c>
      <c r="K494" s="8">
        <v>0.0</v>
      </c>
      <c r="L494" s="15">
        <v>46283.0</v>
      </c>
      <c r="M494" s="15">
        <v>46313.0</v>
      </c>
      <c r="N494" s="8">
        <v>1.0</v>
      </c>
      <c r="O494" s="8">
        <v>-949.0</v>
      </c>
      <c r="P494" s="8">
        <v>979.0</v>
      </c>
      <c r="R494" s="8" t="s">
        <v>1988</v>
      </c>
      <c r="T494" s="8">
        <v>260.0</v>
      </c>
    </row>
    <row r="495" ht="22.5" customHeight="1">
      <c r="A495" s="8" t="s">
        <v>1989</v>
      </c>
      <c r="B495" s="9" t="s">
        <v>221</v>
      </c>
      <c r="C495" s="8" t="s">
        <v>136</v>
      </c>
      <c r="D495" s="8" t="s">
        <v>1990</v>
      </c>
      <c r="E495" s="9" t="s">
        <v>38</v>
      </c>
      <c r="F495" s="8">
        <v>3.0</v>
      </c>
      <c r="H495" s="8" t="s">
        <v>1991</v>
      </c>
      <c r="I495" s="8">
        <v>2812.5</v>
      </c>
      <c r="J495" s="8">
        <v>6000.0</v>
      </c>
      <c r="K495" s="8">
        <v>6000.0</v>
      </c>
      <c r="L495" s="15">
        <v>46271.0</v>
      </c>
      <c r="M495" s="15">
        <v>46301.0</v>
      </c>
      <c r="N495" s="8">
        <v>0.0</v>
      </c>
      <c r="O495" s="8">
        <v>-961.0</v>
      </c>
      <c r="P495" s="8">
        <v>991.0</v>
      </c>
      <c r="R495" s="8" t="s">
        <v>1992</v>
      </c>
      <c r="T495" s="8">
        <v>261.0</v>
      </c>
    </row>
    <row r="496" ht="22.5" customHeight="1">
      <c r="B496" s="9" t="s">
        <v>314</v>
      </c>
      <c r="C496" s="8" t="s">
        <v>598</v>
      </c>
      <c r="D496" s="8" t="s">
        <v>1851</v>
      </c>
      <c r="E496" s="9" t="s">
        <v>29</v>
      </c>
      <c r="F496" s="8">
        <v>5.0</v>
      </c>
      <c r="H496" s="8">
        <v>100.0</v>
      </c>
      <c r="I496" s="8">
        <v>500.0</v>
      </c>
      <c r="L496" s="15">
        <v>46286.0</v>
      </c>
      <c r="M496" s="15">
        <v>46316.0</v>
      </c>
      <c r="O496" s="8">
        <v>-946.0</v>
      </c>
      <c r="P496" s="8">
        <v>976.0</v>
      </c>
      <c r="R496" s="8" t="s">
        <v>1993</v>
      </c>
      <c r="T496" s="8">
        <v>262.0</v>
      </c>
    </row>
    <row r="497" ht="22.5" customHeight="1">
      <c r="A497" s="8" t="s">
        <v>1887</v>
      </c>
      <c r="B497" s="9" t="s">
        <v>365</v>
      </c>
      <c r="C497" s="8" t="s">
        <v>136</v>
      </c>
      <c r="D497" s="8" t="s">
        <v>1853</v>
      </c>
      <c r="E497" s="9" t="s">
        <v>38</v>
      </c>
      <c r="F497" s="8">
        <v>3.0</v>
      </c>
      <c r="H497" s="8">
        <v>2500.0</v>
      </c>
      <c r="I497" s="8">
        <v>5625.0</v>
      </c>
      <c r="J497" s="8">
        <v>5625.0</v>
      </c>
      <c r="K497" s="8">
        <v>5625.0</v>
      </c>
      <c r="L497" s="15">
        <v>46285.0</v>
      </c>
      <c r="M497" s="15">
        <v>46315.0</v>
      </c>
      <c r="N497" s="8">
        <v>0.0</v>
      </c>
      <c r="O497" s="8">
        <v>-947.0</v>
      </c>
      <c r="P497" s="8">
        <v>977.0</v>
      </c>
      <c r="R497" s="8" t="s">
        <v>1994</v>
      </c>
      <c r="T497" s="8">
        <v>263.0</v>
      </c>
    </row>
    <row r="498" ht="22.5" customHeight="1">
      <c r="B498" s="9" t="s">
        <v>302</v>
      </c>
      <c r="C498" s="8" t="s">
        <v>136</v>
      </c>
      <c r="D498" s="8" t="s">
        <v>1889</v>
      </c>
      <c r="E498" s="9" t="s">
        <v>29</v>
      </c>
      <c r="F498" s="8">
        <v>4.0</v>
      </c>
      <c r="G498" s="16">
        <v>0.33</v>
      </c>
      <c r="H498" s="8">
        <v>100.0</v>
      </c>
      <c r="I498" s="8">
        <v>400.0</v>
      </c>
      <c r="J498" s="8">
        <v>8000.0</v>
      </c>
      <c r="K498" s="8">
        <v>0.0</v>
      </c>
      <c r="L498" s="15">
        <v>46266.0</v>
      </c>
      <c r="M498" s="15">
        <v>46296.0</v>
      </c>
      <c r="N498" s="8">
        <v>1.0</v>
      </c>
      <c r="O498" s="8">
        <v>-966.0</v>
      </c>
      <c r="P498" s="8">
        <v>996.0</v>
      </c>
      <c r="R498" s="8" t="s">
        <v>1995</v>
      </c>
      <c r="T498" s="8">
        <v>264.0</v>
      </c>
    </row>
    <row r="499" ht="22.5" customHeight="1">
      <c r="B499" s="9" t="s">
        <v>281</v>
      </c>
      <c r="C499" s="8" t="s">
        <v>136</v>
      </c>
      <c r="D499" s="8" t="s">
        <v>1851</v>
      </c>
      <c r="E499" s="9" t="s">
        <v>29</v>
      </c>
      <c r="F499" s="8">
        <v>5.0</v>
      </c>
      <c r="G499" s="16">
        <v>0.33</v>
      </c>
      <c r="H499" s="8">
        <v>100.0</v>
      </c>
      <c r="I499" s="8">
        <v>500.0</v>
      </c>
      <c r="J499" s="8">
        <v>10000.0</v>
      </c>
      <c r="K499" s="8">
        <v>0.0</v>
      </c>
      <c r="L499" s="15">
        <v>46276.0</v>
      </c>
      <c r="M499" s="15">
        <v>46306.0</v>
      </c>
      <c r="N499" s="8">
        <v>1.0</v>
      </c>
      <c r="O499" s="8">
        <v>-956.0</v>
      </c>
      <c r="P499" s="8">
        <v>986.0</v>
      </c>
      <c r="R499" s="8" t="s">
        <v>1996</v>
      </c>
      <c r="T499" s="8">
        <v>265.0</v>
      </c>
    </row>
    <row r="500" ht="22.5" customHeight="1">
      <c r="A500" s="8" t="s">
        <v>1997</v>
      </c>
      <c r="B500" s="9" t="s">
        <v>344</v>
      </c>
      <c r="C500" s="8" t="s">
        <v>136</v>
      </c>
      <c r="D500" s="8" t="s">
        <v>1939</v>
      </c>
      <c r="E500" s="9" t="s">
        <v>38</v>
      </c>
      <c r="F500" s="8">
        <v>6.0</v>
      </c>
      <c r="H500" s="8" t="s">
        <v>1965</v>
      </c>
      <c r="I500" s="8">
        <v>23345.0</v>
      </c>
      <c r="J500" s="8">
        <v>23345.0</v>
      </c>
      <c r="K500" s="8">
        <v>0.0</v>
      </c>
      <c r="L500" s="15">
        <v>46268.0</v>
      </c>
      <c r="M500" s="15">
        <v>46298.0</v>
      </c>
      <c r="N500" s="8">
        <v>1.0</v>
      </c>
      <c r="O500" s="8">
        <v>-964.0</v>
      </c>
      <c r="P500" s="8">
        <v>994.0</v>
      </c>
      <c r="Q500" s="17">
        <v>46255.0</v>
      </c>
      <c r="R500" s="8" t="s">
        <v>1998</v>
      </c>
      <c r="T500" s="8">
        <v>266.0</v>
      </c>
    </row>
    <row r="501" ht="22.5" customHeight="1">
      <c r="A501" s="8" t="s">
        <v>1999</v>
      </c>
      <c r="B501" s="9" t="s">
        <v>195</v>
      </c>
      <c r="C501" s="8" t="s">
        <v>136</v>
      </c>
      <c r="D501" s="8" t="s">
        <v>1941</v>
      </c>
      <c r="E501" s="9" t="s">
        <v>38</v>
      </c>
      <c r="F501" s="8">
        <v>1.0</v>
      </c>
      <c r="H501" s="8" t="s">
        <v>1942</v>
      </c>
      <c r="I501" s="8">
        <v>5000.0</v>
      </c>
      <c r="J501" s="8">
        <v>5000.0</v>
      </c>
      <c r="K501" s="8" t="s">
        <v>2000</v>
      </c>
      <c r="L501" s="15">
        <v>46273.0</v>
      </c>
      <c r="M501" s="15">
        <v>46303.0</v>
      </c>
      <c r="N501" s="8">
        <v>0.0</v>
      </c>
      <c r="O501" s="8">
        <v>-959.0</v>
      </c>
      <c r="P501" s="8">
        <v>989.0</v>
      </c>
      <c r="R501" s="8" t="s">
        <v>2001</v>
      </c>
      <c r="T501" s="8">
        <v>267.0</v>
      </c>
    </row>
    <row r="502" ht="22.5" customHeight="1">
      <c r="B502" s="9" t="s">
        <v>248</v>
      </c>
      <c r="C502" s="8" t="s">
        <v>794</v>
      </c>
      <c r="D502" s="8" t="s">
        <v>1563</v>
      </c>
      <c r="E502" s="9" t="s">
        <v>29</v>
      </c>
      <c r="F502" s="8">
        <v>1.0</v>
      </c>
      <c r="H502" s="8">
        <v>150.0</v>
      </c>
      <c r="I502" s="8">
        <v>150.0</v>
      </c>
      <c r="L502" s="15">
        <v>46288.0</v>
      </c>
      <c r="M502" s="15">
        <v>46318.0</v>
      </c>
      <c r="O502" s="8">
        <v>-944.0</v>
      </c>
      <c r="P502" s="8">
        <v>974.0</v>
      </c>
      <c r="R502" s="8" t="s">
        <v>2002</v>
      </c>
      <c r="T502" s="8">
        <v>268.0</v>
      </c>
    </row>
    <row r="503" ht="22.5" customHeight="1">
      <c r="B503" s="9" t="s">
        <v>368</v>
      </c>
      <c r="C503" s="8" t="s">
        <v>136</v>
      </c>
      <c r="D503" s="8" t="s">
        <v>2003</v>
      </c>
      <c r="E503" s="9" t="s">
        <v>29</v>
      </c>
      <c r="F503" s="8">
        <v>3.0</v>
      </c>
      <c r="H503" s="8">
        <v>150.0</v>
      </c>
      <c r="I503" s="8">
        <v>450.0</v>
      </c>
      <c r="J503" s="8">
        <v>9000.0</v>
      </c>
      <c r="K503" s="8" t="s">
        <v>2000</v>
      </c>
      <c r="L503" s="15">
        <v>46284.0</v>
      </c>
      <c r="M503" s="15">
        <v>46314.0</v>
      </c>
      <c r="N503" s="8">
        <v>0.0</v>
      </c>
      <c r="O503" s="8">
        <v>-948.0</v>
      </c>
      <c r="P503" s="8">
        <v>978.0</v>
      </c>
      <c r="R503" s="8" t="s">
        <v>2004</v>
      </c>
      <c r="T503" s="8">
        <v>269.0</v>
      </c>
    </row>
    <row r="504" ht="22.5" customHeight="1">
      <c r="A504" s="8" t="s">
        <v>2005</v>
      </c>
      <c r="B504" s="9" t="s">
        <v>383</v>
      </c>
      <c r="C504" s="8" t="s">
        <v>136</v>
      </c>
      <c r="D504" s="8" t="s">
        <v>1033</v>
      </c>
      <c r="E504" s="9" t="s">
        <v>29</v>
      </c>
      <c r="F504" s="8">
        <v>1.0</v>
      </c>
      <c r="H504" s="8">
        <v>150.0</v>
      </c>
      <c r="I504" s="8">
        <v>85.0</v>
      </c>
      <c r="J504" s="8">
        <v>1700.0</v>
      </c>
      <c r="K504" s="8" t="s">
        <v>2000</v>
      </c>
      <c r="L504" s="15">
        <v>46294.0</v>
      </c>
      <c r="M504" s="15">
        <v>46324.0</v>
      </c>
      <c r="N504" s="8">
        <v>0.0</v>
      </c>
      <c r="O504" s="8">
        <v>-938.0</v>
      </c>
      <c r="P504" s="8">
        <v>968.0</v>
      </c>
      <c r="R504" s="8" t="s">
        <v>2006</v>
      </c>
      <c r="T504" s="8">
        <v>270.0</v>
      </c>
    </row>
    <row r="505" ht="22.5" customHeight="1">
      <c r="B505" s="9" t="s">
        <v>332</v>
      </c>
      <c r="C505" s="8" t="s">
        <v>136</v>
      </c>
      <c r="D505" s="8" t="s">
        <v>1563</v>
      </c>
      <c r="E505" s="9" t="s">
        <v>29</v>
      </c>
      <c r="F505" s="8">
        <v>1.0</v>
      </c>
      <c r="H505" s="8">
        <v>150.0</v>
      </c>
      <c r="I505" s="8">
        <v>150.0</v>
      </c>
      <c r="J505" s="8">
        <v>3000.0</v>
      </c>
      <c r="K505" s="8">
        <v>0.0</v>
      </c>
      <c r="L505" s="15">
        <v>46244.0</v>
      </c>
      <c r="M505" s="15">
        <v>46275.0</v>
      </c>
      <c r="N505" s="8">
        <v>1.0</v>
      </c>
      <c r="O505" s="8">
        <v>-987.0</v>
      </c>
      <c r="P505" s="8">
        <v>1017.0</v>
      </c>
      <c r="R505" s="8" t="s">
        <v>2007</v>
      </c>
      <c r="T505" s="8">
        <v>224.0</v>
      </c>
    </row>
    <row r="506" ht="22.5" customHeight="1">
      <c r="B506" s="9" t="s">
        <v>329</v>
      </c>
      <c r="C506" s="8" t="s">
        <v>136</v>
      </c>
      <c r="D506" s="8" t="s">
        <v>1563</v>
      </c>
      <c r="E506" s="9" t="s">
        <v>29</v>
      </c>
      <c r="F506" s="8">
        <v>1.0</v>
      </c>
      <c r="H506" s="8">
        <v>150.0</v>
      </c>
      <c r="I506" s="8">
        <v>150.0</v>
      </c>
      <c r="J506" s="8">
        <v>3000.0</v>
      </c>
      <c r="K506" s="8">
        <v>0.0</v>
      </c>
      <c r="L506" s="15">
        <v>46244.0</v>
      </c>
      <c r="M506" s="15">
        <v>46275.0</v>
      </c>
      <c r="N506" s="8">
        <v>1.0</v>
      </c>
      <c r="O506" s="8">
        <v>-987.0</v>
      </c>
      <c r="P506" s="8">
        <v>1017.0</v>
      </c>
      <c r="R506" s="8" t="s">
        <v>2008</v>
      </c>
      <c r="T506" s="8">
        <v>225.0</v>
      </c>
    </row>
    <row r="507" ht="22.5" customHeight="1">
      <c r="B507" s="9" t="s">
        <v>374</v>
      </c>
      <c r="C507" s="8" t="s">
        <v>136</v>
      </c>
      <c r="D507" s="8" t="s">
        <v>1563</v>
      </c>
      <c r="E507" s="9" t="s">
        <v>29</v>
      </c>
      <c r="F507" s="8">
        <v>1.0</v>
      </c>
      <c r="H507" s="8">
        <v>150.0</v>
      </c>
      <c r="I507" s="8">
        <v>150.0</v>
      </c>
      <c r="J507" s="8">
        <v>3000.0</v>
      </c>
      <c r="K507" s="8">
        <v>0.0</v>
      </c>
      <c r="L507" s="15">
        <v>46236.0</v>
      </c>
      <c r="M507" s="15">
        <v>46267.0</v>
      </c>
      <c r="N507" s="8">
        <v>1.0</v>
      </c>
      <c r="O507" s="8">
        <v>-995.0</v>
      </c>
      <c r="P507" s="8">
        <v>1025.0</v>
      </c>
      <c r="R507" s="8" t="s">
        <v>2009</v>
      </c>
      <c r="T507" s="8">
        <v>226.0</v>
      </c>
    </row>
    <row r="508" ht="22.5" customHeight="1">
      <c r="B508" s="9" t="s">
        <v>326</v>
      </c>
      <c r="C508" s="8" t="s">
        <v>136</v>
      </c>
      <c r="D508" s="8" t="s">
        <v>1974</v>
      </c>
      <c r="E508" s="9" t="s">
        <v>29</v>
      </c>
      <c r="F508" s="8">
        <v>1.0</v>
      </c>
      <c r="H508" s="8">
        <v>250.0</v>
      </c>
      <c r="I508" s="8">
        <v>250.0</v>
      </c>
      <c r="J508" s="8">
        <v>5000.0</v>
      </c>
      <c r="K508" s="8">
        <v>5000.0</v>
      </c>
      <c r="L508" s="15">
        <v>46252.0</v>
      </c>
      <c r="M508" s="15">
        <v>46283.0</v>
      </c>
      <c r="N508" s="8">
        <v>0.0</v>
      </c>
      <c r="O508" s="8">
        <v>-979.0</v>
      </c>
      <c r="P508" s="8">
        <v>1009.0</v>
      </c>
      <c r="R508" s="8" t="s">
        <v>2010</v>
      </c>
      <c r="T508" s="8">
        <v>227.0</v>
      </c>
    </row>
    <row r="509" ht="22.5" customHeight="1">
      <c r="A509" s="8" t="s">
        <v>2011</v>
      </c>
      <c r="B509" s="9" t="s">
        <v>347</v>
      </c>
      <c r="C509" s="8" t="s">
        <v>136</v>
      </c>
      <c r="D509" s="8" t="s">
        <v>1841</v>
      </c>
      <c r="E509" s="9" t="s">
        <v>38</v>
      </c>
      <c r="F509" s="8">
        <v>2.0</v>
      </c>
      <c r="H509" s="8">
        <v>6000.0</v>
      </c>
      <c r="I509" s="8">
        <v>10000.0</v>
      </c>
      <c r="J509" s="8">
        <v>10000.0</v>
      </c>
      <c r="K509" s="8">
        <v>10000.0</v>
      </c>
      <c r="L509" s="15">
        <v>46237.0</v>
      </c>
      <c r="M509" s="15">
        <v>46268.0</v>
      </c>
      <c r="N509" s="8">
        <v>0.0</v>
      </c>
      <c r="O509" s="8">
        <v>-994.0</v>
      </c>
      <c r="P509" s="8">
        <v>1024.0</v>
      </c>
      <c r="R509" s="8" t="s">
        <v>2012</v>
      </c>
      <c r="T509" s="8">
        <v>228.0</v>
      </c>
    </row>
    <row r="510" ht="22.5" customHeight="1">
      <c r="B510" s="9" t="s">
        <v>350</v>
      </c>
      <c r="C510" s="8" t="s">
        <v>136</v>
      </c>
      <c r="D510" s="8" t="s">
        <v>1977</v>
      </c>
      <c r="E510" s="9" t="s">
        <v>38</v>
      </c>
      <c r="F510" s="8">
        <v>2.0</v>
      </c>
      <c r="H510" s="8" t="s">
        <v>1978</v>
      </c>
      <c r="I510" s="8">
        <v>2000.0</v>
      </c>
      <c r="J510" s="8">
        <v>2000.0</v>
      </c>
      <c r="K510" s="8">
        <v>2000.0</v>
      </c>
      <c r="L510" s="15">
        <v>46256.0</v>
      </c>
      <c r="M510" s="15">
        <v>46287.0</v>
      </c>
      <c r="N510" s="8">
        <v>0.0</v>
      </c>
      <c r="O510" s="8">
        <v>-975.0</v>
      </c>
      <c r="P510" s="8">
        <v>1005.0</v>
      </c>
      <c r="R510" s="8" t="s">
        <v>2013</v>
      </c>
      <c r="T510" s="8">
        <v>229.0</v>
      </c>
    </row>
    <row r="511" ht="22.5" customHeight="1">
      <c r="B511" s="9" t="s">
        <v>377</v>
      </c>
      <c r="C511" s="8" t="s">
        <v>136</v>
      </c>
      <c r="D511" s="8" t="s">
        <v>1981</v>
      </c>
      <c r="E511" s="9" t="s">
        <v>38</v>
      </c>
      <c r="F511" s="8">
        <v>5.0</v>
      </c>
      <c r="H511" s="8">
        <v>2500.0</v>
      </c>
      <c r="I511" s="8">
        <v>10000.0</v>
      </c>
      <c r="J511" s="8">
        <v>10000.0</v>
      </c>
      <c r="K511" s="8">
        <v>0.0</v>
      </c>
      <c r="L511" s="15">
        <v>46237.0</v>
      </c>
      <c r="M511" s="15">
        <v>46268.0</v>
      </c>
      <c r="N511" s="8">
        <v>1.0</v>
      </c>
      <c r="O511" s="8">
        <v>-994.0</v>
      </c>
      <c r="P511" s="8">
        <v>1024.0</v>
      </c>
      <c r="R511" s="8" t="s">
        <v>2014</v>
      </c>
      <c r="T511" s="8">
        <v>230.0</v>
      </c>
    </row>
    <row r="512" ht="22.5" customHeight="1">
      <c r="B512" s="9" t="s">
        <v>290</v>
      </c>
      <c r="C512" s="8" t="s">
        <v>136</v>
      </c>
      <c r="D512" s="8" t="s">
        <v>1795</v>
      </c>
      <c r="E512" s="9" t="s">
        <v>29</v>
      </c>
      <c r="F512" s="8">
        <v>1.0</v>
      </c>
      <c r="H512" s="8">
        <v>6000.0</v>
      </c>
      <c r="I512" s="8">
        <v>6000.0</v>
      </c>
      <c r="J512" s="8">
        <v>6000.0</v>
      </c>
      <c r="K512" s="8">
        <v>0.0</v>
      </c>
      <c r="L512" s="15">
        <v>46255.0</v>
      </c>
      <c r="M512" s="15">
        <v>46286.0</v>
      </c>
      <c r="N512" s="8">
        <v>1.0</v>
      </c>
      <c r="O512" s="8">
        <v>-976.0</v>
      </c>
      <c r="P512" s="8">
        <v>1006.0</v>
      </c>
      <c r="R512" s="8" t="s">
        <v>2015</v>
      </c>
      <c r="T512" s="8">
        <v>231.0</v>
      </c>
    </row>
    <row r="513" ht="22.5" customHeight="1">
      <c r="B513" s="9" t="s">
        <v>371</v>
      </c>
      <c r="C513" s="8" t="s">
        <v>136</v>
      </c>
      <c r="D513" s="8" t="s">
        <v>1767</v>
      </c>
      <c r="E513" s="9" t="s">
        <v>38</v>
      </c>
      <c r="F513" s="8">
        <v>2.0</v>
      </c>
      <c r="H513" s="8">
        <v>2500.0</v>
      </c>
      <c r="I513" s="8">
        <v>5000.0</v>
      </c>
      <c r="J513" s="8">
        <v>5000.0</v>
      </c>
      <c r="K513" s="8">
        <v>0.0</v>
      </c>
      <c r="L513" s="15">
        <v>46237.0</v>
      </c>
      <c r="M513" s="15">
        <v>46268.0</v>
      </c>
      <c r="N513" s="8">
        <v>1.0</v>
      </c>
      <c r="O513" s="8">
        <v>-994.0</v>
      </c>
      <c r="P513" s="8">
        <v>1024.0</v>
      </c>
      <c r="R513" s="8" t="s">
        <v>2016</v>
      </c>
      <c r="T513" s="8">
        <v>232.0</v>
      </c>
    </row>
    <row r="514" ht="22.5" customHeight="1">
      <c r="B514" s="9" t="s">
        <v>317</v>
      </c>
      <c r="C514" s="8" t="s">
        <v>136</v>
      </c>
      <c r="D514" s="8" t="s">
        <v>1879</v>
      </c>
      <c r="E514" s="9" t="s">
        <v>38</v>
      </c>
      <c r="F514" s="8">
        <v>3.0</v>
      </c>
      <c r="H514" s="8">
        <v>1750.0</v>
      </c>
      <c r="I514" s="8">
        <v>5250.0</v>
      </c>
      <c r="J514" s="8">
        <v>5250.0</v>
      </c>
      <c r="K514" s="8">
        <v>5250.0</v>
      </c>
      <c r="L514" s="15">
        <v>46259.0</v>
      </c>
      <c r="M514" s="15">
        <v>46290.0</v>
      </c>
      <c r="N514" s="8">
        <v>0.0</v>
      </c>
      <c r="O514" s="8">
        <v>-972.0</v>
      </c>
      <c r="P514" s="8">
        <v>1002.0</v>
      </c>
      <c r="R514" s="8" t="s">
        <v>2017</v>
      </c>
      <c r="T514" s="8">
        <v>233.0</v>
      </c>
    </row>
    <row r="515" ht="22.5" customHeight="1">
      <c r="B515" s="9" t="s">
        <v>242</v>
      </c>
      <c r="C515" s="8" t="s">
        <v>136</v>
      </c>
      <c r="D515" s="8" t="s">
        <v>1563</v>
      </c>
      <c r="E515" s="9" t="s">
        <v>29</v>
      </c>
      <c r="F515" s="8">
        <v>1.0</v>
      </c>
      <c r="H515" s="8">
        <v>150.0</v>
      </c>
      <c r="I515" s="8">
        <v>150.0</v>
      </c>
      <c r="J515" s="8">
        <v>3000.0</v>
      </c>
      <c r="K515" s="8">
        <v>3000.0</v>
      </c>
      <c r="L515" s="15">
        <v>46258.0</v>
      </c>
      <c r="M515" s="15">
        <v>46289.0</v>
      </c>
      <c r="N515" s="8">
        <v>0.0</v>
      </c>
      <c r="O515" s="8">
        <v>-973.0</v>
      </c>
      <c r="P515" s="8">
        <v>1003.0</v>
      </c>
      <c r="R515" s="8" t="s">
        <v>2018</v>
      </c>
      <c r="T515" s="8">
        <v>234.0</v>
      </c>
    </row>
    <row r="516" ht="22.5" customHeight="1">
      <c r="B516" s="9" t="s">
        <v>299</v>
      </c>
      <c r="C516" s="8" t="s">
        <v>136</v>
      </c>
      <c r="D516" s="8" t="s">
        <v>1802</v>
      </c>
      <c r="E516" s="9" t="s">
        <v>29</v>
      </c>
      <c r="F516" s="8">
        <v>1.0</v>
      </c>
      <c r="H516" s="8">
        <v>300.0</v>
      </c>
      <c r="I516" s="8">
        <v>300.0</v>
      </c>
      <c r="J516" s="8">
        <v>6000.0</v>
      </c>
      <c r="K516" s="8">
        <v>0.0</v>
      </c>
      <c r="L516" s="15">
        <v>46238.0</v>
      </c>
      <c r="M516" s="15">
        <v>46269.0</v>
      </c>
      <c r="N516" s="8">
        <v>1.0</v>
      </c>
      <c r="O516" s="8">
        <v>-993.0</v>
      </c>
      <c r="P516" s="8">
        <v>1023.0</v>
      </c>
      <c r="R516" s="8" t="s">
        <v>2019</v>
      </c>
      <c r="T516" s="8">
        <v>235.0</v>
      </c>
    </row>
    <row r="517" ht="22.5" customHeight="1">
      <c r="B517" s="9" t="s">
        <v>359</v>
      </c>
      <c r="C517" s="8" t="s">
        <v>136</v>
      </c>
      <c r="D517" s="8" t="s">
        <v>1799</v>
      </c>
      <c r="E517" s="9" t="s">
        <v>38</v>
      </c>
      <c r="F517" s="8">
        <v>2.0</v>
      </c>
      <c r="H517" s="8">
        <v>6000.0</v>
      </c>
      <c r="I517" s="8">
        <v>10000.0</v>
      </c>
      <c r="J517" s="8">
        <v>10000.0</v>
      </c>
      <c r="K517" s="8">
        <v>0.0</v>
      </c>
      <c r="L517" s="15">
        <v>46252.0</v>
      </c>
      <c r="M517" s="15">
        <v>46283.0</v>
      </c>
      <c r="N517" s="8">
        <v>1.0</v>
      </c>
      <c r="O517" s="8">
        <v>-979.0</v>
      </c>
      <c r="P517" s="8">
        <v>1009.0</v>
      </c>
      <c r="R517" s="8" t="s">
        <v>2020</v>
      </c>
      <c r="T517" s="8">
        <v>236.0</v>
      </c>
    </row>
    <row r="518" ht="22.5" customHeight="1">
      <c r="B518" s="9" t="s">
        <v>198</v>
      </c>
      <c r="C518" s="8" t="s">
        <v>136</v>
      </c>
      <c r="D518" s="8" t="s">
        <v>1873</v>
      </c>
      <c r="E518" s="9" t="s">
        <v>29</v>
      </c>
      <c r="F518" s="8">
        <v>3.0</v>
      </c>
      <c r="H518" s="8">
        <v>100.0</v>
      </c>
      <c r="I518" s="8" t="s">
        <v>2021</v>
      </c>
      <c r="J518" s="8">
        <v>6000.0</v>
      </c>
      <c r="K518" s="8">
        <v>6000.0</v>
      </c>
      <c r="L518" s="15">
        <v>46256.0</v>
      </c>
      <c r="M518" s="15">
        <v>46287.0</v>
      </c>
      <c r="N518" s="8">
        <v>0.0</v>
      </c>
      <c r="O518" s="8">
        <v>-975.0</v>
      </c>
      <c r="P518" s="8">
        <v>1005.0</v>
      </c>
      <c r="R518" s="8" t="s">
        <v>2022</v>
      </c>
      <c r="T518" s="8">
        <v>237.0</v>
      </c>
    </row>
    <row r="519" ht="22.5" customHeight="1">
      <c r="B519" s="9" t="s">
        <v>341</v>
      </c>
      <c r="C519" s="8" t="s">
        <v>136</v>
      </c>
      <c r="D519" s="8" t="s">
        <v>1563</v>
      </c>
      <c r="E519" s="9" t="s">
        <v>29</v>
      </c>
      <c r="F519" s="8">
        <v>1.0</v>
      </c>
      <c r="H519" s="8">
        <v>150.0</v>
      </c>
      <c r="I519" s="8">
        <v>150.0</v>
      </c>
      <c r="J519" s="8">
        <v>3000.0</v>
      </c>
      <c r="K519" s="8">
        <v>3000.0</v>
      </c>
      <c r="L519" s="15">
        <v>46238.0</v>
      </c>
      <c r="M519" s="15">
        <v>46269.0</v>
      </c>
      <c r="N519" s="8">
        <v>0.0</v>
      </c>
      <c r="O519" s="8">
        <v>-993.0</v>
      </c>
      <c r="P519" s="8">
        <v>1023.0</v>
      </c>
      <c r="R519" s="8" t="s">
        <v>2023</v>
      </c>
      <c r="T519" s="8">
        <v>238.0</v>
      </c>
    </row>
    <row r="520" ht="22.5" customHeight="1">
      <c r="B520" s="9" t="s">
        <v>221</v>
      </c>
      <c r="C520" s="8" t="s">
        <v>136</v>
      </c>
      <c r="D520" s="8" t="s">
        <v>1879</v>
      </c>
      <c r="E520" s="9" t="s">
        <v>38</v>
      </c>
      <c r="F520" s="8">
        <v>3.0</v>
      </c>
      <c r="H520" s="8" t="s">
        <v>1991</v>
      </c>
      <c r="I520" s="8">
        <v>6000.0</v>
      </c>
      <c r="J520" s="8">
        <v>6000.0</v>
      </c>
      <c r="K520" s="8">
        <v>0.0</v>
      </c>
      <c r="L520" s="15">
        <v>46240.0</v>
      </c>
      <c r="N520" s="8">
        <v>1.0</v>
      </c>
      <c r="P520" s="8">
        <v>30.0</v>
      </c>
      <c r="R520" s="8" t="s">
        <v>2024</v>
      </c>
      <c r="T520" s="8">
        <v>239.0</v>
      </c>
    </row>
    <row r="521" ht="22.5" customHeight="1">
      <c r="B521" s="9" t="s">
        <v>314</v>
      </c>
      <c r="C521" s="8" t="s">
        <v>136</v>
      </c>
      <c r="D521" s="8" t="s">
        <v>1851</v>
      </c>
      <c r="E521" s="9" t="s">
        <v>29</v>
      </c>
      <c r="F521" s="8">
        <v>5.0</v>
      </c>
      <c r="H521" s="8">
        <v>100.0</v>
      </c>
      <c r="I521" s="8">
        <v>500.0</v>
      </c>
      <c r="J521" s="8">
        <v>10000.0</v>
      </c>
      <c r="K521" s="8" t="s">
        <v>2000</v>
      </c>
      <c r="L521" s="15">
        <v>46255.0</v>
      </c>
      <c r="M521" s="15">
        <v>46286.0</v>
      </c>
      <c r="N521" s="8">
        <v>0.0</v>
      </c>
      <c r="O521" s="8">
        <v>-976.0</v>
      </c>
      <c r="P521" s="8">
        <v>1006.0</v>
      </c>
      <c r="R521" s="8" t="s">
        <v>2025</v>
      </c>
      <c r="T521" s="8">
        <v>240.0</v>
      </c>
    </row>
    <row r="522" ht="22.5" customHeight="1">
      <c r="B522" s="9" t="s">
        <v>365</v>
      </c>
      <c r="C522" s="8" t="s">
        <v>136</v>
      </c>
      <c r="D522" s="8" t="s">
        <v>2026</v>
      </c>
      <c r="E522" s="9" t="s">
        <v>38</v>
      </c>
      <c r="F522" s="8">
        <v>2.0</v>
      </c>
      <c r="H522" s="8">
        <v>2500.0</v>
      </c>
      <c r="I522" s="8">
        <v>5000.0</v>
      </c>
      <c r="J522" s="8">
        <v>5000.0</v>
      </c>
      <c r="K522" s="8">
        <v>0.0</v>
      </c>
      <c r="L522" s="15">
        <v>46254.0</v>
      </c>
      <c r="M522" s="15">
        <v>46285.0</v>
      </c>
      <c r="N522" s="8">
        <v>1.0</v>
      </c>
      <c r="O522" s="8">
        <v>-977.0</v>
      </c>
      <c r="P522" s="8">
        <v>1007.0</v>
      </c>
      <c r="R522" s="8" t="s">
        <v>2027</v>
      </c>
      <c r="T522" s="8">
        <v>241.0</v>
      </c>
    </row>
    <row r="523" ht="22.5" customHeight="1">
      <c r="A523" s="8">
        <v>1.0</v>
      </c>
      <c r="B523" s="9" t="s">
        <v>302</v>
      </c>
      <c r="C523" s="8" t="s">
        <v>136</v>
      </c>
      <c r="D523" s="8" t="s">
        <v>1485</v>
      </c>
      <c r="E523" s="9" t="s">
        <v>29</v>
      </c>
      <c r="F523" s="8">
        <v>5.0</v>
      </c>
      <c r="G523" s="8">
        <v>33.3</v>
      </c>
      <c r="H523" s="8">
        <v>100.0</v>
      </c>
      <c r="I523" s="8">
        <v>500.0</v>
      </c>
      <c r="J523" s="8">
        <v>10000.0</v>
      </c>
      <c r="K523" s="8">
        <v>0.0</v>
      </c>
      <c r="L523" s="15">
        <v>46235.0</v>
      </c>
      <c r="M523" s="15">
        <v>46266.0</v>
      </c>
      <c r="N523" s="8">
        <v>1.0</v>
      </c>
      <c r="O523" s="8">
        <v>-996.0</v>
      </c>
      <c r="P523" s="8">
        <v>1026.0</v>
      </c>
      <c r="R523" s="8" t="s">
        <v>2028</v>
      </c>
      <c r="T523" s="8">
        <v>242.0</v>
      </c>
    </row>
    <row r="524" ht="22.5" customHeight="1">
      <c r="B524" s="9" t="s">
        <v>344</v>
      </c>
      <c r="C524" s="8" t="s">
        <v>136</v>
      </c>
      <c r="D524" s="8" t="s">
        <v>1915</v>
      </c>
      <c r="E524" s="9" t="s">
        <v>38</v>
      </c>
      <c r="F524" s="8">
        <v>5.0</v>
      </c>
      <c r="H524" s="8" t="s">
        <v>2029</v>
      </c>
      <c r="I524" s="8">
        <v>30000.0</v>
      </c>
      <c r="J524" s="8">
        <v>32029.0</v>
      </c>
      <c r="K524" s="8">
        <v>0.0</v>
      </c>
      <c r="L524" s="15">
        <v>46237.0</v>
      </c>
      <c r="M524" s="15">
        <v>46268.0</v>
      </c>
      <c r="N524" s="8">
        <v>1.0</v>
      </c>
      <c r="O524" s="8">
        <v>-994.0</v>
      </c>
      <c r="P524" s="8">
        <v>1024.0</v>
      </c>
      <c r="R524" s="8" t="s">
        <v>2030</v>
      </c>
      <c r="T524" s="8">
        <v>243.0</v>
      </c>
    </row>
    <row r="525" ht="22.5" customHeight="1">
      <c r="B525" s="9" t="s">
        <v>195</v>
      </c>
      <c r="C525" s="8" t="s">
        <v>136</v>
      </c>
      <c r="D525" s="8" t="s">
        <v>1941</v>
      </c>
      <c r="E525" s="9" t="s">
        <v>38</v>
      </c>
      <c r="F525" s="8">
        <v>1.0</v>
      </c>
      <c r="H525" s="8" t="s">
        <v>1942</v>
      </c>
      <c r="I525" s="8">
        <v>5000.0</v>
      </c>
      <c r="J525" s="8">
        <v>5000.0</v>
      </c>
      <c r="K525" s="8">
        <v>5000.0</v>
      </c>
      <c r="L525" s="15">
        <v>46242.0</v>
      </c>
      <c r="M525" s="15">
        <v>46273.0</v>
      </c>
      <c r="N525" s="8">
        <v>0.0</v>
      </c>
      <c r="O525" s="8">
        <v>-989.0</v>
      </c>
      <c r="P525" s="8">
        <v>1019.0</v>
      </c>
      <c r="R525" s="8" t="s">
        <v>2031</v>
      </c>
      <c r="T525" s="8">
        <v>244.0</v>
      </c>
    </row>
    <row r="526" ht="22.5" customHeight="1">
      <c r="B526" s="9" t="s">
        <v>248</v>
      </c>
      <c r="C526" s="8" t="s">
        <v>136</v>
      </c>
      <c r="D526" s="8" t="s">
        <v>1563</v>
      </c>
      <c r="E526" s="9" t="s">
        <v>29</v>
      </c>
      <c r="F526" s="8">
        <v>1.0</v>
      </c>
      <c r="H526" s="8">
        <v>150.0</v>
      </c>
      <c r="I526" s="8">
        <v>150.0</v>
      </c>
      <c r="J526" s="8">
        <v>3000.0</v>
      </c>
      <c r="K526" s="8">
        <v>3000.0</v>
      </c>
      <c r="L526" s="15">
        <v>46257.0</v>
      </c>
      <c r="M526" s="15">
        <v>46288.0</v>
      </c>
      <c r="N526" s="8">
        <v>0.0</v>
      </c>
      <c r="O526" s="8">
        <v>-974.0</v>
      </c>
      <c r="P526" s="8">
        <v>1004.0</v>
      </c>
      <c r="R526" s="8" t="s">
        <v>2032</v>
      </c>
      <c r="T526" s="8">
        <v>245.0</v>
      </c>
    </row>
    <row r="527" ht="22.5" customHeight="1">
      <c r="B527" s="9" t="s">
        <v>368</v>
      </c>
      <c r="C527" s="8" t="s">
        <v>136</v>
      </c>
      <c r="D527" s="8" t="s">
        <v>2003</v>
      </c>
      <c r="E527" s="9" t="s">
        <v>29</v>
      </c>
      <c r="F527" s="8">
        <v>3.0</v>
      </c>
      <c r="H527" s="8">
        <v>150.0</v>
      </c>
      <c r="I527" s="8">
        <v>450.0</v>
      </c>
      <c r="J527" s="8">
        <v>9000.0</v>
      </c>
      <c r="K527" s="8" t="s">
        <v>2000</v>
      </c>
      <c r="L527" s="15">
        <v>46253.0</v>
      </c>
      <c r="M527" s="15">
        <v>46284.0</v>
      </c>
      <c r="N527" s="8">
        <v>0.0</v>
      </c>
      <c r="O527" s="8">
        <v>-978.0</v>
      </c>
      <c r="P527" s="8">
        <v>1008.0</v>
      </c>
      <c r="R527" s="8" t="s">
        <v>2033</v>
      </c>
      <c r="T527" s="8">
        <v>246.0</v>
      </c>
    </row>
    <row r="528" ht="22.5" customHeight="1">
      <c r="B528" s="9" t="s">
        <v>383</v>
      </c>
      <c r="C528" s="8" t="s">
        <v>136</v>
      </c>
      <c r="D528" s="8" t="s">
        <v>1033</v>
      </c>
      <c r="E528" s="9" t="s">
        <v>29</v>
      </c>
      <c r="F528" s="8">
        <v>1.0</v>
      </c>
      <c r="H528" s="8">
        <v>150.0</v>
      </c>
      <c r="I528" s="8">
        <v>150.0</v>
      </c>
      <c r="J528" s="8">
        <v>3000.0</v>
      </c>
      <c r="K528" s="8">
        <v>3000.0</v>
      </c>
      <c r="L528" s="15">
        <v>46263.0</v>
      </c>
      <c r="M528" s="15">
        <v>46294.0</v>
      </c>
      <c r="N528" s="8">
        <v>0.0</v>
      </c>
      <c r="O528" s="8">
        <v>-968.0</v>
      </c>
      <c r="P528" s="8">
        <v>998.0</v>
      </c>
      <c r="Q528" s="17">
        <v>46255.0</v>
      </c>
      <c r="R528" s="8" t="s">
        <v>2034</v>
      </c>
      <c r="T528" s="8">
        <v>247.0</v>
      </c>
    </row>
    <row r="529" ht="22.5" customHeight="1">
      <c r="B529" s="9" t="s">
        <v>332</v>
      </c>
      <c r="C529" s="8" t="s">
        <v>136</v>
      </c>
      <c r="D529" s="8" t="s">
        <v>1563</v>
      </c>
      <c r="E529" s="9" t="s">
        <v>29</v>
      </c>
      <c r="F529" s="8">
        <v>4.0</v>
      </c>
      <c r="H529" s="8">
        <v>150.0</v>
      </c>
      <c r="I529" s="8">
        <v>400.0</v>
      </c>
      <c r="J529" s="8">
        <v>8000.0</v>
      </c>
      <c r="K529" s="8">
        <v>0.0</v>
      </c>
      <c r="L529" s="15">
        <v>46213.0</v>
      </c>
      <c r="M529" s="15">
        <v>46244.0</v>
      </c>
      <c r="N529" s="8">
        <v>1.0</v>
      </c>
      <c r="O529" s="8">
        <v>-1018.0</v>
      </c>
      <c r="P529" s="8">
        <v>1048.0</v>
      </c>
      <c r="R529" s="8" t="s">
        <v>2035</v>
      </c>
      <c r="T529" s="8">
        <v>204.0</v>
      </c>
    </row>
    <row r="530" ht="22.5" customHeight="1">
      <c r="B530" s="9" t="s">
        <v>329</v>
      </c>
      <c r="C530" s="8" t="s">
        <v>136</v>
      </c>
      <c r="D530" s="8" t="s">
        <v>1563</v>
      </c>
      <c r="E530" s="9" t="s">
        <v>29</v>
      </c>
      <c r="F530" s="8">
        <v>1.0</v>
      </c>
      <c r="H530" s="8">
        <v>150.0</v>
      </c>
      <c r="I530" s="8">
        <v>150.0</v>
      </c>
      <c r="J530" s="8">
        <v>3000.0</v>
      </c>
      <c r="K530" s="8">
        <v>0.0</v>
      </c>
      <c r="L530" s="15">
        <v>46213.0</v>
      </c>
      <c r="M530" s="15">
        <v>46244.0</v>
      </c>
      <c r="N530" s="8">
        <v>1.0</v>
      </c>
      <c r="O530" s="8">
        <v>-1018.0</v>
      </c>
      <c r="P530" s="8">
        <v>1048.0</v>
      </c>
      <c r="R530" s="8" t="s">
        <v>2036</v>
      </c>
      <c r="T530" s="8">
        <v>205.0</v>
      </c>
    </row>
    <row r="531" ht="22.5" customHeight="1">
      <c r="B531" s="9" t="s">
        <v>326</v>
      </c>
      <c r="C531" s="8" t="s">
        <v>136</v>
      </c>
      <c r="D531" s="8" t="s">
        <v>1974</v>
      </c>
      <c r="E531" s="9" t="s">
        <v>29</v>
      </c>
      <c r="F531" s="8">
        <v>1.0</v>
      </c>
      <c r="H531" s="8">
        <v>250.0</v>
      </c>
      <c r="I531" s="8">
        <v>250.0</v>
      </c>
      <c r="J531" s="8">
        <v>5000.0</v>
      </c>
      <c r="K531" s="8">
        <v>5000.0</v>
      </c>
      <c r="L531" s="15">
        <v>46221.0</v>
      </c>
      <c r="M531" s="15">
        <v>46252.0</v>
      </c>
      <c r="N531" s="8">
        <v>0.0</v>
      </c>
      <c r="O531" s="8">
        <v>-1010.0</v>
      </c>
      <c r="P531" s="8">
        <v>1040.0</v>
      </c>
      <c r="R531" s="8" t="s">
        <v>2037</v>
      </c>
      <c r="T531" s="8">
        <v>206.0</v>
      </c>
    </row>
    <row r="532" ht="22.5" customHeight="1">
      <c r="B532" s="9" t="s">
        <v>353</v>
      </c>
      <c r="C532" s="8" t="s">
        <v>795</v>
      </c>
      <c r="F532" s="8">
        <v>1.0</v>
      </c>
      <c r="H532" s="8" t="s">
        <v>2038</v>
      </c>
      <c r="I532" s="8">
        <v>9600.0</v>
      </c>
      <c r="L532" s="15">
        <v>46226.0</v>
      </c>
      <c r="M532" s="15">
        <v>46257.0</v>
      </c>
      <c r="O532" s="8">
        <v>-1005.0</v>
      </c>
      <c r="P532" s="8">
        <v>1035.0</v>
      </c>
      <c r="R532" s="8" t="s">
        <v>2039</v>
      </c>
      <c r="T532" s="8">
        <v>207.0</v>
      </c>
    </row>
    <row r="533" ht="22.5" customHeight="1">
      <c r="B533" s="9" t="s">
        <v>347</v>
      </c>
      <c r="C533" s="8" t="s">
        <v>136</v>
      </c>
      <c r="D533" s="8" t="s">
        <v>1841</v>
      </c>
      <c r="E533" s="9" t="s">
        <v>38</v>
      </c>
      <c r="F533" s="8">
        <v>2.0</v>
      </c>
      <c r="H533" s="8">
        <v>6000.0</v>
      </c>
      <c r="I533" s="8">
        <v>10000.0</v>
      </c>
      <c r="J533" s="8">
        <v>10000.0</v>
      </c>
      <c r="K533" s="8">
        <v>10000.0</v>
      </c>
      <c r="L533" s="15">
        <v>46206.0</v>
      </c>
      <c r="M533" s="15">
        <v>46237.0</v>
      </c>
      <c r="N533" s="8">
        <v>0.0</v>
      </c>
      <c r="O533" s="8">
        <v>-1025.0</v>
      </c>
      <c r="P533" s="8">
        <v>1055.0</v>
      </c>
      <c r="R533" s="8" t="s">
        <v>2040</v>
      </c>
      <c r="T533" s="8">
        <v>208.0</v>
      </c>
    </row>
    <row r="534" ht="22.5" customHeight="1">
      <c r="A534" s="8">
        <v>0.1667</v>
      </c>
      <c r="B534" s="9" t="s">
        <v>350</v>
      </c>
      <c r="C534" s="8" t="s">
        <v>136</v>
      </c>
      <c r="D534" s="8" t="s">
        <v>1977</v>
      </c>
      <c r="E534" s="9" t="s">
        <v>38</v>
      </c>
      <c r="F534" s="8">
        <v>2.0</v>
      </c>
      <c r="H534" s="8" t="s">
        <v>1978</v>
      </c>
      <c r="I534" s="8">
        <v>2000.0</v>
      </c>
      <c r="J534" s="8">
        <v>2000.0</v>
      </c>
      <c r="K534" s="8">
        <v>2000.0</v>
      </c>
      <c r="L534" s="15">
        <v>46225.0</v>
      </c>
      <c r="M534" s="15">
        <v>46256.0</v>
      </c>
      <c r="N534" s="8">
        <v>0.0</v>
      </c>
      <c r="O534" s="8">
        <v>-1006.0</v>
      </c>
      <c r="P534" s="8">
        <v>1036.0</v>
      </c>
      <c r="R534" s="8" t="s">
        <v>2041</v>
      </c>
      <c r="T534" s="8">
        <v>209.0</v>
      </c>
    </row>
    <row r="535" ht="22.5" customHeight="1">
      <c r="B535" s="9" t="s">
        <v>362</v>
      </c>
      <c r="C535" s="8" t="s">
        <v>136</v>
      </c>
      <c r="D535" s="8" t="s">
        <v>1563</v>
      </c>
      <c r="E535" s="9" t="s">
        <v>29</v>
      </c>
      <c r="F535" s="8">
        <v>1.0</v>
      </c>
      <c r="H535" s="8">
        <v>150.0</v>
      </c>
      <c r="I535" s="8">
        <v>3300.0</v>
      </c>
      <c r="J535" s="8">
        <v>3300.0</v>
      </c>
      <c r="K535" s="8">
        <v>0.0</v>
      </c>
      <c r="L535" s="8" t="s">
        <v>2000</v>
      </c>
      <c r="M535" s="8" t="e">
        <v>#VALUE!</v>
      </c>
      <c r="N535" s="8">
        <v>1.0</v>
      </c>
      <c r="O535" s="8" t="e">
        <v>#VALUE!</v>
      </c>
      <c r="P535" s="8" t="e">
        <v>#VALUE!</v>
      </c>
      <c r="R535" s="8" t="s">
        <v>2042</v>
      </c>
      <c r="T535" s="8">
        <v>210.0</v>
      </c>
    </row>
    <row r="536" ht="22.5" customHeight="1">
      <c r="A536" s="8" t="s">
        <v>2043</v>
      </c>
      <c r="B536" s="9" t="s">
        <v>317</v>
      </c>
      <c r="C536" s="8" t="s">
        <v>136</v>
      </c>
      <c r="D536" s="8" t="s">
        <v>1879</v>
      </c>
      <c r="E536" s="9" t="s">
        <v>38</v>
      </c>
      <c r="F536" s="8">
        <v>3.0</v>
      </c>
      <c r="H536" s="8">
        <v>1750.0</v>
      </c>
      <c r="I536" s="8">
        <v>5250.0</v>
      </c>
      <c r="J536" s="8">
        <v>5250.0</v>
      </c>
      <c r="K536" s="8">
        <v>0.0</v>
      </c>
      <c r="L536" s="15">
        <v>46228.0</v>
      </c>
      <c r="M536" s="15">
        <v>46259.0</v>
      </c>
      <c r="N536" s="8">
        <v>1.0</v>
      </c>
      <c r="O536" s="8">
        <v>-1003.0</v>
      </c>
      <c r="P536" s="8">
        <v>1033.0</v>
      </c>
      <c r="R536" s="8" t="s">
        <v>2044</v>
      </c>
      <c r="T536" s="8">
        <v>211.0</v>
      </c>
    </row>
    <row r="537" ht="22.5" customHeight="1">
      <c r="B537" s="9" t="s">
        <v>323</v>
      </c>
      <c r="C537" s="8" t="s">
        <v>136</v>
      </c>
      <c r="D537" s="8" t="s">
        <v>1974</v>
      </c>
      <c r="E537" s="9" t="s">
        <v>29</v>
      </c>
      <c r="F537" s="8">
        <v>1.0</v>
      </c>
      <c r="H537" s="8" t="s">
        <v>2045</v>
      </c>
      <c r="I537" s="8">
        <v>650.0</v>
      </c>
      <c r="J537" s="8">
        <v>13000.0</v>
      </c>
      <c r="K537" s="8">
        <v>13000.0</v>
      </c>
      <c r="L537" s="15">
        <v>46221.0</v>
      </c>
      <c r="M537" s="15">
        <v>46252.0</v>
      </c>
      <c r="N537" s="8">
        <v>0.0</v>
      </c>
      <c r="O537" s="8">
        <v>-1010.0</v>
      </c>
      <c r="P537" s="8">
        <v>1040.0</v>
      </c>
      <c r="R537" s="8" t="s">
        <v>2046</v>
      </c>
      <c r="T537" s="8">
        <v>212.0</v>
      </c>
    </row>
    <row r="538" ht="22.5" customHeight="1">
      <c r="B538" s="9" t="s">
        <v>299</v>
      </c>
      <c r="C538" s="8" t="s">
        <v>136</v>
      </c>
      <c r="D538" s="8" t="s">
        <v>1802</v>
      </c>
      <c r="E538" s="9" t="s">
        <v>29</v>
      </c>
      <c r="F538" s="8">
        <v>1.0</v>
      </c>
      <c r="H538" s="8">
        <v>300.0</v>
      </c>
      <c r="I538" s="8">
        <v>300.0</v>
      </c>
      <c r="J538" s="8">
        <v>6000.0</v>
      </c>
      <c r="K538" s="8">
        <v>0.0</v>
      </c>
      <c r="L538" s="15">
        <v>46207.0</v>
      </c>
      <c r="M538" s="15">
        <v>46238.0</v>
      </c>
      <c r="N538" s="8">
        <v>1.0</v>
      </c>
      <c r="O538" s="8">
        <v>-1024.0</v>
      </c>
      <c r="P538" s="8">
        <v>1054.0</v>
      </c>
      <c r="R538" s="8" t="s">
        <v>2047</v>
      </c>
      <c r="T538" s="8">
        <v>213.0</v>
      </c>
    </row>
    <row r="539" ht="22.5" customHeight="1">
      <c r="B539" s="9" t="s">
        <v>359</v>
      </c>
      <c r="C539" s="8" t="s">
        <v>136</v>
      </c>
      <c r="D539" s="8" t="s">
        <v>1799</v>
      </c>
      <c r="E539" s="9" t="s">
        <v>38</v>
      </c>
      <c r="F539" s="8">
        <v>2.0</v>
      </c>
      <c r="H539" s="8">
        <v>6000.0</v>
      </c>
      <c r="I539" s="8">
        <v>10000.0</v>
      </c>
      <c r="J539" s="8">
        <v>10000.0</v>
      </c>
      <c r="K539" s="8">
        <v>0.0</v>
      </c>
      <c r="L539" s="15">
        <v>46221.0</v>
      </c>
      <c r="M539" s="15">
        <v>46252.0</v>
      </c>
      <c r="N539" s="8">
        <v>1.0</v>
      </c>
      <c r="O539" s="8">
        <v>-1010.0</v>
      </c>
      <c r="P539" s="8">
        <v>1040.0</v>
      </c>
      <c r="R539" s="8" t="s">
        <v>2048</v>
      </c>
      <c r="T539" s="8">
        <v>214.0</v>
      </c>
    </row>
    <row r="540" ht="22.5" customHeight="1">
      <c r="B540" s="9" t="s">
        <v>341</v>
      </c>
      <c r="C540" s="8" t="s">
        <v>136</v>
      </c>
      <c r="D540" s="8" t="s">
        <v>1563</v>
      </c>
      <c r="E540" s="9" t="s">
        <v>29</v>
      </c>
      <c r="F540" s="8">
        <v>2.0</v>
      </c>
      <c r="H540" s="8">
        <v>150.0</v>
      </c>
      <c r="I540" s="8">
        <v>300.0</v>
      </c>
      <c r="J540" s="8">
        <v>6000.0</v>
      </c>
      <c r="K540" s="8">
        <v>6000.0</v>
      </c>
      <c r="L540" s="15">
        <v>46207.0</v>
      </c>
      <c r="M540" s="15">
        <v>46238.0</v>
      </c>
      <c r="N540" s="8">
        <v>0.0</v>
      </c>
      <c r="O540" s="8">
        <v>-1024.0</v>
      </c>
      <c r="P540" s="8">
        <v>1054.0</v>
      </c>
      <c r="R540" s="8" t="s">
        <v>2049</v>
      </c>
      <c r="T540" s="8">
        <v>215.0</v>
      </c>
    </row>
    <row r="541" ht="22.5" customHeight="1">
      <c r="B541" s="9" t="s">
        <v>221</v>
      </c>
      <c r="C541" s="8" t="s">
        <v>794</v>
      </c>
      <c r="D541" s="8" t="s">
        <v>1879</v>
      </c>
      <c r="E541" s="9" t="s">
        <v>38</v>
      </c>
      <c r="F541" s="8">
        <v>3.0</v>
      </c>
      <c r="H541" s="8" t="s">
        <v>1991</v>
      </c>
      <c r="I541" s="8">
        <v>6000.0</v>
      </c>
      <c r="L541" s="15">
        <v>46227.0</v>
      </c>
      <c r="M541" s="15">
        <v>46258.0</v>
      </c>
      <c r="O541" s="8">
        <v>-1004.0</v>
      </c>
      <c r="P541" s="8">
        <v>1034.0</v>
      </c>
      <c r="R541" s="8" t="s">
        <v>2050</v>
      </c>
      <c r="T541" s="8">
        <v>216.0</v>
      </c>
    </row>
    <row r="542" ht="22.5" customHeight="1">
      <c r="B542" s="9" t="s">
        <v>314</v>
      </c>
      <c r="C542" s="8" t="s">
        <v>794</v>
      </c>
      <c r="D542" s="8" t="s">
        <v>1851</v>
      </c>
      <c r="E542" s="9" t="s">
        <v>29</v>
      </c>
      <c r="F542" s="8">
        <v>5.0</v>
      </c>
      <c r="H542" s="8">
        <v>100.0</v>
      </c>
      <c r="I542" s="8">
        <v>500.0</v>
      </c>
      <c r="K542" s="8" t="s">
        <v>2000</v>
      </c>
      <c r="L542" s="15">
        <v>46224.0</v>
      </c>
      <c r="M542" s="15">
        <v>46255.0</v>
      </c>
      <c r="N542" s="8">
        <v>0.0</v>
      </c>
      <c r="O542" s="8">
        <v>-1007.0</v>
      </c>
      <c r="P542" s="8">
        <v>1037.0</v>
      </c>
      <c r="R542" s="8" t="s">
        <v>2051</v>
      </c>
      <c r="T542" s="8">
        <v>217.0</v>
      </c>
    </row>
    <row r="543" ht="22.5" customHeight="1">
      <c r="B543" s="9" t="s">
        <v>302</v>
      </c>
      <c r="C543" s="8" t="s">
        <v>136</v>
      </c>
      <c r="D543" s="8" t="s">
        <v>1485</v>
      </c>
      <c r="E543" s="9" t="s">
        <v>29</v>
      </c>
      <c r="F543" s="8">
        <v>5.0</v>
      </c>
      <c r="H543" s="8">
        <v>100.0</v>
      </c>
      <c r="I543" s="8">
        <v>500.0</v>
      </c>
      <c r="J543" s="8">
        <v>10000.0</v>
      </c>
      <c r="K543" s="8">
        <v>0.0</v>
      </c>
      <c r="L543" s="15">
        <v>46204.0</v>
      </c>
      <c r="M543" s="15">
        <v>46235.0</v>
      </c>
      <c r="N543" s="8">
        <v>1.0</v>
      </c>
      <c r="O543" s="8">
        <v>-1027.0</v>
      </c>
      <c r="P543" s="8">
        <v>1057.0</v>
      </c>
      <c r="R543" s="8" t="s">
        <v>2052</v>
      </c>
      <c r="T543" s="8">
        <v>218.0</v>
      </c>
    </row>
    <row r="544" ht="22.5" customHeight="1">
      <c r="A544" s="8" t="s">
        <v>2053</v>
      </c>
      <c r="B544" s="9" t="s">
        <v>281</v>
      </c>
      <c r="C544" s="8" t="s">
        <v>136</v>
      </c>
      <c r="D544" s="8" t="s">
        <v>1851</v>
      </c>
      <c r="E544" s="9" t="s">
        <v>29</v>
      </c>
      <c r="F544" s="8">
        <v>3.0</v>
      </c>
      <c r="H544" s="8">
        <v>130.0</v>
      </c>
      <c r="I544" s="8">
        <v>300.0</v>
      </c>
      <c r="J544" s="8">
        <v>6000.0</v>
      </c>
      <c r="K544" s="8">
        <v>0.0</v>
      </c>
      <c r="L544" s="15">
        <v>46214.0</v>
      </c>
      <c r="M544" s="15">
        <v>46245.0</v>
      </c>
      <c r="N544" s="8">
        <v>1.0</v>
      </c>
      <c r="O544" s="8">
        <v>-1017.0</v>
      </c>
      <c r="P544" s="8">
        <v>1047.0</v>
      </c>
      <c r="R544" s="8" t="s">
        <v>2054</v>
      </c>
      <c r="T544" s="8">
        <v>219.0</v>
      </c>
    </row>
    <row r="545" ht="22.5" customHeight="1">
      <c r="A545" s="8" t="s">
        <v>2053</v>
      </c>
      <c r="B545" s="9" t="s">
        <v>230</v>
      </c>
      <c r="C545" s="8" t="s">
        <v>136</v>
      </c>
      <c r="D545" s="8" t="s">
        <v>2055</v>
      </c>
      <c r="E545" s="9" t="s">
        <v>29</v>
      </c>
      <c r="F545" s="8">
        <v>6.0</v>
      </c>
      <c r="H545" s="8">
        <v>120.0</v>
      </c>
      <c r="I545" s="8">
        <v>600.0</v>
      </c>
      <c r="J545" s="8">
        <v>12000.0</v>
      </c>
      <c r="K545" s="8">
        <v>0.0</v>
      </c>
      <c r="L545" s="15">
        <v>46212.0</v>
      </c>
      <c r="M545" s="15">
        <v>46243.0</v>
      </c>
      <c r="N545" s="8">
        <v>1.0</v>
      </c>
      <c r="O545" s="8">
        <v>-1019.0</v>
      </c>
      <c r="P545" s="8">
        <v>1049.0</v>
      </c>
      <c r="R545" s="8" t="s">
        <v>2056</v>
      </c>
      <c r="T545" s="8">
        <v>220.0</v>
      </c>
    </row>
    <row r="546" ht="22.5" customHeight="1">
      <c r="B546" s="9" t="s">
        <v>344</v>
      </c>
      <c r="C546" s="8" t="s">
        <v>136</v>
      </c>
      <c r="D546" s="8" t="s">
        <v>1915</v>
      </c>
      <c r="E546" s="9" t="s">
        <v>38</v>
      </c>
      <c r="F546" s="8">
        <v>4.0</v>
      </c>
      <c r="H546" s="8" t="s">
        <v>2029</v>
      </c>
      <c r="I546" s="8">
        <v>20000.0</v>
      </c>
      <c r="J546" s="8">
        <v>20000.0</v>
      </c>
      <c r="K546" s="8">
        <v>0.0</v>
      </c>
      <c r="L546" s="15">
        <v>46206.0</v>
      </c>
      <c r="M546" s="15">
        <v>46237.0</v>
      </c>
      <c r="N546" s="8">
        <v>1.0</v>
      </c>
      <c r="O546" s="8">
        <v>-1025.0</v>
      </c>
      <c r="P546" s="8">
        <v>1055.0</v>
      </c>
      <c r="R546" s="8" t="s">
        <v>2057</v>
      </c>
      <c r="T546" s="8">
        <v>221.0</v>
      </c>
    </row>
    <row r="547" ht="22.5" customHeight="1">
      <c r="B547" s="9" t="s">
        <v>195</v>
      </c>
      <c r="C547" s="8" t="s">
        <v>136</v>
      </c>
      <c r="D547" s="8" t="s">
        <v>1941</v>
      </c>
      <c r="E547" s="9" t="s">
        <v>38</v>
      </c>
      <c r="F547" s="8">
        <v>1.0</v>
      </c>
      <c r="H547" s="8" t="s">
        <v>1942</v>
      </c>
      <c r="I547" s="8">
        <v>5000.0</v>
      </c>
      <c r="J547" s="8">
        <v>5000.0</v>
      </c>
      <c r="K547" s="8" t="s">
        <v>2000</v>
      </c>
      <c r="L547" s="15">
        <v>46211.0</v>
      </c>
      <c r="M547" s="15">
        <v>46242.0</v>
      </c>
      <c r="N547" s="8">
        <v>0.0</v>
      </c>
      <c r="O547" s="8">
        <v>-1020.0</v>
      </c>
      <c r="P547" s="8">
        <v>1050.0</v>
      </c>
      <c r="R547" s="8" t="s">
        <v>2058</v>
      </c>
      <c r="T547" s="8">
        <v>222.0</v>
      </c>
    </row>
    <row r="548" ht="22.5" customHeight="1">
      <c r="B548" s="9" t="s">
        <v>248</v>
      </c>
      <c r="C548" s="8" t="s">
        <v>136</v>
      </c>
      <c r="D548" s="8" t="s">
        <v>1563</v>
      </c>
      <c r="E548" s="9" t="s">
        <v>29</v>
      </c>
      <c r="F548" s="8">
        <v>1.0</v>
      </c>
      <c r="H548" s="8">
        <v>150.0</v>
      </c>
      <c r="I548" s="8">
        <v>150.0</v>
      </c>
      <c r="J548" s="8">
        <v>3000.0</v>
      </c>
      <c r="K548" s="8" t="s">
        <v>2000</v>
      </c>
      <c r="L548" s="15">
        <v>46226.0</v>
      </c>
      <c r="M548" s="15">
        <v>46257.0</v>
      </c>
      <c r="N548" s="8">
        <v>0.0</v>
      </c>
      <c r="O548" s="8">
        <v>-1005.0</v>
      </c>
      <c r="P548" s="8">
        <v>1035.0</v>
      </c>
      <c r="R548" s="8" t="s">
        <v>2059</v>
      </c>
      <c r="T548" s="8">
        <v>223.0</v>
      </c>
    </row>
    <row r="549" ht="22.5" customHeight="1">
      <c r="B549" s="9" t="s">
        <v>332</v>
      </c>
      <c r="C549" s="8" t="s">
        <v>136</v>
      </c>
      <c r="D549" s="8" t="s">
        <v>1563</v>
      </c>
      <c r="E549" s="9" t="s">
        <v>29</v>
      </c>
      <c r="F549" s="8">
        <v>4.0</v>
      </c>
      <c r="H549" s="8">
        <v>150.0</v>
      </c>
      <c r="I549" s="8">
        <v>400.0</v>
      </c>
      <c r="J549" s="8">
        <v>8000.0</v>
      </c>
      <c r="K549" s="8">
        <v>0.0</v>
      </c>
      <c r="L549" s="15">
        <v>46183.0</v>
      </c>
      <c r="M549" s="15">
        <v>46213.0</v>
      </c>
      <c r="N549" s="8">
        <v>1.0</v>
      </c>
      <c r="O549" s="8">
        <v>-1049.0</v>
      </c>
      <c r="P549" s="8">
        <v>1079.0</v>
      </c>
      <c r="R549" s="8" t="s">
        <v>2060</v>
      </c>
      <c r="T549" s="8">
        <v>192.0</v>
      </c>
    </row>
    <row r="550" ht="22.5" customHeight="1">
      <c r="B550" s="9" t="s">
        <v>329</v>
      </c>
      <c r="C550" s="8" t="s">
        <v>136</v>
      </c>
      <c r="D550" s="8" t="s">
        <v>1563</v>
      </c>
      <c r="E550" s="9" t="s">
        <v>29</v>
      </c>
      <c r="F550" s="8">
        <v>1.0</v>
      </c>
      <c r="H550" s="8">
        <v>150.0</v>
      </c>
      <c r="I550" s="8">
        <v>150.0</v>
      </c>
      <c r="J550" s="8">
        <v>3000.0</v>
      </c>
      <c r="K550" s="8">
        <v>0.0</v>
      </c>
      <c r="L550" s="15">
        <v>46183.0</v>
      </c>
      <c r="M550" s="15">
        <v>46213.0</v>
      </c>
      <c r="N550" s="8">
        <v>1.0</v>
      </c>
      <c r="O550" s="8">
        <v>-1049.0</v>
      </c>
      <c r="P550" s="8">
        <v>1079.0</v>
      </c>
      <c r="R550" s="8" t="s">
        <v>2061</v>
      </c>
      <c r="T550" s="8">
        <v>193.0</v>
      </c>
    </row>
    <row r="551" ht="22.5" customHeight="1">
      <c r="B551" s="9" t="s">
        <v>326</v>
      </c>
      <c r="C551" s="8" t="s">
        <v>136</v>
      </c>
      <c r="D551" s="8" t="s">
        <v>1974</v>
      </c>
      <c r="E551" s="9" t="s">
        <v>29</v>
      </c>
      <c r="F551" s="8">
        <v>1.0</v>
      </c>
      <c r="H551" s="8">
        <v>250.0</v>
      </c>
      <c r="I551" s="8">
        <v>250.0</v>
      </c>
      <c r="J551" s="8">
        <v>5000.0</v>
      </c>
      <c r="K551" s="8">
        <v>5000.0</v>
      </c>
      <c r="L551" s="15">
        <v>46191.0</v>
      </c>
      <c r="M551" s="15">
        <v>46221.0</v>
      </c>
      <c r="N551" s="8">
        <v>0.0</v>
      </c>
      <c r="O551" s="8">
        <v>-1041.0</v>
      </c>
      <c r="P551" s="8">
        <v>1071.0</v>
      </c>
      <c r="R551" s="8" t="s">
        <v>2062</v>
      </c>
      <c r="T551" s="8">
        <v>194.0</v>
      </c>
    </row>
    <row r="552" ht="22.5" customHeight="1">
      <c r="B552" s="9" t="s">
        <v>317</v>
      </c>
      <c r="C552" s="8" t="s">
        <v>136</v>
      </c>
      <c r="D552" s="8" t="s">
        <v>1879</v>
      </c>
      <c r="E552" s="9" t="s">
        <v>38</v>
      </c>
      <c r="F552" s="8">
        <v>3.0</v>
      </c>
      <c r="H552" s="8">
        <v>1750.0</v>
      </c>
      <c r="I552" s="8">
        <v>5250.0</v>
      </c>
      <c r="J552" s="8">
        <v>5250.0</v>
      </c>
      <c r="K552" s="8">
        <v>0.0</v>
      </c>
      <c r="L552" s="15">
        <v>46198.0</v>
      </c>
      <c r="M552" s="15">
        <v>46228.0</v>
      </c>
      <c r="N552" s="8">
        <v>1.0</v>
      </c>
      <c r="O552" s="8">
        <v>-1034.0</v>
      </c>
      <c r="P552" s="8">
        <v>1064.0</v>
      </c>
      <c r="R552" s="8" t="s">
        <v>2063</v>
      </c>
      <c r="T552" s="8">
        <v>195.0</v>
      </c>
    </row>
    <row r="553" ht="22.5" customHeight="1">
      <c r="B553" s="9" t="s">
        <v>323</v>
      </c>
      <c r="C553" s="8" t="s">
        <v>136</v>
      </c>
      <c r="D553" s="8" t="s">
        <v>1974</v>
      </c>
      <c r="E553" s="9" t="s">
        <v>29</v>
      </c>
      <c r="F553" s="8">
        <v>1.0</v>
      </c>
      <c r="H553" s="8">
        <v>250.0</v>
      </c>
      <c r="I553" s="8">
        <v>250.0</v>
      </c>
      <c r="J553" s="8">
        <v>5000.0</v>
      </c>
      <c r="K553" s="8">
        <v>5000.0</v>
      </c>
      <c r="L553" s="15">
        <v>46191.0</v>
      </c>
      <c r="M553" s="15">
        <v>46221.0</v>
      </c>
      <c r="N553" s="8">
        <v>0.0</v>
      </c>
      <c r="O553" s="8">
        <v>-1041.0</v>
      </c>
      <c r="P553" s="8">
        <v>1071.0</v>
      </c>
      <c r="R553" s="8" t="s">
        <v>2064</v>
      </c>
      <c r="T553" s="8">
        <v>196.0</v>
      </c>
    </row>
    <row r="554" ht="22.5" customHeight="1">
      <c r="B554" s="9" t="s">
        <v>198</v>
      </c>
      <c r="C554" s="8" t="s">
        <v>136</v>
      </c>
      <c r="D554" s="8" t="s">
        <v>1873</v>
      </c>
      <c r="E554" s="9" t="s">
        <v>29</v>
      </c>
      <c r="F554" s="8">
        <v>3.0</v>
      </c>
      <c r="H554" s="8">
        <v>100.0</v>
      </c>
      <c r="I554" s="8" t="s">
        <v>2021</v>
      </c>
      <c r="J554" s="8">
        <v>6000.0</v>
      </c>
      <c r="K554" s="8">
        <v>6000.0</v>
      </c>
      <c r="L554" s="15">
        <v>46195.0</v>
      </c>
      <c r="M554" s="15">
        <v>46225.0</v>
      </c>
      <c r="N554" s="8">
        <v>0.0</v>
      </c>
      <c r="O554" s="8">
        <v>-1037.0</v>
      </c>
      <c r="P554" s="8">
        <v>1067.0</v>
      </c>
      <c r="R554" s="8" t="s">
        <v>2065</v>
      </c>
      <c r="T554" s="8">
        <v>197.0</v>
      </c>
    </row>
    <row r="555" ht="22.5" customHeight="1">
      <c r="B555" s="9" t="s">
        <v>341</v>
      </c>
      <c r="C555" s="8" t="s">
        <v>136</v>
      </c>
      <c r="D555" s="8" t="s">
        <v>1563</v>
      </c>
      <c r="E555" s="9" t="s">
        <v>29</v>
      </c>
      <c r="F555" s="8">
        <v>2.0</v>
      </c>
      <c r="H555" s="8">
        <v>150.0</v>
      </c>
      <c r="I555" s="8">
        <v>300.0</v>
      </c>
      <c r="J555" s="8">
        <v>6000.0</v>
      </c>
      <c r="K555" s="8">
        <v>0.0</v>
      </c>
      <c r="L555" s="15">
        <v>46177.0</v>
      </c>
      <c r="M555" s="15">
        <v>46207.0</v>
      </c>
      <c r="N555" s="8">
        <v>1.0</v>
      </c>
      <c r="O555" s="8">
        <v>-1055.0</v>
      </c>
      <c r="P555" s="8">
        <v>1085.0</v>
      </c>
      <c r="R555" s="8" t="s">
        <v>2066</v>
      </c>
      <c r="T555" s="8">
        <v>198.0</v>
      </c>
    </row>
    <row r="556" ht="22.5" customHeight="1">
      <c r="B556" s="9" t="s">
        <v>302</v>
      </c>
      <c r="C556" s="8" t="s">
        <v>136</v>
      </c>
      <c r="D556" s="8" t="s">
        <v>2067</v>
      </c>
      <c r="E556" s="9" t="s">
        <v>29</v>
      </c>
      <c r="F556" s="8">
        <v>5.0</v>
      </c>
      <c r="H556" s="8">
        <v>100.0</v>
      </c>
      <c r="I556" s="8">
        <v>500.0</v>
      </c>
      <c r="J556" s="8">
        <v>10000.0</v>
      </c>
      <c r="K556" s="8">
        <v>0.0</v>
      </c>
      <c r="L556" s="15">
        <v>46174.0</v>
      </c>
      <c r="M556" s="15">
        <v>46204.0</v>
      </c>
      <c r="N556" s="8">
        <v>1.0</v>
      </c>
      <c r="O556" s="8">
        <v>-1058.0</v>
      </c>
      <c r="P556" s="8">
        <v>1088.0</v>
      </c>
      <c r="R556" s="8" t="s">
        <v>2068</v>
      </c>
      <c r="T556" s="8">
        <v>199.0</v>
      </c>
    </row>
    <row r="557" ht="22.5" customHeight="1">
      <c r="A557" s="8" t="s">
        <v>2053</v>
      </c>
      <c r="B557" s="9" t="s">
        <v>281</v>
      </c>
      <c r="C557" s="8" t="s">
        <v>136</v>
      </c>
      <c r="D557" s="8" t="s">
        <v>1873</v>
      </c>
      <c r="E557" s="9" t="s">
        <v>29</v>
      </c>
      <c r="F557" s="8">
        <v>3.0</v>
      </c>
      <c r="H557" s="8">
        <v>130.0</v>
      </c>
      <c r="I557" s="8">
        <v>300.0</v>
      </c>
      <c r="J557" s="8">
        <v>6000.0</v>
      </c>
      <c r="K557" s="8">
        <v>0.0</v>
      </c>
      <c r="L557" s="15">
        <v>46184.0</v>
      </c>
      <c r="M557" s="15">
        <v>46214.0</v>
      </c>
      <c r="N557" s="8">
        <v>1.0</v>
      </c>
      <c r="O557" s="8">
        <v>-1048.0</v>
      </c>
      <c r="P557" s="8">
        <v>1078.0</v>
      </c>
      <c r="R557" s="8" t="s">
        <v>2069</v>
      </c>
      <c r="T557" s="8">
        <v>200.0</v>
      </c>
    </row>
    <row r="558" ht="22.5" customHeight="1">
      <c r="B558" s="9" t="s">
        <v>230</v>
      </c>
      <c r="C558" s="8" t="s">
        <v>136</v>
      </c>
      <c r="D558" s="8" t="s">
        <v>1851</v>
      </c>
      <c r="E558" s="9" t="s">
        <v>29</v>
      </c>
      <c r="F558" s="8">
        <v>6.0</v>
      </c>
      <c r="H558" s="8">
        <v>120.0</v>
      </c>
      <c r="I558" s="8">
        <v>600.0</v>
      </c>
      <c r="J558" s="8">
        <v>12000.0</v>
      </c>
      <c r="K558" s="8">
        <v>0.0</v>
      </c>
      <c r="L558" s="15">
        <v>46182.0</v>
      </c>
      <c r="M558" s="15">
        <v>46212.0</v>
      </c>
      <c r="N558" s="8">
        <v>1.0</v>
      </c>
      <c r="O558" s="8">
        <v>-1050.0</v>
      </c>
      <c r="P558" s="8">
        <v>1080.0</v>
      </c>
      <c r="R558" s="8" t="s">
        <v>2070</v>
      </c>
      <c r="T558" s="8">
        <v>201.0</v>
      </c>
    </row>
    <row r="559" ht="22.5" customHeight="1">
      <c r="B559" s="9" t="s">
        <v>195</v>
      </c>
      <c r="C559" s="8" t="s">
        <v>136</v>
      </c>
      <c r="D559" s="8" t="s">
        <v>1941</v>
      </c>
      <c r="E559" s="9" t="s">
        <v>38</v>
      </c>
      <c r="F559" s="8">
        <v>1.0</v>
      </c>
      <c r="H559" s="8">
        <v>7500.0</v>
      </c>
      <c r="I559" s="8">
        <v>7500.0</v>
      </c>
      <c r="J559" s="8">
        <v>7500.0</v>
      </c>
      <c r="K559" s="8" t="s">
        <v>2000</v>
      </c>
      <c r="L559" s="15">
        <v>46181.0</v>
      </c>
      <c r="M559" s="15">
        <v>46211.0</v>
      </c>
      <c r="N559" s="8">
        <v>0.0</v>
      </c>
      <c r="O559" s="8">
        <v>-1051.0</v>
      </c>
      <c r="P559" s="8">
        <v>1081.0</v>
      </c>
      <c r="R559" s="8" t="s">
        <v>2071</v>
      </c>
      <c r="T559" s="8">
        <v>202.0</v>
      </c>
    </row>
    <row r="560" ht="22.5" customHeight="1">
      <c r="A560" s="8" t="s">
        <v>2043</v>
      </c>
      <c r="B560" s="9" t="s">
        <v>311</v>
      </c>
      <c r="C560" s="8" t="s">
        <v>136</v>
      </c>
      <c r="D560" s="8" t="s">
        <v>1873</v>
      </c>
      <c r="E560" s="9" t="s">
        <v>29</v>
      </c>
      <c r="F560" s="8">
        <v>3.0</v>
      </c>
      <c r="H560" s="8">
        <v>100.0</v>
      </c>
      <c r="I560" s="8">
        <v>300.0</v>
      </c>
      <c r="J560" s="8">
        <v>6000.0</v>
      </c>
      <c r="K560" s="8">
        <v>0.0</v>
      </c>
      <c r="L560" s="15">
        <v>46189.0</v>
      </c>
      <c r="M560" s="15">
        <v>46219.0</v>
      </c>
      <c r="N560" s="8">
        <v>1.0</v>
      </c>
      <c r="O560" s="8">
        <v>-1043.0</v>
      </c>
      <c r="P560" s="8">
        <v>1073.0</v>
      </c>
      <c r="R560" s="8" t="s">
        <v>2072</v>
      </c>
      <c r="T560" s="8">
        <v>203.0</v>
      </c>
    </row>
    <row r="561" ht="22.5" customHeight="1">
      <c r="B561" s="9" t="s">
        <v>218</v>
      </c>
      <c r="C561" s="8" t="s">
        <v>136</v>
      </c>
      <c r="D561" s="8" t="s">
        <v>2073</v>
      </c>
      <c r="E561" s="8" t="s">
        <v>38</v>
      </c>
      <c r="F561" s="8">
        <v>2.0</v>
      </c>
      <c r="H561" s="8">
        <v>1350.0</v>
      </c>
      <c r="I561" s="8">
        <v>2700.0</v>
      </c>
      <c r="J561" s="8">
        <v>2700.0</v>
      </c>
      <c r="K561" s="8">
        <v>0.0</v>
      </c>
      <c r="L561" s="15">
        <v>46159.0</v>
      </c>
      <c r="M561" s="15">
        <v>46190.0</v>
      </c>
      <c r="N561" s="8">
        <v>1.0</v>
      </c>
      <c r="O561" s="8">
        <v>-1072.0</v>
      </c>
      <c r="P561" s="8">
        <v>1102.0</v>
      </c>
      <c r="R561" s="8" t="s">
        <v>2074</v>
      </c>
      <c r="T561" s="8">
        <v>175.0</v>
      </c>
    </row>
    <row r="562" ht="22.5" customHeight="1">
      <c r="B562" s="9" t="s">
        <v>332</v>
      </c>
      <c r="C562" s="8" t="s">
        <v>136</v>
      </c>
      <c r="D562" s="8" t="s">
        <v>1563</v>
      </c>
      <c r="E562" s="9" t="s">
        <v>29</v>
      </c>
      <c r="F562" s="8">
        <v>4.0</v>
      </c>
      <c r="H562" s="8">
        <v>150.0</v>
      </c>
      <c r="I562" s="8">
        <v>400.0</v>
      </c>
      <c r="J562" s="8">
        <v>8000.0</v>
      </c>
      <c r="K562" s="8">
        <v>0.0</v>
      </c>
      <c r="L562" s="15">
        <v>46152.0</v>
      </c>
      <c r="N562" s="8">
        <v>1.0</v>
      </c>
      <c r="P562" s="8">
        <v>30.0</v>
      </c>
      <c r="R562" s="8" t="s">
        <v>2075</v>
      </c>
      <c r="T562" s="8">
        <v>176.0</v>
      </c>
    </row>
    <row r="563" ht="22.5" customHeight="1">
      <c r="B563" s="9" t="s">
        <v>329</v>
      </c>
      <c r="C563" s="8" t="s">
        <v>136</v>
      </c>
      <c r="D563" s="8" t="s">
        <v>1563</v>
      </c>
      <c r="E563" s="9" t="s">
        <v>29</v>
      </c>
      <c r="F563" s="8">
        <v>1.0</v>
      </c>
      <c r="H563" s="8">
        <v>150.0</v>
      </c>
      <c r="I563" s="8">
        <v>150.0</v>
      </c>
      <c r="J563" s="8">
        <v>3000.0</v>
      </c>
      <c r="K563" s="8">
        <v>0.0</v>
      </c>
      <c r="L563" s="15">
        <v>46152.0</v>
      </c>
      <c r="N563" s="8">
        <v>1.0</v>
      </c>
      <c r="P563" s="8">
        <v>30.0</v>
      </c>
      <c r="R563" s="8" t="s">
        <v>2076</v>
      </c>
      <c r="T563" s="8">
        <v>177.0</v>
      </c>
    </row>
    <row r="564" ht="22.5" customHeight="1">
      <c r="B564" s="9" t="s">
        <v>326</v>
      </c>
      <c r="C564" s="8" t="s">
        <v>136</v>
      </c>
      <c r="D564" s="8" t="s">
        <v>1974</v>
      </c>
      <c r="E564" s="9" t="s">
        <v>29</v>
      </c>
      <c r="F564" s="8">
        <v>1.0</v>
      </c>
      <c r="H564" s="8">
        <v>250.0</v>
      </c>
      <c r="I564" s="8">
        <v>250.0</v>
      </c>
      <c r="J564" s="8">
        <v>5000.0</v>
      </c>
      <c r="K564" s="8">
        <v>5000.0</v>
      </c>
      <c r="L564" s="15">
        <v>46158.0</v>
      </c>
      <c r="N564" s="8">
        <v>0.0</v>
      </c>
      <c r="P564" s="8">
        <v>30.0</v>
      </c>
      <c r="R564" s="8" t="s">
        <v>2077</v>
      </c>
      <c r="T564" s="8">
        <v>178.0</v>
      </c>
    </row>
    <row r="565" ht="22.5" customHeight="1">
      <c r="B565" s="9" t="s">
        <v>305</v>
      </c>
      <c r="C565" s="8" t="s">
        <v>136</v>
      </c>
      <c r="D565" s="8" t="s">
        <v>2078</v>
      </c>
      <c r="E565" s="9" t="s">
        <v>38</v>
      </c>
      <c r="F565" s="8">
        <v>5.0</v>
      </c>
      <c r="H565" s="8">
        <v>2000.0</v>
      </c>
      <c r="I565" s="8">
        <v>10416.25</v>
      </c>
      <c r="J565" s="8">
        <v>31248.75</v>
      </c>
      <c r="K565" s="8">
        <v>0.0</v>
      </c>
      <c r="L565" s="15">
        <v>46150.0</v>
      </c>
      <c r="N565" s="8">
        <v>1.0</v>
      </c>
      <c r="P565" s="8">
        <v>30.0</v>
      </c>
      <c r="R565" s="8" t="s">
        <v>2079</v>
      </c>
      <c r="T565" s="8">
        <v>179.0</v>
      </c>
    </row>
    <row r="566" ht="22.5" customHeight="1">
      <c r="B566" s="9" t="s">
        <v>236</v>
      </c>
      <c r="C566" s="8" t="s">
        <v>136</v>
      </c>
      <c r="D566" s="8" t="s">
        <v>1851</v>
      </c>
      <c r="E566" s="9" t="s">
        <v>29</v>
      </c>
      <c r="F566" s="8">
        <v>5.0</v>
      </c>
      <c r="H566" s="8">
        <v>100.0</v>
      </c>
      <c r="I566" s="8">
        <v>250.0</v>
      </c>
      <c r="J566" s="8">
        <v>5000.0</v>
      </c>
      <c r="K566" s="8">
        <v>0.0</v>
      </c>
      <c r="L566" s="15">
        <v>46158.0</v>
      </c>
      <c r="M566" s="15">
        <v>46189.0</v>
      </c>
      <c r="N566" s="8">
        <v>1.0</v>
      </c>
      <c r="O566" s="8">
        <v>-1073.0</v>
      </c>
      <c r="P566" s="8">
        <v>1103.0</v>
      </c>
      <c r="R566" s="8" t="s">
        <v>2080</v>
      </c>
      <c r="T566" s="8">
        <v>180.0</v>
      </c>
    </row>
    <row r="567" ht="22.5" customHeight="1">
      <c r="B567" s="9" t="s">
        <v>338</v>
      </c>
      <c r="C567" s="8" t="s">
        <v>136</v>
      </c>
      <c r="D567" s="8" t="s">
        <v>2081</v>
      </c>
      <c r="E567" s="9" t="s">
        <v>29</v>
      </c>
      <c r="F567" s="8">
        <v>2.0</v>
      </c>
      <c r="H567" s="8">
        <v>150.0</v>
      </c>
      <c r="I567" s="8">
        <v>300.0</v>
      </c>
      <c r="J567" s="8">
        <v>6000.0</v>
      </c>
      <c r="K567" s="8">
        <v>0.0</v>
      </c>
      <c r="L567" s="15">
        <v>46157.0</v>
      </c>
      <c r="M567" s="15">
        <v>46188.0</v>
      </c>
      <c r="N567" s="8">
        <v>1.0</v>
      </c>
      <c r="O567" s="8">
        <v>-1074.0</v>
      </c>
      <c r="P567" s="8">
        <v>1104.0</v>
      </c>
      <c r="R567" s="8" t="s">
        <v>2082</v>
      </c>
      <c r="T567" s="8">
        <v>181.0</v>
      </c>
    </row>
    <row r="568" ht="22.5" customHeight="1">
      <c r="B568" s="9" t="s">
        <v>323</v>
      </c>
      <c r="C568" s="8" t="s">
        <v>136</v>
      </c>
      <c r="D568" s="8" t="s">
        <v>1974</v>
      </c>
      <c r="E568" s="9" t="s">
        <v>29</v>
      </c>
      <c r="F568" s="8">
        <v>1.0</v>
      </c>
      <c r="H568" s="8">
        <v>250.0</v>
      </c>
      <c r="I568" s="8">
        <v>250.0</v>
      </c>
      <c r="J568" s="8">
        <v>5000.0</v>
      </c>
      <c r="K568" s="8">
        <v>0.0</v>
      </c>
      <c r="L568" s="15">
        <v>46146.0</v>
      </c>
      <c r="N568" s="8">
        <v>1.0</v>
      </c>
      <c r="P568" s="8">
        <v>30.0</v>
      </c>
      <c r="R568" s="8" t="s">
        <v>2083</v>
      </c>
      <c r="T568" s="8">
        <v>182.0</v>
      </c>
    </row>
    <row r="569" ht="22.5" customHeight="1">
      <c r="B569" s="9" t="s">
        <v>233</v>
      </c>
      <c r="C569" s="8" t="s">
        <v>136</v>
      </c>
      <c r="D569" s="8" t="s">
        <v>1851</v>
      </c>
      <c r="E569" s="9" t="s">
        <v>29</v>
      </c>
      <c r="F569" s="8">
        <v>5.0</v>
      </c>
      <c r="H569" s="8">
        <v>100.0</v>
      </c>
      <c r="I569" s="8">
        <v>500.0</v>
      </c>
      <c r="J569" s="8">
        <v>10000.0</v>
      </c>
      <c r="K569" s="8">
        <v>0.0</v>
      </c>
      <c r="L569" s="15">
        <v>46151.0</v>
      </c>
      <c r="M569" s="15">
        <v>46182.0</v>
      </c>
      <c r="N569" s="8">
        <v>1.0</v>
      </c>
      <c r="O569" s="8">
        <v>-1080.0</v>
      </c>
      <c r="P569" s="8">
        <v>1110.0</v>
      </c>
      <c r="R569" s="8" t="s">
        <v>2084</v>
      </c>
      <c r="T569" s="8">
        <v>183.0</v>
      </c>
    </row>
    <row r="570" ht="22.5" customHeight="1">
      <c r="A570" s="8" t="s">
        <v>2085</v>
      </c>
      <c r="B570" s="9" t="s">
        <v>335</v>
      </c>
      <c r="C570" s="8" t="s">
        <v>136</v>
      </c>
      <c r="D570" s="8" t="s">
        <v>1430</v>
      </c>
      <c r="E570" s="9" t="s">
        <v>29</v>
      </c>
      <c r="F570" s="8">
        <v>1.0</v>
      </c>
      <c r="H570" s="8">
        <v>150.0</v>
      </c>
      <c r="I570" s="8">
        <v>150.0</v>
      </c>
      <c r="J570" s="8">
        <v>3000.0</v>
      </c>
      <c r="K570" s="8">
        <v>0.0</v>
      </c>
      <c r="L570" s="15">
        <v>46157.0</v>
      </c>
      <c r="N570" s="8">
        <v>1.0</v>
      </c>
      <c r="P570" s="8">
        <v>30.0</v>
      </c>
      <c r="R570" s="8" t="s">
        <v>2086</v>
      </c>
      <c r="T570" s="8">
        <v>184.0</v>
      </c>
    </row>
    <row r="571" ht="22.5" customHeight="1">
      <c r="B571" s="9" t="s">
        <v>296</v>
      </c>
      <c r="C571" s="8" t="s">
        <v>136</v>
      </c>
      <c r="D571" s="8" t="s">
        <v>1851</v>
      </c>
      <c r="E571" s="9" t="s">
        <v>29</v>
      </c>
      <c r="F571" s="8">
        <v>5.0</v>
      </c>
      <c r="H571" s="8">
        <v>100.0</v>
      </c>
      <c r="I571" s="8">
        <v>500.0</v>
      </c>
      <c r="J571" s="8">
        <v>10000.0</v>
      </c>
      <c r="K571" s="8">
        <v>0.0</v>
      </c>
      <c r="L571" s="15">
        <v>46151.0</v>
      </c>
      <c r="M571" s="15">
        <v>46182.0</v>
      </c>
      <c r="N571" s="8">
        <v>1.0</v>
      </c>
      <c r="O571" s="8">
        <v>-1080.0</v>
      </c>
      <c r="P571" s="8">
        <v>1110.0</v>
      </c>
      <c r="Q571" s="17">
        <v>46255.0</v>
      </c>
      <c r="R571" s="8" t="s">
        <v>2087</v>
      </c>
      <c r="T571" s="8">
        <v>185.0</v>
      </c>
    </row>
    <row r="572" ht="22.5" customHeight="1">
      <c r="A572" s="8" t="s">
        <v>2021</v>
      </c>
      <c r="B572" s="9" t="s">
        <v>198</v>
      </c>
      <c r="C572" s="8" t="s">
        <v>136</v>
      </c>
      <c r="D572" s="8" t="s">
        <v>1873</v>
      </c>
      <c r="E572" s="9" t="s">
        <v>29</v>
      </c>
      <c r="F572" s="8">
        <v>3.0</v>
      </c>
      <c r="H572" s="8">
        <v>100.0</v>
      </c>
      <c r="I572" s="8">
        <v>225.0</v>
      </c>
      <c r="J572" s="8">
        <v>6000.0</v>
      </c>
      <c r="K572" s="8">
        <v>6000.0</v>
      </c>
      <c r="L572" s="15">
        <v>46164.0</v>
      </c>
      <c r="M572" s="15">
        <v>46195.0</v>
      </c>
      <c r="N572" s="8">
        <v>0.0</v>
      </c>
      <c r="O572" s="8">
        <v>-1067.0</v>
      </c>
      <c r="P572" s="8">
        <v>1097.0</v>
      </c>
      <c r="R572" s="8" t="s">
        <v>2088</v>
      </c>
      <c r="T572" s="8">
        <v>186.0</v>
      </c>
    </row>
    <row r="573" ht="22.5" customHeight="1">
      <c r="B573" s="9" t="s">
        <v>302</v>
      </c>
      <c r="C573" s="8" t="s">
        <v>136</v>
      </c>
      <c r="D573" s="8" t="s">
        <v>1485</v>
      </c>
      <c r="E573" s="9" t="s">
        <v>29</v>
      </c>
      <c r="F573" s="8">
        <v>5.0</v>
      </c>
      <c r="H573" s="8">
        <v>100.0</v>
      </c>
      <c r="I573" s="8">
        <v>500.0</v>
      </c>
      <c r="J573" s="8">
        <v>10000.0</v>
      </c>
      <c r="K573" s="8">
        <v>0.0</v>
      </c>
      <c r="L573" s="15">
        <v>46143.0</v>
      </c>
      <c r="N573" s="8">
        <v>1.0</v>
      </c>
      <c r="P573" s="8">
        <v>30.0</v>
      </c>
      <c r="R573" s="8" t="s">
        <v>2089</v>
      </c>
      <c r="T573" s="8">
        <v>187.0</v>
      </c>
    </row>
    <row r="574" ht="22.5" customHeight="1">
      <c r="B574" s="9" t="s">
        <v>281</v>
      </c>
      <c r="C574" s="8" t="s">
        <v>136</v>
      </c>
      <c r="D574" s="8" t="s">
        <v>1873</v>
      </c>
      <c r="E574" s="9" t="s">
        <v>29</v>
      </c>
      <c r="F574" s="8">
        <v>3.0</v>
      </c>
      <c r="H574" s="8">
        <v>130.0</v>
      </c>
      <c r="I574" s="8">
        <v>300.0</v>
      </c>
      <c r="J574" s="8">
        <v>6000.0</v>
      </c>
      <c r="K574" s="8">
        <v>0.0</v>
      </c>
      <c r="L574" s="15">
        <v>46153.0</v>
      </c>
      <c r="M574" s="15">
        <v>46184.0</v>
      </c>
      <c r="N574" s="8">
        <v>1.0</v>
      </c>
      <c r="O574" s="8">
        <v>-1078.0</v>
      </c>
      <c r="P574" s="8">
        <v>1108.0</v>
      </c>
      <c r="R574" s="8" t="s">
        <v>2090</v>
      </c>
      <c r="T574" s="8">
        <v>188.0</v>
      </c>
    </row>
    <row r="575" ht="22.5" customHeight="1">
      <c r="B575" s="9" t="s">
        <v>230</v>
      </c>
      <c r="C575" s="8" t="s">
        <v>136</v>
      </c>
      <c r="D575" s="8" t="s">
        <v>1851</v>
      </c>
      <c r="E575" s="9" t="s">
        <v>29</v>
      </c>
      <c r="F575" s="8">
        <v>6.0</v>
      </c>
      <c r="H575" s="8">
        <v>120.0</v>
      </c>
      <c r="I575" s="8">
        <v>600.0</v>
      </c>
      <c r="J575" s="8">
        <v>12000.0</v>
      </c>
      <c r="K575" s="8">
        <v>0.0</v>
      </c>
      <c r="L575" s="15">
        <v>46151.0</v>
      </c>
      <c r="M575" s="15">
        <v>46182.0</v>
      </c>
      <c r="N575" s="8">
        <v>1.0</v>
      </c>
      <c r="O575" s="8">
        <v>-1080.0</v>
      </c>
      <c r="P575" s="8">
        <v>1110.0</v>
      </c>
      <c r="R575" s="8" t="s">
        <v>2091</v>
      </c>
      <c r="T575" s="8">
        <v>189.0</v>
      </c>
    </row>
    <row r="576" ht="22.5" customHeight="1">
      <c r="A576" s="8" t="s">
        <v>2092</v>
      </c>
      <c r="B576" s="9" t="s">
        <v>195</v>
      </c>
      <c r="C576" s="8" t="s">
        <v>136</v>
      </c>
      <c r="D576" s="8" t="s">
        <v>1941</v>
      </c>
      <c r="E576" s="9" t="s">
        <v>38</v>
      </c>
      <c r="F576" s="8">
        <v>1.0</v>
      </c>
      <c r="H576" s="8">
        <v>7500.0</v>
      </c>
      <c r="I576" s="8">
        <v>7500.0</v>
      </c>
      <c r="J576" s="8">
        <v>7500.0</v>
      </c>
      <c r="K576" s="8" t="s">
        <v>2000</v>
      </c>
      <c r="L576" s="15">
        <v>46150.0</v>
      </c>
      <c r="M576" s="15">
        <v>46181.0</v>
      </c>
      <c r="N576" s="8">
        <v>0.0</v>
      </c>
      <c r="O576" s="8">
        <v>-1081.0</v>
      </c>
      <c r="P576" s="8">
        <v>1111.0</v>
      </c>
      <c r="R576" s="8" t="s">
        <v>2093</v>
      </c>
      <c r="T576" s="8">
        <v>190.0</v>
      </c>
    </row>
    <row r="577" ht="22.5" customHeight="1">
      <c r="B577" s="9" t="s">
        <v>142</v>
      </c>
      <c r="C577" s="8" t="s">
        <v>136</v>
      </c>
      <c r="D577" s="8" t="s">
        <v>1873</v>
      </c>
      <c r="E577" s="9" t="s">
        <v>29</v>
      </c>
      <c r="F577" s="8">
        <v>3.0</v>
      </c>
      <c r="H577" s="8">
        <v>120.0</v>
      </c>
      <c r="I577" s="8">
        <v>300.0</v>
      </c>
      <c r="J577" s="8">
        <v>6000.0</v>
      </c>
      <c r="K577" s="8">
        <v>0.0</v>
      </c>
      <c r="L577" s="15">
        <v>46144.0</v>
      </c>
      <c r="M577" s="15">
        <v>46175.0</v>
      </c>
      <c r="N577" s="8">
        <v>1.0</v>
      </c>
      <c r="O577" s="8">
        <v>-1087.0</v>
      </c>
      <c r="P577" s="8">
        <v>1117.0</v>
      </c>
      <c r="R577" s="8" t="s">
        <v>2094</v>
      </c>
      <c r="T577" s="8">
        <v>191.0</v>
      </c>
    </row>
    <row r="578" ht="22.5" customHeight="1">
      <c r="B578" s="9" t="s">
        <v>218</v>
      </c>
      <c r="C578" s="8" t="s">
        <v>136</v>
      </c>
      <c r="D578" s="8" t="s">
        <v>2073</v>
      </c>
      <c r="E578" s="8" t="s">
        <v>38</v>
      </c>
      <c r="F578" s="8">
        <v>2.0</v>
      </c>
      <c r="H578" s="8">
        <v>1350.0</v>
      </c>
      <c r="I578" s="8">
        <v>2700.0</v>
      </c>
      <c r="J578" s="8">
        <v>2700.0</v>
      </c>
      <c r="K578" s="8">
        <v>0.0</v>
      </c>
      <c r="L578" s="15">
        <v>46129.0</v>
      </c>
      <c r="M578" s="15">
        <v>46159.0</v>
      </c>
      <c r="N578" s="8">
        <v>1.0</v>
      </c>
      <c r="O578" s="8">
        <v>-1103.0</v>
      </c>
      <c r="P578" s="8">
        <v>1133.0</v>
      </c>
      <c r="R578" s="8" t="s">
        <v>2095</v>
      </c>
      <c r="T578" s="8">
        <v>157.0</v>
      </c>
    </row>
    <row r="579" ht="22.5" customHeight="1">
      <c r="A579" s="8">
        <v>1.0</v>
      </c>
      <c r="B579" s="9" t="s">
        <v>269</v>
      </c>
      <c r="C579" s="8" t="s">
        <v>136</v>
      </c>
      <c r="D579" s="8" t="s">
        <v>1873</v>
      </c>
      <c r="E579" s="9" t="s">
        <v>29</v>
      </c>
      <c r="F579" s="8">
        <v>3.0</v>
      </c>
      <c r="H579" s="8">
        <v>250.0</v>
      </c>
      <c r="I579" s="8">
        <v>750.0</v>
      </c>
      <c r="J579" s="8">
        <v>15000.0</v>
      </c>
      <c r="K579" s="8">
        <v>0.0</v>
      </c>
      <c r="L579" s="15">
        <v>46122.0</v>
      </c>
      <c r="M579" s="15">
        <v>46152.0</v>
      </c>
      <c r="N579" s="8">
        <v>1.0</v>
      </c>
      <c r="O579" s="8">
        <v>-1110.0</v>
      </c>
      <c r="P579" s="8">
        <v>1140.0</v>
      </c>
      <c r="R579" s="8" t="s">
        <v>2096</v>
      </c>
      <c r="T579" s="8">
        <v>158.0</v>
      </c>
    </row>
    <row r="580" ht="22.5" customHeight="1">
      <c r="A580" s="8" t="s">
        <v>302</v>
      </c>
      <c r="B580" s="9" t="s">
        <v>305</v>
      </c>
      <c r="C580" s="8" t="s">
        <v>136</v>
      </c>
      <c r="D580" s="8" t="s">
        <v>2078</v>
      </c>
      <c r="E580" s="9" t="s">
        <v>38</v>
      </c>
      <c r="F580" s="8">
        <v>4.0</v>
      </c>
      <c r="H580" s="8">
        <v>2000.0</v>
      </c>
      <c r="I580" s="8">
        <v>8333.0</v>
      </c>
      <c r="J580" s="8">
        <v>24999.0</v>
      </c>
      <c r="K580" s="8">
        <v>0.0</v>
      </c>
      <c r="L580" s="15">
        <v>46120.0</v>
      </c>
      <c r="M580" s="15">
        <v>46150.0</v>
      </c>
      <c r="N580" s="8">
        <v>1.0</v>
      </c>
      <c r="O580" s="8">
        <v>-1112.0</v>
      </c>
      <c r="P580" s="8">
        <v>1142.0</v>
      </c>
      <c r="R580" s="8" t="s">
        <v>2097</v>
      </c>
      <c r="T580" s="8">
        <v>159.0</v>
      </c>
    </row>
    <row r="581" ht="22.5" customHeight="1">
      <c r="B581" s="9" t="s">
        <v>236</v>
      </c>
      <c r="C581" s="8" t="s">
        <v>136</v>
      </c>
      <c r="D581" s="8" t="s">
        <v>1851</v>
      </c>
      <c r="E581" s="9" t="s">
        <v>29</v>
      </c>
      <c r="F581" s="8">
        <v>5.0</v>
      </c>
      <c r="H581" s="8">
        <v>100.0</v>
      </c>
      <c r="I581" s="8">
        <v>250.0</v>
      </c>
      <c r="J581" s="8">
        <v>5000.0</v>
      </c>
      <c r="K581" s="8">
        <v>0.0</v>
      </c>
      <c r="L581" s="15">
        <v>46128.0</v>
      </c>
      <c r="M581" s="15">
        <v>46158.0</v>
      </c>
      <c r="N581" s="8">
        <v>1.0</v>
      </c>
      <c r="O581" s="8">
        <v>-1104.0</v>
      </c>
      <c r="P581" s="8">
        <v>1134.0</v>
      </c>
      <c r="R581" s="8" t="s">
        <v>2098</v>
      </c>
      <c r="T581" s="8">
        <v>160.0</v>
      </c>
    </row>
    <row r="582" ht="22.5" customHeight="1">
      <c r="B582" s="9" t="s">
        <v>317</v>
      </c>
      <c r="C582" s="8" t="s">
        <v>136</v>
      </c>
      <c r="D582" s="8" t="s">
        <v>1879</v>
      </c>
      <c r="E582" s="9" t="s">
        <v>38</v>
      </c>
      <c r="F582" s="8">
        <v>3.0</v>
      </c>
      <c r="H582" s="8">
        <v>1500.0</v>
      </c>
      <c r="I582" s="8">
        <v>4500.0</v>
      </c>
      <c r="J582" s="8">
        <v>4500.0</v>
      </c>
      <c r="K582" s="8">
        <v>0.0</v>
      </c>
      <c r="L582" s="15">
        <v>46113.0</v>
      </c>
      <c r="M582" s="15">
        <v>46143.0</v>
      </c>
      <c r="N582" s="8">
        <v>1.0</v>
      </c>
      <c r="O582" s="8">
        <v>-1119.0</v>
      </c>
      <c r="P582" s="8">
        <v>1149.0</v>
      </c>
      <c r="R582" s="8" t="s">
        <v>2099</v>
      </c>
      <c r="T582" s="8">
        <v>161.0</v>
      </c>
    </row>
    <row r="583" ht="22.5" customHeight="1">
      <c r="B583" s="9" t="s">
        <v>233</v>
      </c>
      <c r="C583" s="8" t="s">
        <v>136</v>
      </c>
      <c r="D583" s="8" t="s">
        <v>1851</v>
      </c>
      <c r="E583" s="9" t="s">
        <v>29</v>
      </c>
      <c r="F583" s="8">
        <v>5.0</v>
      </c>
      <c r="H583" s="8">
        <v>100.0</v>
      </c>
      <c r="I583" s="8">
        <v>500.0</v>
      </c>
      <c r="J583" s="8">
        <v>10000.0</v>
      </c>
      <c r="K583" s="8">
        <v>0.0</v>
      </c>
      <c r="L583" s="15">
        <v>46121.0</v>
      </c>
      <c r="M583" s="15">
        <v>46151.0</v>
      </c>
      <c r="N583" s="8">
        <v>1.0</v>
      </c>
      <c r="O583" s="8">
        <v>-1111.0</v>
      </c>
      <c r="P583" s="8">
        <v>1141.0</v>
      </c>
      <c r="R583" s="8" t="s">
        <v>2100</v>
      </c>
      <c r="T583" s="8">
        <v>162.0</v>
      </c>
    </row>
    <row r="584" ht="22.5" customHeight="1">
      <c r="B584" s="9" t="s">
        <v>308</v>
      </c>
      <c r="C584" s="8" t="s">
        <v>136</v>
      </c>
      <c r="D584" s="8" t="s">
        <v>1744</v>
      </c>
      <c r="E584" s="9" t="s">
        <v>29</v>
      </c>
      <c r="F584" s="8">
        <v>1.0</v>
      </c>
      <c r="H584" s="8">
        <v>250.0</v>
      </c>
      <c r="I584" s="8">
        <v>250.0</v>
      </c>
      <c r="J584" s="8">
        <v>5000.0</v>
      </c>
      <c r="K584" s="8">
        <v>0.0</v>
      </c>
      <c r="L584" s="15">
        <v>46124.0</v>
      </c>
      <c r="M584" s="15">
        <v>46154.0</v>
      </c>
      <c r="N584" s="8">
        <v>1.0</v>
      </c>
      <c r="O584" s="8">
        <v>-1108.0</v>
      </c>
      <c r="P584" s="8">
        <v>1138.0</v>
      </c>
      <c r="Q584" s="17">
        <v>46255.0</v>
      </c>
      <c r="R584" s="8" t="s">
        <v>2101</v>
      </c>
      <c r="T584" s="8">
        <v>163.0</v>
      </c>
    </row>
    <row r="585" ht="22.5" customHeight="1">
      <c r="B585" s="9" t="s">
        <v>242</v>
      </c>
      <c r="C585" s="8" t="s">
        <v>136</v>
      </c>
      <c r="D585" s="8" t="s">
        <v>1851</v>
      </c>
      <c r="E585" s="9" t="s">
        <v>29</v>
      </c>
      <c r="F585" s="8">
        <v>5.0</v>
      </c>
      <c r="H585" s="8">
        <v>100.0</v>
      </c>
      <c r="I585" s="8">
        <v>500.0</v>
      </c>
      <c r="J585" s="8">
        <v>10000.0</v>
      </c>
      <c r="K585" s="8">
        <v>10000.0</v>
      </c>
      <c r="L585" s="15">
        <v>46136.0</v>
      </c>
      <c r="M585" s="15">
        <v>46166.0</v>
      </c>
      <c r="N585" s="8">
        <v>0.0</v>
      </c>
      <c r="O585" s="8">
        <v>-1096.0</v>
      </c>
      <c r="P585" s="8">
        <v>1126.0</v>
      </c>
      <c r="R585" s="8" t="s">
        <v>2102</v>
      </c>
      <c r="T585" s="8">
        <v>164.0</v>
      </c>
    </row>
    <row r="586" ht="22.5" customHeight="1">
      <c r="A586" s="8">
        <v>1.0</v>
      </c>
      <c r="B586" s="9" t="s">
        <v>299</v>
      </c>
      <c r="C586" s="8" t="s">
        <v>136</v>
      </c>
      <c r="D586" s="8" t="s">
        <v>2103</v>
      </c>
      <c r="E586" s="9" t="s">
        <v>29</v>
      </c>
      <c r="F586" s="8">
        <v>3.0</v>
      </c>
      <c r="H586" s="8">
        <v>250.0</v>
      </c>
      <c r="I586" s="8">
        <v>750.0</v>
      </c>
      <c r="J586" s="8">
        <v>15000.0</v>
      </c>
      <c r="K586" s="8">
        <v>0.0</v>
      </c>
      <c r="L586" s="15">
        <v>46116.0</v>
      </c>
      <c r="M586" s="15">
        <v>46146.0</v>
      </c>
      <c r="N586" s="8">
        <v>1.0</v>
      </c>
      <c r="O586" s="8">
        <v>-1116.0</v>
      </c>
      <c r="P586" s="8">
        <v>1146.0</v>
      </c>
      <c r="R586" s="8" t="s">
        <v>2104</v>
      </c>
      <c r="T586" s="8">
        <v>165.0</v>
      </c>
    </row>
    <row r="587" ht="22.5" customHeight="1">
      <c r="B587" s="9" t="s">
        <v>296</v>
      </c>
      <c r="C587" s="8" t="s">
        <v>136</v>
      </c>
      <c r="D587" s="8" t="s">
        <v>1851</v>
      </c>
      <c r="E587" s="9" t="s">
        <v>29</v>
      </c>
      <c r="F587" s="8">
        <v>5.0</v>
      </c>
      <c r="H587" s="8">
        <v>100.0</v>
      </c>
      <c r="I587" s="8">
        <v>500.0</v>
      </c>
      <c r="J587" s="8">
        <v>10000.0</v>
      </c>
      <c r="K587" s="8">
        <v>0.0</v>
      </c>
      <c r="L587" s="15">
        <v>46121.0</v>
      </c>
      <c r="M587" s="15">
        <v>46151.0</v>
      </c>
      <c r="N587" s="8">
        <v>1.0</v>
      </c>
      <c r="O587" s="8">
        <v>-1111.0</v>
      </c>
      <c r="P587" s="8">
        <v>1141.0</v>
      </c>
      <c r="R587" s="8" t="s">
        <v>2105</v>
      </c>
      <c r="T587" s="8">
        <v>166.0</v>
      </c>
    </row>
    <row r="588" ht="22.5" customHeight="1">
      <c r="A588" s="8">
        <v>1.0</v>
      </c>
      <c r="B588" s="9" t="s">
        <v>198</v>
      </c>
      <c r="C588" s="8" t="s">
        <v>136</v>
      </c>
      <c r="D588" s="8" t="s">
        <v>1851</v>
      </c>
      <c r="E588" s="9" t="s">
        <v>29</v>
      </c>
      <c r="F588" s="8">
        <v>3.0</v>
      </c>
      <c r="H588" s="8">
        <v>100.0</v>
      </c>
      <c r="I588" s="8">
        <v>300.0</v>
      </c>
      <c r="J588" s="8">
        <v>6000.0</v>
      </c>
      <c r="K588" s="8">
        <v>6000.0</v>
      </c>
      <c r="L588" s="15">
        <v>46134.0</v>
      </c>
      <c r="M588" s="15">
        <v>46164.0</v>
      </c>
      <c r="N588" s="8">
        <v>0.0</v>
      </c>
      <c r="O588" s="8">
        <v>-1098.0</v>
      </c>
      <c r="P588" s="8">
        <v>1128.0</v>
      </c>
      <c r="R588" s="8" t="s">
        <v>2106</v>
      </c>
      <c r="T588" s="8">
        <v>167.0</v>
      </c>
    </row>
    <row r="589" ht="22.5" customHeight="1">
      <c r="B589" s="9" t="s">
        <v>272</v>
      </c>
      <c r="C589" s="8" t="s">
        <v>136</v>
      </c>
      <c r="D589" s="8" t="s">
        <v>1873</v>
      </c>
      <c r="E589" s="9" t="s">
        <v>29</v>
      </c>
      <c r="F589" s="8">
        <v>3.0</v>
      </c>
      <c r="H589" s="8">
        <v>130.0</v>
      </c>
      <c r="I589" s="8">
        <v>390.0</v>
      </c>
      <c r="J589" s="8">
        <v>7800.0</v>
      </c>
      <c r="K589" s="8">
        <v>0.0</v>
      </c>
      <c r="L589" s="15">
        <v>46128.0</v>
      </c>
      <c r="M589" s="15">
        <v>46158.0</v>
      </c>
      <c r="N589" s="8">
        <v>1.0</v>
      </c>
      <c r="O589" s="8">
        <v>-1104.0</v>
      </c>
      <c r="P589" s="8">
        <v>1134.0</v>
      </c>
      <c r="R589" s="8" t="s">
        <v>2107</v>
      </c>
      <c r="T589" s="8">
        <v>168.0</v>
      </c>
    </row>
    <row r="590" ht="22.5" customHeight="1">
      <c r="B590" s="9" t="s">
        <v>314</v>
      </c>
      <c r="C590" s="8" t="s">
        <v>794</v>
      </c>
      <c r="D590" s="8" t="s">
        <v>2108</v>
      </c>
      <c r="E590" s="9" t="s">
        <v>29</v>
      </c>
      <c r="F590" s="8">
        <v>4.0</v>
      </c>
      <c r="H590" s="8">
        <v>100.0</v>
      </c>
      <c r="I590" s="8">
        <v>400.0</v>
      </c>
      <c r="L590" s="15">
        <v>46128.0</v>
      </c>
      <c r="M590" s="15">
        <v>46158.0</v>
      </c>
      <c r="O590" s="8">
        <v>-1104.0</v>
      </c>
      <c r="P590" s="8">
        <v>1134.0</v>
      </c>
      <c r="Q590" s="17">
        <v>46255.0</v>
      </c>
      <c r="R590" s="8" t="s">
        <v>2109</v>
      </c>
      <c r="T590" s="8">
        <v>169.0</v>
      </c>
    </row>
    <row r="591" ht="22.5" customHeight="1">
      <c r="B591" s="9" t="s">
        <v>320</v>
      </c>
      <c r="C591" s="8" t="s">
        <v>136</v>
      </c>
      <c r="D591" s="8" t="s">
        <v>1879</v>
      </c>
      <c r="E591" s="9" t="s">
        <v>38</v>
      </c>
      <c r="F591" s="8">
        <v>3.0</v>
      </c>
      <c r="H591" s="8">
        <v>1500.0</v>
      </c>
      <c r="I591" s="8">
        <v>4500.0</v>
      </c>
      <c r="J591" s="8">
        <v>4500.0</v>
      </c>
      <c r="K591" s="8">
        <v>0.0</v>
      </c>
      <c r="L591" s="15">
        <v>46120.0</v>
      </c>
      <c r="M591" s="15">
        <v>46150.0</v>
      </c>
      <c r="N591" s="8">
        <v>1.0</v>
      </c>
      <c r="O591" s="8">
        <v>-1112.0</v>
      </c>
      <c r="P591" s="8">
        <v>1142.0</v>
      </c>
      <c r="R591" s="8" t="s">
        <v>2110</v>
      </c>
      <c r="T591" s="8">
        <v>170.0</v>
      </c>
    </row>
    <row r="592" ht="22.5" customHeight="1">
      <c r="A592" s="8" t="s">
        <v>2111</v>
      </c>
      <c r="B592" s="9" t="s">
        <v>302</v>
      </c>
      <c r="C592" s="8" t="s">
        <v>136</v>
      </c>
      <c r="D592" s="8" t="s">
        <v>1485</v>
      </c>
      <c r="E592" s="9" t="s">
        <v>29</v>
      </c>
      <c r="F592" s="8">
        <v>3.0</v>
      </c>
      <c r="H592" s="8">
        <v>100.0</v>
      </c>
      <c r="I592" s="8">
        <v>300.0</v>
      </c>
      <c r="J592" s="8">
        <v>6000.0</v>
      </c>
      <c r="K592" s="8">
        <v>0.0</v>
      </c>
      <c r="L592" s="15">
        <v>46113.0</v>
      </c>
      <c r="M592" s="15">
        <v>46143.0</v>
      </c>
      <c r="N592" s="8">
        <v>1.0</v>
      </c>
      <c r="O592" s="8">
        <v>-1119.0</v>
      </c>
      <c r="P592" s="8">
        <v>1149.0</v>
      </c>
      <c r="R592" s="8" t="s">
        <v>2112</v>
      </c>
      <c r="T592" s="8">
        <v>171.0</v>
      </c>
    </row>
    <row r="593" ht="22.5" customHeight="1">
      <c r="B593" s="9" t="s">
        <v>230</v>
      </c>
      <c r="C593" s="8" t="s">
        <v>136</v>
      </c>
      <c r="D593" s="8" t="s">
        <v>1851</v>
      </c>
      <c r="E593" s="9" t="s">
        <v>29</v>
      </c>
      <c r="F593" s="8">
        <v>6.0</v>
      </c>
      <c r="H593" s="8">
        <v>120.0</v>
      </c>
      <c r="I593" s="8">
        <v>600.0</v>
      </c>
      <c r="J593" s="8">
        <v>12000.0</v>
      </c>
      <c r="K593" s="8">
        <v>0.0</v>
      </c>
      <c r="L593" s="15">
        <v>46121.0</v>
      </c>
      <c r="M593" s="15">
        <v>46151.0</v>
      </c>
      <c r="N593" s="8">
        <v>1.0</v>
      </c>
      <c r="O593" s="8">
        <v>-1111.0</v>
      </c>
      <c r="P593" s="8">
        <v>1141.0</v>
      </c>
      <c r="R593" s="8" t="s">
        <v>2113</v>
      </c>
      <c r="T593" s="8">
        <v>172.0</v>
      </c>
    </row>
    <row r="594" ht="22.5" customHeight="1">
      <c r="B594" s="9" t="s">
        <v>311</v>
      </c>
      <c r="C594" s="8" t="s">
        <v>136</v>
      </c>
      <c r="D594" s="8" t="s">
        <v>1851</v>
      </c>
      <c r="E594" s="9" t="s">
        <v>29</v>
      </c>
      <c r="F594" s="8">
        <v>3.0</v>
      </c>
      <c r="H594" s="8">
        <v>100.0</v>
      </c>
      <c r="I594" s="8">
        <v>300.0</v>
      </c>
      <c r="J594" s="8">
        <v>6000.0</v>
      </c>
      <c r="K594" s="8">
        <v>0.0</v>
      </c>
      <c r="L594" s="15">
        <v>46128.0</v>
      </c>
      <c r="M594" s="15">
        <v>46158.0</v>
      </c>
      <c r="N594" s="8">
        <v>1.0</v>
      </c>
      <c r="O594" s="8">
        <v>-1104.0</v>
      </c>
      <c r="P594" s="8">
        <v>1134.0</v>
      </c>
      <c r="R594" s="8" t="s">
        <v>2114</v>
      </c>
      <c r="T594" s="8">
        <v>173.0</v>
      </c>
    </row>
    <row r="595" ht="22.5" customHeight="1">
      <c r="A595" s="8">
        <v>1.0</v>
      </c>
      <c r="B595" s="9" t="s">
        <v>142</v>
      </c>
      <c r="C595" s="8" t="s">
        <v>136</v>
      </c>
      <c r="D595" s="8" t="s">
        <v>2108</v>
      </c>
      <c r="E595" s="9" t="s">
        <v>29</v>
      </c>
      <c r="F595" s="8">
        <v>4.0</v>
      </c>
      <c r="H595" s="8">
        <v>120.0</v>
      </c>
      <c r="I595" s="8">
        <v>400.0</v>
      </c>
      <c r="J595" s="8">
        <v>8000.0</v>
      </c>
      <c r="K595" s="8">
        <v>0.0</v>
      </c>
      <c r="L595" s="15">
        <v>46114.0</v>
      </c>
      <c r="M595" s="15">
        <v>46144.0</v>
      </c>
      <c r="N595" s="8">
        <v>1.0</v>
      </c>
      <c r="O595" s="8">
        <v>-1118.0</v>
      </c>
      <c r="P595" s="8">
        <v>1148.0</v>
      </c>
      <c r="R595" s="8" t="s">
        <v>2115</v>
      </c>
      <c r="T595" s="8">
        <v>174.0</v>
      </c>
    </row>
    <row r="596" ht="22.5" customHeight="1">
      <c r="A596" s="8" t="s">
        <v>2116</v>
      </c>
      <c r="B596" s="9" t="s">
        <v>218</v>
      </c>
      <c r="C596" s="8" t="s">
        <v>136</v>
      </c>
      <c r="D596" s="8" t="s">
        <v>2073</v>
      </c>
      <c r="E596" s="8" t="s">
        <v>38</v>
      </c>
      <c r="H596" s="8">
        <v>1350.0</v>
      </c>
      <c r="I596" s="8">
        <v>2700.0</v>
      </c>
      <c r="J596" s="8">
        <v>2700.0</v>
      </c>
      <c r="K596" s="8">
        <v>0.0</v>
      </c>
      <c r="L596" s="15">
        <v>46098.0</v>
      </c>
      <c r="M596" s="15">
        <v>46129.0</v>
      </c>
      <c r="N596" s="8">
        <v>1.0</v>
      </c>
      <c r="O596" s="8">
        <v>-1133.0</v>
      </c>
      <c r="P596" s="8">
        <v>1163.0</v>
      </c>
      <c r="R596" s="8" t="s">
        <v>2117</v>
      </c>
      <c r="T596" s="8">
        <v>136.0</v>
      </c>
    </row>
    <row r="597" ht="22.5" customHeight="1">
      <c r="B597" s="9" t="s">
        <v>293</v>
      </c>
      <c r="C597" s="8" t="s">
        <v>136</v>
      </c>
      <c r="D597" s="8" t="s">
        <v>1873</v>
      </c>
      <c r="E597" s="9" t="s">
        <v>29</v>
      </c>
      <c r="H597" s="8">
        <v>100.0</v>
      </c>
      <c r="I597" s="8">
        <v>300.0</v>
      </c>
      <c r="J597" s="8">
        <v>6000.0</v>
      </c>
      <c r="K597" s="8">
        <v>0.0</v>
      </c>
      <c r="L597" s="15">
        <v>46090.0</v>
      </c>
      <c r="M597" s="15">
        <v>46121.0</v>
      </c>
      <c r="N597" s="8">
        <v>1.0</v>
      </c>
      <c r="O597" s="8">
        <v>-1141.0</v>
      </c>
      <c r="P597" s="8">
        <v>1171.0</v>
      </c>
      <c r="R597" s="8" t="s">
        <v>2118</v>
      </c>
      <c r="T597" s="8">
        <v>137.0</v>
      </c>
    </row>
    <row r="598" ht="22.5" customHeight="1">
      <c r="A598" s="8">
        <v>1.0</v>
      </c>
      <c r="B598" s="9" t="s">
        <v>187</v>
      </c>
      <c r="D598" s="8" t="s">
        <v>2119</v>
      </c>
      <c r="E598" s="8" t="s">
        <v>188</v>
      </c>
      <c r="H598" s="8" t="s">
        <v>2120</v>
      </c>
      <c r="I598" s="8">
        <v>2000.0</v>
      </c>
      <c r="L598" s="15">
        <v>46091.0</v>
      </c>
      <c r="M598" s="15">
        <v>46122.0</v>
      </c>
      <c r="O598" s="8">
        <v>-1140.0</v>
      </c>
      <c r="P598" s="8">
        <v>1170.0</v>
      </c>
      <c r="Q598" s="17">
        <v>46255.0</v>
      </c>
      <c r="R598" s="8" t="s">
        <v>2121</v>
      </c>
      <c r="T598" s="8">
        <v>138.0</v>
      </c>
    </row>
    <row r="599" ht="22.5" customHeight="1">
      <c r="A599" s="8">
        <v>1.0</v>
      </c>
      <c r="B599" s="9" t="s">
        <v>269</v>
      </c>
      <c r="C599" s="8" t="s">
        <v>136</v>
      </c>
      <c r="D599" s="8" t="s">
        <v>1802</v>
      </c>
      <c r="E599" s="9" t="s">
        <v>29</v>
      </c>
      <c r="F599" s="8">
        <v>3.0</v>
      </c>
      <c r="H599" s="8">
        <v>250.0</v>
      </c>
      <c r="I599" s="8">
        <v>1000.0</v>
      </c>
      <c r="J599" s="8">
        <v>20000.0</v>
      </c>
      <c r="K599" s="8">
        <v>0.0</v>
      </c>
      <c r="L599" s="15">
        <v>46091.0</v>
      </c>
      <c r="M599" s="15">
        <v>46122.0</v>
      </c>
      <c r="N599" s="8">
        <v>1.0</v>
      </c>
      <c r="O599" s="8">
        <v>-1140.0</v>
      </c>
      <c r="P599" s="8">
        <v>1170.0</v>
      </c>
      <c r="R599" s="8" t="s">
        <v>2122</v>
      </c>
      <c r="T599" s="8">
        <v>139.0</v>
      </c>
    </row>
    <row r="600" ht="22.5" customHeight="1">
      <c r="B600" s="9" t="s">
        <v>305</v>
      </c>
      <c r="C600" s="8" t="s">
        <v>136</v>
      </c>
      <c r="D600" s="8" t="s">
        <v>2078</v>
      </c>
      <c r="E600" s="9" t="s">
        <v>38</v>
      </c>
      <c r="F600" s="8">
        <v>4.0</v>
      </c>
      <c r="H600" s="8">
        <v>2000.0</v>
      </c>
      <c r="I600" s="8">
        <v>8333.0</v>
      </c>
      <c r="J600" s="8">
        <v>8333.0</v>
      </c>
      <c r="K600" s="8">
        <v>0.0</v>
      </c>
      <c r="L600" s="15">
        <v>46089.0</v>
      </c>
      <c r="M600" s="15">
        <v>46120.0</v>
      </c>
      <c r="N600" s="8">
        <v>1.0</v>
      </c>
      <c r="O600" s="8">
        <v>-1142.0</v>
      </c>
      <c r="P600" s="8">
        <v>1172.0</v>
      </c>
      <c r="R600" s="8" t="s">
        <v>2123</v>
      </c>
      <c r="T600" s="8">
        <v>140.0</v>
      </c>
    </row>
    <row r="601" ht="22.5" customHeight="1">
      <c r="B601" s="9" t="s">
        <v>236</v>
      </c>
      <c r="C601" s="8" t="s">
        <v>136</v>
      </c>
      <c r="D601" s="8" t="s">
        <v>2124</v>
      </c>
      <c r="E601" s="9" t="s">
        <v>29</v>
      </c>
      <c r="F601" s="8">
        <v>5.0</v>
      </c>
      <c r="G601" s="8">
        <v>50.0</v>
      </c>
      <c r="H601" s="8">
        <v>100.0</v>
      </c>
      <c r="I601" s="8">
        <v>250.0</v>
      </c>
      <c r="J601" s="8">
        <v>5000.0</v>
      </c>
      <c r="K601" s="8">
        <v>0.0</v>
      </c>
      <c r="L601" s="15">
        <v>46097.0</v>
      </c>
      <c r="M601" s="15">
        <v>46128.0</v>
      </c>
      <c r="N601" s="8">
        <v>1.0</v>
      </c>
      <c r="O601" s="8">
        <v>-1134.0</v>
      </c>
      <c r="P601" s="8">
        <v>1164.0</v>
      </c>
      <c r="R601" s="8" t="s">
        <v>2125</v>
      </c>
      <c r="T601" s="8">
        <v>141.0</v>
      </c>
    </row>
    <row r="602" ht="22.5" customHeight="1">
      <c r="B602" s="9" t="s">
        <v>275</v>
      </c>
      <c r="C602" s="8" t="s">
        <v>794</v>
      </c>
      <c r="D602" s="8" t="s">
        <v>1563</v>
      </c>
      <c r="E602" s="9" t="s">
        <v>29</v>
      </c>
      <c r="F602" s="8">
        <v>1.0</v>
      </c>
      <c r="H602" s="8">
        <v>130.0</v>
      </c>
      <c r="I602" s="8">
        <v>130.0</v>
      </c>
      <c r="L602" s="15">
        <v>46084.0</v>
      </c>
      <c r="M602" s="15">
        <v>46115.0</v>
      </c>
      <c r="O602" s="8">
        <v>-1147.0</v>
      </c>
      <c r="P602" s="8">
        <v>1177.0</v>
      </c>
      <c r="R602" s="8" t="s">
        <v>2126</v>
      </c>
      <c r="T602" s="8">
        <v>142.0</v>
      </c>
    </row>
    <row r="603" ht="22.5" customHeight="1">
      <c r="B603" s="9" t="s">
        <v>233</v>
      </c>
      <c r="C603" s="8" t="s">
        <v>136</v>
      </c>
      <c r="D603" s="8" t="s">
        <v>2124</v>
      </c>
      <c r="E603" s="9" t="s">
        <v>29</v>
      </c>
      <c r="F603" s="8">
        <v>5.0</v>
      </c>
      <c r="H603" s="8">
        <v>100.0</v>
      </c>
      <c r="I603" s="8">
        <v>500.0</v>
      </c>
      <c r="J603" s="8">
        <v>10000.0</v>
      </c>
      <c r="K603" s="8">
        <v>0.0</v>
      </c>
      <c r="L603" s="15">
        <v>46090.0</v>
      </c>
      <c r="M603" s="15">
        <v>46121.0</v>
      </c>
      <c r="N603" s="8">
        <v>1.0</v>
      </c>
      <c r="O603" s="8">
        <v>-1141.0</v>
      </c>
      <c r="P603" s="8">
        <v>1171.0</v>
      </c>
      <c r="R603" s="8" t="s">
        <v>2127</v>
      </c>
      <c r="T603" s="8">
        <v>143.0</v>
      </c>
    </row>
    <row r="604" ht="22.5" customHeight="1">
      <c r="A604" s="8" t="s">
        <v>2128</v>
      </c>
      <c r="B604" s="9" t="s">
        <v>308</v>
      </c>
      <c r="C604" s="8" t="s">
        <v>136</v>
      </c>
      <c r="D604" s="8" t="s">
        <v>1744</v>
      </c>
      <c r="E604" s="9" t="s">
        <v>29</v>
      </c>
      <c r="H604" s="8">
        <v>250.0</v>
      </c>
      <c r="I604" s="8">
        <v>250.0</v>
      </c>
      <c r="J604" s="8">
        <v>5000.0</v>
      </c>
      <c r="K604" s="8">
        <v>0.0</v>
      </c>
      <c r="L604" s="15">
        <v>46093.0</v>
      </c>
      <c r="M604" s="15">
        <v>46124.0</v>
      </c>
      <c r="N604" s="8">
        <v>1.0</v>
      </c>
      <c r="O604" s="8">
        <v>-1138.0</v>
      </c>
      <c r="P604" s="8">
        <v>1168.0</v>
      </c>
      <c r="R604" s="8" t="s">
        <v>2129</v>
      </c>
      <c r="T604" s="8">
        <v>144.0</v>
      </c>
    </row>
    <row r="605" ht="22.5" customHeight="1">
      <c r="B605" s="9" t="s">
        <v>242</v>
      </c>
      <c r="C605" s="8" t="s">
        <v>136</v>
      </c>
      <c r="D605" s="8" t="s">
        <v>2124</v>
      </c>
      <c r="E605" s="9" t="s">
        <v>29</v>
      </c>
      <c r="F605" s="8">
        <v>5.0</v>
      </c>
      <c r="H605" s="8">
        <v>100.0</v>
      </c>
      <c r="I605" s="8">
        <v>500.0</v>
      </c>
      <c r="J605" s="8">
        <v>10000.0</v>
      </c>
      <c r="K605" s="8">
        <v>0.0</v>
      </c>
      <c r="L605" s="15">
        <v>46105.0</v>
      </c>
      <c r="M605" s="15">
        <v>46136.0</v>
      </c>
      <c r="N605" s="8">
        <v>1.0</v>
      </c>
      <c r="O605" s="8">
        <v>-1126.0</v>
      </c>
      <c r="P605" s="8">
        <v>1156.0</v>
      </c>
      <c r="Q605" s="17">
        <v>46255.0</v>
      </c>
      <c r="R605" s="8" t="s">
        <v>2130</v>
      </c>
      <c r="T605" s="8">
        <v>145.0</v>
      </c>
    </row>
    <row r="606" ht="22.5" customHeight="1">
      <c r="A606" s="8">
        <v>1.0</v>
      </c>
      <c r="B606" s="9" t="s">
        <v>299</v>
      </c>
      <c r="C606" s="8" t="s">
        <v>136</v>
      </c>
      <c r="D606" s="8" t="s">
        <v>2103</v>
      </c>
      <c r="E606" s="9" t="s">
        <v>29</v>
      </c>
      <c r="F606" s="8">
        <v>5.0</v>
      </c>
      <c r="H606" s="8">
        <v>250.0</v>
      </c>
      <c r="I606" s="8">
        <v>500.0</v>
      </c>
      <c r="J606" s="8">
        <v>10000.0</v>
      </c>
      <c r="K606" s="8">
        <v>0.0</v>
      </c>
      <c r="L606" s="15">
        <v>46085.0</v>
      </c>
      <c r="M606" s="15">
        <v>46116.0</v>
      </c>
      <c r="N606" s="8">
        <v>1.0</v>
      </c>
      <c r="O606" s="8">
        <v>-1146.0</v>
      </c>
      <c r="P606" s="8">
        <v>1176.0</v>
      </c>
      <c r="R606" s="8" t="s">
        <v>2131</v>
      </c>
      <c r="T606" s="8">
        <v>146.0</v>
      </c>
    </row>
    <row r="607" ht="22.5" customHeight="1">
      <c r="B607" s="9" t="s">
        <v>296</v>
      </c>
      <c r="C607" s="8" t="s">
        <v>136</v>
      </c>
      <c r="D607" s="8" t="s">
        <v>2124</v>
      </c>
      <c r="E607" s="9" t="s">
        <v>29</v>
      </c>
      <c r="F607" s="8">
        <v>5.0</v>
      </c>
      <c r="H607" s="8">
        <v>100.0</v>
      </c>
      <c r="I607" s="8">
        <v>500.0</v>
      </c>
      <c r="J607" s="8">
        <v>10000.0</v>
      </c>
      <c r="K607" s="8">
        <v>0.0</v>
      </c>
      <c r="L607" s="15">
        <v>46090.0</v>
      </c>
      <c r="M607" s="15">
        <v>46121.0</v>
      </c>
      <c r="N607" s="8">
        <v>1.0</v>
      </c>
      <c r="O607" s="8">
        <v>-1141.0</v>
      </c>
      <c r="P607" s="8">
        <v>1171.0</v>
      </c>
      <c r="R607" s="8" t="s">
        <v>2132</v>
      </c>
      <c r="T607" s="8">
        <v>147.0</v>
      </c>
    </row>
    <row r="608" ht="22.5" customHeight="1">
      <c r="B608" s="9" t="s">
        <v>239</v>
      </c>
      <c r="C608" s="8" t="s">
        <v>136</v>
      </c>
      <c r="D608" s="8" t="s">
        <v>2124</v>
      </c>
      <c r="E608" s="9" t="s">
        <v>29</v>
      </c>
      <c r="F608" s="8">
        <v>5.0</v>
      </c>
      <c r="H608" s="8">
        <v>100.0</v>
      </c>
      <c r="I608" s="8">
        <v>500.0</v>
      </c>
      <c r="J608" s="8">
        <v>10000.0</v>
      </c>
      <c r="K608" s="8">
        <v>0.0</v>
      </c>
      <c r="L608" s="15">
        <v>46106.0</v>
      </c>
      <c r="M608" s="15">
        <v>46137.0</v>
      </c>
      <c r="N608" s="8">
        <v>1.0</v>
      </c>
      <c r="O608" s="8">
        <v>-1125.0</v>
      </c>
      <c r="P608" s="8">
        <v>1155.0</v>
      </c>
      <c r="Q608" s="17">
        <v>46255.0</v>
      </c>
      <c r="R608" s="8" t="s">
        <v>2133</v>
      </c>
      <c r="T608" s="8">
        <v>148.0</v>
      </c>
    </row>
    <row r="609" ht="22.5" customHeight="1">
      <c r="A609" s="8">
        <v>1.0</v>
      </c>
      <c r="B609" s="9" t="s">
        <v>198</v>
      </c>
      <c r="C609" s="8" t="s">
        <v>136</v>
      </c>
      <c r="D609" s="8" t="s">
        <v>1873</v>
      </c>
      <c r="E609" s="9" t="s">
        <v>29</v>
      </c>
      <c r="F609" s="8">
        <v>3.0</v>
      </c>
      <c r="H609" s="8">
        <v>100.0</v>
      </c>
      <c r="I609" s="8">
        <v>300.0</v>
      </c>
      <c r="J609" s="8">
        <v>6000.0</v>
      </c>
      <c r="K609" s="8">
        <v>6000.0</v>
      </c>
      <c r="L609" s="15">
        <v>46103.0</v>
      </c>
      <c r="M609" s="15">
        <v>46134.0</v>
      </c>
      <c r="N609" s="8">
        <v>0.0</v>
      </c>
      <c r="O609" s="8">
        <v>-1128.0</v>
      </c>
      <c r="P609" s="8">
        <v>1158.0</v>
      </c>
      <c r="R609" s="8" t="s">
        <v>2134</v>
      </c>
      <c r="T609" s="8">
        <v>149.0</v>
      </c>
    </row>
    <row r="610" ht="22.5" customHeight="1">
      <c r="B610" s="9" t="s">
        <v>254</v>
      </c>
      <c r="C610" s="8" t="s">
        <v>136</v>
      </c>
      <c r="D610" s="8" t="s">
        <v>1873</v>
      </c>
      <c r="E610" s="9" t="s">
        <v>29</v>
      </c>
      <c r="F610" s="8">
        <v>3.0</v>
      </c>
      <c r="H610" s="8">
        <v>100.0</v>
      </c>
      <c r="I610" s="8">
        <v>300.0</v>
      </c>
      <c r="J610" s="8">
        <v>6000.0</v>
      </c>
      <c r="K610" s="8">
        <v>0.0</v>
      </c>
      <c r="L610" s="15">
        <v>46085.0</v>
      </c>
      <c r="M610" s="15">
        <v>46116.0</v>
      </c>
      <c r="N610" s="8">
        <v>1.0</v>
      </c>
      <c r="O610" s="8">
        <v>-1146.0</v>
      </c>
      <c r="P610" s="8">
        <v>1176.0</v>
      </c>
      <c r="R610" s="8" t="s">
        <v>2135</v>
      </c>
      <c r="T610" s="8">
        <v>150.0</v>
      </c>
    </row>
    <row r="611" ht="22.5" customHeight="1">
      <c r="B611" s="9" t="s">
        <v>272</v>
      </c>
      <c r="C611" s="8" t="s">
        <v>136</v>
      </c>
      <c r="D611" s="8" t="s">
        <v>1851</v>
      </c>
      <c r="E611" s="9" t="s">
        <v>29</v>
      </c>
      <c r="F611" s="8">
        <v>5.0</v>
      </c>
      <c r="H611" s="8">
        <v>130.0</v>
      </c>
      <c r="I611" s="8">
        <v>390.0</v>
      </c>
      <c r="J611" s="8">
        <v>7800.0</v>
      </c>
      <c r="K611" s="8">
        <v>0.0</v>
      </c>
      <c r="L611" s="15">
        <v>46097.0</v>
      </c>
      <c r="M611" s="15">
        <v>46128.0</v>
      </c>
      <c r="N611" s="8">
        <v>1.0</v>
      </c>
      <c r="O611" s="8">
        <v>-1134.0</v>
      </c>
      <c r="P611" s="8">
        <v>1164.0</v>
      </c>
      <c r="R611" s="8" t="s">
        <v>2136</v>
      </c>
      <c r="T611" s="8">
        <v>151.0</v>
      </c>
    </row>
    <row r="612" ht="22.5" customHeight="1">
      <c r="B612" s="9" t="s">
        <v>314</v>
      </c>
      <c r="C612" s="8" t="s">
        <v>136</v>
      </c>
      <c r="D612" s="8" t="s">
        <v>2137</v>
      </c>
      <c r="E612" s="9" t="s">
        <v>29</v>
      </c>
      <c r="F612" s="8">
        <v>4.0</v>
      </c>
      <c r="H612" s="8">
        <v>100.0</v>
      </c>
      <c r="I612" s="8">
        <v>400.0</v>
      </c>
      <c r="J612" s="8">
        <v>8000.0</v>
      </c>
      <c r="K612" s="8" t="s">
        <v>2000</v>
      </c>
      <c r="L612" s="15">
        <v>46105.0</v>
      </c>
      <c r="M612" s="15">
        <v>46136.0</v>
      </c>
      <c r="N612" s="8">
        <v>0.0</v>
      </c>
      <c r="O612" s="8">
        <v>-1126.0</v>
      </c>
      <c r="P612" s="8">
        <v>1156.0</v>
      </c>
      <c r="R612" s="8" t="s">
        <v>2138</v>
      </c>
      <c r="T612" s="8">
        <v>152.0</v>
      </c>
    </row>
    <row r="613" ht="22.5" customHeight="1">
      <c r="B613" s="9" t="s">
        <v>302</v>
      </c>
      <c r="C613" s="8" t="s">
        <v>136</v>
      </c>
      <c r="D613" s="8" t="s">
        <v>1485</v>
      </c>
      <c r="E613" s="9" t="s">
        <v>29</v>
      </c>
      <c r="F613" s="8">
        <v>3.0</v>
      </c>
      <c r="H613" s="8">
        <v>100.0</v>
      </c>
      <c r="I613" s="8">
        <v>300.0</v>
      </c>
      <c r="J613" s="8">
        <v>6000.0</v>
      </c>
      <c r="K613" s="8">
        <v>0.0</v>
      </c>
      <c r="L613" s="15">
        <v>46082.0</v>
      </c>
      <c r="M613" s="15">
        <v>46113.0</v>
      </c>
      <c r="N613" s="8">
        <v>1.0</v>
      </c>
      <c r="O613" s="8">
        <v>-1149.0</v>
      </c>
      <c r="P613" s="8">
        <v>1179.0</v>
      </c>
      <c r="R613" s="8" t="s">
        <v>2139</v>
      </c>
      <c r="T613" s="8">
        <v>153.0</v>
      </c>
    </row>
    <row r="614" ht="22.5" customHeight="1">
      <c r="A614" s="8" t="s">
        <v>2140</v>
      </c>
      <c r="B614" s="9" t="s">
        <v>230</v>
      </c>
      <c r="C614" s="8" t="s">
        <v>136</v>
      </c>
      <c r="D614" s="8" t="s">
        <v>2124</v>
      </c>
      <c r="E614" s="9" t="s">
        <v>29</v>
      </c>
      <c r="F614" s="8">
        <v>5.0</v>
      </c>
      <c r="H614" s="8">
        <v>120.0</v>
      </c>
      <c r="I614" s="8">
        <v>600.0</v>
      </c>
      <c r="J614" s="8">
        <v>12000.0</v>
      </c>
      <c r="K614" s="8">
        <v>0.0</v>
      </c>
      <c r="L614" s="15">
        <v>46090.0</v>
      </c>
      <c r="M614" s="15">
        <v>46121.0</v>
      </c>
      <c r="N614" s="8">
        <v>1.0</v>
      </c>
      <c r="O614" s="8">
        <v>-1141.0</v>
      </c>
      <c r="P614" s="8">
        <v>1171.0</v>
      </c>
      <c r="R614" s="8" t="s">
        <v>2141</v>
      </c>
      <c r="T614" s="8">
        <v>154.0</v>
      </c>
    </row>
    <row r="615" ht="22.5" customHeight="1">
      <c r="B615" s="9" t="s">
        <v>311</v>
      </c>
      <c r="C615" s="8" t="s">
        <v>136</v>
      </c>
      <c r="D615" s="8" t="s">
        <v>1851</v>
      </c>
      <c r="E615" s="9" t="s">
        <v>29</v>
      </c>
      <c r="F615" s="8">
        <v>5.0</v>
      </c>
      <c r="H615" s="8">
        <v>100.0</v>
      </c>
      <c r="I615" s="8">
        <v>500.0</v>
      </c>
      <c r="J615" s="8">
        <v>10000.0</v>
      </c>
      <c r="K615" s="8">
        <v>0.0</v>
      </c>
      <c r="L615" s="15">
        <v>46097.0</v>
      </c>
      <c r="M615" s="15">
        <v>46128.0</v>
      </c>
      <c r="N615" s="8">
        <v>1.0</v>
      </c>
      <c r="O615" s="8">
        <v>-1134.0</v>
      </c>
      <c r="P615" s="8">
        <v>1164.0</v>
      </c>
      <c r="R615" s="8" t="s">
        <v>2142</v>
      </c>
      <c r="T615" s="8">
        <v>155.0</v>
      </c>
    </row>
    <row r="616" ht="22.5" customHeight="1">
      <c r="A616" s="8">
        <v>1.0</v>
      </c>
      <c r="B616" s="9" t="s">
        <v>142</v>
      </c>
      <c r="C616" s="8" t="s">
        <v>136</v>
      </c>
      <c r="D616" s="8" t="s">
        <v>2055</v>
      </c>
      <c r="E616" s="9" t="s">
        <v>29</v>
      </c>
      <c r="F616" s="8">
        <v>6.0</v>
      </c>
      <c r="H616" s="8">
        <v>120.0</v>
      </c>
      <c r="I616" s="8">
        <v>400.0</v>
      </c>
      <c r="J616" s="8">
        <v>8000.0</v>
      </c>
      <c r="K616" s="8">
        <v>0.0</v>
      </c>
      <c r="L616" s="15">
        <v>46083.0</v>
      </c>
      <c r="M616" s="15">
        <v>46114.0</v>
      </c>
      <c r="N616" s="8">
        <v>1.0</v>
      </c>
      <c r="O616" s="8">
        <v>-1148.0</v>
      </c>
      <c r="P616" s="8">
        <v>1178.0</v>
      </c>
      <c r="R616" s="8" t="s">
        <v>2143</v>
      </c>
      <c r="T616" s="8">
        <v>156.0</v>
      </c>
    </row>
    <row r="617" ht="22.5" customHeight="1">
      <c r="A617" s="8">
        <v>1.0</v>
      </c>
      <c r="B617" s="9" t="s">
        <v>218</v>
      </c>
      <c r="C617" s="8" t="s">
        <v>794</v>
      </c>
      <c r="D617" s="8" t="s">
        <v>2073</v>
      </c>
      <c r="E617" s="8" t="s">
        <v>38</v>
      </c>
      <c r="F617" s="8">
        <v>5.0</v>
      </c>
      <c r="H617" s="8">
        <v>1350.0</v>
      </c>
      <c r="I617" s="8">
        <v>6750.0</v>
      </c>
      <c r="L617" s="15">
        <v>46070.0</v>
      </c>
      <c r="M617" s="15">
        <v>46098.0</v>
      </c>
      <c r="O617" s="8">
        <v>-1164.0</v>
      </c>
      <c r="P617" s="8">
        <v>1194.0</v>
      </c>
      <c r="R617" s="8" t="s">
        <v>2144</v>
      </c>
      <c r="T617" s="8">
        <v>117.0</v>
      </c>
    </row>
    <row r="618" ht="22.5" customHeight="1">
      <c r="B618" s="9" t="s">
        <v>293</v>
      </c>
      <c r="C618" s="8" t="s">
        <v>136</v>
      </c>
      <c r="D618" s="8" t="s">
        <v>1851</v>
      </c>
      <c r="E618" s="9" t="s">
        <v>29</v>
      </c>
      <c r="F618" s="8">
        <v>3.0</v>
      </c>
      <c r="H618" s="8">
        <v>100.0</v>
      </c>
      <c r="I618" s="8">
        <v>300.0</v>
      </c>
      <c r="J618" s="8">
        <v>6000.0</v>
      </c>
      <c r="K618" s="8">
        <v>0.0</v>
      </c>
      <c r="L618" s="15">
        <v>46062.0</v>
      </c>
      <c r="M618" s="15">
        <v>46090.0</v>
      </c>
      <c r="N618" s="8">
        <v>1.0</v>
      </c>
      <c r="O618" s="8">
        <v>-1172.0</v>
      </c>
      <c r="P618" s="8">
        <v>1202.0</v>
      </c>
      <c r="R618" s="8" t="s">
        <v>2145</v>
      </c>
      <c r="T618" s="8">
        <v>118.0</v>
      </c>
    </row>
    <row r="619" ht="22.5" customHeight="1">
      <c r="A619" s="8" t="s">
        <v>1864</v>
      </c>
      <c r="B619" s="9" t="s">
        <v>187</v>
      </c>
      <c r="C619" s="8" t="s">
        <v>794</v>
      </c>
      <c r="D619" s="8" t="s">
        <v>2119</v>
      </c>
      <c r="E619" s="9" t="s">
        <v>188</v>
      </c>
      <c r="F619" s="8">
        <v>2.0</v>
      </c>
      <c r="H619" s="8" t="s">
        <v>2120</v>
      </c>
      <c r="I619" s="8">
        <v>2000.0</v>
      </c>
      <c r="L619" s="15">
        <v>46063.0</v>
      </c>
      <c r="M619" s="15">
        <v>46091.0</v>
      </c>
      <c r="O619" s="8">
        <v>-1171.0</v>
      </c>
      <c r="P619" s="8">
        <v>1201.0</v>
      </c>
      <c r="Q619" s="17">
        <v>46255.0</v>
      </c>
      <c r="R619" s="8" t="s">
        <v>2146</v>
      </c>
      <c r="T619" s="8">
        <v>119.0</v>
      </c>
    </row>
    <row r="620" ht="22.5" customHeight="1">
      <c r="B620" s="9" t="s">
        <v>269</v>
      </c>
      <c r="C620" s="8" t="s">
        <v>136</v>
      </c>
      <c r="D620" s="8" t="s">
        <v>1802</v>
      </c>
      <c r="E620" s="9" t="s">
        <v>29</v>
      </c>
      <c r="F620" s="8">
        <v>1.0</v>
      </c>
      <c r="H620" s="8">
        <v>250.0</v>
      </c>
      <c r="I620" s="8">
        <v>250.0</v>
      </c>
      <c r="J620" s="8">
        <v>5000.0</v>
      </c>
      <c r="K620" s="8">
        <v>0.0</v>
      </c>
      <c r="L620" s="15">
        <v>46063.0</v>
      </c>
      <c r="M620" s="15">
        <v>46091.0</v>
      </c>
      <c r="N620" s="8">
        <v>1.0</v>
      </c>
      <c r="O620" s="8">
        <v>-1171.0</v>
      </c>
      <c r="P620" s="8">
        <v>1201.0</v>
      </c>
      <c r="R620" s="8" t="s">
        <v>2147</v>
      </c>
      <c r="T620" s="8">
        <v>120.0</v>
      </c>
    </row>
    <row r="621" ht="22.5" customHeight="1">
      <c r="A621" s="8">
        <v>1.0</v>
      </c>
      <c r="B621" s="9" t="s">
        <v>236</v>
      </c>
      <c r="C621" s="8" t="s">
        <v>136</v>
      </c>
      <c r="D621" s="8" t="s">
        <v>1851</v>
      </c>
      <c r="E621" s="9" t="s">
        <v>29</v>
      </c>
      <c r="F621" s="8">
        <v>5.0</v>
      </c>
      <c r="H621" s="8">
        <v>100.0</v>
      </c>
      <c r="I621" s="8">
        <v>250.0</v>
      </c>
      <c r="J621" s="8">
        <v>5000.0</v>
      </c>
      <c r="K621" s="8">
        <v>0.0</v>
      </c>
      <c r="L621" s="15">
        <v>46069.0</v>
      </c>
      <c r="M621" s="15">
        <v>46097.0</v>
      </c>
      <c r="N621" s="8">
        <v>1.0</v>
      </c>
      <c r="O621" s="8">
        <v>-1165.0</v>
      </c>
      <c r="P621" s="8">
        <v>1195.0</v>
      </c>
      <c r="R621" s="8" t="s">
        <v>2148</v>
      </c>
      <c r="T621" s="8">
        <v>121.0</v>
      </c>
    </row>
    <row r="622" ht="22.5" customHeight="1">
      <c r="B622" s="9" t="s">
        <v>275</v>
      </c>
      <c r="C622" s="8" t="s">
        <v>136</v>
      </c>
      <c r="D622" s="8" t="s">
        <v>1563</v>
      </c>
      <c r="E622" s="9" t="s">
        <v>29</v>
      </c>
      <c r="F622" s="8">
        <v>1.0</v>
      </c>
      <c r="H622" s="8">
        <v>130.0</v>
      </c>
      <c r="I622" s="8">
        <v>130.0</v>
      </c>
      <c r="J622" s="8">
        <v>2600.0</v>
      </c>
      <c r="K622" s="8">
        <v>0.0</v>
      </c>
      <c r="L622" s="15">
        <v>46056.0</v>
      </c>
      <c r="M622" s="15">
        <v>46084.0</v>
      </c>
      <c r="N622" s="8">
        <v>1.0</v>
      </c>
      <c r="O622" s="8">
        <v>-1178.0</v>
      </c>
      <c r="P622" s="8">
        <v>1208.0</v>
      </c>
      <c r="R622" s="8" t="s">
        <v>2149</v>
      </c>
      <c r="T622" s="8">
        <v>122.0</v>
      </c>
    </row>
    <row r="623" ht="22.5" customHeight="1">
      <c r="B623" s="9" t="s">
        <v>266</v>
      </c>
      <c r="C623" s="8" t="s">
        <v>136</v>
      </c>
      <c r="D623" s="8" t="s">
        <v>1563</v>
      </c>
      <c r="E623" s="9" t="s">
        <v>29</v>
      </c>
      <c r="F623" s="8">
        <v>1.0</v>
      </c>
      <c r="H623" s="8">
        <v>150.0</v>
      </c>
      <c r="I623" s="8">
        <v>75.0</v>
      </c>
      <c r="J623" s="8">
        <v>1500.0</v>
      </c>
      <c r="K623" s="8">
        <v>0.0</v>
      </c>
      <c r="L623" s="15">
        <v>46056.0</v>
      </c>
      <c r="M623" s="15">
        <v>46084.0</v>
      </c>
      <c r="N623" s="8">
        <v>1.0</v>
      </c>
      <c r="O623" s="8">
        <v>-1178.0</v>
      </c>
      <c r="P623" s="8">
        <v>1208.0</v>
      </c>
      <c r="R623" s="8" t="s">
        <v>2150</v>
      </c>
      <c r="T623" s="8">
        <v>123.0</v>
      </c>
    </row>
    <row r="624" ht="22.5" customHeight="1">
      <c r="A624" s="8">
        <v>1.0</v>
      </c>
      <c r="B624" s="9" t="s">
        <v>233</v>
      </c>
      <c r="C624" s="8" t="s">
        <v>136</v>
      </c>
      <c r="D624" s="8" t="s">
        <v>1851</v>
      </c>
      <c r="E624" s="9" t="s">
        <v>29</v>
      </c>
      <c r="F624" s="8">
        <v>5.0</v>
      </c>
      <c r="H624" s="8">
        <v>100.0</v>
      </c>
      <c r="I624" s="8">
        <v>500.0</v>
      </c>
      <c r="J624" s="8">
        <v>10000.0</v>
      </c>
      <c r="K624" s="8">
        <v>0.0</v>
      </c>
      <c r="L624" s="15">
        <v>46062.0</v>
      </c>
      <c r="M624" s="15">
        <v>46090.0</v>
      </c>
      <c r="N624" s="8">
        <v>1.0</v>
      </c>
      <c r="O624" s="8">
        <v>-1172.0</v>
      </c>
      <c r="P624" s="8">
        <v>1202.0</v>
      </c>
      <c r="R624" s="8" t="s">
        <v>2151</v>
      </c>
      <c r="T624" s="8">
        <v>124.0</v>
      </c>
    </row>
    <row r="625" ht="22.5" customHeight="1">
      <c r="A625" s="8">
        <v>1.0</v>
      </c>
      <c r="B625" s="9" t="s">
        <v>242</v>
      </c>
      <c r="C625" s="8" t="s">
        <v>136</v>
      </c>
      <c r="D625" s="8" t="s">
        <v>1851</v>
      </c>
      <c r="E625" s="9" t="s">
        <v>29</v>
      </c>
      <c r="F625" s="8">
        <v>5.0</v>
      </c>
      <c r="H625" s="8">
        <v>100.0</v>
      </c>
      <c r="I625" s="8">
        <v>500.0</v>
      </c>
      <c r="J625" s="8">
        <v>10000.0</v>
      </c>
      <c r="K625" s="8">
        <v>10000.0</v>
      </c>
      <c r="L625" s="15">
        <v>46077.0</v>
      </c>
      <c r="M625" s="15">
        <v>46105.0</v>
      </c>
      <c r="N625" s="8">
        <v>0.0</v>
      </c>
      <c r="O625" s="8">
        <v>-1157.0</v>
      </c>
      <c r="P625" s="8">
        <v>1187.0</v>
      </c>
      <c r="Q625" s="17">
        <v>46255.0</v>
      </c>
      <c r="R625" s="8" t="s">
        <v>2152</v>
      </c>
      <c r="T625" s="8">
        <v>125.0</v>
      </c>
    </row>
    <row r="626" ht="22.5" customHeight="1">
      <c r="B626" s="9" t="s">
        <v>296</v>
      </c>
      <c r="C626" s="8" t="s">
        <v>136</v>
      </c>
      <c r="D626" s="8" t="s">
        <v>1851</v>
      </c>
      <c r="E626" s="9" t="s">
        <v>29</v>
      </c>
      <c r="F626" s="8">
        <v>5.0</v>
      </c>
      <c r="H626" s="8">
        <v>100.0</v>
      </c>
      <c r="I626" s="8">
        <v>500.0</v>
      </c>
      <c r="J626" s="8">
        <v>10000.0</v>
      </c>
      <c r="K626" s="8">
        <v>0.0</v>
      </c>
      <c r="L626" s="15">
        <v>46062.0</v>
      </c>
      <c r="M626" s="15">
        <v>46090.0</v>
      </c>
      <c r="N626" s="8">
        <v>1.0</v>
      </c>
      <c r="O626" s="8">
        <v>-1172.0</v>
      </c>
      <c r="P626" s="8">
        <v>1202.0</v>
      </c>
      <c r="R626" s="8" t="s">
        <v>2153</v>
      </c>
      <c r="T626" s="8">
        <v>126.0</v>
      </c>
    </row>
    <row r="627" ht="22.5" customHeight="1">
      <c r="A627" s="8">
        <v>1.0</v>
      </c>
      <c r="B627" s="9" t="s">
        <v>239</v>
      </c>
      <c r="C627" s="8" t="s">
        <v>136</v>
      </c>
      <c r="D627" s="8" t="s">
        <v>1851</v>
      </c>
      <c r="E627" s="9" t="s">
        <v>29</v>
      </c>
      <c r="F627" s="8">
        <v>5.0</v>
      </c>
      <c r="H627" s="8">
        <v>100.0</v>
      </c>
      <c r="I627" s="8">
        <v>500.0</v>
      </c>
      <c r="J627" s="8">
        <v>10000.0</v>
      </c>
      <c r="K627" s="8">
        <v>0.0</v>
      </c>
      <c r="L627" s="15">
        <v>46078.0</v>
      </c>
      <c r="M627" s="15">
        <v>46106.0</v>
      </c>
      <c r="N627" s="8">
        <v>1.0</v>
      </c>
      <c r="O627" s="8">
        <v>-1156.0</v>
      </c>
      <c r="P627" s="8">
        <v>1186.0</v>
      </c>
      <c r="Q627" s="17">
        <v>46255.0</v>
      </c>
      <c r="R627" s="8" t="s">
        <v>2154</v>
      </c>
      <c r="T627" s="8">
        <v>127.0</v>
      </c>
    </row>
    <row r="628" ht="22.5" customHeight="1">
      <c r="A628" s="8">
        <v>1.0</v>
      </c>
      <c r="B628" s="9" t="s">
        <v>198</v>
      </c>
      <c r="C628" s="8" t="s">
        <v>794</v>
      </c>
      <c r="D628" s="8" t="s">
        <v>1851</v>
      </c>
      <c r="E628" s="9" t="s">
        <v>29</v>
      </c>
      <c r="F628" s="8">
        <v>3.0</v>
      </c>
      <c r="H628" s="8">
        <v>100.0</v>
      </c>
      <c r="I628" s="8">
        <v>300.0</v>
      </c>
      <c r="L628" s="15">
        <v>46075.0</v>
      </c>
      <c r="M628" s="15">
        <v>46103.0</v>
      </c>
      <c r="O628" s="8">
        <v>-1159.0</v>
      </c>
      <c r="P628" s="8">
        <v>1189.0</v>
      </c>
      <c r="R628" s="8" t="s">
        <v>2155</v>
      </c>
      <c r="T628" s="8">
        <v>128.0</v>
      </c>
    </row>
    <row r="629" ht="22.5" customHeight="1">
      <c r="B629" s="9" t="s">
        <v>251</v>
      </c>
      <c r="C629" s="8" t="s">
        <v>136</v>
      </c>
      <c r="D629" s="8" t="s">
        <v>1851</v>
      </c>
      <c r="E629" s="9" t="s">
        <v>29</v>
      </c>
      <c r="F629" s="8">
        <v>5.0</v>
      </c>
      <c r="H629" s="8">
        <v>100.0</v>
      </c>
      <c r="I629" s="8">
        <v>500.0</v>
      </c>
      <c r="J629" s="8">
        <v>10000.0</v>
      </c>
      <c r="K629" s="8" t="s">
        <v>2000</v>
      </c>
      <c r="L629" s="15">
        <v>46081.0</v>
      </c>
      <c r="M629" s="15">
        <v>46109.0</v>
      </c>
      <c r="N629" s="8">
        <v>0.0</v>
      </c>
      <c r="O629" s="8">
        <v>-1153.0</v>
      </c>
      <c r="P629" s="8">
        <v>1183.0</v>
      </c>
      <c r="R629" s="8" t="s">
        <v>2156</v>
      </c>
      <c r="T629" s="8">
        <v>129.0</v>
      </c>
    </row>
    <row r="630" ht="22.5" customHeight="1">
      <c r="B630" s="9" t="s">
        <v>254</v>
      </c>
      <c r="C630" s="8" t="s">
        <v>136</v>
      </c>
      <c r="D630" s="8" t="s">
        <v>1873</v>
      </c>
      <c r="E630" s="9" t="s">
        <v>29</v>
      </c>
      <c r="F630" s="8">
        <v>3.0</v>
      </c>
      <c r="H630" s="8">
        <v>100.0</v>
      </c>
      <c r="I630" s="8">
        <v>300.0</v>
      </c>
      <c r="J630" s="8">
        <v>6000.0</v>
      </c>
      <c r="K630" s="8">
        <v>0.0</v>
      </c>
      <c r="L630" s="15">
        <v>46057.0</v>
      </c>
      <c r="M630" s="15">
        <v>46085.0</v>
      </c>
      <c r="N630" s="8">
        <v>1.0</v>
      </c>
      <c r="O630" s="8">
        <v>-1177.0</v>
      </c>
      <c r="P630" s="8">
        <v>1207.0</v>
      </c>
      <c r="R630" s="8" t="s">
        <v>2157</v>
      </c>
      <c r="T630" s="8">
        <v>130.0</v>
      </c>
    </row>
    <row r="631" ht="22.5" customHeight="1">
      <c r="B631" s="9" t="s">
        <v>272</v>
      </c>
      <c r="C631" s="8" t="s">
        <v>136</v>
      </c>
      <c r="D631" s="8" t="s">
        <v>1873</v>
      </c>
      <c r="E631" s="9" t="s">
        <v>29</v>
      </c>
      <c r="F631" s="8">
        <v>3.0</v>
      </c>
      <c r="H631" s="8">
        <v>130.0</v>
      </c>
      <c r="I631" s="8">
        <v>390.0</v>
      </c>
      <c r="J631" s="8">
        <v>7800.0</v>
      </c>
      <c r="K631" s="8">
        <v>0.0</v>
      </c>
      <c r="L631" s="15">
        <v>46069.0</v>
      </c>
      <c r="M631" s="15">
        <v>46097.0</v>
      </c>
      <c r="N631" s="8">
        <v>1.0</v>
      </c>
      <c r="O631" s="8">
        <v>-1165.0</v>
      </c>
      <c r="P631" s="8">
        <v>1195.0</v>
      </c>
      <c r="R631" s="8" t="s">
        <v>2158</v>
      </c>
      <c r="T631" s="8">
        <v>131.0</v>
      </c>
    </row>
    <row r="632" ht="22.5" customHeight="1">
      <c r="B632" s="9" t="s">
        <v>281</v>
      </c>
      <c r="C632" s="8" t="s">
        <v>136</v>
      </c>
      <c r="D632" s="8" t="s">
        <v>2081</v>
      </c>
      <c r="E632" s="9" t="s">
        <v>29</v>
      </c>
      <c r="F632" s="8">
        <v>1.0</v>
      </c>
      <c r="H632" s="8">
        <v>130.0</v>
      </c>
      <c r="I632" s="8">
        <v>130.0</v>
      </c>
      <c r="J632" s="8">
        <v>2600.0</v>
      </c>
      <c r="K632" s="8">
        <v>0.0</v>
      </c>
      <c r="L632" s="15">
        <v>46056.0</v>
      </c>
      <c r="M632" s="15">
        <v>46084.0</v>
      </c>
      <c r="N632" s="8">
        <v>1.0</v>
      </c>
      <c r="O632" s="8">
        <v>-1178.0</v>
      </c>
      <c r="P632" s="8">
        <v>1208.0</v>
      </c>
      <c r="R632" s="8" t="s">
        <v>2159</v>
      </c>
      <c r="T632" s="8">
        <v>132.0</v>
      </c>
    </row>
    <row r="633" ht="22.5" customHeight="1">
      <c r="A633" s="8">
        <v>1.0</v>
      </c>
      <c r="B633" s="9" t="s">
        <v>230</v>
      </c>
      <c r="C633" s="8" t="s">
        <v>136</v>
      </c>
      <c r="D633" s="8" t="s">
        <v>1851</v>
      </c>
      <c r="E633" s="9" t="s">
        <v>29</v>
      </c>
      <c r="F633" s="8">
        <v>5.0</v>
      </c>
      <c r="H633" s="8">
        <v>120.0</v>
      </c>
      <c r="I633" s="8">
        <v>500.0</v>
      </c>
      <c r="J633" s="8">
        <v>10000.0</v>
      </c>
      <c r="K633" s="8">
        <v>0.0</v>
      </c>
      <c r="L633" s="15">
        <v>46062.0</v>
      </c>
      <c r="M633" s="15">
        <v>46090.0</v>
      </c>
      <c r="N633" s="8">
        <v>1.0</v>
      </c>
      <c r="O633" s="8">
        <v>-1172.0</v>
      </c>
      <c r="P633" s="8">
        <v>1202.0</v>
      </c>
      <c r="R633" s="8" t="s">
        <v>2160</v>
      </c>
      <c r="T633" s="8">
        <v>133.0</v>
      </c>
    </row>
    <row r="634" ht="22.5" customHeight="1">
      <c r="B634" s="9" t="s">
        <v>248</v>
      </c>
      <c r="C634" s="8" t="s">
        <v>136</v>
      </c>
      <c r="D634" s="8" t="s">
        <v>1563</v>
      </c>
      <c r="E634" s="9" t="s">
        <v>29</v>
      </c>
      <c r="F634" s="8">
        <v>6.0</v>
      </c>
      <c r="H634" s="8">
        <v>100.0</v>
      </c>
      <c r="I634" s="8">
        <v>550.0</v>
      </c>
      <c r="J634" s="8">
        <v>11000.0</v>
      </c>
      <c r="K634" s="8">
        <v>0.0</v>
      </c>
      <c r="L634" s="15">
        <v>46083.0</v>
      </c>
      <c r="M634" s="15">
        <v>46114.0</v>
      </c>
      <c r="N634" s="8">
        <v>1.0</v>
      </c>
      <c r="O634" s="8">
        <v>-1148.0</v>
      </c>
      <c r="P634" s="8">
        <v>1178.0</v>
      </c>
      <c r="R634" s="8" t="s">
        <v>2161</v>
      </c>
      <c r="T634" s="8">
        <v>134.0</v>
      </c>
    </row>
    <row r="635" ht="22.5" customHeight="1">
      <c r="A635" s="8">
        <v>1.0</v>
      </c>
      <c r="B635" s="9" t="s">
        <v>142</v>
      </c>
      <c r="C635" s="8" t="s">
        <v>136</v>
      </c>
      <c r="D635" s="8" t="s">
        <v>1873</v>
      </c>
      <c r="E635" s="9" t="s">
        <v>29</v>
      </c>
      <c r="F635" s="8">
        <v>3.0</v>
      </c>
      <c r="H635" s="8">
        <v>120.0</v>
      </c>
      <c r="I635" s="8">
        <v>300.0</v>
      </c>
      <c r="J635" s="8">
        <v>6000.0</v>
      </c>
      <c r="K635" s="8">
        <v>0.0</v>
      </c>
      <c r="L635" s="15">
        <v>46055.0</v>
      </c>
      <c r="M635" s="15">
        <v>46083.0</v>
      </c>
      <c r="N635" s="8">
        <v>1.0</v>
      </c>
      <c r="O635" s="8">
        <v>-1179.0</v>
      </c>
      <c r="P635" s="8">
        <v>1209.0</v>
      </c>
      <c r="R635" s="8" t="s">
        <v>2162</v>
      </c>
      <c r="T635" s="8">
        <v>135.0</v>
      </c>
    </row>
    <row r="636" ht="22.5" customHeight="1">
      <c r="A636" s="19">
        <v>46023.0</v>
      </c>
      <c r="B636" s="9" t="s">
        <v>245</v>
      </c>
      <c r="C636" s="8" t="s">
        <v>136</v>
      </c>
      <c r="D636" s="8" t="s">
        <v>995</v>
      </c>
      <c r="E636" s="8" t="s">
        <v>38</v>
      </c>
      <c r="F636" s="8">
        <v>3.0</v>
      </c>
      <c r="H636" s="8">
        <v>10000.0</v>
      </c>
      <c r="I636" s="8">
        <v>9000.0</v>
      </c>
      <c r="J636" s="8">
        <v>9000.0</v>
      </c>
      <c r="K636" s="8">
        <v>0.0</v>
      </c>
      <c r="L636" s="15">
        <v>46031.0</v>
      </c>
      <c r="M636" s="15">
        <v>46062.0</v>
      </c>
      <c r="N636" s="8">
        <v>1.0</v>
      </c>
      <c r="O636" s="8">
        <v>-1200.0</v>
      </c>
      <c r="P636" s="8">
        <v>1230.0</v>
      </c>
      <c r="R636" s="8" t="s">
        <v>2163</v>
      </c>
      <c r="T636" s="8">
        <v>92.0</v>
      </c>
    </row>
    <row r="637" ht="22.5" customHeight="1">
      <c r="A637" s="19">
        <v>46023.0</v>
      </c>
      <c r="B637" s="9" t="s">
        <v>218</v>
      </c>
      <c r="C637" s="8" t="s">
        <v>136</v>
      </c>
      <c r="D637" s="8" t="s">
        <v>2073</v>
      </c>
      <c r="E637" s="8" t="s">
        <v>38</v>
      </c>
      <c r="F637" s="8">
        <v>6.0</v>
      </c>
      <c r="H637" s="8">
        <v>1350.0</v>
      </c>
      <c r="I637" s="8">
        <v>6750.0</v>
      </c>
      <c r="J637" s="8">
        <v>6750.0</v>
      </c>
      <c r="K637" s="8">
        <v>0.0</v>
      </c>
      <c r="L637" s="15">
        <v>46039.0</v>
      </c>
      <c r="M637" s="15">
        <v>46070.0</v>
      </c>
      <c r="N637" s="8">
        <v>1.0</v>
      </c>
      <c r="O637" s="8">
        <v>-1192.0</v>
      </c>
      <c r="P637" s="8">
        <v>1222.0</v>
      </c>
      <c r="R637" s="8" t="s">
        <v>2164</v>
      </c>
      <c r="T637" s="8">
        <v>93.0</v>
      </c>
    </row>
    <row r="638" ht="22.5" customHeight="1">
      <c r="A638" s="19">
        <v>46023.0</v>
      </c>
      <c r="B638" s="9" t="s">
        <v>209</v>
      </c>
      <c r="C638" s="8" t="s">
        <v>794</v>
      </c>
      <c r="D638" s="8" t="s">
        <v>2165</v>
      </c>
      <c r="E638" s="9" t="s">
        <v>38</v>
      </c>
      <c r="F638" s="8">
        <v>4.0</v>
      </c>
      <c r="H638" s="8">
        <v>2000.0</v>
      </c>
      <c r="I638" s="8">
        <v>8000.0</v>
      </c>
      <c r="L638" s="15">
        <v>46031.0</v>
      </c>
      <c r="M638" s="15">
        <v>46062.0</v>
      </c>
      <c r="O638" s="8">
        <v>-1200.0</v>
      </c>
      <c r="P638" s="8">
        <v>1230.0</v>
      </c>
      <c r="R638" s="8" t="s">
        <v>2166</v>
      </c>
      <c r="T638" s="8">
        <v>94.0</v>
      </c>
    </row>
    <row r="639" ht="22.5" customHeight="1">
      <c r="B639" s="9" t="s">
        <v>293</v>
      </c>
      <c r="C639" s="8" t="s">
        <v>136</v>
      </c>
      <c r="D639" s="8" t="s">
        <v>1563</v>
      </c>
      <c r="E639" s="9" t="s">
        <v>29</v>
      </c>
      <c r="F639" s="8">
        <v>1.0</v>
      </c>
      <c r="G639" s="16">
        <v>0.33</v>
      </c>
      <c r="H639" s="8">
        <v>100.0</v>
      </c>
      <c r="I639" s="8">
        <v>300.0</v>
      </c>
      <c r="J639" s="8">
        <v>6000.0</v>
      </c>
      <c r="K639" s="8">
        <v>0.0</v>
      </c>
      <c r="L639" s="15">
        <v>46031.0</v>
      </c>
      <c r="M639" s="15">
        <v>46062.0</v>
      </c>
      <c r="N639" s="8">
        <v>1.0</v>
      </c>
      <c r="O639" s="8">
        <v>-1200.0</v>
      </c>
      <c r="P639" s="8">
        <v>1230.0</v>
      </c>
      <c r="R639" s="8" t="s">
        <v>2167</v>
      </c>
      <c r="T639" s="8">
        <v>95.0</v>
      </c>
    </row>
    <row r="640" ht="22.5" customHeight="1">
      <c r="A640" s="8" t="s">
        <v>1864</v>
      </c>
      <c r="B640" s="9" t="s">
        <v>187</v>
      </c>
      <c r="C640" s="8" t="s">
        <v>136</v>
      </c>
      <c r="D640" s="8" t="s">
        <v>2119</v>
      </c>
      <c r="E640" s="9" t="s">
        <v>188</v>
      </c>
      <c r="F640" s="8">
        <v>4.0</v>
      </c>
      <c r="H640" s="8" t="s">
        <v>2120</v>
      </c>
      <c r="I640" s="8">
        <v>2000.0</v>
      </c>
      <c r="J640" s="8">
        <v>10600.0</v>
      </c>
      <c r="L640" s="15">
        <v>46032.0</v>
      </c>
      <c r="M640" s="15">
        <v>46063.0</v>
      </c>
      <c r="O640" s="8">
        <v>-1199.0</v>
      </c>
      <c r="P640" s="8">
        <v>1229.0</v>
      </c>
      <c r="Q640" s="17">
        <v>46255.0</v>
      </c>
      <c r="R640" s="8" t="s">
        <v>2168</v>
      </c>
      <c r="T640" s="8">
        <v>96.0</v>
      </c>
    </row>
    <row r="641" ht="22.5" customHeight="1">
      <c r="B641" s="9" t="s">
        <v>269</v>
      </c>
      <c r="C641" s="8" t="s">
        <v>136</v>
      </c>
      <c r="D641" s="8" t="s">
        <v>1802</v>
      </c>
      <c r="E641" s="9" t="s">
        <v>29</v>
      </c>
      <c r="F641" s="8">
        <v>1.0</v>
      </c>
      <c r="H641" s="8">
        <v>250.0</v>
      </c>
      <c r="I641" s="8">
        <v>250.0</v>
      </c>
      <c r="J641" s="8">
        <v>5000.0</v>
      </c>
      <c r="K641" s="8">
        <v>0.0</v>
      </c>
      <c r="L641" s="15">
        <v>46032.0</v>
      </c>
      <c r="M641" s="15">
        <v>46063.0</v>
      </c>
      <c r="N641" s="8">
        <v>1.0</v>
      </c>
      <c r="O641" s="8">
        <v>-1199.0</v>
      </c>
      <c r="P641" s="8">
        <v>1229.0</v>
      </c>
      <c r="R641" s="8" t="s">
        <v>2169</v>
      </c>
      <c r="T641" s="8">
        <v>97.0</v>
      </c>
    </row>
    <row r="642" ht="22.5" customHeight="1">
      <c r="A642" s="8">
        <v>1.0</v>
      </c>
      <c r="B642" s="9" t="s">
        <v>236</v>
      </c>
      <c r="C642" s="8" t="s">
        <v>136</v>
      </c>
      <c r="D642" s="8" t="s">
        <v>1851</v>
      </c>
      <c r="E642" s="9" t="s">
        <v>29</v>
      </c>
      <c r="F642" s="8">
        <v>5.0</v>
      </c>
      <c r="H642" s="8">
        <v>100.0</v>
      </c>
      <c r="I642" s="8">
        <v>250.0</v>
      </c>
      <c r="J642" s="8">
        <v>5000.0</v>
      </c>
      <c r="K642" s="8">
        <v>0.0</v>
      </c>
      <c r="L642" s="15">
        <v>46038.0</v>
      </c>
      <c r="M642" s="15">
        <v>46069.0</v>
      </c>
      <c r="N642" s="8">
        <v>1.0</v>
      </c>
      <c r="O642" s="8">
        <v>-1193.0</v>
      </c>
      <c r="P642" s="8">
        <v>1223.0</v>
      </c>
      <c r="R642" s="8" t="s">
        <v>2170</v>
      </c>
      <c r="T642" s="8">
        <v>98.0</v>
      </c>
    </row>
    <row r="643" ht="22.5" customHeight="1">
      <c r="B643" s="9" t="s">
        <v>275</v>
      </c>
      <c r="C643" s="8" t="s">
        <v>136</v>
      </c>
      <c r="D643" s="8" t="s">
        <v>1430</v>
      </c>
      <c r="E643" s="9" t="s">
        <v>29</v>
      </c>
      <c r="F643" s="8">
        <v>1.0</v>
      </c>
      <c r="H643" s="8">
        <v>130.0</v>
      </c>
      <c r="I643" s="8">
        <v>130.0</v>
      </c>
      <c r="J643" s="8">
        <v>2600.0</v>
      </c>
      <c r="K643" s="8">
        <v>0.0</v>
      </c>
      <c r="L643" s="15">
        <v>46025.0</v>
      </c>
      <c r="M643" s="15">
        <v>46056.0</v>
      </c>
      <c r="N643" s="8">
        <v>1.0</v>
      </c>
      <c r="O643" s="8">
        <v>-1206.0</v>
      </c>
      <c r="P643" s="8">
        <v>1236.0</v>
      </c>
      <c r="R643" s="8" t="s">
        <v>2171</v>
      </c>
      <c r="T643" s="8">
        <v>99.0</v>
      </c>
    </row>
    <row r="644" ht="22.5" customHeight="1">
      <c r="A644" s="8" t="s">
        <v>2172</v>
      </c>
      <c r="B644" s="9" t="s">
        <v>290</v>
      </c>
      <c r="C644" s="8" t="s">
        <v>136</v>
      </c>
      <c r="D644" s="8" t="s">
        <v>2173</v>
      </c>
      <c r="E644" s="9" t="s">
        <v>29</v>
      </c>
      <c r="F644" s="8">
        <v>2.0</v>
      </c>
      <c r="H644" s="8">
        <v>2500.0</v>
      </c>
      <c r="I644" s="8">
        <v>5000.0</v>
      </c>
      <c r="J644" s="8">
        <v>5000.0</v>
      </c>
      <c r="K644" s="8">
        <v>0.0</v>
      </c>
      <c r="L644" s="15">
        <v>46028.0</v>
      </c>
      <c r="M644" s="15">
        <v>46059.0</v>
      </c>
      <c r="N644" s="8">
        <v>1.0</v>
      </c>
      <c r="O644" s="8">
        <v>-1203.0</v>
      </c>
      <c r="P644" s="8">
        <v>1233.0</v>
      </c>
      <c r="R644" s="8" t="s">
        <v>2174</v>
      </c>
      <c r="T644" s="8">
        <v>100.0</v>
      </c>
    </row>
    <row r="645" ht="22.5" customHeight="1">
      <c r="B645" s="9" t="s">
        <v>266</v>
      </c>
      <c r="C645" s="8" t="s">
        <v>136</v>
      </c>
      <c r="D645" s="8" t="s">
        <v>1563</v>
      </c>
      <c r="E645" s="9" t="s">
        <v>29</v>
      </c>
      <c r="F645" s="8">
        <v>1.0</v>
      </c>
      <c r="H645" s="8">
        <v>150.0</v>
      </c>
      <c r="I645" s="8">
        <v>110.0</v>
      </c>
      <c r="J645" s="8">
        <v>2200.0</v>
      </c>
      <c r="K645" s="8">
        <v>0.0</v>
      </c>
      <c r="L645" s="15">
        <v>46025.0</v>
      </c>
      <c r="M645" s="15">
        <v>46056.0</v>
      </c>
      <c r="N645" s="8">
        <v>1.0</v>
      </c>
      <c r="O645" s="8">
        <v>-1206.0</v>
      </c>
      <c r="P645" s="8">
        <v>1236.0</v>
      </c>
      <c r="R645" s="8" t="s">
        <v>2175</v>
      </c>
      <c r="T645" s="8">
        <v>101.0</v>
      </c>
    </row>
    <row r="646" ht="22.5" customHeight="1">
      <c r="A646" s="19">
        <v>46023.0</v>
      </c>
      <c r="B646" s="9" t="s">
        <v>233</v>
      </c>
      <c r="C646" s="8" t="s">
        <v>136</v>
      </c>
      <c r="D646" s="8" t="s">
        <v>1851</v>
      </c>
      <c r="E646" s="9" t="s">
        <v>29</v>
      </c>
      <c r="F646" s="8">
        <v>5.0</v>
      </c>
      <c r="H646" s="8">
        <v>100.0</v>
      </c>
      <c r="I646" s="8">
        <v>500.0</v>
      </c>
      <c r="J646" s="8">
        <v>10000.0</v>
      </c>
      <c r="K646" s="8">
        <v>0.0</v>
      </c>
      <c r="L646" s="15">
        <v>46031.0</v>
      </c>
      <c r="M646" s="15">
        <v>46062.0</v>
      </c>
      <c r="N646" s="8">
        <v>1.0</v>
      </c>
      <c r="O646" s="8">
        <v>-1200.0</v>
      </c>
      <c r="P646" s="8">
        <v>1230.0</v>
      </c>
      <c r="R646" s="8" t="s">
        <v>2176</v>
      </c>
      <c r="T646" s="8">
        <v>102.0</v>
      </c>
    </row>
    <row r="647" ht="22.5" customHeight="1">
      <c r="A647" s="8">
        <v>1.0</v>
      </c>
      <c r="B647" s="9" t="s">
        <v>204</v>
      </c>
      <c r="C647" s="8" t="s">
        <v>136</v>
      </c>
      <c r="D647" s="8" t="s">
        <v>1851</v>
      </c>
      <c r="E647" s="9" t="s">
        <v>38</v>
      </c>
      <c r="F647" s="8">
        <v>5.0</v>
      </c>
      <c r="H647" s="8">
        <v>1500.0</v>
      </c>
      <c r="I647" s="8">
        <v>4500.0</v>
      </c>
      <c r="J647" s="8">
        <v>4500.0</v>
      </c>
      <c r="K647" s="8">
        <v>0.0</v>
      </c>
      <c r="L647" s="15">
        <v>46042.0</v>
      </c>
      <c r="M647" s="15">
        <v>46073.0</v>
      </c>
      <c r="N647" s="8">
        <v>1.0</v>
      </c>
      <c r="O647" s="8">
        <v>-1189.0</v>
      </c>
      <c r="P647" s="8">
        <v>1219.0</v>
      </c>
      <c r="R647" s="8" t="s">
        <v>2177</v>
      </c>
      <c r="T647" s="8">
        <v>103.0</v>
      </c>
    </row>
    <row r="648" ht="22.5" customHeight="1">
      <c r="A648" s="19">
        <v>46023.0</v>
      </c>
      <c r="B648" s="9" t="s">
        <v>242</v>
      </c>
      <c r="C648" s="8" t="s">
        <v>136</v>
      </c>
      <c r="D648" s="8" t="s">
        <v>1851</v>
      </c>
      <c r="E648" s="9" t="s">
        <v>29</v>
      </c>
      <c r="F648" s="8">
        <v>5.0</v>
      </c>
      <c r="H648" s="8">
        <v>100.0</v>
      </c>
      <c r="I648" s="8">
        <v>500.0</v>
      </c>
      <c r="J648" s="8">
        <v>10000.0</v>
      </c>
      <c r="K648" s="8" t="s">
        <v>2000</v>
      </c>
      <c r="L648" s="15">
        <v>46046.0</v>
      </c>
      <c r="M648" s="15">
        <v>46077.0</v>
      </c>
      <c r="N648" s="8">
        <v>0.0</v>
      </c>
      <c r="O648" s="8">
        <v>-1185.0</v>
      </c>
      <c r="P648" s="8">
        <v>1215.0</v>
      </c>
      <c r="Q648" s="17">
        <v>46255.0</v>
      </c>
      <c r="R648" s="8" t="s">
        <v>2178</v>
      </c>
      <c r="T648" s="8">
        <v>104.0</v>
      </c>
    </row>
    <row r="649" ht="22.5" customHeight="1">
      <c r="A649" s="19">
        <v>46023.0</v>
      </c>
      <c r="B649" s="9" t="s">
        <v>239</v>
      </c>
      <c r="C649" s="8" t="s">
        <v>136</v>
      </c>
      <c r="D649" s="8" t="s">
        <v>1851</v>
      </c>
      <c r="E649" s="9" t="s">
        <v>29</v>
      </c>
      <c r="F649" s="8">
        <v>5.0</v>
      </c>
      <c r="H649" s="8">
        <v>100.0</v>
      </c>
      <c r="I649" s="8">
        <v>500.0</v>
      </c>
      <c r="J649" s="8">
        <v>10000.0</v>
      </c>
      <c r="K649" s="8">
        <v>0.0</v>
      </c>
      <c r="L649" s="15">
        <v>46047.0</v>
      </c>
      <c r="M649" s="15">
        <v>46078.0</v>
      </c>
      <c r="N649" s="8">
        <v>1.0</v>
      </c>
      <c r="O649" s="8">
        <v>-1184.0</v>
      </c>
      <c r="P649" s="8">
        <v>1214.0</v>
      </c>
      <c r="Q649" s="17">
        <v>46255.0</v>
      </c>
      <c r="R649" s="8" t="s">
        <v>2179</v>
      </c>
      <c r="T649" s="8">
        <v>105.0</v>
      </c>
    </row>
    <row r="650" ht="22.5" customHeight="1">
      <c r="A650" s="8">
        <v>1.0</v>
      </c>
      <c r="B650" s="9" t="s">
        <v>198</v>
      </c>
      <c r="C650" s="8" t="s">
        <v>136</v>
      </c>
      <c r="D650" s="8" t="s">
        <v>1851</v>
      </c>
      <c r="E650" s="9" t="s">
        <v>29</v>
      </c>
      <c r="F650" s="8">
        <v>5.0</v>
      </c>
      <c r="H650" s="8">
        <v>100.0</v>
      </c>
      <c r="I650" s="8">
        <v>300.0</v>
      </c>
      <c r="J650" s="8">
        <v>6000.0</v>
      </c>
      <c r="K650" s="8">
        <v>6000.0</v>
      </c>
      <c r="L650" s="15">
        <v>46044.0</v>
      </c>
      <c r="M650" s="15">
        <v>46075.0</v>
      </c>
      <c r="N650" s="8">
        <v>0.0</v>
      </c>
      <c r="O650" s="8">
        <v>-1187.0</v>
      </c>
      <c r="P650" s="8">
        <v>1217.0</v>
      </c>
      <c r="R650" s="8" t="s">
        <v>2180</v>
      </c>
      <c r="T650" s="8">
        <v>106.0</v>
      </c>
    </row>
    <row r="651" ht="22.5" customHeight="1">
      <c r="A651" s="8" t="s">
        <v>2181</v>
      </c>
      <c r="B651" s="9" t="s">
        <v>251</v>
      </c>
      <c r="C651" s="8" t="s">
        <v>136</v>
      </c>
      <c r="D651" s="8" t="s">
        <v>1851</v>
      </c>
      <c r="E651" s="9" t="s">
        <v>29</v>
      </c>
      <c r="F651" s="8">
        <v>5.0</v>
      </c>
      <c r="H651" s="8">
        <v>100.0</v>
      </c>
      <c r="I651" s="8">
        <v>500.0</v>
      </c>
      <c r="J651" s="8">
        <v>10000.0</v>
      </c>
      <c r="K651" s="8" t="s">
        <v>2000</v>
      </c>
      <c r="L651" s="15">
        <v>46050.0</v>
      </c>
      <c r="M651" s="15">
        <v>46081.0</v>
      </c>
      <c r="N651" s="8">
        <v>0.0</v>
      </c>
      <c r="O651" s="8">
        <v>-1181.0</v>
      </c>
      <c r="P651" s="8">
        <v>1211.0</v>
      </c>
      <c r="R651" s="8" t="s">
        <v>2182</v>
      </c>
      <c r="T651" s="8">
        <v>107.0</v>
      </c>
    </row>
    <row r="652" ht="22.5" customHeight="1">
      <c r="B652" s="9" t="s">
        <v>254</v>
      </c>
      <c r="C652" s="8" t="s">
        <v>136</v>
      </c>
      <c r="D652" s="8" t="s">
        <v>1873</v>
      </c>
      <c r="E652" s="9" t="s">
        <v>29</v>
      </c>
      <c r="F652" s="8">
        <v>3.0</v>
      </c>
      <c r="H652" s="8">
        <v>100.0</v>
      </c>
      <c r="I652" s="8">
        <v>300.0</v>
      </c>
      <c r="J652" s="8">
        <v>6000.0</v>
      </c>
      <c r="K652" s="8">
        <v>0.0</v>
      </c>
      <c r="L652" s="15">
        <v>46026.0</v>
      </c>
      <c r="M652" s="15">
        <v>46057.0</v>
      </c>
      <c r="N652" s="8">
        <v>1.0</v>
      </c>
      <c r="O652" s="8">
        <v>-1205.0</v>
      </c>
      <c r="P652" s="8">
        <v>1235.0</v>
      </c>
      <c r="R652" s="8" t="s">
        <v>2183</v>
      </c>
      <c r="T652" s="8">
        <v>108.0</v>
      </c>
    </row>
    <row r="653" ht="22.5" customHeight="1">
      <c r="B653" s="9" t="s">
        <v>184</v>
      </c>
      <c r="D653" s="8" t="s">
        <v>1851</v>
      </c>
      <c r="E653" s="8" t="s">
        <v>29</v>
      </c>
      <c r="F653" s="8">
        <v>5.0</v>
      </c>
      <c r="L653" s="15">
        <v>46043.0</v>
      </c>
      <c r="M653" s="15">
        <v>46074.0</v>
      </c>
      <c r="O653" s="8">
        <v>-1188.0</v>
      </c>
      <c r="P653" s="8">
        <v>1218.0</v>
      </c>
      <c r="R653" s="8" t="s">
        <v>2184</v>
      </c>
      <c r="T653" s="8">
        <v>109.0</v>
      </c>
    </row>
    <row r="654" ht="22.5" customHeight="1">
      <c r="B654" s="9" t="s">
        <v>272</v>
      </c>
      <c r="C654" s="8" t="s">
        <v>136</v>
      </c>
      <c r="D654" s="8" t="s">
        <v>1873</v>
      </c>
      <c r="E654" s="9" t="s">
        <v>29</v>
      </c>
      <c r="F654" s="8">
        <v>3.0</v>
      </c>
      <c r="H654" s="8">
        <v>130.0</v>
      </c>
      <c r="I654" s="8">
        <v>390.0</v>
      </c>
      <c r="J654" s="8">
        <v>7800.0</v>
      </c>
      <c r="K654" s="8">
        <v>0.0</v>
      </c>
      <c r="L654" s="15">
        <v>46038.0</v>
      </c>
      <c r="M654" s="15">
        <v>46069.0</v>
      </c>
      <c r="N654" s="8">
        <v>1.0</v>
      </c>
      <c r="O654" s="8">
        <v>-1193.0</v>
      </c>
      <c r="P654" s="8">
        <v>1223.0</v>
      </c>
      <c r="R654" s="8" t="s">
        <v>2185</v>
      </c>
      <c r="T654" s="8">
        <v>110.0</v>
      </c>
    </row>
    <row r="655" ht="22.5" customHeight="1">
      <c r="B655" s="9" t="s">
        <v>281</v>
      </c>
      <c r="C655" s="8" t="s">
        <v>136</v>
      </c>
      <c r="D655" s="8" t="s">
        <v>2081</v>
      </c>
      <c r="E655" s="9" t="s">
        <v>29</v>
      </c>
      <c r="F655" s="8">
        <v>1.0</v>
      </c>
      <c r="H655" s="8">
        <v>130.0</v>
      </c>
      <c r="I655" s="8">
        <v>130.0</v>
      </c>
      <c r="J655" s="8">
        <v>2600.0</v>
      </c>
      <c r="K655" s="8">
        <v>0.0</v>
      </c>
      <c r="L655" s="15">
        <v>46025.0</v>
      </c>
      <c r="M655" s="15">
        <v>46056.0</v>
      </c>
      <c r="N655" s="8">
        <v>1.0</v>
      </c>
      <c r="O655" s="8">
        <v>-1206.0</v>
      </c>
      <c r="P655" s="8">
        <v>1236.0</v>
      </c>
      <c r="R655" s="8" t="s">
        <v>2186</v>
      </c>
      <c r="T655" s="8">
        <v>111.0</v>
      </c>
    </row>
    <row r="656" ht="22.5" customHeight="1">
      <c r="A656" s="8">
        <v>1.0</v>
      </c>
      <c r="B656" s="9" t="s">
        <v>230</v>
      </c>
      <c r="C656" s="8" t="s">
        <v>136</v>
      </c>
      <c r="D656" s="8" t="s">
        <v>2187</v>
      </c>
      <c r="E656" s="9" t="s">
        <v>29</v>
      </c>
      <c r="F656" s="8">
        <v>3.0</v>
      </c>
      <c r="H656" s="8">
        <v>120.0</v>
      </c>
      <c r="I656" s="8">
        <v>400.0</v>
      </c>
      <c r="J656" s="8">
        <v>8000.0</v>
      </c>
      <c r="K656" s="8">
        <v>0.0</v>
      </c>
      <c r="L656" s="15">
        <v>46031.0</v>
      </c>
      <c r="M656" s="15">
        <v>46062.0</v>
      </c>
      <c r="N656" s="8">
        <v>1.0</v>
      </c>
      <c r="O656" s="8">
        <v>-1200.0</v>
      </c>
      <c r="P656" s="8">
        <v>1230.0</v>
      </c>
      <c r="R656" s="8" t="s">
        <v>2188</v>
      </c>
      <c r="T656" s="8">
        <v>112.0</v>
      </c>
    </row>
    <row r="657" ht="22.5" customHeight="1">
      <c r="B657" s="9" t="s">
        <v>260</v>
      </c>
      <c r="C657" s="8" t="s">
        <v>136</v>
      </c>
      <c r="D657" s="8" t="s">
        <v>2189</v>
      </c>
      <c r="E657" s="9" t="s">
        <v>38</v>
      </c>
      <c r="F657" s="8">
        <v>3.0</v>
      </c>
      <c r="H657" s="8">
        <v>2500.0</v>
      </c>
      <c r="I657" s="8">
        <v>7500.0</v>
      </c>
      <c r="J657" s="8">
        <v>7500.0</v>
      </c>
      <c r="K657" s="8">
        <v>0.0</v>
      </c>
      <c r="L657" s="15">
        <v>46023.0</v>
      </c>
      <c r="M657" s="15">
        <v>46054.0</v>
      </c>
      <c r="N657" s="8">
        <v>1.0</v>
      </c>
      <c r="O657" s="8">
        <v>-1208.0</v>
      </c>
      <c r="P657" s="8">
        <v>1238.0</v>
      </c>
      <c r="R657" s="8" t="s">
        <v>2190</v>
      </c>
      <c r="T657" s="8">
        <v>113.0</v>
      </c>
    </row>
    <row r="658" ht="22.5" customHeight="1">
      <c r="A658" s="8">
        <v>1.0</v>
      </c>
      <c r="B658" s="9" t="s">
        <v>195</v>
      </c>
      <c r="C658" s="8" t="s">
        <v>136</v>
      </c>
      <c r="D658" s="8" t="s">
        <v>2189</v>
      </c>
      <c r="E658" s="9" t="s">
        <v>38</v>
      </c>
      <c r="F658" s="8">
        <v>3.0</v>
      </c>
      <c r="H658" s="8">
        <v>2000.0</v>
      </c>
      <c r="I658" s="8">
        <v>6000.0</v>
      </c>
      <c r="J658" s="8">
        <v>6000.0</v>
      </c>
      <c r="K658" s="8">
        <v>0.0</v>
      </c>
      <c r="L658" s="15">
        <v>46032.0</v>
      </c>
      <c r="N658" s="8">
        <v>1.0</v>
      </c>
      <c r="P658" s="8">
        <v>30.0</v>
      </c>
      <c r="R658" s="8" t="s">
        <v>2191</v>
      </c>
      <c r="T658" s="8">
        <v>114.0</v>
      </c>
    </row>
    <row r="659" ht="22.5" customHeight="1">
      <c r="A659" s="8" t="s">
        <v>2192</v>
      </c>
      <c r="B659" s="9" t="s">
        <v>248</v>
      </c>
      <c r="C659" s="8" t="s">
        <v>136</v>
      </c>
      <c r="D659" s="8" t="s">
        <v>1851</v>
      </c>
      <c r="E659" s="9" t="s">
        <v>29</v>
      </c>
      <c r="F659" s="8">
        <v>5.0</v>
      </c>
      <c r="H659" s="8">
        <v>100.0</v>
      </c>
      <c r="I659" s="8">
        <v>550.0</v>
      </c>
      <c r="J659" s="8">
        <v>11000.0</v>
      </c>
      <c r="K659" s="8">
        <v>0.0</v>
      </c>
      <c r="L659" s="15">
        <v>46052.0</v>
      </c>
      <c r="M659" s="15">
        <v>46081.0</v>
      </c>
      <c r="N659" s="8">
        <v>1.0</v>
      </c>
      <c r="O659" s="8">
        <v>-1181.0</v>
      </c>
      <c r="P659" s="8">
        <v>1211.0</v>
      </c>
      <c r="R659" s="8" t="s">
        <v>2193</v>
      </c>
      <c r="T659" s="8">
        <v>115.0</v>
      </c>
    </row>
    <row r="660" ht="22.5" customHeight="1">
      <c r="A660" s="19">
        <v>46023.0</v>
      </c>
      <c r="B660" s="9" t="s">
        <v>142</v>
      </c>
      <c r="C660" s="8" t="s">
        <v>136</v>
      </c>
      <c r="D660" s="8" t="s">
        <v>1851</v>
      </c>
      <c r="E660" s="9" t="s">
        <v>29</v>
      </c>
      <c r="F660" s="8">
        <v>5.0</v>
      </c>
      <c r="H660" s="8">
        <v>120.0</v>
      </c>
      <c r="I660" s="8">
        <v>500.0</v>
      </c>
      <c r="J660" s="8">
        <v>10000.0</v>
      </c>
      <c r="K660" s="8">
        <v>0.0</v>
      </c>
      <c r="L660" s="15">
        <v>46024.0</v>
      </c>
      <c r="M660" s="15">
        <v>46055.0</v>
      </c>
      <c r="N660" s="8">
        <v>1.0</v>
      </c>
      <c r="O660" s="8">
        <v>-1207.0</v>
      </c>
      <c r="P660" s="8">
        <v>1237.0</v>
      </c>
      <c r="R660" s="8" t="s">
        <v>2194</v>
      </c>
      <c r="T660" s="8">
        <v>116.0</v>
      </c>
    </row>
    <row r="661" ht="22.5" customHeight="1">
      <c r="A661" s="8">
        <v>1.0</v>
      </c>
      <c r="B661" s="9" t="s">
        <v>245</v>
      </c>
      <c r="C661" s="8" t="s">
        <v>136</v>
      </c>
      <c r="D661" s="8" t="s">
        <v>2195</v>
      </c>
      <c r="E661" s="8" t="s">
        <v>38</v>
      </c>
      <c r="F661" s="8">
        <v>2.0</v>
      </c>
      <c r="H661" s="8">
        <v>2500.0</v>
      </c>
      <c r="I661" s="8">
        <v>5000.0</v>
      </c>
      <c r="J661" s="8">
        <v>5000.0</v>
      </c>
      <c r="K661" s="8">
        <v>0.0</v>
      </c>
      <c r="L661" s="15">
        <v>46365.0</v>
      </c>
      <c r="M661" s="15">
        <v>46031.0</v>
      </c>
      <c r="N661" s="8">
        <v>1.0</v>
      </c>
      <c r="O661" s="8">
        <v>-1231.0</v>
      </c>
      <c r="P661" s="8">
        <v>1261.0</v>
      </c>
      <c r="R661" s="8" t="s">
        <v>2196</v>
      </c>
      <c r="T661" s="8">
        <v>65.0</v>
      </c>
    </row>
    <row r="662" ht="22.5" customHeight="1">
      <c r="A662" s="8">
        <v>1.0</v>
      </c>
      <c r="B662" s="9" t="s">
        <v>218</v>
      </c>
      <c r="C662" s="8" t="s">
        <v>136</v>
      </c>
      <c r="D662" s="8" t="s">
        <v>2073</v>
      </c>
      <c r="E662" s="8" t="s">
        <v>38</v>
      </c>
      <c r="F662" s="8">
        <v>5.0</v>
      </c>
      <c r="H662" s="8">
        <v>1350.0</v>
      </c>
      <c r="I662" s="8">
        <v>6750.0</v>
      </c>
      <c r="J662" s="8">
        <v>6750.0</v>
      </c>
      <c r="K662" s="8">
        <v>0.0</v>
      </c>
      <c r="L662" s="15">
        <v>46373.0</v>
      </c>
      <c r="M662" s="15">
        <v>46039.0</v>
      </c>
      <c r="N662" s="8">
        <v>1.0</v>
      </c>
      <c r="O662" s="8">
        <v>-1223.0</v>
      </c>
      <c r="P662" s="8">
        <v>1253.0</v>
      </c>
      <c r="R662" s="8" t="s">
        <v>2197</v>
      </c>
      <c r="T662" s="8">
        <v>66.0</v>
      </c>
    </row>
    <row r="663" ht="22.5" customHeight="1">
      <c r="A663" s="8">
        <v>1.0</v>
      </c>
      <c r="B663" s="9" t="s">
        <v>209</v>
      </c>
      <c r="C663" s="8" t="s">
        <v>136</v>
      </c>
      <c r="D663" s="8" t="s">
        <v>2165</v>
      </c>
      <c r="E663" s="9" t="s">
        <v>38</v>
      </c>
      <c r="F663" s="8">
        <v>4.0</v>
      </c>
      <c r="H663" s="8">
        <v>2000.0</v>
      </c>
      <c r="I663" s="8">
        <v>8000.0</v>
      </c>
      <c r="J663" s="8">
        <v>8000.0</v>
      </c>
      <c r="L663" s="15">
        <v>46365.0</v>
      </c>
      <c r="M663" s="15">
        <v>46031.0</v>
      </c>
      <c r="O663" s="8">
        <v>-1231.0</v>
      </c>
      <c r="P663" s="8">
        <v>1261.0</v>
      </c>
      <c r="R663" s="8" t="s">
        <v>2198</v>
      </c>
      <c r="T663" s="8">
        <v>67.0</v>
      </c>
    </row>
    <row r="664" ht="22.5" customHeight="1">
      <c r="A664" s="8" t="s">
        <v>1864</v>
      </c>
      <c r="B664" s="9" t="s">
        <v>187</v>
      </c>
      <c r="C664" s="8" t="s">
        <v>794</v>
      </c>
      <c r="D664" s="8" t="s">
        <v>2119</v>
      </c>
      <c r="E664" s="9" t="s">
        <v>188</v>
      </c>
      <c r="F664" s="8">
        <v>2.0</v>
      </c>
      <c r="H664" s="8" t="s">
        <v>2120</v>
      </c>
      <c r="I664" s="8">
        <v>2000.0</v>
      </c>
      <c r="L664" s="15">
        <v>46366.0</v>
      </c>
      <c r="M664" s="15">
        <v>46032.0</v>
      </c>
      <c r="O664" s="8">
        <v>-1230.0</v>
      </c>
      <c r="P664" s="8">
        <v>1260.0</v>
      </c>
      <c r="Q664" s="17">
        <v>46255.0</v>
      </c>
      <c r="R664" s="8" t="s">
        <v>2199</v>
      </c>
      <c r="T664" s="8">
        <v>68.0</v>
      </c>
    </row>
    <row r="665" ht="22.5" customHeight="1">
      <c r="B665" s="9" t="s">
        <v>269</v>
      </c>
      <c r="C665" s="8" t="s">
        <v>136</v>
      </c>
      <c r="D665" s="8" t="s">
        <v>1802</v>
      </c>
      <c r="E665" s="9" t="s">
        <v>29</v>
      </c>
      <c r="F665" s="8">
        <v>1.0</v>
      </c>
      <c r="H665" s="8">
        <v>250.0</v>
      </c>
      <c r="I665" s="8">
        <v>250.0</v>
      </c>
      <c r="J665" s="8">
        <v>5000.0</v>
      </c>
      <c r="K665" s="8">
        <v>0.0</v>
      </c>
      <c r="L665" s="15">
        <v>46366.0</v>
      </c>
      <c r="M665" s="15">
        <v>46032.0</v>
      </c>
      <c r="N665" s="8">
        <v>1.0</v>
      </c>
      <c r="O665" s="8">
        <v>-1230.0</v>
      </c>
      <c r="P665" s="8">
        <v>1260.0</v>
      </c>
      <c r="R665" s="8" t="s">
        <v>2200</v>
      </c>
      <c r="T665" s="8">
        <v>69.0</v>
      </c>
    </row>
    <row r="666" ht="22.5" customHeight="1">
      <c r="A666" s="8">
        <v>1.0</v>
      </c>
      <c r="B666" s="9" t="s">
        <v>236</v>
      </c>
      <c r="C666" s="8" t="s">
        <v>136</v>
      </c>
      <c r="D666" s="8" t="s">
        <v>1851</v>
      </c>
      <c r="E666" s="9" t="s">
        <v>29</v>
      </c>
      <c r="F666" s="8">
        <v>5.0</v>
      </c>
      <c r="H666" s="8">
        <v>100.0</v>
      </c>
      <c r="I666" s="8">
        <v>250.0</v>
      </c>
      <c r="J666" s="8">
        <v>5000.0</v>
      </c>
      <c r="K666" s="8">
        <v>0.0</v>
      </c>
      <c r="L666" s="15">
        <v>46372.0</v>
      </c>
      <c r="M666" s="15">
        <v>46038.0</v>
      </c>
      <c r="N666" s="8">
        <v>1.0</v>
      </c>
      <c r="O666" s="8">
        <v>-1224.0</v>
      </c>
      <c r="P666" s="8">
        <v>1254.0</v>
      </c>
      <c r="R666" s="8" t="s">
        <v>2201</v>
      </c>
      <c r="T666" s="8">
        <v>70.0</v>
      </c>
    </row>
    <row r="667" ht="22.5" customHeight="1">
      <c r="B667" s="9" t="s">
        <v>275</v>
      </c>
      <c r="C667" s="8" t="s">
        <v>2202</v>
      </c>
      <c r="F667" s="8">
        <v>1.0</v>
      </c>
      <c r="H667" s="8">
        <v>130.0</v>
      </c>
      <c r="I667" s="8">
        <v>130.0</v>
      </c>
      <c r="J667" s="8">
        <v>2600.0</v>
      </c>
      <c r="K667" s="8">
        <v>0.0</v>
      </c>
      <c r="L667" s="15">
        <v>46359.0</v>
      </c>
      <c r="M667" s="15">
        <v>46025.0</v>
      </c>
      <c r="N667" s="8">
        <v>1.0</v>
      </c>
      <c r="O667" s="8">
        <v>-1237.0</v>
      </c>
      <c r="P667" s="8">
        <v>1267.0</v>
      </c>
      <c r="R667" s="8" t="s">
        <v>2203</v>
      </c>
      <c r="T667" s="8">
        <v>71.0</v>
      </c>
    </row>
    <row r="668" ht="22.5" customHeight="1">
      <c r="A668" s="8" t="s">
        <v>2204</v>
      </c>
      <c r="B668" s="9" t="s">
        <v>278</v>
      </c>
      <c r="C668" s="8" t="s">
        <v>2202</v>
      </c>
      <c r="F668" s="8">
        <v>1.0</v>
      </c>
      <c r="H668" s="8">
        <v>130.0</v>
      </c>
      <c r="I668" s="8">
        <v>16.25</v>
      </c>
      <c r="J668" s="8">
        <v>325.0</v>
      </c>
      <c r="K668" s="8">
        <v>0.0</v>
      </c>
      <c r="L668" s="15">
        <v>46359.0</v>
      </c>
      <c r="M668" s="15">
        <v>46025.0</v>
      </c>
      <c r="N668" s="8">
        <v>1.0</v>
      </c>
      <c r="O668" s="8">
        <v>-1237.0</v>
      </c>
      <c r="P668" s="8">
        <v>1267.0</v>
      </c>
      <c r="R668" s="8" t="s">
        <v>2205</v>
      </c>
      <c r="T668" s="8">
        <v>72.0</v>
      </c>
    </row>
    <row r="669" ht="22.5" customHeight="1">
      <c r="B669" s="9" t="s">
        <v>284</v>
      </c>
      <c r="C669" s="8" t="s">
        <v>2202</v>
      </c>
      <c r="F669" s="8">
        <v>1.0</v>
      </c>
      <c r="H669" s="8">
        <v>130.0</v>
      </c>
      <c r="I669" s="8">
        <v>130.0</v>
      </c>
      <c r="J669" s="8">
        <v>2600.0</v>
      </c>
      <c r="K669" s="8">
        <v>0.0</v>
      </c>
      <c r="L669" s="15">
        <v>46359.0</v>
      </c>
      <c r="M669" s="15">
        <v>46025.0</v>
      </c>
      <c r="N669" s="8">
        <v>1.0</v>
      </c>
      <c r="O669" s="8">
        <v>-1237.0</v>
      </c>
      <c r="P669" s="8">
        <v>1267.0</v>
      </c>
      <c r="R669" s="8" t="s">
        <v>2206</v>
      </c>
      <c r="T669" s="8">
        <v>73.0</v>
      </c>
    </row>
    <row r="670" ht="22.5" customHeight="1">
      <c r="B670" s="9" t="s">
        <v>290</v>
      </c>
      <c r="C670" s="8" t="s">
        <v>2202</v>
      </c>
      <c r="D670" s="8" t="s">
        <v>2173</v>
      </c>
      <c r="E670" s="9" t="s">
        <v>29</v>
      </c>
      <c r="F670" s="8">
        <v>2.0</v>
      </c>
      <c r="H670" s="8">
        <v>2500.0</v>
      </c>
      <c r="I670" s="8">
        <v>5000.0</v>
      </c>
      <c r="J670" s="8">
        <v>5000.0</v>
      </c>
      <c r="K670" s="8">
        <v>0.0</v>
      </c>
      <c r="L670" s="15">
        <v>46362.0</v>
      </c>
      <c r="M670" s="15">
        <v>46028.0</v>
      </c>
      <c r="N670" s="8">
        <v>1.0</v>
      </c>
      <c r="O670" s="8">
        <v>-1234.0</v>
      </c>
      <c r="P670" s="8">
        <v>1264.0</v>
      </c>
      <c r="R670" s="8" t="s">
        <v>2207</v>
      </c>
      <c r="T670" s="8">
        <v>74.0</v>
      </c>
    </row>
    <row r="671" ht="22.5" customHeight="1">
      <c r="A671" s="8" t="s">
        <v>2192</v>
      </c>
      <c r="B671" s="9" t="s">
        <v>266</v>
      </c>
      <c r="C671" s="8" t="s">
        <v>136</v>
      </c>
      <c r="D671" s="8" t="s">
        <v>1563</v>
      </c>
      <c r="E671" s="9" t="s">
        <v>29</v>
      </c>
      <c r="F671" s="8">
        <v>1.0</v>
      </c>
      <c r="H671" s="8">
        <v>150.0</v>
      </c>
      <c r="I671" s="8">
        <v>150.0</v>
      </c>
      <c r="J671" s="8">
        <v>3000.0</v>
      </c>
      <c r="K671" s="8">
        <v>0.0</v>
      </c>
      <c r="L671" s="15">
        <v>46359.0</v>
      </c>
      <c r="M671" s="15">
        <v>46025.0</v>
      </c>
      <c r="N671" s="8">
        <v>1.0</v>
      </c>
      <c r="O671" s="8">
        <v>-1237.0</v>
      </c>
      <c r="P671" s="8">
        <v>1267.0</v>
      </c>
      <c r="R671" s="8" t="s">
        <v>2208</v>
      </c>
      <c r="T671" s="8">
        <v>75.0</v>
      </c>
    </row>
    <row r="672" ht="22.5" customHeight="1">
      <c r="B672" s="9" t="s">
        <v>257</v>
      </c>
      <c r="C672" s="8" t="s">
        <v>136</v>
      </c>
      <c r="D672" s="8" t="s">
        <v>1936</v>
      </c>
      <c r="E672" s="9" t="s">
        <v>29</v>
      </c>
      <c r="F672" s="8">
        <v>4.0</v>
      </c>
      <c r="H672" s="8">
        <v>100.0</v>
      </c>
      <c r="I672" s="8">
        <v>400.0</v>
      </c>
      <c r="J672" s="8">
        <v>8000.0</v>
      </c>
      <c r="K672" s="8" t="s">
        <v>2000</v>
      </c>
      <c r="L672" s="15">
        <v>46364.0</v>
      </c>
      <c r="M672" s="15">
        <v>46030.0</v>
      </c>
      <c r="N672" s="8">
        <v>0.0</v>
      </c>
      <c r="O672" s="8">
        <v>-1232.0</v>
      </c>
      <c r="P672" s="8">
        <v>1262.0</v>
      </c>
      <c r="R672" s="8" t="s">
        <v>2209</v>
      </c>
      <c r="T672" s="8">
        <v>76.0</v>
      </c>
    </row>
    <row r="673" ht="22.5" customHeight="1">
      <c r="A673" s="8">
        <v>1.0</v>
      </c>
      <c r="B673" s="9" t="s">
        <v>233</v>
      </c>
      <c r="C673" s="8" t="s">
        <v>136</v>
      </c>
      <c r="D673" s="8" t="s">
        <v>1851</v>
      </c>
      <c r="E673" s="9" t="s">
        <v>29</v>
      </c>
      <c r="F673" s="8">
        <v>5.0</v>
      </c>
      <c r="H673" s="8">
        <v>100.0</v>
      </c>
      <c r="I673" s="8">
        <v>500.0</v>
      </c>
      <c r="J673" s="8">
        <v>10000.0</v>
      </c>
      <c r="K673" s="8">
        <v>0.0</v>
      </c>
      <c r="L673" s="15">
        <v>46365.0</v>
      </c>
      <c r="M673" s="15">
        <v>46031.0</v>
      </c>
      <c r="N673" s="8">
        <v>1.0</v>
      </c>
      <c r="O673" s="8">
        <v>-1231.0</v>
      </c>
      <c r="P673" s="8">
        <v>1261.0</v>
      </c>
      <c r="R673" s="8" t="s">
        <v>2210</v>
      </c>
      <c r="T673" s="8">
        <v>77.0</v>
      </c>
    </row>
    <row r="674" ht="22.5" customHeight="1">
      <c r="A674" s="8">
        <v>1.0</v>
      </c>
      <c r="B674" s="9" t="s">
        <v>204</v>
      </c>
      <c r="C674" s="8" t="s">
        <v>136</v>
      </c>
      <c r="D674" s="8" t="s">
        <v>2189</v>
      </c>
      <c r="E674" s="9" t="s">
        <v>38</v>
      </c>
      <c r="F674" s="8">
        <v>3.0</v>
      </c>
      <c r="H674" s="8">
        <v>1500.0</v>
      </c>
      <c r="I674" s="8">
        <v>4500.0</v>
      </c>
      <c r="J674" s="8">
        <v>4500.0</v>
      </c>
      <c r="K674" s="8">
        <v>0.0</v>
      </c>
      <c r="L674" s="15">
        <v>46376.0</v>
      </c>
      <c r="M674" s="15">
        <v>46042.0</v>
      </c>
      <c r="N674" s="8">
        <v>1.0</v>
      </c>
      <c r="O674" s="8">
        <v>-1220.0</v>
      </c>
      <c r="P674" s="8">
        <v>1250.0</v>
      </c>
      <c r="R674" s="8" t="s">
        <v>2211</v>
      </c>
      <c r="T674" s="8">
        <v>78.0</v>
      </c>
    </row>
    <row r="675" ht="22.5" customHeight="1">
      <c r="A675" s="8">
        <v>1.0</v>
      </c>
      <c r="B675" s="9" t="s">
        <v>242</v>
      </c>
      <c r="C675" s="8" t="s">
        <v>136</v>
      </c>
      <c r="D675" s="8" t="s">
        <v>1851</v>
      </c>
      <c r="E675" s="9" t="s">
        <v>29</v>
      </c>
      <c r="F675" s="8">
        <v>5.0</v>
      </c>
      <c r="H675" s="8">
        <v>100.0</v>
      </c>
      <c r="I675" s="8">
        <v>500.0</v>
      </c>
      <c r="J675" s="8">
        <v>10000.0</v>
      </c>
      <c r="K675" s="8">
        <v>10000.0</v>
      </c>
      <c r="L675" s="15">
        <v>46380.0</v>
      </c>
      <c r="M675" s="15">
        <v>46046.0</v>
      </c>
      <c r="N675" s="8">
        <v>0.0</v>
      </c>
      <c r="O675" s="8">
        <v>-1216.0</v>
      </c>
      <c r="P675" s="8">
        <v>1246.0</v>
      </c>
      <c r="R675" s="8" t="s">
        <v>2212</v>
      </c>
      <c r="T675" s="8">
        <v>79.0</v>
      </c>
    </row>
    <row r="676" ht="22.5" customHeight="1">
      <c r="A676" s="8">
        <v>1.0</v>
      </c>
      <c r="B676" s="9" t="s">
        <v>239</v>
      </c>
      <c r="C676" s="8" t="s">
        <v>136</v>
      </c>
      <c r="D676" s="8" t="s">
        <v>1851</v>
      </c>
      <c r="E676" s="9" t="s">
        <v>29</v>
      </c>
      <c r="F676" s="8">
        <v>5.0</v>
      </c>
      <c r="H676" s="8">
        <v>100.0</v>
      </c>
      <c r="I676" s="8">
        <v>500.0</v>
      </c>
      <c r="J676" s="8">
        <v>10000.0</v>
      </c>
      <c r="K676" s="8">
        <v>0.0</v>
      </c>
      <c r="L676" s="15">
        <v>46381.0</v>
      </c>
      <c r="M676" s="15">
        <v>46047.0</v>
      </c>
      <c r="N676" s="8">
        <v>1.0</v>
      </c>
      <c r="O676" s="8">
        <v>-1215.0</v>
      </c>
      <c r="P676" s="8">
        <v>1245.0</v>
      </c>
      <c r="R676" s="8" t="s">
        <v>2213</v>
      </c>
      <c r="T676" s="8">
        <v>80.0</v>
      </c>
    </row>
    <row r="677" ht="22.5" customHeight="1">
      <c r="A677" s="8">
        <v>1.0</v>
      </c>
      <c r="B677" s="9" t="s">
        <v>198</v>
      </c>
      <c r="C677" s="8" t="s">
        <v>136</v>
      </c>
      <c r="D677" s="8" t="s">
        <v>1851</v>
      </c>
      <c r="E677" s="9" t="s">
        <v>29</v>
      </c>
      <c r="F677" s="8">
        <v>3.0</v>
      </c>
      <c r="H677" s="8">
        <v>100.0</v>
      </c>
      <c r="I677" s="8">
        <v>300.0</v>
      </c>
      <c r="J677" s="8">
        <v>6000.0</v>
      </c>
      <c r="K677" s="8">
        <v>6000.0</v>
      </c>
      <c r="L677" s="15">
        <v>46378.0</v>
      </c>
      <c r="M677" s="15">
        <v>46044.0</v>
      </c>
      <c r="N677" s="8">
        <v>0.0</v>
      </c>
      <c r="O677" s="8">
        <v>-1218.0</v>
      </c>
      <c r="P677" s="8">
        <v>1248.0</v>
      </c>
      <c r="R677" s="8" t="s">
        <v>2214</v>
      </c>
      <c r="T677" s="8">
        <v>81.0</v>
      </c>
    </row>
    <row r="678" ht="22.5" customHeight="1">
      <c r="A678" s="8" t="s">
        <v>1864</v>
      </c>
      <c r="B678" s="9" t="s">
        <v>221</v>
      </c>
      <c r="C678" s="8" t="s">
        <v>794</v>
      </c>
      <c r="D678" s="8" t="s">
        <v>2215</v>
      </c>
      <c r="E678" s="9" t="s">
        <v>38</v>
      </c>
      <c r="F678" s="8">
        <v>4.0</v>
      </c>
      <c r="H678" s="8">
        <v>2000.0</v>
      </c>
      <c r="I678" s="8">
        <v>8000.0</v>
      </c>
      <c r="L678" s="15">
        <v>46366.0</v>
      </c>
      <c r="M678" s="15">
        <v>46032.0</v>
      </c>
      <c r="O678" s="8">
        <v>-1230.0</v>
      </c>
      <c r="P678" s="8">
        <v>1260.0</v>
      </c>
      <c r="R678" s="8" t="s">
        <v>2216</v>
      </c>
      <c r="T678" s="8">
        <v>82.0</v>
      </c>
    </row>
    <row r="679" ht="22.5" customHeight="1">
      <c r="B679" s="9" t="s">
        <v>251</v>
      </c>
      <c r="C679" s="8" t="s">
        <v>136</v>
      </c>
      <c r="D679" s="8" t="s">
        <v>1851</v>
      </c>
      <c r="E679" s="9" t="s">
        <v>29</v>
      </c>
      <c r="F679" s="8">
        <v>5.0</v>
      </c>
      <c r="H679" s="8">
        <v>100.0</v>
      </c>
      <c r="I679" s="8">
        <v>500.0</v>
      </c>
      <c r="J679" s="8">
        <v>10000.0</v>
      </c>
      <c r="K679" s="8" t="s">
        <v>2000</v>
      </c>
      <c r="L679" s="15">
        <v>46384.0</v>
      </c>
      <c r="M679" s="15">
        <v>46050.0</v>
      </c>
      <c r="N679" s="8">
        <v>0.0</v>
      </c>
      <c r="O679" s="8">
        <v>-1212.0</v>
      </c>
      <c r="P679" s="8">
        <v>1242.0</v>
      </c>
      <c r="R679" s="8" t="s">
        <v>2217</v>
      </c>
      <c r="T679" s="8">
        <v>83.0</v>
      </c>
    </row>
    <row r="680" ht="22.5" customHeight="1">
      <c r="B680" s="9" t="s">
        <v>254</v>
      </c>
      <c r="C680" s="8" t="s">
        <v>136</v>
      </c>
      <c r="D680" s="8" t="s">
        <v>1873</v>
      </c>
      <c r="E680" s="9" t="s">
        <v>29</v>
      </c>
      <c r="F680" s="8">
        <v>3.0</v>
      </c>
      <c r="H680" s="8">
        <v>120.0</v>
      </c>
      <c r="I680" s="8">
        <v>360.0</v>
      </c>
      <c r="J680" s="8">
        <v>7200.0</v>
      </c>
      <c r="K680" s="8">
        <v>0.0</v>
      </c>
      <c r="L680" s="15">
        <v>46360.0</v>
      </c>
      <c r="M680" s="15">
        <v>46026.0</v>
      </c>
      <c r="N680" s="8">
        <v>1.0</v>
      </c>
      <c r="O680" s="8">
        <v>-1236.0</v>
      </c>
      <c r="P680" s="8">
        <v>1266.0</v>
      </c>
      <c r="R680" s="8" t="s">
        <v>2218</v>
      </c>
      <c r="T680" s="8">
        <v>84.0</v>
      </c>
    </row>
    <row r="681" ht="22.5" customHeight="1">
      <c r="B681" s="9" t="s">
        <v>272</v>
      </c>
      <c r="C681" s="8" t="s">
        <v>136</v>
      </c>
      <c r="D681" s="8" t="s">
        <v>1873</v>
      </c>
      <c r="E681" s="9" t="s">
        <v>29</v>
      </c>
      <c r="F681" s="8">
        <v>3.0</v>
      </c>
      <c r="H681" s="8">
        <v>130.0</v>
      </c>
      <c r="I681" s="8">
        <v>390.0</v>
      </c>
      <c r="J681" s="8">
        <v>7800.0</v>
      </c>
      <c r="K681" s="8">
        <v>0.0</v>
      </c>
      <c r="L681" s="15">
        <v>46372.0</v>
      </c>
      <c r="M681" s="15">
        <v>46038.0</v>
      </c>
      <c r="N681" s="8">
        <v>1.0</v>
      </c>
      <c r="O681" s="8">
        <v>-1224.0</v>
      </c>
      <c r="P681" s="8">
        <v>1254.0</v>
      </c>
      <c r="T681" s="8">
        <v>85.0</v>
      </c>
    </row>
    <row r="682" ht="22.5" customHeight="1">
      <c r="B682" s="9" t="s">
        <v>281</v>
      </c>
      <c r="C682" s="8" t="s">
        <v>136</v>
      </c>
      <c r="D682" s="8" t="s">
        <v>2081</v>
      </c>
      <c r="E682" s="9" t="s">
        <v>29</v>
      </c>
      <c r="F682" s="8">
        <v>1.0</v>
      </c>
      <c r="H682" s="8">
        <v>130.0</v>
      </c>
      <c r="I682" s="8">
        <v>130.0</v>
      </c>
      <c r="J682" s="8">
        <v>2600.0</v>
      </c>
      <c r="K682" s="8">
        <v>0.0</v>
      </c>
      <c r="L682" s="15">
        <v>46359.0</v>
      </c>
      <c r="M682" s="15">
        <v>46025.0</v>
      </c>
      <c r="N682" s="8">
        <v>1.0</v>
      </c>
      <c r="O682" s="8">
        <v>-1237.0</v>
      </c>
      <c r="P682" s="8">
        <v>1267.0</v>
      </c>
      <c r="T682" s="8">
        <v>86.0</v>
      </c>
    </row>
    <row r="683" ht="22.5" customHeight="1">
      <c r="A683" s="8">
        <v>1.0</v>
      </c>
      <c r="B683" s="9" t="s">
        <v>230</v>
      </c>
      <c r="C683" s="8" t="s">
        <v>136</v>
      </c>
      <c r="D683" s="8" t="s">
        <v>1851</v>
      </c>
      <c r="E683" s="9" t="s">
        <v>29</v>
      </c>
      <c r="F683" s="8">
        <v>5.0</v>
      </c>
      <c r="H683" s="8">
        <v>120.0</v>
      </c>
      <c r="I683" s="8">
        <v>500.0</v>
      </c>
      <c r="J683" s="8">
        <v>10000.0</v>
      </c>
      <c r="K683" s="8">
        <v>0.0</v>
      </c>
      <c r="L683" s="15">
        <v>46365.0</v>
      </c>
      <c r="M683" s="15">
        <v>46031.0</v>
      </c>
      <c r="N683" s="8">
        <v>1.0</v>
      </c>
      <c r="O683" s="8">
        <v>-1231.0</v>
      </c>
      <c r="P683" s="8">
        <v>1261.0</v>
      </c>
      <c r="R683" s="8" t="s">
        <v>2219</v>
      </c>
      <c r="T683" s="8">
        <v>87.0</v>
      </c>
    </row>
    <row r="684" ht="22.5" customHeight="1">
      <c r="B684" s="9" t="s">
        <v>260</v>
      </c>
      <c r="C684" s="8" t="s">
        <v>136</v>
      </c>
      <c r="D684" s="8" t="s">
        <v>2189</v>
      </c>
      <c r="E684" s="9" t="s">
        <v>38</v>
      </c>
      <c r="F684" s="8">
        <v>3.0</v>
      </c>
      <c r="H684" s="8">
        <v>2500.0</v>
      </c>
      <c r="I684" s="8">
        <v>7500.0</v>
      </c>
      <c r="J684" s="8">
        <v>7500.0</v>
      </c>
      <c r="K684" s="8">
        <v>0.0</v>
      </c>
      <c r="L684" s="15">
        <v>46357.0</v>
      </c>
      <c r="M684" s="15">
        <v>46023.0</v>
      </c>
      <c r="N684" s="8">
        <v>1.0</v>
      </c>
      <c r="O684" s="8">
        <v>-1239.0</v>
      </c>
      <c r="P684" s="8">
        <v>1269.0</v>
      </c>
      <c r="R684" s="8" t="s">
        <v>2220</v>
      </c>
      <c r="T684" s="8">
        <v>88.0</v>
      </c>
    </row>
    <row r="685" ht="22.5" customHeight="1">
      <c r="A685" s="8">
        <v>1.0</v>
      </c>
      <c r="B685" s="9" t="s">
        <v>195</v>
      </c>
      <c r="C685" s="8" t="s">
        <v>136</v>
      </c>
      <c r="D685" s="8" t="s">
        <v>2189</v>
      </c>
      <c r="E685" s="9" t="s">
        <v>38</v>
      </c>
      <c r="F685" s="8">
        <v>3.0</v>
      </c>
      <c r="H685" s="8">
        <v>2000.0</v>
      </c>
      <c r="I685" s="8">
        <v>6000.0</v>
      </c>
      <c r="J685" s="8">
        <v>6000.0</v>
      </c>
      <c r="K685" s="8">
        <v>0.0</v>
      </c>
      <c r="L685" s="15">
        <v>46366.0</v>
      </c>
      <c r="N685" s="8">
        <v>1.0</v>
      </c>
      <c r="P685" s="8">
        <v>30.0</v>
      </c>
      <c r="R685" s="8" t="s">
        <v>2221</v>
      </c>
      <c r="T685" s="8">
        <v>89.0</v>
      </c>
    </row>
    <row r="686" ht="22.5" customHeight="1">
      <c r="A686" s="8" t="s">
        <v>2222</v>
      </c>
      <c r="B686" s="9" t="s">
        <v>248</v>
      </c>
      <c r="C686" s="8" t="s">
        <v>136</v>
      </c>
      <c r="D686" s="8" t="s">
        <v>1851</v>
      </c>
      <c r="E686" s="9" t="s">
        <v>29</v>
      </c>
      <c r="F686" s="8">
        <v>5.0</v>
      </c>
      <c r="H686" s="8">
        <v>100.0</v>
      </c>
      <c r="I686" s="8">
        <v>500.0</v>
      </c>
      <c r="J686" s="8">
        <v>10000.0</v>
      </c>
      <c r="K686" s="8">
        <v>0.0</v>
      </c>
      <c r="L686" s="15">
        <v>46386.0</v>
      </c>
      <c r="M686" s="15">
        <v>46052.0</v>
      </c>
      <c r="N686" s="8">
        <v>1.0</v>
      </c>
      <c r="O686" s="8">
        <v>-1210.0</v>
      </c>
      <c r="P686" s="8">
        <v>1240.0</v>
      </c>
      <c r="R686" s="8" t="s">
        <v>2223</v>
      </c>
      <c r="T686" s="8">
        <v>90.0</v>
      </c>
    </row>
    <row r="687" ht="22.5" customHeight="1">
      <c r="A687" s="8">
        <v>1.0</v>
      </c>
      <c r="B687" s="9" t="s">
        <v>142</v>
      </c>
      <c r="C687" s="8" t="s">
        <v>136</v>
      </c>
      <c r="D687" s="8" t="s">
        <v>2055</v>
      </c>
      <c r="E687" s="9" t="s">
        <v>29</v>
      </c>
      <c r="F687" s="8">
        <v>6.0</v>
      </c>
      <c r="H687" s="8">
        <v>120.0</v>
      </c>
      <c r="I687" s="8">
        <v>600.0</v>
      </c>
      <c r="J687" s="8">
        <v>12000.0</v>
      </c>
      <c r="K687" s="8">
        <v>0.0</v>
      </c>
      <c r="L687" s="15">
        <v>46358.0</v>
      </c>
      <c r="M687" s="15">
        <v>46024.0</v>
      </c>
      <c r="N687" s="8">
        <v>1.0</v>
      </c>
      <c r="O687" s="8">
        <v>-1238.0</v>
      </c>
      <c r="P687" s="8">
        <v>1268.0</v>
      </c>
      <c r="R687" s="8" t="s">
        <v>2224</v>
      </c>
      <c r="T687" s="8">
        <v>91.0</v>
      </c>
    </row>
    <row r="688" ht="22.5" customHeight="1">
      <c r="B688" s="9" t="s">
        <v>224</v>
      </c>
      <c r="C688" s="8" t="s">
        <v>136</v>
      </c>
      <c r="D688" s="8" t="s">
        <v>2225</v>
      </c>
      <c r="E688" s="9" t="s">
        <v>29</v>
      </c>
      <c r="F688" s="8">
        <v>1.0</v>
      </c>
      <c r="H688" s="8">
        <v>150.0</v>
      </c>
      <c r="I688" s="8">
        <v>150.0</v>
      </c>
      <c r="J688" s="8">
        <v>3000.0</v>
      </c>
      <c r="K688" s="8">
        <v>0.0</v>
      </c>
      <c r="L688" s="15">
        <v>46339.0</v>
      </c>
      <c r="M688" s="15">
        <v>46369.0</v>
      </c>
      <c r="N688" s="8">
        <v>1.0</v>
      </c>
      <c r="O688" s="8">
        <v>-1258.0</v>
      </c>
      <c r="P688" s="8">
        <v>1288.0</v>
      </c>
      <c r="R688" s="8" t="s">
        <v>2226</v>
      </c>
      <c r="T688" s="8">
        <v>43.0</v>
      </c>
    </row>
    <row r="689" ht="22.5" customHeight="1">
      <c r="A689" s="8">
        <v>1.0</v>
      </c>
      <c r="B689" s="9" t="s">
        <v>245</v>
      </c>
      <c r="C689" s="8" t="s">
        <v>136</v>
      </c>
      <c r="D689" s="8" t="s">
        <v>2195</v>
      </c>
      <c r="E689" s="8" t="s">
        <v>38</v>
      </c>
      <c r="F689" s="8">
        <v>2.0</v>
      </c>
      <c r="H689" s="8">
        <v>2500.0</v>
      </c>
      <c r="I689" s="8">
        <v>5000.0</v>
      </c>
      <c r="J689" s="8">
        <v>5000.0</v>
      </c>
      <c r="K689" s="8">
        <v>0.0</v>
      </c>
      <c r="L689" s="15">
        <v>46335.0</v>
      </c>
      <c r="M689" s="15">
        <v>46365.0</v>
      </c>
      <c r="N689" s="8">
        <v>1.0</v>
      </c>
      <c r="O689" s="8">
        <v>-1262.0</v>
      </c>
      <c r="P689" s="8">
        <v>1292.0</v>
      </c>
      <c r="R689" s="8" t="s">
        <v>2227</v>
      </c>
      <c r="T689" s="8">
        <v>44.0</v>
      </c>
    </row>
    <row r="690" ht="22.5" customHeight="1">
      <c r="A690" s="8">
        <v>1.0</v>
      </c>
      <c r="B690" s="9" t="s">
        <v>218</v>
      </c>
      <c r="C690" s="8" t="s">
        <v>136</v>
      </c>
      <c r="D690" s="8" t="s">
        <v>2073</v>
      </c>
      <c r="E690" s="8" t="s">
        <v>38</v>
      </c>
      <c r="F690" s="8">
        <v>5.0</v>
      </c>
      <c r="H690" s="8">
        <v>1350.0</v>
      </c>
      <c r="I690" s="8">
        <v>6750.0</v>
      </c>
      <c r="J690" s="8">
        <v>6750.0</v>
      </c>
      <c r="K690" s="8">
        <v>0.0</v>
      </c>
      <c r="L690" s="15">
        <v>46343.0</v>
      </c>
      <c r="M690" s="15">
        <v>46373.0</v>
      </c>
      <c r="N690" s="8">
        <v>1.0</v>
      </c>
      <c r="O690" s="8">
        <v>-1254.0</v>
      </c>
      <c r="P690" s="8">
        <v>1284.0</v>
      </c>
      <c r="R690" s="8" t="s">
        <v>2228</v>
      </c>
      <c r="T690" s="8">
        <v>45.0</v>
      </c>
    </row>
    <row r="691" ht="22.5" customHeight="1">
      <c r="A691" s="8">
        <v>1.0</v>
      </c>
      <c r="B691" s="9" t="s">
        <v>209</v>
      </c>
      <c r="C691" s="8" t="s">
        <v>136</v>
      </c>
      <c r="D691" s="8" t="s">
        <v>2165</v>
      </c>
      <c r="E691" s="9" t="s">
        <v>38</v>
      </c>
      <c r="F691" s="8">
        <v>4.0</v>
      </c>
      <c r="H691" s="8">
        <v>2000.0</v>
      </c>
      <c r="I691" s="8">
        <v>8000.0</v>
      </c>
      <c r="J691" s="8">
        <v>8000.0</v>
      </c>
      <c r="K691" s="8">
        <v>0.0</v>
      </c>
      <c r="L691" s="15">
        <v>46335.0</v>
      </c>
      <c r="M691" s="15">
        <v>46365.0</v>
      </c>
      <c r="N691" s="8">
        <v>1.0</v>
      </c>
      <c r="O691" s="8">
        <v>-1262.0</v>
      </c>
      <c r="P691" s="8">
        <v>1292.0</v>
      </c>
      <c r="R691" s="8" t="s">
        <v>2229</v>
      </c>
      <c r="T691" s="8">
        <v>46.0</v>
      </c>
    </row>
    <row r="692" ht="22.5" customHeight="1">
      <c r="B692" s="9" t="s">
        <v>269</v>
      </c>
      <c r="C692" s="8" t="s">
        <v>136</v>
      </c>
      <c r="D692" s="8" t="s">
        <v>1802</v>
      </c>
      <c r="E692" s="9" t="s">
        <v>29</v>
      </c>
      <c r="F692" s="8">
        <v>1.0</v>
      </c>
      <c r="H692" s="8">
        <v>250.0</v>
      </c>
      <c r="I692" s="8">
        <v>250.0</v>
      </c>
      <c r="J692" s="8">
        <v>5000.0</v>
      </c>
      <c r="K692" s="8">
        <v>0.0</v>
      </c>
      <c r="L692" s="15">
        <v>46336.0</v>
      </c>
      <c r="M692" s="15">
        <v>46366.0</v>
      </c>
      <c r="N692" s="8">
        <v>1.0</v>
      </c>
      <c r="O692" s="8">
        <v>-1261.0</v>
      </c>
      <c r="P692" s="8">
        <v>1291.0</v>
      </c>
      <c r="R692" s="8" t="s">
        <v>2230</v>
      </c>
      <c r="T692" s="8">
        <v>47.0</v>
      </c>
    </row>
    <row r="693" ht="22.5" customHeight="1">
      <c r="A693" s="8">
        <v>1.0</v>
      </c>
      <c r="B693" s="9" t="s">
        <v>236</v>
      </c>
      <c r="C693" s="8" t="s">
        <v>136</v>
      </c>
      <c r="D693" s="8" t="s">
        <v>1851</v>
      </c>
      <c r="E693" s="9" t="s">
        <v>29</v>
      </c>
      <c r="F693" s="8">
        <v>5.0</v>
      </c>
      <c r="H693" s="8">
        <v>100.0</v>
      </c>
      <c r="I693" s="8">
        <v>250.0</v>
      </c>
      <c r="J693" s="8">
        <v>5000.0</v>
      </c>
      <c r="K693" s="8">
        <v>0.0</v>
      </c>
      <c r="L693" s="15">
        <v>46342.0</v>
      </c>
      <c r="M693" s="15">
        <v>46372.0</v>
      </c>
      <c r="N693" s="8">
        <v>1.0</v>
      </c>
      <c r="O693" s="8">
        <v>-1255.0</v>
      </c>
      <c r="P693" s="8">
        <v>1285.0</v>
      </c>
      <c r="R693" s="8" t="s">
        <v>2231</v>
      </c>
      <c r="T693" s="8">
        <v>48.0</v>
      </c>
    </row>
    <row r="694" ht="22.5" customHeight="1">
      <c r="B694" s="9" t="s">
        <v>266</v>
      </c>
      <c r="C694" s="8" t="s">
        <v>136</v>
      </c>
      <c r="D694" s="8" t="s">
        <v>1563</v>
      </c>
      <c r="E694" s="9" t="s">
        <v>29</v>
      </c>
      <c r="F694" s="8">
        <v>1.0</v>
      </c>
      <c r="H694" s="8">
        <v>150.0</v>
      </c>
      <c r="I694" s="8">
        <v>150.0</v>
      </c>
      <c r="J694" s="8">
        <v>3000.0</v>
      </c>
      <c r="K694" s="8">
        <v>0.0</v>
      </c>
      <c r="L694" s="15">
        <v>46329.0</v>
      </c>
      <c r="M694" s="15">
        <v>46359.0</v>
      </c>
      <c r="N694" s="8">
        <v>1.0</v>
      </c>
      <c r="O694" s="8">
        <v>-1268.0</v>
      </c>
      <c r="P694" s="8">
        <v>1298.0</v>
      </c>
      <c r="R694" s="8" t="s">
        <v>2232</v>
      </c>
      <c r="T694" s="8">
        <v>49.0</v>
      </c>
    </row>
    <row r="695" ht="22.5" customHeight="1">
      <c r="B695" s="9" t="s">
        <v>263</v>
      </c>
      <c r="C695" s="8" t="s">
        <v>136</v>
      </c>
      <c r="D695" s="8" t="s">
        <v>2108</v>
      </c>
      <c r="E695" s="9" t="s">
        <v>29</v>
      </c>
      <c r="F695" s="8">
        <v>3.0</v>
      </c>
      <c r="H695" s="8">
        <v>130.0</v>
      </c>
      <c r="I695" s="8">
        <v>100.0</v>
      </c>
      <c r="J695" s="8">
        <v>2000.0</v>
      </c>
      <c r="K695" s="8">
        <v>0.0</v>
      </c>
      <c r="L695" s="15">
        <v>46329.0</v>
      </c>
      <c r="M695" s="15">
        <v>46359.0</v>
      </c>
      <c r="N695" s="8">
        <v>1.0</v>
      </c>
      <c r="O695" s="8">
        <v>-1268.0</v>
      </c>
      <c r="P695" s="8">
        <v>1298.0</v>
      </c>
      <c r="R695" s="8" t="s">
        <v>2233</v>
      </c>
      <c r="T695" s="8">
        <v>50.0</v>
      </c>
    </row>
    <row r="696" ht="22.5" customHeight="1">
      <c r="A696" s="8" t="s">
        <v>2234</v>
      </c>
      <c r="B696" s="9" t="s">
        <v>257</v>
      </c>
      <c r="C696" s="8" t="s">
        <v>136</v>
      </c>
      <c r="D696" s="8" t="s">
        <v>2108</v>
      </c>
      <c r="E696" s="9" t="s">
        <v>29</v>
      </c>
      <c r="F696" s="8">
        <v>4.0</v>
      </c>
      <c r="H696" s="8">
        <v>100.0</v>
      </c>
      <c r="I696" s="8">
        <v>400.0</v>
      </c>
      <c r="J696" s="8">
        <v>8000.0</v>
      </c>
      <c r="K696" s="8">
        <v>8000.0</v>
      </c>
      <c r="L696" s="15">
        <v>46334.0</v>
      </c>
      <c r="M696" s="15">
        <v>46364.0</v>
      </c>
      <c r="N696" s="8">
        <v>0.0</v>
      </c>
      <c r="O696" s="8">
        <v>-1263.0</v>
      </c>
      <c r="P696" s="8">
        <v>1293.0</v>
      </c>
      <c r="R696" s="8" t="s">
        <v>2235</v>
      </c>
      <c r="T696" s="8">
        <v>51.0</v>
      </c>
    </row>
    <row r="697" ht="22.5" customHeight="1">
      <c r="A697" s="8">
        <v>1.0</v>
      </c>
      <c r="B697" s="9" t="s">
        <v>233</v>
      </c>
      <c r="C697" s="8" t="s">
        <v>136</v>
      </c>
      <c r="D697" s="8" t="s">
        <v>1851</v>
      </c>
      <c r="E697" s="9" t="s">
        <v>29</v>
      </c>
      <c r="F697" s="8">
        <v>5.0</v>
      </c>
      <c r="H697" s="8">
        <v>100.0</v>
      </c>
      <c r="I697" s="8">
        <v>500.0</v>
      </c>
      <c r="J697" s="8">
        <v>10000.0</v>
      </c>
      <c r="K697" s="8">
        <v>0.0</v>
      </c>
      <c r="L697" s="15">
        <v>46335.0</v>
      </c>
      <c r="M697" s="15">
        <v>46365.0</v>
      </c>
      <c r="N697" s="8">
        <v>1.0</v>
      </c>
      <c r="O697" s="8">
        <v>-1262.0</v>
      </c>
      <c r="P697" s="8">
        <v>1292.0</v>
      </c>
      <c r="R697" s="8" t="s">
        <v>2236</v>
      </c>
      <c r="T697" s="8">
        <v>52.0</v>
      </c>
    </row>
    <row r="698" ht="22.5" customHeight="1">
      <c r="A698" s="8">
        <v>1.0</v>
      </c>
      <c r="B698" s="9" t="s">
        <v>204</v>
      </c>
      <c r="C698" s="8" t="s">
        <v>136</v>
      </c>
      <c r="D698" s="8" t="s">
        <v>2189</v>
      </c>
      <c r="E698" s="9" t="s">
        <v>38</v>
      </c>
      <c r="F698" s="8">
        <v>3.0</v>
      </c>
      <c r="H698" s="8">
        <v>1500.0</v>
      </c>
      <c r="I698" s="8">
        <v>4500.0</v>
      </c>
      <c r="J698" s="8">
        <v>4500.0</v>
      </c>
      <c r="K698" s="8">
        <v>0.0</v>
      </c>
      <c r="L698" s="15">
        <v>46346.0</v>
      </c>
      <c r="M698" s="15">
        <v>46376.0</v>
      </c>
      <c r="N698" s="8">
        <v>1.0</v>
      </c>
      <c r="O698" s="8">
        <v>-1251.0</v>
      </c>
      <c r="P698" s="8">
        <v>1281.0</v>
      </c>
      <c r="R698" s="8" t="s">
        <v>2237</v>
      </c>
      <c r="T698" s="8">
        <v>53.0</v>
      </c>
    </row>
    <row r="699" ht="22.5" customHeight="1">
      <c r="A699" s="8">
        <v>1.0</v>
      </c>
      <c r="B699" s="9" t="s">
        <v>242</v>
      </c>
      <c r="C699" s="8" t="s">
        <v>136</v>
      </c>
      <c r="D699" s="8" t="s">
        <v>1851</v>
      </c>
      <c r="E699" s="9" t="s">
        <v>29</v>
      </c>
      <c r="F699" s="8">
        <v>5.0</v>
      </c>
      <c r="H699" s="8">
        <v>100.0</v>
      </c>
      <c r="I699" s="8">
        <v>500.0</v>
      </c>
      <c r="J699" s="8">
        <v>10000.0</v>
      </c>
      <c r="K699" s="8" t="s">
        <v>2000</v>
      </c>
      <c r="L699" s="15">
        <v>46350.0</v>
      </c>
      <c r="M699" s="15">
        <v>46380.0</v>
      </c>
      <c r="N699" s="8">
        <v>0.0</v>
      </c>
      <c r="O699" s="8">
        <v>-1247.0</v>
      </c>
      <c r="P699" s="8">
        <v>1277.0</v>
      </c>
      <c r="Q699" s="17">
        <v>46255.0</v>
      </c>
      <c r="R699" s="8" t="s">
        <v>2238</v>
      </c>
      <c r="T699" s="8">
        <v>54.0</v>
      </c>
    </row>
    <row r="700" ht="22.5" customHeight="1">
      <c r="A700" s="8">
        <v>1.0</v>
      </c>
      <c r="B700" s="9" t="s">
        <v>239</v>
      </c>
      <c r="C700" s="8" t="s">
        <v>136</v>
      </c>
      <c r="D700" s="8" t="s">
        <v>1851</v>
      </c>
      <c r="E700" s="9" t="s">
        <v>29</v>
      </c>
      <c r="F700" s="8">
        <v>5.0</v>
      </c>
      <c r="H700" s="8">
        <v>100.0</v>
      </c>
      <c r="I700" s="8">
        <v>500.0</v>
      </c>
      <c r="J700" s="8">
        <v>10000.0</v>
      </c>
      <c r="K700" s="8">
        <v>0.0</v>
      </c>
      <c r="L700" s="15">
        <v>46351.0</v>
      </c>
      <c r="M700" s="15">
        <v>46381.0</v>
      </c>
      <c r="N700" s="8">
        <v>1.0</v>
      </c>
      <c r="O700" s="8">
        <v>-1246.0</v>
      </c>
      <c r="P700" s="8">
        <v>1276.0</v>
      </c>
      <c r="Q700" s="17">
        <v>46255.0</v>
      </c>
      <c r="R700" s="8" t="s">
        <v>2239</v>
      </c>
      <c r="T700" s="8">
        <v>55.0</v>
      </c>
    </row>
    <row r="701" ht="22.5" customHeight="1">
      <c r="A701" s="8">
        <v>1.0</v>
      </c>
      <c r="B701" s="9" t="s">
        <v>198</v>
      </c>
      <c r="C701" s="8" t="s">
        <v>136</v>
      </c>
      <c r="D701" s="8" t="s">
        <v>2108</v>
      </c>
      <c r="E701" s="9" t="s">
        <v>29</v>
      </c>
      <c r="F701" s="8">
        <v>3.0</v>
      </c>
      <c r="H701" s="8">
        <v>100.0</v>
      </c>
      <c r="I701" s="8">
        <v>300.0</v>
      </c>
      <c r="J701" s="8">
        <v>6000.0</v>
      </c>
      <c r="K701" s="8">
        <v>6000.0</v>
      </c>
      <c r="L701" s="15">
        <v>46348.0</v>
      </c>
      <c r="M701" s="15">
        <v>46378.0</v>
      </c>
      <c r="N701" s="8">
        <v>0.0</v>
      </c>
      <c r="O701" s="8">
        <v>-1249.0</v>
      </c>
      <c r="P701" s="8">
        <v>1279.0</v>
      </c>
      <c r="R701" s="8" t="s">
        <v>2240</v>
      </c>
      <c r="T701" s="8">
        <v>56.0</v>
      </c>
    </row>
    <row r="702" ht="22.5" customHeight="1">
      <c r="A702" s="8" t="s">
        <v>1864</v>
      </c>
      <c r="B702" s="9" t="s">
        <v>221</v>
      </c>
      <c r="C702" s="8" t="s">
        <v>136</v>
      </c>
      <c r="D702" s="8" t="s">
        <v>2189</v>
      </c>
      <c r="E702" s="9" t="s">
        <v>38</v>
      </c>
      <c r="F702" s="8">
        <v>3.0</v>
      </c>
      <c r="H702" s="8">
        <v>2000.0</v>
      </c>
      <c r="I702" s="8">
        <v>6000.0</v>
      </c>
      <c r="J702" s="8">
        <v>6000.0</v>
      </c>
      <c r="L702" s="15">
        <v>46336.0</v>
      </c>
      <c r="M702" s="15">
        <v>46366.0</v>
      </c>
      <c r="O702" s="8">
        <v>-1261.0</v>
      </c>
      <c r="P702" s="8">
        <v>1291.0</v>
      </c>
      <c r="R702" s="8" t="s">
        <v>2241</v>
      </c>
      <c r="T702" s="8">
        <v>57.0</v>
      </c>
    </row>
    <row r="703" ht="22.5" customHeight="1">
      <c r="B703" s="9" t="s">
        <v>251</v>
      </c>
      <c r="C703" s="8" t="s">
        <v>136</v>
      </c>
      <c r="D703" s="8" t="s">
        <v>1851</v>
      </c>
      <c r="E703" s="9" t="s">
        <v>29</v>
      </c>
      <c r="F703" s="8">
        <v>5.0</v>
      </c>
      <c r="H703" s="8">
        <v>100.0</v>
      </c>
      <c r="I703" s="8">
        <v>500.0</v>
      </c>
      <c r="J703" s="8">
        <v>10000.0</v>
      </c>
      <c r="K703" s="8">
        <v>10000.0</v>
      </c>
      <c r="L703" s="15">
        <v>46354.0</v>
      </c>
      <c r="M703" s="15">
        <v>46384.0</v>
      </c>
      <c r="N703" s="8">
        <v>0.0</v>
      </c>
      <c r="O703" s="8">
        <v>-1243.0</v>
      </c>
      <c r="P703" s="8">
        <v>1273.0</v>
      </c>
      <c r="R703" s="8" t="s">
        <v>2242</v>
      </c>
      <c r="T703" s="8">
        <v>58.0</v>
      </c>
    </row>
    <row r="704" ht="22.5" customHeight="1">
      <c r="A704" s="8" t="s">
        <v>1864</v>
      </c>
      <c r="B704" s="9" t="s">
        <v>254</v>
      </c>
      <c r="D704" s="8" t="s">
        <v>1873</v>
      </c>
      <c r="F704" s="8">
        <v>6.0</v>
      </c>
      <c r="H704" s="8">
        <v>100.0</v>
      </c>
      <c r="L704" s="15">
        <v>46356.0</v>
      </c>
      <c r="M704" s="15">
        <v>46386.0</v>
      </c>
      <c r="O704" s="8">
        <v>-1241.0</v>
      </c>
      <c r="P704" s="8">
        <v>1271.0</v>
      </c>
      <c r="R704" s="8" t="s">
        <v>2243</v>
      </c>
      <c r="T704" s="8">
        <v>59.0</v>
      </c>
    </row>
    <row r="705" ht="22.5" customHeight="1">
      <c r="A705" s="8">
        <v>1.0</v>
      </c>
      <c r="B705" s="9" t="s">
        <v>230</v>
      </c>
      <c r="C705" s="8" t="s">
        <v>136</v>
      </c>
      <c r="D705" s="8" t="s">
        <v>1851</v>
      </c>
      <c r="E705" s="9" t="s">
        <v>29</v>
      </c>
      <c r="F705" s="8">
        <v>5.0</v>
      </c>
      <c r="H705" s="8">
        <v>120.0</v>
      </c>
      <c r="I705" s="8">
        <v>500.0</v>
      </c>
      <c r="J705" s="8">
        <v>10000.0</v>
      </c>
      <c r="K705" s="8">
        <v>0.0</v>
      </c>
      <c r="L705" s="15">
        <v>46335.0</v>
      </c>
      <c r="M705" s="15">
        <v>46365.0</v>
      </c>
      <c r="N705" s="8">
        <v>1.0</v>
      </c>
      <c r="O705" s="8">
        <v>-1262.0</v>
      </c>
      <c r="P705" s="8">
        <v>1292.0</v>
      </c>
      <c r="R705" s="8" t="s">
        <v>2244</v>
      </c>
      <c r="T705" s="8">
        <v>60.0</v>
      </c>
    </row>
    <row r="706" ht="22.5" customHeight="1">
      <c r="B706" s="9" t="s">
        <v>260</v>
      </c>
      <c r="C706" s="8" t="s">
        <v>136</v>
      </c>
      <c r="D706" s="8" t="s">
        <v>2189</v>
      </c>
      <c r="E706" s="9" t="s">
        <v>38</v>
      </c>
      <c r="F706" s="8">
        <v>3.0</v>
      </c>
      <c r="H706" s="8">
        <v>2500.0</v>
      </c>
      <c r="I706" s="8">
        <v>7500.0</v>
      </c>
      <c r="J706" s="8">
        <v>0.0</v>
      </c>
      <c r="K706" s="8">
        <v>0.0</v>
      </c>
      <c r="L706" s="15">
        <v>46327.0</v>
      </c>
      <c r="M706" s="15">
        <v>46357.0</v>
      </c>
      <c r="N706" s="8">
        <v>1.0</v>
      </c>
      <c r="O706" s="8">
        <v>-1270.0</v>
      </c>
      <c r="P706" s="8">
        <v>1300.0</v>
      </c>
      <c r="R706" s="8" t="s">
        <v>2245</v>
      </c>
      <c r="T706" s="8">
        <v>61.0</v>
      </c>
    </row>
    <row r="707" ht="22.5" customHeight="1">
      <c r="A707" s="8">
        <v>1.0</v>
      </c>
      <c r="B707" s="9" t="s">
        <v>195</v>
      </c>
      <c r="C707" s="8" t="s">
        <v>136</v>
      </c>
      <c r="D707" s="8" t="s">
        <v>2189</v>
      </c>
      <c r="E707" s="9" t="s">
        <v>38</v>
      </c>
      <c r="F707" s="8">
        <v>3.0</v>
      </c>
      <c r="H707" s="8">
        <v>2000.0</v>
      </c>
      <c r="I707" s="8">
        <v>6000.0</v>
      </c>
      <c r="J707" s="8">
        <v>6000.0</v>
      </c>
      <c r="K707" s="8" t="s">
        <v>2246</v>
      </c>
      <c r="L707" s="15">
        <v>46336.0</v>
      </c>
      <c r="M707" s="15">
        <v>46366.0</v>
      </c>
      <c r="N707" s="8">
        <v>1.0</v>
      </c>
      <c r="O707" s="8">
        <v>-1261.0</v>
      </c>
      <c r="P707" s="8">
        <v>1291.0</v>
      </c>
      <c r="R707" s="8" t="s">
        <v>2247</v>
      </c>
      <c r="T707" s="8">
        <v>62.0</v>
      </c>
    </row>
    <row r="708" ht="22.5" customHeight="1">
      <c r="A708" s="8" t="s">
        <v>2222</v>
      </c>
      <c r="B708" s="9" t="s">
        <v>248</v>
      </c>
      <c r="C708" s="8" t="s">
        <v>136</v>
      </c>
      <c r="D708" s="8" t="s">
        <v>1851</v>
      </c>
      <c r="E708" s="9" t="s">
        <v>29</v>
      </c>
      <c r="F708" s="8">
        <v>5.0</v>
      </c>
      <c r="H708" s="8">
        <v>100.0</v>
      </c>
      <c r="I708" s="8">
        <v>500.0</v>
      </c>
      <c r="J708" s="8">
        <v>10000.0</v>
      </c>
      <c r="K708" s="8">
        <v>0.0</v>
      </c>
      <c r="L708" s="15">
        <v>46356.0</v>
      </c>
      <c r="M708" s="15">
        <v>46386.0</v>
      </c>
      <c r="N708" s="8">
        <v>1.0</v>
      </c>
      <c r="O708" s="8">
        <v>-1241.0</v>
      </c>
      <c r="P708" s="8">
        <v>1271.0</v>
      </c>
      <c r="R708" s="8" t="s">
        <v>2248</v>
      </c>
      <c r="T708" s="8">
        <v>63.0</v>
      </c>
    </row>
    <row r="709" ht="22.5" customHeight="1">
      <c r="A709" s="8">
        <v>1.0</v>
      </c>
      <c r="B709" s="9" t="s">
        <v>142</v>
      </c>
      <c r="C709" s="8" t="s">
        <v>136</v>
      </c>
      <c r="D709" s="8" t="s">
        <v>1851</v>
      </c>
      <c r="E709" s="9" t="s">
        <v>29</v>
      </c>
      <c r="F709" s="8">
        <v>5.0</v>
      </c>
      <c r="H709" s="8">
        <v>120.0</v>
      </c>
      <c r="I709" s="8">
        <v>500.0</v>
      </c>
      <c r="J709" s="8">
        <v>10000.0</v>
      </c>
      <c r="K709" s="8">
        <v>0.0</v>
      </c>
      <c r="L709" s="15">
        <v>46328.0</v>
      </c>
      <c r="M709" s="15">
        <v>46358.0</v>
      </c>
      <c r="N709" s="8">
        <v>1.0</v>
      </c>
      <c r="O709" s="8">
        <v>-1269.0</v>
      </c>
      <c r="P709" s="8">
        <v>1299.0</v>
      </c>
      <c r="R709" s="8" t="s">
        <v>2249</v>
      </c>
      <c r="T709" s="8">
        <v>64.0</v>
      </c>
    </row>
    <row r="710" ht="22.5" customHeight="1">
      <c r="B710" s="9" t="s">
        <v>224</v>
      </c>
      <c r="C710" s="8" t="s">
        <v>136</v>
      </c>
      <c r="D710" s="8" t="s">
        <v>2225</v>
      </c>
      <c r="E710" s="9" t="s">
        <v>29</v>
      </c>
      <c r="F710" s="8">
        <v>1.0</v>
      </c>
      <c r="H710" s="8">
        <v>150.0</v>
      </c>
      <c r="I710" s="8">
        <v>150.0</v>
      </c>
      <c r="J710" s="8">
        <v>3000.0</v>
      </c>
      <c r="K710" s="8">
        <v>0.0</v>
      </c>
      <c r="L710" s="15">
        <v>46308.0</v>
      </c>
      <c r="M710" s="15">
        <v>46339.0</v>
      </c>
      <c r="N710" s="8">
        <v>1.0</v>
      </c>
      <c r="O710" s="8">
        <v>-1288.0</v>
      </c>
      <c r="P710" s="8">
        <v>1318.0</v>
      </c>
      <c r="R710" s="8" t="s">
        <v>2250</v>
      </c>
      <c r="T710" s="8">
        <v>23.0</v>
      </c>
    </row>
    <row r="711" ht="22.5" customHeight="1">
      <c r="B711" s="9" t="s">
        <v>245</v>
      </c>
      <c r="C711" s="8" t="s">
        <v>136</v>
      </c>
      <c r="D711" s="8" t="s">
        <v>2195</v>
      </c>
      <c r="E711" s="8" t="s">
        <v>38</v>
      </c>
      <c r="F711" s="8">
        <v>2.0</v>
      </c>
      <c r="H711" s="8">
        <v>2500.0</v>
      </c>
      <c r="I711" s="8">
        <v>5000.0</v>
      </c>
      <c r="J711" s="8">
        <v>5000.0</v>
      </c>
      <c r="K711" s="8">
        <v>0.0</v>
      </c>
      <c r="L711" s="15">
        <v>46304.0</v>
      </c>
      <c r="M711" s="15">
        <v>46335.0</v>
      </c>
      <c r="N711" s="8">
        <v>1.0</v>
      </c>
      <c r="O711" s="8">
        <v>-1292.0</v>
      </c>
      <c r="P711" s="8">
        <v>1322.0</v>
      </c>
      <c r="R711" s="8" t="s">
        <v>2251</v>
      </c>
      <c r="T711" s="8">
        <v>24.0</v>
      </c>
    </row>
    <row r="712" ht="22.5" customHeight="1">
      <c r="B712" s="9" t="s">
        <v>218</v>
      </c>
      <c r="C712" s="8" t="s">
        <v>136</v>
      </c>
      <c r="D712" s="8" t="s">
        <v>2073</v>
      </c>
      <c r="E712" s="8" t="s">
        <v>38</v>
      </c>
      <c r="F712" s="8">
        <v>5.0</v>
      </c>
      <c r="H712" s="8">
        <v>1350.0</v>
      </c>
      <c r="I712" s="8">
        <v>6750.0</v>
      </c>
      <c r="J712" s="8">
        <v>6750.0</v>
      </c>
      <c r="K712" s="8">
        <v>0.0</v>
      </c>
      <c r="L712" s="15">
        <v>46312.0</v>
      </c>
      <c r="M712" s="15">
        <v>46343.0</v>
      </c>
      <c r="N712" s="8">
        <v>1.0</v>
      </c>
      <c r="O712" s="8">
        <v>-1284.0</v>
      </c>
      <c r="P712" s="8">
        <v>1314.0</v>
      </c>
      <c r="R712" s="8" t="s">
        <v>2252</v>
      </c>
      <c r="T712" s="8">
        <v>25.0</v>
      </c>
    </row>
    <row r="713" ht="22.5" customHeight="1">
      <c r="B713" s="9" t="s">
        <v>209</v>
      </c>
      <c r="C713" s="8" t="s">
        <v>136</v>
      </c>
      <c r="D713" s="8" t="s">
        <v>2165</v>
      </c>
      <c r="E713" s="9" t="s">
        <v>38</v>
      </c>
      <c r="F713" s="8">
        <v>4.0</v>
      </c>
      <c r="H713" s="8">
        <v>2000.0</v>
      </c>
      <c r="I713" s="8">
        <v>8000.0</v>
      </c>
      <c r="J713" s="8">
        <v>8000.0</v>
      </c>
      <c r="K713" s="8">
        <v>0.0</v>
      </c>
      <c r="L713" s="15">
        <v>46304.0</v>
      </c>
      <c r="M713" s="15">
        <v>46335.0</v>
      </c>
      <c r="N713" s="8">
        <v>1.0</v>
      </c>
      <c r="O713" s="8">
        <v>-1292.0</v>
      </c>
      <c r="P713" s="8">
        <v>1322.0</v>
      </c>
      <c r="R713" s="8" t="s">
        <v>2253</v>
      </c>
      <c r="T713" s="8">
        <v>26.0</v>
      </c>
    </row>
    <row r="714" ht="22.5" customHeight="1">
      <c r="B714" s="9" t="s">
        <v>187</v>
      </c>
      <c r="C714" s="8" t="s">
        <v>136</v>
      </c>
      <c r="D714" s="8" t="s">
        <v>2119</v>
      </c>
      <c r="E714" s="9" t="s">
        <v>188</v>
      </c>
      <c r="F714" s="8">
        <v>2.0</v>
      </c>
      <c r="H714" s="8" t="s">
        <v>2120</v>
      </c>
      <c r="I714" s="8">
        <v>2000.0</v>
      </c>
      <c r="J714" s="8">
        <v>10600.0</v>
      </c>
      <c r="K714" s="8" t="s">
        <v>2254</v>
      </c>
      <c r="L714" s="15">
        <v>46305.0</v>
      </c>
      <c r="M714" s="15">
        <v>46336.0</v>
      </c>
      <c r="N714" s="8">
        <v>0.0</v>
      </c>
      <c r="O714" s="8">
        <v>-1291.0</v>
      </c>
      <c r="P714" s="8">
        <v>1321.0</v>
      </c>
      <c r="Q714" s="17">
        <v>46255.0</v>
      </c>
      <c r="R714" s="8" t="s">
        <v>2255</v>
      </c>
      <c r="T714" s="8">
        <v>27.0</v>
      </c>
    </row>
    <row r="715" ht="22.5" customHeight="1">
      <c r="B715" s="9" t="s">
        <v>236</v>
      </c>
      <c r="C715" s="8" t="s">
        <v>136</v>
      </c>
      <c r="D715" s="8" t="s">
        <v>1851</v>
      </c>
      <c r="E715" s="9" t="s">
        <v>29</v>
      </c>
      <c r="F715" s="8">
        <v>5.0</v>
      </c>
      <c r="H715" s="8">
        <v>100.0</v>
      </c>
      <c r="I715" s="8">
        <v>250.0</v>
      </c>
      <c r="J715" s="8">
        <v>5000.0</v>
      </c>
      <c r="K715" s="8">
        <v>0.0</v>
      </c>
      <c r="L715" s="15">
        <v>46311.0</v>
      </c>
      <c r="M715" s="15">
        <v>46342.0</v>
      </c>
      <c r="N715" s="8">
        <v>1.0</v>
      </c>
      <c r="O715" s="8">
        <v>-1285.0</v>
      </c>
      <c r="P715" s="8">
        <v>1315.0</v>
      </c>
      <c r="R715" s="8" t="s">
        <v>2256</v>
      </c>
      <c r="T715" s="8">
        <v>28.0</v>
      </c>
    </row>
    <row r="716" ht="22.5" customHeight="1">
      <c r="B716" s="9" t="s">
        <v>233</v>
      </c>
      <c r="C716" s="8" t="s">
        <v>136</v>
      </c>
      <c r="D716" s="8" t="s">
        <v>1851</v>
      </c>
      <c r="E716" s="9" t="s">
        <v>29</v>
      </c>
      <c r="F716" s="8">
        <v>5.0</v>
      </c>
      <c r="H716" s="8">
        <v>100.0</v>
      </c>
      <c r="I716" s="8">
        <v>500.0</v>
      </c>
      <c r="J716" s="8">
        <v>10000.0</v>
      </c>
      <c r="K716" s="8">
        <v>0.0</v>
      </c>
      <c r="L716" s="15">
        <v>46304.0</v>
      </c>
      <c r="M716" s="15">
        <v>46335.0</v>
      </c>
      <c r="N716" s="8">
        <v>1.0</v>
      </c>
      <c r="O716" s="8">
        <v>-1292.0</v>
      </c>
      <c r="P716" s="8">
        <v>1322.0</v>
      </c>
      <c r="R716" s="8" t="s">
        <v>2257</v>
      </c>
      <c r="T716" s="8">
        <v>29.0</v>
      </c>
    </row>
    <row r="717" ht="22.5" customHeight="1">
      <c r="B717" s="9" t="s">
        <v>204</v>
      </c>
      <c r="C717" s="8" t="s">
        <v>136</v>
      </c>
      <c r="D717" s="8" t="s">
        <v>2189</v>
      </c>
      <c r="E717" s="9" t="s">
        <v>38</v>
      </c>
      <c r="F717" s="8">
        <v>3.0</v>
      </c>
      <c r="H717" s="8">
        <v>1500.0</v>
      </c>
      <c r="I717" s="8">
        <v>4500.0</v>
      </c>
      <c r="J717" s="8">
        <v>4500.0</v>
      </c>
      <c r="K717" s="8">
        <v>0.0</v>
      </c>
      <c r="L717" s="15">
        <v>46315.0</v>
      </c>
      <c r="M717" s="15">
        <v>46346.0</v>
      </c>
      <c r="N717" s="8">
        <v>1.0</v>
      </c>
      <c r="O717" s="8">
        <v>-1281.0</v>
      </c>
      <c r="P717" s="8">
        <v>1311.0</v>
      </c>
      <c r="R717" s="8" t="s">
        <v>2258</v>
      </c>
      <c r="T717" s="8">
        <v>30.0</v>
      </c>
    </row>
    <row r="718" ht="22.5" customHeight="1">
      <c r="A718" s="8" t="s">
        <v>2259</v>
      </c>
      <c r="B718" s="9" t="s">
        <v>242</v>
      </c>
      <c r="C718" s="8" t="s">
        <v>136</v>
      </c>
      <c r="D718" s="8" t="s">
        <v>1851</v>
      </c>
      <c r="E718" s="9" t="s">
        <v>29</v>
      </c>
      <c r="F718" s="8" t="s">
        <v>2260</v>
      </c>
      <c r="H718" s="8">
        <v>100.0</v>
      </c>
      <c r="I718" s="8">
        <v>500.0</v>
      </c>
      <c r="J718" s="8">
        <v>10000.0</v>
      </c>
      <c r="K718" s="8" t="s">
        <v>2261</v>
      </c>
      <c r="L718" s="15">
        <v>46319.0</v>
      </c>
      <c r="M718" s="15">
        <v>46350.0</v>
      </c>
      <c r="N718" s="8">
        <v>0.0</v>
      </c>
      <c r="O718" s="8">
        <v>-1277.0</v>
      </c>
      <c r="P718" s="8">
        <v>1307.0</v>
      </c>
      <c r="Q718" s="17">
        <v>46255.0</v>
      </c>
      <c r="R718" s="8" t="s">
        <v>2262</v>
      </c>
      <c r="T718" s="8">
        <v>31.0</v>
      </c>
    </row>
    <row r="719" ht="22.5" customHeight="1">
      <c r="B719" s="9" t="s">
        <v>239</v>
      </c>
      <c r="C719" s="8" t="s">
        <v>136</v>
      </c>
      <c r="D719" s="8" t="s">
        <v>1851</v>
      </c>
      <c r="E719" s="9" t="s">
        <v>29</v>
      </c>
      <c r="F719" s="8">
        <v>5.0</v>
      </c>
      <c r="H719" s="8">
        <v>100.0</v>
      </c>
      <c r="I719" s="8">
        <v>500.0</v>
      </c>
      <c r="J719" s="8">
        <v>10000.0</v>
      </c>
      <c r="K719" s="8">
        <v>0.0</v>
      </c>
      <c r="L719" s="15">
        <v>46320.0</v>
      </c>
      <c r="M719" s="15">
        <v>46351.0</v>
      </c>
      <c r="N719" s="8">
        <v>1.0</v>
      </c>
      <c r="O719" s="8">
        <v>-1276.0</v>
      </c>
      <c r="P719" s="8">
        <v>1306.0</v>
      </c>
      <c r="Q719" s="17">
        <v>46255.0</v>
      </c>
      <c r="R719" s="8" t="s">
        <v>2263</v>
      </c>
      <c r="T719" s="8">
        <v>32.0</v>
      </c>
    </row>
    <row r="720" ht="22.5" customHeight="1">
      <c r="B720" s="9" t="s">
        <v>212</v>
      </c>
      <c r="C720" s="8" t="s">
        <v>136</v>
      </c>
      <c r="D720" s="8" t="s">
        <v>1767</v>
      </c>
      <c r="E720" s="9" t="s">
        <v>38</v>
      </c>
      <c r="F720" s="8">
        <v>2.0</v>
      </c>
      <c r="H720" s="8">
        <v>2250.0</v>
      </c>
      <c r="I720" s="8">
        <v>4500.0</v>
      </c>
      <c r="J720" s="8">
        <v>1000.0</v>
      </c>
      <c r="K720" s="8">
        <v>0.0</v>
      </c>
      <c r="L720" s="15">
        <v>46322.0</v>
      </c>
      <c r="M720" s="15">
        <v>46353.0</v>
      </c>
      <c r="N720" s="8">
        <v>1.0</v>
      </c>
      <c r="O720" s="8">
        <v>-1274.0</v>
      </c>
      <c r="P720" s="8">
        <v>1304.0</v>
      </c>
      <c r="R720" s="8" t="s">
        <v>2264</v>
      </c>
      <c r="T720" s="8">
        <v>33.0</v>
      </c>
    </row>
    <row r="721" ht="22.5" customHeight="1">
      <c r="B721" s="9" t="s">
        <v>198</v>
      </c>
      <c r="C721" s="8" t="s">
        <v>136</v>
      </c>
      <c r="D721" s="8" t="s">
        <v>2265</v>
      </c>
      <c r="E721" s="9" t="s">
        <v>29</v>
      </c>
      <c r="F721" s="8">
        <v>4.0</v>
      </c>
      <c r="H721" s="8">
        <v>100.0</v>
      </c>
      <c r="I721" s="8">
        <v>400.0</v>
      </c>
      <c r="J721" s="8">
        <v>8000.0</v>
      </c>
      <c r="K721" s="8">
        <v>0.0</v>
      </c>
      <c r="L721" s="15">
        <v>46317.0</v>
      </c>
      <c r="M721" s="15">
        <v>46348.0</v>
      </c>
      <c r="N721" s="8">
        <v>1.0</v>
      </c>
      <c r="O721" s="8">
        <v>-1279.0</v>
      </c>
      <c r="P721" s="8">
        <v>1309.0</v>
      </c>
      <c r="R721" s="8" t="s">
        <v>2266</v>
      </c>
      <c r="T721" s="8">
        <v>34.0</v>
      </c>
    </row>
    <row r="722" ht="22.5" customHeight="1">
      <c r="B722" s="9" t="s">
        <v>221</v>
      </c>
      <c r="C722" s="8" t="s">
        <v>136</v>
      </c>
      <c r="D722" s="8" t="s">
        <v>2189</v>
      </c>
      <c r="E722" s="9" t="s">
        <v>38</v>
      </c>
      <c r="F722" s="8">
        <v>3.0</v>
      </c>
      <c r="H722" s="8">
        <v>2000.0</v>
      </c>
      <c r="I722" s="8">
        <v>6000.0</v>
      </c>
      <c r="J722" s="8">
        <v>6000.0</v>
      </c>
      <c r="K722" s="8" t="s">
        <v>2267</v>
      </c>
      <c r="L722" s="15">
        <v>46305.0</v>
      </c>
      <c r="M722" s="15">
        <v>46336.0</v>
      </c>
      <c r="N722" s="8">
        <v>1.0</v>
      </c>
      <c r="O722" s="8">
        <v>-1291.0</v>
      </c>
      <c r="P722" s="8">
        <v>1321.0</v>
      </c>
      <c r="R722" s="8" t="s">
        <v>2268</v>
      </c>
      <c r="T722" s="8">
        <v>35.0</v>
      </c>
    </row>
    <row r="723" ht="22.5" customHeight="1">
      <c r="B723" s="9" t="s">
        <v>251</v>
      </c>
      <c r="C723" s="8" t="s">
        <v>136</v>
      </c>
      <c r="D723" s="8" t="s">
        <v>1851</v>
      </c>
      <c r="E723" s="9" t="s">
        <v>29</v>
      </c>
      <c r="F723" s="8">
        <v>5.0</v>
      </c>
      <c r="H723" s="8">
        <v>100.0</v>
      </c>
      <c r="I723" s="8">
        <v>500.0</v>
      </c>
      <c r="J723" s="8">
        <v>10000.0</v>
      </c>
      <c r="K723" s="8" t="s">
        <v>2000</v>
      </c>
      <c r="L723" s="15">
        <v>46323.0</v>
      </c>
      <c r="M723" s="15">
        <v>46354.0</v>
      </c>
      <c r="N723" s="8">
        <v>0.0</v>
      </c>
      <c r="O723" s="8">
        <v>-1273.0</v>
      </c>
      <c r="P723" s="8">
        <v>1303.0</v>
      </c>
      <c r="R723" s="8" t="s">
        <v>2269</v>
      </c>
      <c r="T723" s="8">
        <v>36.0</v>
      </c>
    </row>
    <row r="724" ht="22.5" customHeight="1">
      <c r="B724" s="9" t="s">
        <v>254</v>
      </c>
      <c r="C724" s="8" t="s">
        <v>136</v>
      </c>
      <c r="D724" s="8" t="s">
        <v>1873</v>
      </c>
      <c r="E724" s="9" t="s">
        <v>29</v>
      </c>
      <c r="F724" s="8">
        <v>1.0</v>
      </c>
      <c r="H724" s="8">
        <v>100.0</v>
      </c>
      <c r="I724" s="8">
        <v>150.0</v>
      </c>
      <c r="J724" s="8">
        <v>3000.0</v>
      </c>
      <c r="K724" s="8">
        <v>0.0</v>
      </c>
      <c r="L724" s="15">
        <v>46325.0</v>
      </c>
      <c r="M724" s="15">
        <v>46356.0</v>
      </c>
      <c r="N724" s="8">
        <v>1.0</v>
      </c>
      <c r="O724" s="8">
        <v>-1271.0</v>
      </c>
      <c r="P724" s="8">
        <v>1301.0</v>
      </c>
      <c r="R724" s="8" t="s">
        <v>2270</v>
      </c>
      <c r="T724" s="8">
        <v>37.0</v>
      </c>
    </row>
    <row r="725" ht="22.5" customHeight="1">
      <c r="B725" s="9" t="s">
        <v>184</v>
      </c>
      <c r="C725" s="8" t="s">
        <v>136</v>
      </c>
      <c r="D725" s="8" t="s">
        <v>1851</v>
      </c>
      <c r="E725" s="9" t="s">
        <v>29</v>
      </c>
      <c r="F725" s="8">
        <v>5.0</v>
      </c>
      <c r="H725" s="8">
        <v>100.0</v>
      </c>
      <c r="I725" s="8">
        <v>475.0</v>
      </c>
      <c r="J725" s="8">
        <v>0.0</v>
      </c>
      <c r="K725" s="8">
        <v>0.0</v>
      </c>
      <c r="L725" s="15">
        <v>46316.0</v>
      </c>
      <c r="M725" s="15">
        <v>46347.0</v>
      </c>
      <c r="N725" s="8">
        <v>1.0</v>
      </c>
      <c r="O725" s="8">
        <v>-1280.0</v>
      </c>
      <c r="P725" s="8">
        <v>1310.0</v>
      </c>
      <c r="R725" s="8" t="s">
        <v>2271</v>
      </c>
      <c r="T725" s="8">
        <v>38.0</v>
      </c>
    </row>
    <row r="726" ht="22.5" customHeight="1">
      <c r="B726" s="9" t="s">
        <v>230</v>
      </c>
      <c r="C726" s="8" t="s">
        <v>136</v>
      </c>
      <c r="D726" s="8" t="s">
        <v>1851</v>
      </c>
      <c r="E726" s="9" t="s">
        <v>29</v>
      </c>
      <c r="F726" s="8">
        <v>5.0</v>
      </c>
      <c r="H726" s="8">
        <v>120.0</v>
      </c>
      <c r="I726" s="8">
        <v>500.0</v>
      </c>
      <c r="J726" s="8">
        <v>10000.0</v>
      </c>
      <c r="K726" s="8">
        <v>0.0</v>
      </c>
      <c r="L726" s="15">
        <v>46304.0</v>
      </c>
      <c r="M726" s="15">
        <v>46335.0</v>
      </c>
      <c r="N726" s="8">
        <v>1.0</v>
      </c>
      <c r="O726" s="8">
        <v>-1292.0</v>
      </c>
      <c r="P726" s="8">
        <v>1322.0</v>
      </c>
      <c r="R726" s="8" t="s">
        <v>2272</v>
      </c>
      <c r="T726" s="8">
        <v>39.0</v>
      </c>
    </row>
    <row r="727" ht="22.5" customHeight="1">
      <c r="B727" s="9" t="s">
        <v>195</v>
      </c>
      <c r="C727" s="8" t="s">
        <v>136</v>
      </c>
      <c r="D727" s="8" t="s">
        <v>2189</v>
      </c>
      <c r="E727" s="9" t="s">
        <v>38</v>
      </c>
      <c r="F727" s="8">
        <v>3.0</v>
      </c>
      <c r="H727" s="8">
        <v>2000.0</v>
      </c>
      <c r="I727" s="8">
        <v>6000.0</v>
      </c>
      <c r="J727" s="8">
        <v>6000.0</v>
      </c>
      <c r="K727" s="8" t="s">
        <v>2273</v>
      </c>
      <c r="L727" s="15">
        <v>46305.0</v>
      </c>
      <c r="N727" s="8">
        <v>1.0</v>
      </c>
      <c r="P727" s="8">
        <v>30.0</v>
      </c>
      <c r="R727" s="8" t="s">
        <v>2274</v>
      </c>
      <c r="T727" s="8">
        <v>40.0</v>
      </c>
    </row>
    <row r="728" ht="22.5" customHeight="1">
      <c r="B728" s="9" t="s">
        <v>248</v>
      </c>
      <c r="C728" s="8" t="s">
        <v>136</v>
      </c>
      <c r="D728" s="8" t="s">
        <v>1851</v>
      </c>
      <c r="E728" s="9" t="s">
        <v>29</v>
      </c>
      <c r="F728" s="8">
        <v>5.0</v>
      </c>
      <c r="H728" s="8">
        <v>100.0</v>
      </c>
      <c r="I728" s="8">
        <v>500.0</v>
      </c>
      <c r="J728" s="8">
        <v>10000.0</v>
      </c>
      <c r="K728" s="8">
        <v>0.0</v>
      </c>
      <c r="L728" s="15">
        <v>46325.0</v>
      </c>
      <c r="M728" s="15">
        <v>46356.0</v>
      </c>
      <c r="N728" s="8">
        <v>1.0</v>
      </c>
      <c r="O728" s="8">
        <v>-1271.0</v>
      </c>
      <c r="P728" s="8">
        <v>1301.0</v>
      </c>
      <c r="R728" s="8" t="s">
        <v>2275</v>
      </c>
      <c r="T728" s="8">
        <v>41.0</v>
      </c>
    </row>
    <row r="729" ht="22.5" customHeight="1">
      <c r="B729" s="9" t="s">
        <v>142</v>
      </c>
      <c r="C729" s="8" t="s">
        <v>136</v>
      </c>
      <c r="D729" s="8" t="s">
        <v>2055</v>
      </c>
      <c r="E729" s="9" t="s">
        <v>29</v>
      </c>
      <c r="F729" s="8">
        <v>6.0</v>
      </c>
      <c r="H729" s="8">
        <v>120.0</v>
      </c>
      <c r="I729" s="8">
        <v>600.0</v>
      </c>
      <c r="J729" s="8">
        <v>12000.0</v>
      </c>
      <c r="K729" s="8">
        <v>0.0</v>
      </c>
      <c r="L729" s="15">
        <v>46297.0</v>
      </c>
      <c r="M729" s="15">
        <v>46328.0</v>
      </c>
      <c r="N729" s="8">
        <v>1.0</v>
      </c>
      <c r="O729" s="8">
        <v>-1299.0</v>
      </c>
      <c r="P729" s="8">
        <v>1329.0</v>
      </c>
      <c r="R729" s="8" t="s">
        <v>2276</v>
      </c>
      <c r="T729" s="8">
        <v>42.0</v>
      </c>
    </row>
    <row r="730" ht="22.5" customHeight="1">
      <c r="B730" s="9" t="s">
        <v>224</v>
      </c>
      <c r="C730" s="8" t="s">
        <v>136</v>
      </c>
      <c r="D730" s="8" t="s">
        <v>2225</v>
      </c>
      <c r="E730" s="9" t="s">
        <v>29</v>
      </c>
      <c r="F730" s="8">
        <v>1.0</v>
      </c>
      <c r="H730" s="8">
        <v>150.0</v>
      </c>
      <c r="I730" s="8">
        <v>150.0</v>
      </c>
      <c r="J730" s="8">
        <v>3000.0</v>
      </c>
      <c r="K730" s="8">
        <v>0.0</v>
      </c>
      <c r="L730" s="15">
        <v>46278.0</v>
      </c>
      <c r="M730" s="15">
        <v>46308.0</v>
      </c>
      <c r="N730" s="8">
        <v>1.0</v>
      </c>
      <c r="O730" s="8">
        <v>-1319.0</v>
      </c>
      <c r="P730" s="8">
        <v>1349.0</v>
      </c>
      <c r="R730" s="8" t="s">
        <v>2277</v>
      </c>
      <c r="T730" s="8">
        <v>13.0</v>
      </c>
    </row>
    <row r="731" ht="22.5" customHeight="1">
      <c r="B731" s="9" t="s">
        <v>218</v>
      </c>
      <c r="C731" s="8" t="s">
        <v>136</v>
      </c>
      <c r="D731" s="8" t="s">
        <v>2073</v>
      </c>
      <c r="E731" s="8" t="s">
        <v>38</v>
      </c>
      <c r="F731" s="8">
        <v>5.0</v>
      </c>
      <c r="H731" s="8">
        <v>1350.0</v>
      </c>
      <c r="I731" s="8">
        <v>6750.0</v>
      </c>
      <c r="J731" s="8">
        <v>6750.0</v>
      </c>
      <c r="K731" s="8">
        <v>0.0</v>
      </c>
      <c r="L731" s="15">
        <v>46282.0</v>
      </c>
      <c r="M731" s="15">
        <v>46312.0</v>
      </c>
      <c r="N731" s="8">
        <v>1.0</v>
      </c>
      <c r="O731" s="8">
        <v>-1315.0</v>
      </c>
      <c r="P731" s="8">
        <v>1345.0</v>
      </c>
      <c r="R731" s="8" t="s">
        <v>2278</v>
      </c>
      <c r="T731" s="8">
        <v>14.0</v>
      </c>
    </row>
    <row r="732" ht="22.5" customHeight="1">
      <c r="B732" s="9" t="s">
        <v>209</v>
      </c>
      <c r="C732" s="8" t="s">
        <v>136</v>
      </c>
      <c r="D732" s="8" t="s">
        <v>2165</v>
      </c>
      <c r="E732" s="9" t="s">
        <v>38</v>
      </c>
      <c r="F732" s="8">
        <v>4.0</v>
      </c>
      <c r="H732" s="8">
        <v>2000.0</v>
      </c>
      <c r="I732" s="8">
        <v>8000.0</v>
      </c>
      <c r="J732" s="8">
        <v>8000.0</v>
      </c>
      <c r="K732" s="8">
        <v>0.0</v>
      </c>
      <c r="L732" s="15">
        <v>46274.0</v>
      </c>
      <c r="M732" s="15">
        <v>46304.0</v>
      </c>
      <c r="N732" s="8">
        <v>1.0</v>
      </c>
      <c r="O732" s="8">
        <v>-1323.0</v>
      </c>
      <c r="P732" s="8">
        <v>1353.0</v>
      </c>
      <c r="R732" s="8" t="s">
        <v>2279</v>
      </c>
      <c r="T732" s="8">
        <v>15.0</v>
      </c>
    </row>
    <row r="733" ht="22.5" customHeight="1">
      <c r="B733" s="9" t="s">
        <v>187</v>
      </c>
      <c r="C733" s="8" t="s">
        <v>136</v>
      </c>
      <c r="D733" s="8" t="s">
        <v>2119</v>
      </c>
      <c r="E733" s="9" t="s">
        <v>188</v>
      </c>
      <c r="F733" s="8">
        <v>2.0</v>
      </c>
      <c r="H733" s="8" t="s">
        <v>2120</v>
      </c>
      <c r="I733" s="8">
        <v>2000.0</v>
      </c>
      <c r="J733" s="8">
        <v>10600.0</v>
      </c>
      <c r="K733" s="8" t="s">
        <v>2280</v>
      </c>
      <c r="L733" s="15">
        <v>46275.0</v>
      </c>
      <c r="M733" s="15">
        <v>46305.0</v>
      </c>
      <c r="N733" s="8">
        <v>1.0</v>
      </c>
      <c r="O733" s="8">
        <v>-1322.0</v>
      </c>
      <c r="P733" s="8">
        <v>1352.0</v>
      </c>
      <c r="Q733" s="17">
        <v>46255.0</v>
      </c>
      <c r="R733" s="8" t="s">
        <v>2281</v>
      </c>
      <c r="T733" s="8">
        <v>16.0</v>
      </c>
    </row>
    <row r="734" ht="22.5" customHeight="1">
      <c r="B734" s="9" t="s">
        <v>204</v>
      </c>
      <c r="C734" s="8" t="s">
        <v>136</v>
      </c>
      <c r="D734" s="8" t="s">
        <v>2282</v>
      </c>
      <c r="E734" s="9" t="s">
        <v>38</v>
      </c>
      <c r="F734" s="8">
        <v>4.0</v>
      </c>
      <c r="H734" s="8">
        <v>1500.0</v>
      </c>
      <c r="I734" s="8">
        <v>6000.0</v>
      </c>
      <c r="J734" s="8">
        <v>6000.0</v>
      </c>
      <c r="K734" s="8">
        <v>0.0</v>
      </c>
      <c r="L734" s="15">
        <v>46285.0</v>
      </c>
      <c r="M734" s="15">
        <v>46315.0</v>
      </c>
      <c r="N734" s="8">
        <v>1.0</v>
      </c>
      <c r="O734" s="8">
        <v>-1312.0</v>
      </c>
      <c r="P734" s="8">
        <v>1342.0</v>
      </c>
      <c r="R734" s="8" t="s">
        <v>2283</v>
      </c>
      <c r="T734" s="8">
        <v>17.0</v>
      </c>
    </row>
    <row r="735" ht="22.5" customHeight="1">
      <c r="B735" s="9" t="s">
        <v>212</v>
      </c>
      <c r="C735" s="8" t="s">
        <v>136</v>
      </c>
      <c r="D735" s="8" t="s">
        <v>1767</v>
      </c>
      <c r="E735" s="9" t="s">
        <v>38</v>
      </c>
      <c r="F735" s="8">
        <v>2.0</v>
      </c>
      <c r="H735" s="8">
        <v>2250.0</v>
      </c>
      <c r="I735" s="8">
        <v>4000.0</v>
      </c>
      <c r="J735" s="8">
        <v>4000.0</v>
      </c>
      <c r="K735" s="8">
        <v>0.0</v>
      </c>
      <c r="L735" s="15">
        <v>46292.0</v>
      </c>
      <c r="M735" s="15">
        <v>46322.0</v>
      </c>
      <c r="N735" s="8">
        <v>1.0</v>
      </c>
      <c r="O735" s="8">
        <v>-1305.0</v>
      </c>
      <c r="P735" s="8">
        <v>1335.0</v>
      </c>
      <c r="R735" s="8" t="s">
        <v>2284</v>
      </c>
      <c r="T735" s="8">
        <v>18.0</v>
      </c>
    </row>
    <row r="736" ht="22.5" customHeight="1">
      <c r="B736" s="9" t="s">
        <v>198</v>
      </c>
      <c r="C736" s="8" t="s">
        <v>136</v>
      </c>
      <c r="D736" s="8" t="s">
        <v>2265</v>
      </c>
      <c r="E736" s="9" t="s">
        <v>29</v>
      </c>
      <c r="F736" s="8">
        <v>4.0</v>
      </c>
      <c r="H736" s="8">
        <v>100.0</v>
      </c>
      <c r="I736" s="8">
        <v>400.0</v>
      </c>
      <c r="J736" s="8">
        <v>8200.0</v>
      </c>
      <c r="K736" s="8">
        <v>0.0</v>
      </c>
      <c r="L736" s="15">
        <v>46287.0</v>
      </c>
      <c r="M736" s="15">
        <v>46317.0</v>
      </c>
      <c r="N736" s="8">
        <v>1.0</v>
      </c>
      <c r="O736" s="8">
        <v>-1310.0</v>
      </c>
      <c r="P736" s="8">
        <v>1340.0</v>
      </c>
      <c r="R736" s="8" t="s">
        <v>2285</v>
      </c>
      <c r="T736" s="8">
        <v>19.0</v>
      </c>
    </row>
    <row r="737" ht="22.5" customHeight="1">
      <c r="A737" s="8" t="s">
        <v>2286</v>
      </c>
      <c r="B737" s="9" t="s">
        <v>221</v>
      </c>
      <c r="C737" s="8" t="s">
        <v>794</v>
      </c>
      <c r="D737" s="8" t="s">
        <v>2189</v>
      </c>
      <c r="E737" s="9" t="s">
        <v>38</v>
      </c>
      <c r="F737" s="8">
        <v>3.0</v>
      </c>
      <c r="H737" s="8">
        <v>2000.0</v>
      </c>
      <c r="I737" s="8">
        <v>6000.0</v>
      </c>
      <c r="L737" s="15">
        <v>46287.0</v>
      </c>
      <c r="M737" s="15">
        <v>46317.0</v>
      </c>
      <c r="O737" s="8">
        <v>-1310.0</v>
      </c>
      <c r="P737" s="8">
        <v>1340.0</v>
      </c>
      <c r="R737" s="8" t="s">
        <v>2287</v>
      </c>
      <c r="T737" s="8">
        <v>20.0</v>
      </c>
    </row>
    <row r="738" ht="22.5" customHeight="1">
      <c r="B738" s="9" t="s">
        <v>195</v>
      </c>
      <c r="C738" s="8" t="s">
        <v>136</v>
      </c>
      <c r="D738" s="8" t="s">
        <v>2189</v>
      </c>
      <c r="E738" s="9" t="s">
        <v>38</v>
      </c>
      <c r="F738" s="8">
        <v>3.0</v>
      </c>
      <c r="H738" s="8">
        <v>2000.0</v>
      </c>
      <c r="I738" s="8">
        <v>6000.0</v>
      </c>
      <c r="J738" s="8">
        <v>6000.0</v>
      </c>
      <c r="K738" s="8">
        <v>0.0</v>
      </c>
      <c r="L738" s="15">
        <v>46275.0</v>
      </c>
      <c r="M738" s="15">
        <v>46305.0</v>
      </c>
      <c r="N738" s="8">
        <v>1.0</v>
      </c>
      <c r="O738" s="8">
        <v>-1322.0</v>
      </c>
      <c r="P738" s="8">
        <v>1352.0</v>
      </c>
      <c r="R738" s="8" t="s">
        <v>2288</v>
      </c>
      <c r="T738" s="8">
        <v>21.0</v>
      </c>
    </row>
    <row r="739" ht="22.5" customHeight="1">
      <c r="B739" s="9" t="s">
        <v>142</v>
      </c>
      <c r="C739" s="8" t="s">
        <v>136</v>
      </c>
      <c r="D739" s="8" t="s">
        <v>2055</v>
      </c>
      <c r="E739" s="9" t="s">
        <v>29</v>
      </c>
      <c r="F739" s="8">
        <v>6.0</v>
      </c>
      <c r="H739" s="8">
        <v>120.0</v>
      </c>
      <c r="I739" s="8">
        <v>598.0</v>
      </c>
      <c r="J739" s="8">
        <v>11960.0</v>
      </c>
      <c r="K739" s="8">
        <v>0.0</v>
      </c>
      <c r="L739" s="15">
        <v>46267.0</v>
      </c>
      <c r="M739" s="15">
        <v>46297.0</v>
      </c>
      <c r="N739" s="8">
        <v>1.0</v>
      </c>
      <c r="O739" s="8">
        <v>-1330.0</v>
      </c>
      <c r="P739" s="8">
        <v>1360.0</v>
      </c>
      <c r="R739" s="8" t="s">
        <v>2289</v>
      </c>
      <c r="T739" s="8">
        <v>22.0</v>
      </c>
    </row>
    <row r="740" ht="22.5" customHeight="1">
      <c r="A740" s="8">
        <v>1.0</v>
      </c>
      <c r="B740" s="9" t="s">
        <v>215</v>
      </c>
      <c r="C740" s="8" t="s">
        <v>136</v>
      </c>
      <c r="D740" s="8" t="s">
        <v>2290</v>
      </c>
      <c r="E740" s="9" t="s">
        <v>38</v>
      </c>
      <c r="F740" s="8">
        <v>4.0</v>
      </c>
      <c r="H740" s="8">
        <v>2000.0</v>
      </c>
      <c r="I740" s="8">
        <v>9000.0</v>
      </c>
      <c r="J740" s="8">
        <v>9000.0</v>
      </c>
      <c r="K740" s="8">
        <v>0.0</v>
      </c>
      <c r="L740" s="15">
        <v>46250.0</v>
      </c>
      <c r="M740" s="15">
        <v>46281.0</v>
      </c>
      <c r="N740" s="8">
        <v>1.0</v>
      </c>
      <c r="O740" s="8">
        <v>-1346.0</v>
      </c>
      <c r="P740" s="8">
        <v>1376.0</v>
      </c>
      <c r="R740" s="8" t="s">
        <v>2291</v>
      </c>
      <c r="T740" s="8">
        <v>1.0</v>
      </c>
    </row>
    <row r="741" ht="22.5" customHeight="1">
      <c r="A741" s="8">
        <v>1.0</v>
      </c>
      <c r="B741" s="9" t="s">
        <v>218</v>
      </c>
      <c r="C741" s="8" t="s">
        <v>136</v>
      </c>
      <c r="D741" s="8" t="s">
        <v>2073</v>
      </c>
      <c r="E741" s="8" t="s">
        <v>38</v>
      </c>
      <c r="F741" s="8">
        <v>5.0</v>
      </c>
      <c r="H741" s="8">
        <v>1350.0</v>
      </c>
      <c r="I741" s="8">
        <v>6750.0</v>
      </c>
      <c r="J741" s="8">
        <v>6750.0</v>
      </c>
      <c r="K741" s="8">
        <v>0.0</v>
      </c>
      <c r="L741" s="15">
        <v>46251.0</v>
      </c>
      <c r="M741" s="15">
        <v>46282.0</v>
      </c>
      <c r="N741" s="8">
        <v>1.0</v>
      </c>
      <c r="O741" s="8">
        <v>-1345.0</v>
      </c>
      <c r="P741" s="8">
        <v>1375.0</v>
      </c>
      <c r="R741" s="8" t="s">
        <v>2292</v>
      </c>
      <c r="T741" s="8">
        <v>2.0</v>
      </c>
    </row>
    <row r="742" ht="22.5" customHeight="1">
      <c r="A742" s="8">
        <v>1.0</v>
      </c>
      <c r="B742" s="9" t="s">
        <v>209</v>
      </c>
      <c r="C742" s="8" t="s">
        <v>136</v>
      </c>
      <c r="D742" s="8" t="s">
        <v>2189</v>
      </c>
      <c r="E742" s="9" t="s">
        <v>38</v>
      </c>
      <c r="F742" s="8">
        <v>3.0</v>
      </c>
      <c r="H742" s="8">
        <v>2000.0</v>
      </c>
      <c r="I742" s="8">
        <v>6000.0</v>
      </c>
      <c r="J742" s="8">
        <v>6000.0</v>
      </c>
      <c r="K742" s="8">
        <v>0.0</v>
      </c>
      <c r="L742" s="15">
        <v>46243.0</v>
      </c>
      <c r="M742" s="15">
        <v>46274.0</v>
      </c>
      <c r="N742" s="8">
        <v>1.0</v>
      </c>
      <c r="O742" s="8">
        <v>-1353.0</v>
      </c>
      <c r="P742" s="8">
        <v>1383.0</v>
      </c>
      <c r="R742" s="8" t="s">
        <v>2293</v>
      </c>
      <c r="T742" s="8">
        <v>3.0</v>
      </c>
    </row>
    <row r="743" ht="22.5" customHeight="1">
      <c r="B743" s="9" t="s">
        <v>187</v>
      </c>
      <c r="C743" s="8" t="s">
        <v>136</v>
      </c>
      <c r="D743" s="8" t="s">
        <v>2119</v>
      </c>
      <c r="E743" s="9" t="s">
        <v>188</v>
      </c>
      <c r="F743" s="8">
        <v>2.0</v>
      </c>
      <c r="H743" s="8" t="s">
        <v>2120</v>
      </c>
      <c r="I743" s="8">
        <v>2000.0</v>
      </c>
      <c r="J743" s="8">
        <v>10600.0</v>
      </c>
      <c r="K743" s="8" t="s">
        <v>2280</v>
      </c>
      <c r="L743" s="15">
        <v>46244.0</v>
      </c>
      <c r="M743" s="15">
        <v>46275.0</v>
      </c>
      <c r="N743" s="8">
        <v>1.0</v>
      </c>
      <c r="O743" s="8">
        <v>-1352.0</v>
      </c>
      <c r="P743" s="8">
        <v>1382.0</v>
      </c>
      <c r="Q743" s="17">
        <v>46255.0</v>
      </c>
      <c r="R743" s="8" t="s">
        <v>2294</v>
      </c>
      <c r="T743" s="8">
        <v>4.0</v>
      </c>
    </row>
    <row r="744" ht="22.5" customHeight="1">
      <c r="A744" s="8" t="s">
        <v>2295</v>
      </c>
      <c r="B744" s="9" t="s">
        <v>201</v>
      </c>
      <c r="C744" s="8" t="s">
        <v>136</v>
      </c>
      <c r="D744" s="8" t="s">
        <v>2189</v>
      </c>
      <c r="E744" s="9" t="s">
        <v>38</v>
      </c>
      <c r="F744" s="8">
        <v>3.0</v>
      </c>
      <c r="H744" s="8">
        <v>2100.0</v>
      </c>
      <c r="I744" s="8">
        <v>6300.0</v>
      </c>
      <c r="J744" s="8">
        <v>6300.0</v>
      </c>
      <c r="K744" s="8">
        <v>0.0</v>
      </c>
      <c r="L744" s="15">
        <v>46257.0</v>
      </c>
      <c r="M744" s="15">
        <v>46288.0</v>
      </c>
      <c r="N744" s="8">
        <v>1.0</v>
      </c>
      <c r="O744" s="8">
        <v>-1339.0</v>
      </c>
      <c r="P744" s="8">
        <v>1369.0</v>
      </c>
      <c r="R744" s="8" t="s">
        <v>2296</v>
      </c>
      <c r="T744" s="8">
        <v>5.0</v>
      </c>
    </row>
    <row r="745" ht="22.5" customHeight="1">
      <c r="A745" s="8">
        <v>1.0</v>
      </c>
      <c r="B745" s="9" t="s">
        <v>204</v>
      </c>
      <c r="C745" s="8" t="s">
        <v>136</v>
      </c>
      <c r="D745" s="8" t="s">
        <v>2189</v>
      </c>
      <c r="E745" s="9" t="s">
        <v>38</v>
      </c>
      <c r="F745" s="8">
        <v>3.0</v>
      </c>
      <c r="H745" s="8">
        <v>2000.0</v>
      </c>
      <c r="I745" s="8">
        <v>6000.0</v>
      </c>
      <c r="J745" s="8">
        <v>3825.0</v>
      </c>
      <c r="K745" s="8">
        <v>0.0</v>
      </c>
      <c r="L745" s="15">
        <v>46254.0</v>
      </c>
      <c r="M745" s="15">
        <v>46285.0</v>
      </c>
      <c r="N745" s="8">
        <v>1.0</v>
      </c>
      <c r="O745" s="8">
        <v>-1342.0</v>
      </c>
      <c r="P745" s="8">
        <v>1372.0</v>
      </c>
      <c r="R745" s="8" t="s">
        <v>2297</v>
      </c>
      <c r="T745" s="8">
        <v>6.0</v>
      </c>
    </row>
    <row r="746" ht="22.5" customHeight="1">
      <c r="A746" s="8">
        <v>1.0</v>
      </c>
      <c r="B746" s="9" t="s">
        <v>212</v>
      </c>
      <c r="C746" s="8" t="s">
        <v>136</v>
      </c>
      <c r="D746" s="8" t="s">
        <v>1767</v>
      </c>
      <c r="E746" s="9" t="s">
        <v>38</v>
      </c>
      <c r="F746" s="8">
        <v>2.0</v>
      </c>
      <c r="H746" s="8">
        <v>2250.0</v>
      </c>
      <c r="I746" s="8">
        <v>4500.0</v>
      </c>
      <c r="J746" s="8">
        <v>4000.0</v>
      </c>
      <c r="K746" s="8">
        <v>0.0</v>
      </c>
      <c r="L746" s="15">
        <v>46261.0</v>
      </c>
      <c r="M746" s="15">
        <v>46292.0</v>
      </c>
      <c r="N746" s="8">
        <v>1.0</v>
      </c>
      <c r="O746" s="8">
        <v>-1335.0</v>
      </c>
      <c r="P746" s="8">
        <v>1365.0</v>
      </c>
      <c r="R746" s="8" t="s">
        <v>2298</v>
      </c>
      <c r="T746" s="8">
        <v>7.0</v>
      </c>
    </row>
    <row r="747" ht="22.5" customHeight="1">
      <c r="A747" s="8">
        <v>1.0</v>
      </c>
      <c r="B747" s="9" t="s">
        <v>198</v>
      </c>
      <c r="C747" s="8" t="s">
        <v>136</v>
      </c>
      <c r="D747" s="8" t="s">
        <v>2265</v>
      </c>
      <c r="E747" s="9" t="s">
        <v>29</v>
      </c>
      <c r="F747" s="8">
        <v>4.0</v>
      </c>
      <c r="H747" s="8">
        <v>100.0</v>
      </c>
      <c r="I747" s="8">
        <v>375.0</v>
      </c>
      <c r="J747" s="8">
        <v>7687.5</v>
      </c>
      <c r="K747" s="8">
        <v>7687.5</v>
      </c>
      <c r="L747" s="15">
        <v>46256.0</v>
      </c>
      <c r="M747" s="15">
        <v>46287.0</v>
      </c>
      <c r="N747" s="8">
        <v>0.0</v>
      </c>
      <c r="O747" s="8">
        <v>-1340.0</v>
      </c>
      <c r="P747" s="8">
        <v>1370.0</v>
      </c>
      <c r="R747" s="8" t="s">
        <v>2299</v>
      </c>
      <c r="T747" s="8">
        <v>8.0</v>
      </c>
    </row>
    <row r="748" ht="22.5" customHeight="1">
      <c r="A748" s="8">
        <v>1.0</v>
      </c>
      <c r="B748" s="9" t="s">
        <v>221</v>
      </c>
      <c r="C748" s="8" t="s">
        <v>136</v>
      </c>
      <c r="D748" s="8" t="s">
        <v>2189</v>
      </c>
      <c r="E748" s="9" t="s">
        <v>38</v>
      </c>
      <c r="F748" s="8">
        <v>3.0</v>
      </c>
      <c r="H748" s="8">
        <v>2000.0</v>
      </c>
      <c r="I748" s="8">
        <v>6000.0</v>
      </c>
      <c r="J748" s="8">
        <v>6000.0</v>
      </c>
      <c r="K748" s="8">
        <v>0.0</v>
      </c>
      <c r="L748" s="15">
        <v>46256.0</v>
      </c>
      <c r="M748" s="15">
        <v>46287.0</v>
      </c>
      <c r="N748" s="8">
        <v>1.0</v>
      </c>
      <c r="O748" s="8">
        <v>-1340.0</v>
      </c>
      <c r="P748" s="8">
        <v>1370.0</v>
      </c>
      <c r="R748" s="8" t="s">
        <v>2300</v>
      </c>
      <c r="T748" s="8">
        <v>9.0</v>
      </c>
    </row>
    <row r="749" ht="22.5" customHeight="1">
      <c r="A749" s="8">
        <v>1.0</v>
      </c>
      <c r="B749" s="9" t="s">
        <v>195</v>
      </c>
      <c r="C749" s="8" t="s">
        <v>136</v>
      </c>
      <c r="D749" s="8" t="s">
        <v>2189</v>
      </c>
      <c r="E749" s="9" t="s">
        <v>38</v>
      </c>
      <c r="F749" s="8">
        <v>3.0</v>
      </c>
      <c r="H749" s="8">
        <v>1600.0</v>
      </c>
      <c r="I749" s="8">
        <v>4800.0</v>
      </c>
      <c r="J749" s="8">
        <v>4800.0</v>
      </c>
      <c r="K749" s="8">
        <v>0.0</v>
      </c>
      <c r="L749" s="15">
        <v>46244.0</v>
      </c>
      <c r="M749" s="15">
        <v>46275.0</v>
      </c>
      <c r="N749" s="8">
        <v>1.0</v>
      </c>
      <c r="O749" s="8">
        <v>-1352.0</v>
      </c>
      <c r="P749" s="8">
        <v>1382.0</v>
      </c>
      <c r="R749" s="8" t="s">
        <v>2301</v>
      </c>
      <c r="T749" s="8">
        <v>10.0</v>
      </c>
    </row>
    <row r="750" ht="22.5" customHeight="1">
      <c r="B750" s="9" t="s">
        <v>191</v>
      </c>
      <c r="C750" s="8" t="s">
        <v>598</v>
      </c>
      <c r="M750" s="15">
        <v>46052.0</v>
      </c>
      <c r="O750" s="8">
        <v>-46135.0</v>
      </c>
      <c r="R750" s="8" t="s">
        <v>2302</v>
      </c>
      <c r="T750" s="8">
        <v>11.0</v>
      </c>
    </row>
    <row r="751" ht="22.5" customHeight="1">
      <c r="A751" s="8">
        <v>1.0</v>
      </c>
      <c r="B751" s="9" t="s">
        <v>142</v>
      </c>
      <c r="C751" s="8" t="s">
        <v>136</v>
      </c>
      <c r="D751" s="8" t="s">
        <v>1851</v>
      </c>
      <c r="E751" s="9" t="s">
        <v>29</v>
      </c>
      <c r="F751" s="8">
        <v>5.0</v>
      </c>
      <c r="H751" s="8">
        <v>120.0</v>
      </c>
      <c r="I751" s="8">
        <v>498.0</v>
      </c>
      <c r="J751" s="8">
        <v>9960.0</v>
      </c>
      <c r="K751" s="8">
        <v>0.0</v>
      </c>
      <c r="L751" s="15">
        <v>46236.0</v>
      </c>
      <c r="M751" s="15">
        <v>46267.0</v>
      </c>
      <c r="N751" s="8">
        <v>1.0</v>
      </c>
      <c r="O751" s="8">
        <v>-1360.0</v>
      </c>
      <c r="P751" s="8">
        <v>1390.0</v>
      </c>
      <c r="R751" s="8" t="s">
        <v>2303</v>
      </c>
      <c r="T751" s="8">
        <v>12.0</v>
      </c>
    </row>
    <row r="752" ht="22.5" customHeight="1">
      <c r="B752" s="8" t="str">
        <f>COUNTA(Student_Invoices[Students])</f>
        <v>#ERROR!</v>
      </c>
      <c r="J752" s="8" t="str">
        <f>SUM(Student_Invoices[INR])</f>
        <v>#ERROR!</v>
      </c>
      <c r="K752" s="8" t="str">
        <f>SUM(Student_Invoices[Due])</f>
        <v>#ERROR!</v>
      </c>
    </row>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S4"/>
    <hyperlink r:id="rId2" ref="S5"/>
    <hyperlink r:id="rId3" ref="S9"/>
    <hyperlink r:id="rId4" ref="S16"/>
    <hyperlink r:id="rId5" ref="S17"/>
    <hyperlink r:id="rId6" ref="S19"/>
    <hyperlink r:id="rId7" ref="S20"/>
    <hyperlink r:id="rId8" ref="S22"/>
    <hyperlink r:id="rId9" ref="S23"/>
    <hyperlink r:id="rId10" ref="S24"/>
    <hyperlink r:id="rId11" ref="S26"/>
    <hyperlink r:id="rId12" ref="S27"/>
    <hyperlink r:id="rId13" ref="S28"/>
    <hyperlink r:id="rId14" ref="S29"/>
    <hyperlink r:id="rId15" ref="S31"/>
    <hyperlink r:id="rId16" ref="S32"/>
    <hyperlink r:id="rId17" ref="S34"/>
    <hyperlink r:id="rId18" ref="S37"/>
    <hyperlink r:id="rId19" ref="S38"/>
    <hyperlink r:id="rId20" ref="S40"/>
    <hyperlink r:id="rId21" ref="S41"/>
    <hyperlink r:id="rId22" ref="S42"/>
    <hyperlink r:id="rId23" ref="S43"/>
    <hyperlink r:id="rId24" ref="S44"/>
    <hyperlink r:id="rId25" ref="S46"/>
    <hyperlink r:id="rId26" ref="S47"/>
    <hyperlink r:id="rId27" ref="S49"/>
    <hyperlink r:id="rId28" ref="S52"/>
    <hyperlink r:id="rId29" ref="S53"/>
    <hyperlink r:id="rId30" ref="S55"/>
    <hyperlink r:id="rId31" ref="S56"/>
    <hyperlink r:id="rId32" ref="S57"/>
    <hyperlink r:id="rId33" ref="S59"/>
    <hyperlink r:id="rId34" ref="S61"/>
    <hyperlink r:id="rId35" ref="S62"/>
    <hyperlink r:id="rId36" ref="S64"/>
    <hyperlink r:id="rId37" ref="S68"/>
    <hyperlink r:id="rId38" ref="S70"/>
    <hyperlink r:id="rId39" ref="S71"/>
    <hyperlink r:id="rId40" ref="S72"/>
    <hyperlink r:id="rId41" ref="S74"/>
    <hyperlink r:id="rId42" ref="S77"/>
    <hyperlink r:id="rId43" ref="S78"/>
    <hyperlink r:id="rId44" ref="S79"/>
    <hyperlink r:id="rId45" ref="S80"/>
    <hyperlink r:id="rId46" ref="S83"/>
    <hyperlink r:id="rId47" ref="S86"/>
    <hyperlink r:id="rId48" ref="S87"/>
    <hyperlink r:id="rId49" ref="S89"/>
    <hyperlink r:id="rId50" ref="S90"/>
    <hyperlink r:id="rId51" ref="S92"/>
    <hyperlink r:id="rId52" ref="S93"/>
    <hyperlink r:id="rId53" ref="S94"/>
    <hyperlink r:id="rId54" ref="S95"/>
    <hyperlink r:id="rId55" ref="S97"/>
    <hyperlink r:id="rId56" ref="S101"/>
    <hyperlink r:id="rId57" ref="S102"/>
    <hyperlink r:id="rId58" ref="S104"/>
    <hyperlink r:id="rId59" ref="S105"/>
    <hyperlink r:id="rId60" ref="S107"/>
    <hyperlink r:id="rId61" ref="S108"/>
    <hyperlink r:id="rId62" ref="S109"/>
    <hyperlink r:id="rId63" ref="S110"/>
    <hyperlink r:id="rId64" ref="S112"/>
    <hyperlink r:id="rId65" ref="S114"/>
    <hyperlink r:id="rId66" ref="S116"/>
    <hyperlink r:id="rId67" ref="S117"/>
    <hyperlink r:id="rId68" ref="S118"/>
    <hyperlink r:id="rId69" ref="S119"/>
    <hyperlink r:id="rId70" ref="S120"/>
    <hyperlink r:id="rId71" ref="S122"/>
    <hyperlink r:id="rId72" ref="S124"/>
    <hyperlink r:id="rId73" ref="S126"/>
    <hyperlink r:id="rId74" ref="S127"/>
    <hyperlink r:id="rId75" ref="S129"/>
    <hyperlink r:id="rId76" ref="S130"/>
    <hyperlink r:id="rId77" ref="S131"/>
    <hyperlink r:id="rId78" ref="S132"/>
    <hyperlink r:id="rId79" ref="S133"/>
    <hyperlink r:id="rId80" ref="S134"/>
    <hyperlink r:id="rId81" ref="S135"/>
    <hyperlink r:id="rId82" ref="S137"/>
    <hyperlink r:id="rId83" ref="S139"/>
    <hyperlink r:id="rId84" ref="S142"/>
    <hyperlink r:id="rId85" ref="S146"/>
    <hyperlink r:id="rId86" ref="S147"/>
    <hyperlink r:id="rId87" ref="S149"/>
    <hyperlink r:id="rId88" ref="S150"/>
    <hyperlink r:id="rId89" ref="S151"/>
    <hyperlink r:id="rId90" ref="S152"/>
    <hyperlink r:id="rId91" ref="S154"/>
    <hyperlink r:id="rId92" ref="S157"/>
    <hyperlink r:id="rId93" ref="S161"/>
    <hyperlink r:id="rId94" ref="S162"/>
    <hyperlink r:id="rId95" ref="S164"/>
    <hyperlink r:id="rId96" ref="S165"/>
    <hyperlink r:id="rId97" ref="S166"/>
    <hyperlink r:id="rId98" ref="S167"/>
    <hyperlink r:id="rId99" ref="S171"/>
    <hyperlink r:id="rId100" ref="S172"/>
    <hyperlink r:id="rId101" ref="S173"/>
    <hyperlink r:id="rId102" ref="S174"/>
    <hyperlink r:id="rId103" ref="S175"/>
    <hyperlink r:id="rId104" ref="S176"/>
    <hyperlink r:id="rId105" ref="S177"/>
    <hyperlink r:id="rId106" ref="S185"/>
    <hyperlink r:id="rId107" ref="S186"/>
    <hyperlink r:id="rId108" ref="S187"/>
    <hyperlink r:id="rId109" ref="S188"/>
    <hyperlink r:id="rId110" ref="S189"/>
    <hyperlink r:id="rId111" ref="S191"/>
    <hyperlink r:id="rId112" ref="S192"/>
    <hyperlink r:id="rId113" ref="S195"/>
    <hyperlink r:id="rId114" ref="S196"/>
    <hyperlink r:id="rId115" ref="S197"/>
    <hyperlink r:id="rId116" ref="S198"/>
    <hyperlink r:id="rId117" ref="S202"/>
    <hyperlink r:id="rId118" ref="S204"/>
    <hyperlink r:id="rId119" ref="S206"/>
    <hyperlink r:id="rId120" ref="S207"/>
    <hyperlink r:id="rId121" ref="S208"/>
    <hyperlink r:id="rId122" ref="S210"/>
    <hyperlink r:id="rId123" ref="S212"/>
    <hyperlink r:id="rId124" ref="S213"/>
    <hyperlink r:id="rId125" ref="S214"/>
    <hyperlink r:id="rId126" ref="S215"/>
    <hyperlink r:id="rId127" ref="S217"/>
    <hyperlink r:id="rId128" ref="S220"/>
    <hyperlink r:id="rId129" ref="S221"/>
    <hyperlink r:id="rId130" ref="S222"/>
    <hyperlink r:id="rId131" ref="S224"/>
    <hyperlink r:id="rId132" ref="S226"/>
    <hyperlink r:id="rId133" ref="S227"/>
    <hyperlink r:id="rId134" ref="S228"/>
    <hyperlink r:id="rId135" ref="S229"/>
    <hyperlink r:id="rId136" ref="S230"/>
    <hyperlink r:id="rId137" ref="S231"/>
    <hyperlink r:id="rId138" ref="S233"/>
    <hyperlink r:id="rId139" ref="S234"/>
    <hyperlink r:id="rId140" ref="S236"/>
    <hyperlink r:id="rId141" ref="S237"/>
    <hyperlink r:id="rId142" ref="S238"/>
    <hyperlink r:id="rId143" ref="S240"/>
    <hyperlink r:id="rId144" ref="S241"/>
    <hyperlink r:id="rId145" ref="S242"/>
    <hyperlink r:id="rId146" ref="S243"/>
    <hyperlink r:id="rId147" ref="S244"/>
    <hyperlink r:id="rId148" ref="S245"/>
    <hyperlink r:id="rId149" ref="S246"/>
    <hyperlink r:id="rId150" ref="S247"/>
    <hyperlink r:id="rId151" ref="S248"/>
    <hyperlink r:id="rId152" ref="S249"/>
    <hyperlink r:id="rId153" ref="S250"/>
    <hyperlink r:id="rId154" ref="S251"/>
    <hyperlink r:id="rId155" ref="S252"/>
    <hyperlink r:id="rId156" ref="S253"/>
    <hyperlink r:id="rId157" ref="S254"/>
    <hyperlink r:id="rId158" ref="S255"/>
    <hyperlink r:id="rId159" ref="S256"/>
    <hyperlink r:id="rId160" ref="S257"/>
    <hyperlink r:id="rId161" ref="S260"/>
    <hyperlink r:id="rId162" ref="S261"/>
    <hyperlink r:id="rId163" ref="S262"/>
    <hyperlink r:id="rId164" ref="S263"/>
    <hyperlink r:id="rId165" ref="S264"/>
    <hyperlink r:id="rId166" ref="S265"/>
    <hyperlink r:id="rId167" ref="S266"/>
    <hyperlink r:id="rId168" ref="S267"/>
    <hyperlink r:id="rId169" ref="S268"/>
    <hyperlink r:id="rId170" ref="S269"/>
    <hyperlink r:id="rId171" ref="S270"/>
    <hyperlink r:id="rId172" ref="S271"/>
    <hyperlink r:id="rId173" ref="S272"/>
    <hyperlink r:id="rId174" ref="S273"/>
    <hyperlink r:id="rId175" ref="S274"/>
    <hyperlink r:id="rId176" ref="S275"/>
    <hyperlink r:id="rId177" ref="S276"/>
    <hyperlink r:id="rId178" ref="S278"/>
    <hyperlink r:id="rId179" ref="S279"/>
    <hyperlink r:id="rId180" ref="S280"/>
    <hyperlink r:id="rId181" ref="S281"/>
    <hyperlink r:id="rId182" ref="S282"/>
    <hyperlink r:id="rId183" ref="S283"/>
    <hyperlink r:id="rId184" ref="S284"/>
    <hyperlink r:id="rId185" ref="S285"/>
    <hyperlink r:id="rId186" ref="S286"/>
    <hyperlink r:id="rId187" ref="S287"/>
    <hyperlink r:id="rId188" ref="S288"/>
    <hyperlink r:id="rId189" ref="S289"/>
    <hyperlink r:id="rId190" ref="S290"/>
    <hyperlink r:id="rId191" ref="S291"/>
    <hyperlink r:id="rId192" ref="S292"/>
    <hyperlink r:id="rId193" ref="S293"/>
    <hyperlink r:id="rId194" ref="S294"/>
    <hyperlink r:id="rId195" ref="S295"/>
    <hyperlink r:id="rId196" ref="S297"/>
    <hyperlink r:id="rId197" ref="S298"/>
    <hyperlink r:id="rId198" ref="S299"/>
    <hyperlink r:id="rId199" ref="S300"/>
    <hyperlink r:id="rId200" ref="S301"/>
    <hyperlink r:id="rId201" ref="S302"/>
    <hyperlink r:id="rId202" ref="S303"/>
    <hyperlink r:id="rId203" ref="S305"/>
    <hyperlink r:id="rId204" ref="S306"/>
    <hyperlink r:id="rId205" ref="S307"/>
    <hyperlink r:id="rId206" ref="S308"/>
    <hyperlink r:id="rId207" ref="S309"/>
    <hyperlink r:id="rId208" ref="S310"/>
    <hyperlink r:id="rId209" ref="S311"/>
    <hyperlink r:id="rId210" ref="S312"/>
    <hyperlink r:id="rId211" ref="S313"/>
    <hyperlink r:id="rId212" ref="S314"/>
    <hyperlink r:id="rId213" ref="S315"/>
  </hyperlinks>
  <drawing r:id="rId214"/>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cols>
    <col customWidth="1" min="1" max="1" width="37.67"/>
    <col customWidth="1" min="2" max="2" width="37.44"/>
    <col customWidth="1" min="4" max="4" width="13.44"/>
    <col customWidth="1" min="8" max="9" width="15.89"/>
    <col customWidth="1" min="10" max="26" width="13.44"/>
  </cols>
  <sheetData>
    <row r="1" ht="22.5" customHeight="1">
      <c r="A1" s="8" t="s">
        <v>181</v>
      </c>
      <c r="B1" s="8" t="s">
        <v>2304</v>
      </c>
      <c r="C1" s="20" t="s">
        <v>131</v>
      </c>
      <c r="D1" s="20" t="s">
        <v>2305</v>
      </c>
      <c r="E1" s="20" t="s">
        <v>8</v>
      </c>
      <c r="F1" s="20" t="s">
        <v>982</v>
      </c>
      <c r="G1" s="20" t="s">
        <v>38</v>
      </c>
      <c r="H1" s="20" t="s">
        <v>983</v>
      </c>
      <c r="I1" s="21" t="s">
        <v>2306</v>
      </c>
      <c r="J1" s="21" t="s">
        <v>985</v>
      </c>
      <c r="K1" s="8" t="s">
        <v>986</v>
      </c>
      <c r="L1" s="20" t="s">
        <v>987</v>
      </c>
      <c r="M1" s="17" t="s">
        <v>2307</v>
      </c>
      <c r="N1" s="8" t="s">
        <v>2308</v>
      </c>
      <c r="O1" s="8" t="s">
        <v>2309</v>
      </c>
      <c r="P1" s="8" t="s">
        <v>2310</v>
      </c>
      <c r="Q1" s="8" t="s">
        <v>2311</v>
      </c>
      <c r="R1" s="8" t="s">
        <v>2312</v>
      </c>
      <c r="S1" s="8" t="s">
        <v>2313</v>
      </c>
      <c r="T1" s="8" t="s">
        <v>2314</v>
      </c>
      <c r="U1" s="8" t="s">
        <v>2315</v>
      </c>
      <c r="V1" s="8" t="s">
        <v>2316</v>
      </c>
      <c r="W1" s="8" t="s">
        <v>2317</v>
      </c>
      <c r="X1" s="8" t="s">
        <v>2318</v>
      </c>
      <c r="Y1" s="8" t="s">
        <v>2319</v>
      </c>
      <c r="Z1" s="8" t="s">
        <v>2320</v>
      </c>
    </row>
    <row r="2" ht="22.5" hidden="1" customHeight="1"/>
    <row r="3" ht="22.5" hidden="1" customHeight="1"/>
    <row r="4" ht="22.5" hidden="1" customHeight="1"/>
    <row r="5" ht="22.5" hidden="1" customHeight="1"/>
    <row r="6" ht="22.5" hidden="1" customHeight="1">
      <c r="J6" s="21" t="s">
        <v>2321</v>
      </c>
      <c r="K6" s="22">
        <v>46167.0</v>
      </c>
    </row>
    <row r="7" ht="22.5" hidden="1" customHeight="1">
      <c r="A7" s="8" t="s">
        <v>181</v>
      </c>
      <c r="B7" s="8" t="s">
        <v>2304</v>
      </c>
      <c r="C7" s="20" t="s">
        <v>131</v>
      </c>
      <c r="D7" s="20" t="s">
        <v>2305</v>
      </c>
      <c r="E7" s="20" t="s">
        <v>8</v>
      </c>
      <c r="F7" s="20" t="s">
        <v>982</v>
      </c>
      <c r="G7" s="20" t="s">
        <v>38</v>
      </c>
      <c r="H7" s="20" t="s">
        <v>983</v>
      </c>
      <c r="I7" s="21" t="s">
        <v>2306</v>
      </c>
      <c r="J7" s="21" t="s">
        <v>985</v>
      </c>
      <c r="K7" s="8" t="s">
        <v>986</v>
      </c>
      <c r="L7" s="20" t="s">
        <v>987</v>
      </c>
      <c r="M7" s="17" t="s">
        <v>2307</v>
      </c>
      <c r="N7" s="8" t="s">
        <v>2308</v>
      </c>
    </row>
    <row r="8" ht="22.5" customHeight="1">
      <c r="A8" s="8" t="s">
        <v>2322</v>
      </c>
      <c r="B8" s="8" t="s">
        <v>2323</v>
      </c>
      <c r="C8" s="20"/>
      <c r="D8" s="20">
        <v>2.5</v>
      </c>
      <c r="E8" s="20">
        <v>100.0</v>
      </c>
      <c r="F8" s="20">
        <v>250.0</v>
      </c>
      <c r="G8" s="20">
        <v>0.0</v>
      </c>
      <c r="H8" s="20">
        <v>0.0</v>
      </c>
      <c r="I8" s="21">
        <v>45280.0</v>
      </c>
      <c r="J8" s="21">
        <v>45311.0</v>
      </c>
      <c r="K8" s="8">
        <v>1.0</v>
      </c>
      <c r="L8" s="20">
        <v>-856.0</v>
      </c>
      <c r="M8" s="17">
        <v>45335.0</v>
      </c>
    </row>
    <row r="9" ht="22.5" customHeight="1">
      <c r="A9" s="8" t="s">
        <v>935</v>
      </c>
      <c r="B9" s="8" t="s">
        <v>2324</v>
      </c>
      <c r="C9" s="20"/>
      <c r="D9" s="20">
        <v>1.0</v>
      </c>
      <c r="E9" s="20">
        <v>5.0</v>
      </c>
      <c r="F9" s="20">
        <v>5.0</v>
      </c>
      <c r="G9" s="20">
        <v>0.0</v>
      </c>
      <c r="H9" s="20">
        <v>0.0</v>
      </c>
      <c r="I9" s="21">
        <v>45288.0</v>
      </c>
      <c r="J9" s="21">
        <v>45292.0</v>
      </c>
      <c r="K9" s="8">
        <v>1.0</v>
      </c>
      <c r="L9" s="20">
        <v>-875.0</v>
      </c>
      <c r="M9" s="17">
        <v>45339.0</v>
      </c>
      <c r="N9" s="20">
        <v>1397.0</v>
      </c>
    </row>
    <row r="10" ht="22.5" customHeight="1">
      <c r="A10" s="8" t="s">
        <v>2325</v>
      </c>
      <c r="B10" s="8" t="s">
        <v>2326</v>
      </c>
      <c r="C10" s="20"/>
      <c r="D10" s="20">
        <v>1.0</v>
      </c>
      <c r="E10" s="20">
        <v>3.0</v>
      </c>
      <c r="F10" s="20">
        <v>3.0</v>
      </c>
      <c r="G10" s="20">
        <v>0.0</v>
      </c>
      <c r="H10" s="20">
        <v>0.0</v>
      </c>
      <c r="I10" s="21">
        <v>45288.0</v>
      </c>
      <c r="J10" s="21">
        <v>45292.0</v>
      </c>
      <c r="K10" s="8">
        <v>1.0</v>
      </c>
      <c r="L10" s="20">
        <v>-875.0</v>
      </c>
      <c r="M10" s="17">
        <v>45339.0</v>
      </c>
      <c r="N10" s="8">
        <v>838.2</v>
      </c>
    </row>
    <row r="11" ht="22.5" customHeight="1">
      <c r="B11" s="8" t="s">
        <v>2327</v>
      </c>
      <c r="C11" s="20"/>
      <c r="D11" s="20">
        <v>0.0</v>
      </c>
      <c r="E11" s="20">
        <v>1500.0</v>
      </c>
      <c r="F11" s="20">
        <v>0.0</v>
      </c>
      <c r="G11" s="20">
        <v>0.0</v>
      </c>
      <c r="H11" s="20">
        <v>0.0</v>
      </c>
      <c r="L11" s="20"/>
    </row>
    <row r="12" ht="22.5" customHeight="1">
      <c r="B12" s="8" t="s">
        <v>2328</v>
      </c>
      <c r="C12" s="20"/>
      <c r="D12" s="20">
        <v>0.0</v>
      </c>
      <c r="E12" s="20">
        <v>500.0</v>
      </c>
      <c r="F12" s="20">
        <v>0.0</v>
      </c>
      <c r="G12" s="20">
        <v>0.0</v>
      </c>
      <c r="H12" s="20">
        <v>0.0</v>
      </c>
      <c r="L12" s="20"/>
    </row>
    <row r="13" ht="22.5" customHeight="1">
      <c r="B13" s="8" t="s">
        <v>2329</v>
      </c>
      <c r="C13" s="20"/>
      <c r="D13" s="20">
        <v>5.0</v>
      </c>
      <c r="E13" s="20">
        <v>22.0</v>
      </c>
      <c r="F13" s="20">
        <v>110.0</v>
      </c>
      <c r="G13" s="20">
        <v>0.0</v>
      </c>
      <c r="H13" s="20">
        <v>0.0</v>
      </c>
      <c r="I13" s="21">
        <v>45267.0</v>
      </c>
      <c r="J13" s="21">
        <v>45292.0</v>
      </c>
      <c r="K13" s="8">
        <v>1.0</v>
      </c>
      <c r="L13" s="20">
        <v>-875.0</v>
      </c>
      <c r="M13" s="17">
        <v>45323.0</v>
      </c>
    </row>
    <row r="14" ht="22.5" customHeight="1">
      <c r="B14" s="8" t="s">
        <v>2330</v>
      </c>
      <c r="C14" s="20"/>
      <c r="D14" s="20">
        <v>0.0</v>
      </c>
      <c r="E14" s="20">
        <v>110.0</v>
      </c>
      <c r="F14" s="20">
        <v>0.0</v>
      </c>
      <c r="G14" s="20">
        <v>0.0</v>
      </c>
      <c r="H14" s="20">
        <v>0.0</v>
      </c>
      <c r="L14" s="20"/>
    </row>
    <row r="15" ht="22.5" customHeight="1">
      <c r="B15" s="8" t="s">
        <v>129</v>
      </c>
      <c r="C15" s="20"/>
      <c r="D15" s="20">
        <v>1.0</v>
      </c>
      <c r="E15" s="20">
        <v>15000.0</v>
      </c>
      <c r="F15" s="20">
        <v>15000.0</v>
      </c>
      <c r="G15" s="20">
        <v>0.0</v>
      </c>
      <c r="H15" s="20">
        <v>0.0</v>
      </c>
      <c r="I15" s="21">
        <v>45273.0</v>
      </c>
      <c r="J15" s="21">
        <v>45304.0</v>
      </c>
      <c r="K15" s="8">
        <v>1.0</v>
      </c>
      <c r="L15" s="20">
        <v>-863.0</v>
      </c>
      <c r="N15" s="8">
        <v>13500.0</v>
      </c>
    </row>
    <row r="16" ht="22.5" customHeight="1">
      <c r="B16" s="8" t="s">
        <v>432</v>
      </c>
      <c r="C16" s="20"/>
      <c r="D16" s="20">
        <v>0.0</v>
      </c>
      <c r="E16" s="20">
        <v>0.0</v>
      </c>
      <c r="F16" s="20">
        <v>0.0</v>
      </c>
      <c r="G16" s="20">
        <v>0.0</v>
      </c>
      <c r="H16" s="20">
        <v>0.0</v>
      </c>
      <c r="L16" s="20"/>
    </row>
    <row r="17" ht="22.5" hidden="1" customHeight="1">
      <c r="C17" s="20"/>
    </row>
    <row r="18" ht="22.5" hidden="1" customHeight="1">
      <c r="C18" s="20"/>
    </row>
    <row r="19" ht="22.5" hidden="1" customHeight="1">
      <c r="C19" s="20"/>
    </row>
    <row r="20" ht="22.5" hidden="1" customHeight="1">
      <c r="C20" s="20"/>
    </row>
    <row r="21" ht="22.5" hidden="1" customHeight="1">
      <c r="C21" s="20"/>
    </row>
    <row r="22" ht="22.5" hidden="1" customHeight="1">
      <c r="C22" s="20"/>
    </row>
    <row r="23" ht="22.5" hidden="1" customHeight="1">
      <c r="C23" s="20"/>
    </row>
    <row r="24" ht="22.5" hidden="1" customHeight="1">
      <c r="B24" s="8" t="s">
        <v>2331</v>
      </c>
      <c r="C24" s="8">
        <v>0.0</v>
      </c>
      <c r="F24" s="20" t="s">
        <v>983</v>
      </c>
      <c r="G24" s="20">
        <v>0.0</v>
      </c>
      <c r="H24" s="20">
        <v>0.0</v>
      </c>
    </row>
    <row r="25" ht="22.5" hidden="1" customHeight="1">
      <c r="F25" s="20" t="s">
        <v>2332</v>
      </c>
      <c r="H25" s="20">
        <v>0.0</v>
      </c>
    </row>
    <row r="26" ht="22.5" hidden="1" customHeight="1"/>
    <row r="27" ht="22.5" hidden="1" customHeight="1"/>
    <row r="28" ht="22.5" hidden="1" customHeight="1">
      <c r="J28" s="21" t="s">
        <v>2321</v>
      </c>
      <c r="K28" s="22">
        <v>46167.0</v>
      </c>
    </row>
    <row r="29" ht="22.5" hidden="1" customHeight="1">
      <c r="A29" s="8" t="s">
        <v>181</v>
      </c>
      <c r="B29" s="8" t="s">
        <v>2304</v>
      </c>
      <c r="C29" s="20" t="s">
        <v>131</v>
      </c>
      <c r="D29" s="20" t="s">
        <v>2305</v>
      </c>
      <c r="E29" s="20" t="s">
        <v>8</v>
      </c>
      <c r="F29" s="20" t="s">
        <v>982</v>
      </c>
      <c r="G29" s="20" t="s">
        <v>38</v>
      </c>
      <c r="H29" s="20" t="s">
        <v>983</v>
      </c>
      <c r="I29" s="21" t="s">
        <v>2306</v>
      </c>
      <c r="J29" s="21" t="s">
        <v>985</v>
      </c>
      <c r="K29" s="8" t="s">
        <v>986</v>
      </c>
      <c r="L29" s="20" t="s">
        <v>987</v>
      </c>
      <c r="M29" s="17" t="s">
        <v>2307</v>
      </c>
      <c r="N29" s="8" t="s">
        <v>2308</v>
      </c>
    </row>
    <row r="30" ht="22.5" customHeight="1">
      <c r="A30" s="8" t="s">
        <v>2333</v>
      </c>
      <c r="B30" s="8" t="s">
        <v>2323</v>
      </c>
      <c r="C30" s="20"/>
      <c r="D30" s="20">
        <v>3.0</v>
      </c>
      <c r="E30" s="20">
        <v>100.0</v>
      </c>
      <c r="F30" s="20">
        <v>250.0</v>
      </c>
      <c r="G30" s="20">
        <v>0.0</v>
      </c>
      <c r="H30" s="20">
        <v>0.0</v>
      </c>
      <c r="I30" s="21">
        <v>45311.0</v>
      </c>
      <c r="J30" s="21">
        <v>45342.0</v>
      </c>
      <c r="K30" s="8">
        <v>1.0</v>
      </c>
      <c r="L30" s="20">
        <v>-825.0</v>
      </c>
    </row>
    <row r="31" ht="22.5" customHeight="1">
      <c r="A31" s="8" t="s">
        <v>2334</v>
      </c>
      <c r="B31" s="8" t="s">
        <v>2324</v>
      </c>
      <c r="C31" s="20"/>
      <c r="D31" s="20">
        <v>12.0</v>
      </c>
      <c r="E31" s="20">
        <v>5.0</v>
      </c>
      <c r="F31" s="20">
        <v>60.0</v>
      </c>
      <c r="G31" s="20">
        <v>0.0</v>
      </c>
      <c r="H31" s="20">
        <v>0.0</v>
      </c>
      <c r="I31" s="21">
        <v>45292.0</v>
      </c>
      <c r="J31" s="21">
        <v>45323.0</v>
      </c>
      <c r="K31" s="8">
        <v>1.0</v>
      </c>
      <c r="L31" s="20">
        <v>-844.0</v>
      </c>
      <c r="M31" s="17">
        <v>45339.0</v>
      </c>
      <c r="N31" s="8" t="s">
        <v>2335</v>
      </c>
    </row>
    <row r="32" ht="22.5" customHeight="1">
      <c r="A32" s="8" t="s">
        <v>2336</v>
      </c>
      <c r="B32" s="8" t="s">
        <v>2326</v>
      </c>
      <c r="C32" s="20"/>
      <c r="D32" s="20">
        <v>7.0</v>
      </c>
      <c r="E32" s="20">
        <v>3.0</v>
      </c>
      <c r="F32" s="20">
        <v>21.0</v>
      </c>
      <c r="G32" s="20">
        <v>0.0</v>
      </c>
      <c r="H32" s="20">
        <v>0.0</v>
      </c>
      <c r="I32" s="21">
        <v>45292.0</v>
      </c>
      <c r="J32" s="21">
        <v>45323.0</v>
      </c>
      <c r="K32" s="8">
        <v>1.0</v>
      </c>
      <c r="L32" s="20">
        <v>-844.0</v>
      </c>
      <c r="M32" s="17">
        <v>45339.0</v>
      </c>
      <c r="N32" s="8">
        <v>5867.4</v>
      </c>
    </row>
    <row r="33" ht="22.5" customHeight="1">
      <c r="A33" s="8" t="s">
        <v>1441</v>
      </c>
      <c r="B33" s="8" t="s">
        <v>2327</v>
      </c>
      <c r="C33" s="20"/>
      <c r="D33" s="20">
        <v>0.0</v>
      </c>
      <c r="E33" s="20">
        <v>1500.0</v>
      </c>
      <c r="F33" s="20">
        <v>0.0</v>
      </c>
      <c r="G33" s="20">
        <v>0.0</v>
      </c>
      <c r="H33" s="20">
        <v>0.0</v>
      </c>
      <c r="L33" s="20"/>
    </row>
    <row r="34" ht="22.5" customHeight="1">
      <c r="B34" s="8" t="s">
        <v>2328</v>
      </c>
      <c r="C34" s="20"/>
      <c r="D34" s="20">
        <v>0.0</v>
      </c>
      <c r="E34" s="20">
        <v>500.0</v>
      </c>
      <c r="F34" s="20">
        <v>0.0</v>
      </c>
      <c r="G34" s="20">
        <v>0.0</v>
      </c>
      <c r="H34" s="20">
        <v>0.0</v>
      </c>
      <c r="L34" s="20"/>
    </row>
    <row r="35" ht="22.5" customHeight="1">
      <c r="B35" s="8" t="s">
        <v>2329</v>
      </c>
      <c r="C35" s="20"/>
      <c r="D35" s="20">
        <v>10.0</v>
      </c>
      <c r="E35" s="20">
        <v>22.0</v>
      </c>
      <c r="F35" s="20">
        <v>220.0</v>
      </c>
      <c r="G35" s="20">
        <v>0.0</v>
      </c>
      <c r="H35" s="20">
        <v>0.0</v>
      </c>
      <c r="I35" s="21">
        <v>45292.0</v>
      </c>
      <c r="J35" s="21">
        <v>45323.0</v>
      </c>
      <c r="K35" s="8">
        <v>1.0</v>
      </c>
      <c r="L35" s="20">
        <v>-844.0</v>
      </c>
      <c r="M35" s="17">
        <v>45323.0</v>
      </c>
    </row>
    <row r="36" ht="22.5" customHeight="1">
      <c r="B36" s="8" t="s">
        <v>2330</v>
      </c>
      <c r="C36" s="20"/>
      <c r="D36" s="20">
        <v>1.0</v>
      </c>
      <c r="E36" s="20">
        <v>110.0</v>
      </c>
      <c r="F36" s="20">
        <v>110.0</v>
      </c>
      <c r="G36" s="20">
        <v>0.0</v>
      </c>
      <c r="H36" s="20">
        <v>0.0</v>
      </c>
      <c r="I36" s="21">
        <v>45303.0</v>
      </c>
      <c r="J36" s="21">
        <v>45334.0</v>
      </c>
      <c r="K36" s="8">
        <v>1.0</v>
      </c>
      <c r="L36" s="20">
        <v>-833.0</v>
      </c>
    </row>
    <row r="37" ht="22.5" customHeight="1">
      <c r="B37" s="8" t="s">
        <v>129</v>
      </c>
      <c r="C37" s="20"/>
      <c r="D37" s="20">
        <v>1.0</v>
      </c>
      <c r="E37" s="20">
        <v>15000.0</v>
      </c>
      <c r="F37" s="20">
        <v>15000.0</v>
      </c>
      <c r="G37" s="20">
        <v>0.0</v>
      </c>
      <c r="H37" s="20">
        <v>0.0</v>
      </c>
      <c r="I37" s="21">
        <v>45304.0</v>
      </c>
      <c r="J37" s="21">
        <v>45335.0</v>
      </c>
      <c r="K37" s="8">
        <v>1.0</v>
      </c>
      <c r="L37" s="20">
        <v>-832.0</v>
      </c>
      <c r="N37" s="8">
        <v>15000.0</v>
      </c>
    </row>
    <row r="38" ht="22.5" hidden="1" customHeight="1">
      <c r="C38" s="20"/>
    </row>
    <row r="39" ht="22.5" hidden="1" customHeight="1">
      <c r="C39" s="20"/>
    </row>
    <row r="40" ht="22.5" hidden="1" customHeight="1">
      <c r="C40" s="20"/>
    </row>
    <row r="41" ht="22.5" hidden="1" customHeight="1">
      <c r="C41" s="20"/>
    </row>
    <row r="42" ht="22.5" hidden="1" customHeight="1">
      <c r="C42" s="20"/>
    </row>
    <row r="43" ht="22.5" hidden="1" customHeight="1">
      <c r="C43" s="20"/>
    </row>
    <row r="44" ht="22.5" hidden="1" customHeight="1">
      <c r="C44" s="20"/>
    </row>
    <row r="45" ht="22.5" hidden="1" customHeight="1">
      <c r="B45" s="8" t="s">
        <v>2331</v>
      </c>
      <c r="C45" s="8">
        <v>0.0</v>
      </c>
      <c r="F45" s="20" t="s">
        <v>983</v>
      </c>
      <c r="G45" s="20">
        <v>0.0</v>
      </c>
      <c r="H45" s="20">
        <v>0.0</v>
      </c>
    </row>
    <row r="46" ht="22.5" hidden="1" customHeight="1">
      <c r="C46" s="20"/>
      <c r="F46" s="20" t="s">
        <v>2332</v>
      </c>
      <c r="H46" s="20">
        <v>0.0</v>
      </c>
    </row>
    <row r="47" ht="22.5" hidden="1" customHeight="1"/>
    <row r="48" ht="22.5" hidden="1" customHeight="1"/>
    <row r="49" ht="22.5" hidden="1" customHeight="1">
      <c r="J49" s="21" t="s">
        <v>2321</v>
      </c>
      <c r="K49" s="22">
        <v>46167.0</v>
      </c>
    </row>
    <row r="50" ht="22.5" hidden="1" customHeight="1">
      <c r="A50" s="8" t="s">
        <v>181</v>
      </c>
      <c r="B50" s="8" t="s">
        <v>2304</v>
      </c>
      <c r="C50" s="20" t="s">
        <v>131</v>
      </c>
      <c r="D50" s="20" t="s">
        <v>2305</v>
      </c>
      <c r="E50" s="20" t="s">
        <v>8</v>
      </c>
      <c r="F50" s="20" t="s">
        <v>982</v>
      </c>
      <c r="G50" s="20" t="s">
        <v>38</v>
      </c>
      <c r="H50" s="20" t="s">
        <v>983</v>
      </c>
      <c r="I50" s="21" t="s">
        <v>2306</v>
      </c>
      <c r="J50" s="21" t="s">
        <v>985</v>
      </c>
      <c r="K50" s="8" t="s">
        <v>986</v>
      </c>
      <c r="L50" s="20" t="s">
        <v>987</v>
      </c>
      <c r="M50" s="17" t="s">
        <v>2307</v>
      </c>
      <c r="N50" s="8" t="s">
        <v>2308</v>
      </c>
    </row>
    <row r="51" ht="22.5" customHeight="1">
      <c r="B51" s="8" t="s">
        <v>2323</v>
      </c>
      <c r="C51" s="20"/>
      <c r="D51" s="20">
        <v>3.0</v>
      </c>
      <c r="E51" s="20">
        <v>100.0</v>
      </c>
      <c r="F51" s="20">
        <v>300.0</v>
      </c>
      <c r="G51" s="20">
        <v>0.0</v>
      </c>
      <c r="H51" s="20">
        <v>0.0</v>
      </c>
      <c r="I51" s="21">
        <v>45342.0</v>
      </c>
      <c r="J51" s="21">
        <v>45371.0</v>
      </c>
      <c r="K51" s="8">
        <v>1.0</v>
      </c>
      <c r="L51" s="20">
        <v>-796.0</v>
      </c>
      <c r="M51" s="17">
        <v>45405.0</v>
      </c>
      <c r="N51" s="8" t="s">
        <v>2337</v>
      </c>
    </row>
    <row r="52" ht="22.5" customHeight="1">
      <c r="A52" s="8" t="s">
        <v>2338</v>
      </c>
      <c r="B52" s="8" t="s">
        <v>2324</v>
      </c>
      <c r="C52" s="20"/>
      <c r="D52" s="20">
        <v>0.0</v>
      </c>
      <c r="E52" s="20">
        <v>0.0</v>
      </c>
      <c r="F52" s="20">
        <v>0.0</v>
      </c>
      <c r="G52" s="20">
        <v>0.0</v>
      </c>
      <c r="H52" s="20">
        <v>0.0</v>
      </c>
      <c r="I52" s="21">
        <v>45323.0</v>
      </c>
      <c r="J52" s="21">
        <v>45352.0</v>
      </c>
      <c r="K52" s="8">
        <v>1.0</v>
      </c>
      <c r="L52" s="20">
        <v>-815.0</v>
      </c>
    </row>
    <row r="53" ht="22.5" customHeight="1">
      <c r="B53" s="8" t="s">
        <v>2326</v>
      </c>
      <c r="C53" s="20"/>
      <c r="D53" s="20">
        <v>8.0</v>
      </c>
      <c r="E53" s="20">
        <v>3.0</v>
      </c>
      <c r="F53" s="20">
        <v>24.0</v>
      </c>
      <c r="G53" s="20">
        <v>0.0</v>
      </c>
      <c r="H53" s="20">
        <v>0.0</v>
      </c>
      <c r="I53" s="21">
        <v>45323.0</v>
      </c>
      <c r="J53" s="21">
        <v>45352.0</v>
      </c>
      <c r="K53" s="8">
        <v>1.0</v>
      </c>
      <c r="L53" s="20">
        <v>-815.0</v>
      </c>
      <c r="M53" s="17">
        <v>45388.0</v>
      </c>
    </row>
    <row r="54" ht="22.5" customHeight="1">
      <c r="A54" s="8" t="s">
        <v>1441</v>
      </c>
      <c r="B54" s="8" t="s">
        <v>2327</v>
      </c>
      <c r="C54" s="20"/>
      <c r="D54" s="20">
        <v>0.0</v>
      </c>
      <c r="E54" s="20">
        <v>0.0</v>
      </c>
      <c r="F54" s="20">
        <v>0.0</v>
      </c>
      <c r="G54" s="20">
        <v>0.0</v>
      </c>
      <c r="H54" s="20">
        <v>0.0</v>
      </c>
      <c r="L54" s="20"/>
    </row>
    <row r="55" ht="22.5" customHeight="1">
      <c r="A55" s="8" t="s">
        <v>1441</v>
      </c>
      <c r="B55" s="8" t="s">
        <v>2328</v>
      </c>
      <c r="C55" s="20"/>
      <c r="D55" s="20">
        <v>0.0</v>
      </c>
      <c r="E55" s="20">
        <v>0.0</v>
      </c>
      <c r="F55" s="20">
        <v>0.0</v>
      </c>
      <c r="G55" s="20">
        <v>0.0</v>
      </c>
      <c r="H55" s="20">
        <v>0.0</v>
      </c>
      <c r="L55" s="20"/>
    </row>
    <row r="56" ht="22.5" customHeight="1">
      <c r="B56" s="8" t="s">
        <v>2329</v>
      </c>
      <c r="C56" s="20"/>
      <c r="D56" s="20">
        <v>6.0</v>
      </c>
      <c r="E56" s="20">
        <v>22.0</v>
      </c>
      <c r="F56" s="20">
        <v>132.0</v>
      </c>
      <c r="G56" s="20">
        <v>0.0</v>
      </c>
      <c r="H56" s="20">
        <v>0.0</v>
      </c>
      <c r="I56" s="21">
        <v>45323.0</v>
      </c>
      <c r="J56" s="21">
        <v>45352.0</v>
      </c>
      <c r="K56" s="8">
        <v>1.0</v>
      </c>
      <c r="L56" s="20">
        <v>-815.0</v>
      </c>
      <c r="M56" s="17">
        <v>45383.0</v>
      </c>
    </row>
    <row r="57" ht="22.5" customHeight="1">
      <c r="A57" s="8" t="s">
        <v>1441</v>
      </c>
      <c r="B57" s="8" t="s">
        <v>2330</v>
      </c>
      <c r="C57" s="20"/>
      <c r="D57" s="20">
        <v>1.0</v>
      </c>
      <c r="E57" s="20">
        <v>0.0</v>
      </c>
      <c r="F57" s="20">
        <v>0.0</v>
      </c>
      <c r="G57" s="20">
        <v>0.0</v>
      </c>
      <c r="H57" s="20">
        <v>0.0</v>
      </c>
      <c r="I57" s="21">
        <v>45334.0</v>
      </c>
      <c r="J57" s="21">
        <v>45363.0</v>
      </c>
      <c r="K57" s="8">
        <v>1.0</v>
      </c>
      <c r="L57" s="20">
        <v>-804.0</v>
      </c>
    </row>
    <row r="58" ht="22.5" customHeight="1">
      <c r="B58" s="8" t="s">
        <v>129</v>
      </c>
      <c r="C58" s="20"/>
      <c r="D58" s="20">
        <v>1.0</v>
      </c>
      <c r="E58" s="20">
        <v>15000.0</v>
      </c>
      <c r="F58" s="20">
        <v>15000.0</v>
      </c>
      <c r="G58" s="20">
        <v>0.0</v>
      </c>
      <c r="H58" s="20">
        <v>0.0</v>
      </c>
      <c r="I58" s="21">
        <v>45335.0</v>
      </c>
      <c r="J58" s="21">
        <v>45364.0</v>
      </c>
      <c r="K58" s="8">
        <v>1.0</v>
      </c>
      <c r="L58" s="20">
        <v>-803.0</v>
      </c>
    </row>
    <row r="59" ht="22.5" hidden="1" customHeight="1">
      <c r="C59" s="20"/>
    </row>
    <row r="60" ht="22.5" hidden="1" customHeight="1">
      <c r="C60" s="20"/>
    </row>
    <row r="61" ht="22.5" hidden="1" customHeight="1">
      <c r="C61" s="20"/>
    </row>
    <row r="62" ht="22.5" hidden="1" customHeight="1">
      <c r="C62" s="20"/>
    </row>
    <row r="63" ht="22.5" hidden="1" customHeight="1">
      <c r="C63" s="20"/>
    </row>
    <row r="64" ht="22.5" hidden="1" customHeight="1">
      <c r="C64" s="20"/>
    </row>
    <row r="65" ht="22.5" hidden="1" customHeight="1">
      <c r="C65" s="20"/>
    </row>
    <row r="66" ht="22.5" hidden="1" customHeight="1">
      <c r="B66" s="8" t="s">
        <v>2331</v>
      </c>
      <c r="C66" s="8">
        <v>0.0</v>
      </c>
      <c r="F66" s="20" t="s">
        <v>983</v>
      </c>
      <c r="G66" s="20">
        <v>0.0</v>
      </c>
      <c r="H66" s="20">
        <v>0.0</v>
      </c>
    </row>
    <row r="67" ht="22.5" hidden="1" customHeight="1">
      <c r="C67" s="20"/>
      <c r="F67" s="20" t="s">
        <v>2332</v>
      </c>
      <c r="H67" s="20">
        <v>0.0</v>
      </c>
    </row>
    <row r="68" ht="22.5" hidden="1" customHeight="1"/>
    <row r="69" ht="22.5" hidden="1" customHeight="1"/>
    <row r="70" ht="22.5" hidden="1" customHeight="1">
      <c r="J70" s="21" t="s">
        <v>2321</v>
      </c>
      <c r="K70" s="22">
        <v>46167.0</v>
      </c>
    </row>
    <row r="71" ht="22.5" hidden="1" customHeight="1">
      <c r="A71" s="8" t="s">
        <v>181</v>
      </c>
      <c r="B71" s="8" t="s">
        <v>2304</v>
      </c>
      <c r="C71" s="20" t="s">
        <v>131</v>
      </c>
      <c r="D71" s="20" t="s">
        <v>2305</v>
      </c>
      <c r="E71" s="20" t="s">
        <v>8</v>
      </c>
      <c r="F71" s="20" t="s">
        <v>982</v>
      </c>
      <c r="G71" s="20" t="s">
        <v>38</v>
      </c>
      <c r="H71" s="20" t="s">
        <v>983</v>
      </c>
      <c r="I71" s="21" t="s">
        <v>2306</v>
      </c>
      <c r="J71" s="21" t="s">
        <v>985</v>
      </c>
      <c r="K71" s="8" t="s">
        <v>986</v>
      </c>
      <c r="L71" s="20" t="s">
        <v>987</v>
      </c>
      <c r="M71" s="17" t="s">
        <v>2307</v>
      </c>
      <c r="N71" s="8" t="s">
        <v>2308</v>
      </c>
    </row>
    <row r="72" ht="22.5" customHeight="1">
      <c r="A72" s="8" t="s">
        <v>1441</v>
      </c>
      <c r="B72" s="8" t="s">
        <v>2323</v>
      </c>
      <c r="C72" s="20"/>
      <c r="D72" s="20">
        <v>0.0</v>
      </c>
      <c r="E72" s="20">
        <v>100.0</v>
      </c>
      <c r="F72" s="20">
        <v>0.0</v>
      </c>
      <c r="G72" s="20">
        <v>0.0</v>
      </c>
      <c r="H72" s="20">
        <v>0.0</v>
      </c>
      <c r="I72" s="21">
        <v>45371.0</v>
      </c>
      <c r="J72" s="21">
        <v>45402.0</v>
      </c>
      <c r="K72" s="8">
        <v>1.0</v>
      </c>
      <c r="L72" s="20">
        <v>-765.0</v>
      </c>
    </row>
    <row r="73" ht="22.5" customHeight="1">
      <c r="A73" s="8" t="s">
        <v>1441</v>
      </c>
      <c r="B73" s="8" t="s">
        <v>2324</v>
      </c>
      <c r="C73" s="20"/>
      <c r="D73" s="20">
        <v>0.0</v>
      </c>
      <c r="E73" s="20">
        <v>5.0</v>
      </c>
      <c r="F73" s="20">
        <v>0.0</v>
      </c>
      <c r="G73" s="20">
        <v>0.0</v>
      </c>
      <c r="H73" s="20">
        <v>0.0</v>
      </c>
      <c r="I73" s="21">
        <v>45352.0</v>
      </c>
      <c r="J73" s="21">
        <v>45383.0</v>
      </c>
      <c r="K73" s="8">
        <v>1.0</v>
      </c>
      <c r="L73" s="20">
        <v>-784.0</v>
      </c>
    </row>
    <row r="74" ht="22.5" customHeight="1">
      <c r="A74" s="8" t="s">
        <v>1441</v>
      </c>
      <c r="B74" s="8" t="s">
        <v>2326</v>
      </c>
      <c r="C74" s="20"/>
      <c r="D74" s="20">
        <v>0.0</v>
      </c>
      <c r="E74" s="20">
        <v>3.0</v>
      </c>
      <c r="F74" s="20">
        <v>0.0</v>
      </c>
      <c r="G74" s="20">
        <v>0.0</v>
      </c>
      <c r="H74" s="20">
        <v>0.0</v>
      </c>
      <c r="I74" s="21">
        <v>45352.0</v>
      </c>
      <c r="J74" s="21">
        <v>45383.0</v>
      </c>
      <c r="K74" s="8">
        <v>1.0</v>
      </c>
      <c r="L74" s="20">
        <v>-784.0</v>
      </c>
    </row>
    <row r="75" ht="22.5" customHeight="1">
      <c r="A75" s="8" t="s">
        <v>1441</v>
      </c>
      <c r="B75" s="8" t="s">
        <v>2327</v>
      </c>
      <c r="C75" s="20"/>
      <c r="D75" s="20">
        <v>0.0</v>
      </c>
      <c r="E75" s="20">
        <v>1500.0</v>
      </c>
      <c r="F75" s="20">
        <v>0.0</v>
      </c>
      <c r="G75" s="20">
        <v>0.0</v>
      </c>
      <c r="H75" s="20">
        <v>0.0</v>
      </c>
      <c r="L75" s="20"/>
    </row>
    <row r="76" ht="22.5" customHeight="1">
      <c r="A76" s="8" t="s">
        <v>1441</v>
      </c>
      <c r="B76" s="8" t="s">
        <v>2328</v>
      </c>
      <c r="C76" s="20"/>
      <c r="D76" s="20">
        <v>0.0</v>
      </c>
      <c r="E76" s="20">
        <v>500.0</v>
      </c>
      <c r="F76" s="20">
        <v>0.0</v>
      </c>
      <c r="G76" s="20">
        <v>0.0</v>
      </c>
      <c r="H76" s="20">
        <v>0.0</v>
      </c>
      <c r="L76" s="20"/>
    </row>
    <row r="77" ht="22.5" customHeight="1">
      <c r="B77" s="8" t="s">
        <v>2329</v>
      </c>
      <c r="C77" s="20"/>
      <c r="D77" s="20">
        <v>13.5</v>
      </c>
      <c r="E77" s="20">
        <v>22.0</v>
      </c>
      <c r="F77" s="20">
        <v>297.0</v>
      </c>
      <c r="G77" s="20">
        <v>0.0</v>
      </c>
      <c r="H77" s="20">
        <v>0.0</v>
      </c>
      <c r="I77" s="21">
        <v>45352.0</v>
      </c>
      <c r="J77" s="21">
        <v>45383.0</v>
      </c>
      <c r="K77" s="8">
        <v>1.0</v>
      </c>
      <c r="L77" s="20">
        <v>-784.0</v>
      </c>
      <c r="M77" s="17">
        <v>45383.0</v>
      </c>
    </row>
    <row r="78" ht="22.5" customHeight="1">
      <c r="A78" s="8" t="s">
        <v>2338</v>
      </c>
      <c r="B78" s="8" t="s">
        <v>2330</v>
      </c>
      <c r="C78" s="20"/>
      <c r="D78" s="20">
        <v>0.0</v>
      </c>
      <c r="E78" s="20">
        <v>22.0</v>
      </c>
      <c r="F78" s="20">
        <v>0.0</v>
      </c>
      <c r="G78" s="20">
        <v>0.0</v>
      </c>
      <c r="H78" s="20">
        <v>0.0</v>
      </c>
      <c r="I78" s="21">
        <v>45363.0</v>
      </c>
      <c r="J78" s="21">
        <v>45394.0</v>
      </c>
      <c r="K78" s="8">
        <v>1.0</v>
      </c>
      <c r="L78" s="20">
        <v>-773.0</v>
      </c>
    </row>
    <row r="79" ht="22.5" customHeight="1">
      <c r="B79" s="8" t="s">
        <v>129</v>
      </c>
      <c r="C79" s="20" t="s">
        <v>1441</v>
      </c>
      <c r="D79" s="20">
        <v>1.0</v>
      </c>
      <c r="E79" s="20">
        <v>15000.0</v>
      </c>
      <c r="F79" s="20">
        <v>15000.0</v>
      </c>
      <c r="G79" s="20">
        <v>4500.0</v>
      </c>
      <c r="H79" s="20">
        <v>0.0</v>
      </c>
      <c r="I79" s="21">
        <v>45364.0</v>
      </c>
      <c r="J79" s="21">
        <v>45395.0</v>
      </c>
      <c r="K79" s="8">
        <v>1.0</v>
      </c>
      <c r="L79" s="20">
        <v>-772.0</v>
      </c>
      <c r="M79" s="17">
        <v>45413.0</v>
      </c>
      <c r="N79" s="8" t="s">
        <v>2339</v>
      </c>
    </row>
    <row r="80" ht="22.5" customHeight="1">
      <c r="B80" s="8" t="s">
        <v>129</v>
      </c>
      <c r="C80" s="20" t="s">
        <v>1441</v>
      </c>
      <c r="D80" s="20">
        <v>1.0</v>
      </c>
      <c r="E80" s="20">
        <v>6660.0</v>
      </c>
      <c r="F80" s="20">
        <v>6660.0</v>
      </c>
      <c r="G80" s="20">
        <v>1745.0</v>
      </c>
      <c r="H80" s="20">
        <v>0.0</v>
      </c>
      <c r="J80" s="21">
        <v>45388.0</v>
      </c>
      <c r="K80" s="8">
        <v>1.0</v>
      </c>
      <c r="L80" s="20">
        <v>-779.0</v>
      </c>
      <c r="M80" s="17">
        <v>45413.0</v>
      </c>
      <c r="N80" s="8" t="s">
        <v>2340</v>
      </c>
    </row>
    <row r="81" ht="22.5" hidden="1" customHeight="1">
      <c r="C81" s="20"/>
      <c r="L81" s="20"/>
    </row>
    <row r="82" ht="22.5" hidden="1" customHeight="1">
      <c r="C82" s="20"/>
      <c r="L82" s="20"/>
    </row>
    <row r="83" ht="22.5" hidden="1" customHeight="1">
      <c r="C83" s="20"/>
      <c r="L83" s="20"/>
    </row>
    <row r="84" ht="22.5" hidden="1" customHeight="1">
      <c r="C84" s="20"/>
      <c r="L84" s="20"/>
    </row>
    <row r="85" ht="22.5" hidden="1" customHeight="1">
      <c r="C85" s="20"/>
      <c r="L85" s="20"/>
    </row>
    <row r="86" ht="22.5" hidden="1" customHeight="1">
      <c r="C86" s="20"/>
      <c r="L86" s="20"/>
    </row>
    <row r="87" ht="22.5" hidden="1" customHeight="1">
      <c r="B87" s="8" t="s">
        <v>2331</v>
      </c>
      <c r="C87" s="8">
        <v>2.0</v>
      </c>
      <c r="F87" s="20" t="s">
        <v>983</v>
      </c>
      <c r="G87" s="20">
        <v>6245.0</v>
      </c>
      <c r="H87" s="20">
        <v>0.0</v>
      </c>
    </row>
    <row r="88" ht="22.5" hidden="1" customHeight="1">
      <c r="C88" s="20"/>
      <c r="F88" s="20" t="s">
        <v>2332</v>
      </c>
      <c r="H88" s="20">
        <v>0.0</v>
      </c>
    </row>
    <row r="89" ht="22.5" hidden="1" customHeight="1"/>
    <row r="90" ht="22.5" hidden="1" customHeight="1"/>
    <row r="91" ht="22.5" hidden="1" customHeight="1">
      <c r="J91" s="21" t="s">
        <v>2321</v>
      </c>
      <c r="K91" s="22">
        <v>46167.0</v>
      </c>
    </row>
    <row r="92" ht="22.5" hidden="1" customHeight="1">
      <c r="A92" s="8" t="s">
        <v>181</v>
      </c>
      <c r="B92" s="8" t="s">
        <v>2304</v>
      </c>
      <c r="C92" s="20" t="s">
        <v>131</v>
      </c>
      <c r="D92" s="20" t="s">
        <v>2305</v>
      </c>
      <c r="E92" s="20" t="s">
        <v>8</v>
      </c>
      <c r="F92" s="20" t="s">
        <v>982</v>
      </c>
      <c r="G92" s="20" t="s">
        <v>38</v>
      </c>
      <c r="H92" s="20" t="s">
        <v>983</v>
      </c>
      <c r="I92" s="21" t="s">
        <v>2306</v>
      </c>
      <c r="J92" s="21" t="s">
        <v>985</v>
      </c>
      <c r="K92" s="8" t="s">
        <v>986</v>
      </c>
      <c r="L92" s="20" t="s">
        <v>987</v>
      </c>
      <c r="M92" s="17" t="s">
        <v>2307</v>
      </c>
      <c r="N92" s="8" t="s">
        <v>2308</v>
      </c>
    </row>
    <row r="93" ht="22.5" customHeight="1">
      <c r="A93" s="8" t="s">
        <v>1441</v>
      </c>
      <c r="B93" s="8" t="s">
        <v>2323</v>
      </c>
      <c r="C93" s="20"/>
      <c r="D93" s="20">
        <v>0.0</v>
      </c>
      <c r="E93" s="20">
        <v>100.0</v>
      </c>
      <c r="F93" s="20">
        <v>0.0</v>
      </c>
      <c r="G93" s="20">
        <v>0.0</v>
      </c>
      <c r="H93" s="20">
        <v>0.0</v>
      </c>
      <c r="I93" s="21">
        <v>45402.0</v>
      </c>
      <c r="J93" s="21">
        <v>45432.0</v>
      </c>
      <c r="K93" s="8">
        <v>1.0</v>
      </c>
      <c r="L93" s="20">
        <v>-735.0</v>
      </c>
    </row>
    <row r="94" ht="22.5" customHeight="1">
      <c r="B94" s="8" t="s">
        <v>2324</v>
      </c>
      <c r="C94" s="20"/>
      <c r="D94" s="20">
        <v>3.0</v>
      </c>
      <c r="E94" s="20">
        <v>5.0</v>
      </c>
      <c r="F94" s="20">
        <v>15.0</v>
      </c>
      <c r="G94" s="20">
        <v>0.0</v>
      </c>
      <c r="H94" s="20">
        <v>0.0</v>
      </c>
      <c r="I94" s="21">
        <v>45383.0</v>
      </c>
      <c r="J94" s="21">
        <v>45413.0</v>
      </c>
      <c r="K94" s="8">
        <v>1.0</v>
      </c>
      <c r="L94" s="20">
        <v>-754.0</v>
      </c>
      <c r="M94" s="17">
        <v>45413.0</v>
      </c>
      <c r="N94" s="8" t="s">
        <v>2341</v>
      </c>
    </row>
    <row r="95" ht="22.5" customHeight="1">
      <c r="A95" s="8" t="s">
        <v>1441</v>
      </c>
      <c r="B95" s="8" t="s">
        <v>2326</v>
      </c>
      <c r="C95" s="20"/>
      <c r="D95" s="20">
        <v>0.0</v>
      </c>
      <c r="E95" s="20">
        <v>3.0</v>
      </c>
      <c r="F95" s="20">
        <v>0.0</v>
      </c>
      <c r="G95" s="20">
        <v>0.0</v>
      </c>
      <c r="H95" s="20">
        <v>0.0</v>
      </c>
      <c r="I95" s="21">
        <v>45383.0</v>
      </c>
      <c r="J95" s="21">
        <v>45413.0</v>
      </c>
      <c r="K95" s="8">
        <v>1.0</v>
      </c>
      <c r="L95" s="20">
        <v>-754.0</v>
      </c>
    </row>
    <row r="96" ht="22.5" customHeight="1">
      <c r="A96" s="8" t="s">
        <v>1441</v>
      </c>
      <c r="B96" s="8" t="s">
        <v>2327</v>
      </c>
      <c r="C96" s="20"/>
      <c r="D96" s="20">
        <v>0.0</v>
      </c>
      <c r="E96" s="20">
        <v>1500.0</v>
      </c>
      <c r="F96" s="20">
        <v>0.0</v>
      </c>
      <c r="G96" s="20">
        <v>0.0</v>
      </c>
      <c r="H96" s="20">
        <v>0.0</v>
      </c>
      <c r="L96" s="20"/>
    </row>
    <row r="97" ht="22.5" customHeight="1">
      <c r="A97" s="8" t="s">
        <v>1441</v>
      </c>
      <c r="B97" s="8" t="s">
        <v>2328</v>
      </c>
      <c r="C97" s="20"/>
      <c r="D97" s="20">
        <v>0.0</v>
      </c>
      <c r="E97" s="20">
        <v>500.0</v>
      </c>
      <c r="F97" s="20">
        <v>0.0</v>
      </c>
      <c r="G97" s="20">
        <v>0.0</v>
      </c>
      <c r="H97" s="20">
        <v>0.0</v>
      </c>
      <c r="L97" s="20"/>
    </row>
    <row r="98" ht="22.5" customHeight="1">
      <c r="B98" s="8" t="s">
        <v>2329</v>
      </c>
      <c r="C98" s="20"/>
      <c r="D98" s="20">
        <v>16.5</v>
      </c>
      <c r="E98" s="20">
        <v>22.0</v>
      </c>
      <c r="F98" s="20">
        <v>363.0</v>
      </c>
      <c r="G98" s="20">
        <v>0.0</v>
      </c>
      <c r="H98" s="20">
        <v>0.0</v>
      </c>
      <c r="L98" s="20"/>
      <c r="M98" s="17" t="s">
        <v>2342</v>
      </c>
    </row>
    <row r="99" ht="22.5" customHeight="1">
      <c r="A99" s="8" t="s">
        <v>2338</v>
      </c>
      <c r="B99" s="8" t="s">
        <v>2330</v>
      </c>
      <c r="C99" s="20"/>
      <c r="D99" s="20">
        <v>0.0</v>
      </c>
      <c r="E99" s="20">
        <v>0.0</v>
      </c>
      <c r="F99" s="20">
        <v>0.0</v>
      </c>
      <c r="G99" s="20">
        <v>0.0</v>
      </c>
      <c r="H99" s="20">
        <v>0.0</v>
      </c>
      <c r="I99" s="21">
        <v>45394.0</v>
      </c>
      <c r="J99" s="21">
        <v>45424.0</v>
      </c>
      <c r="K99" s="8">
        <v>1.0</v>
      </c>
      <c r="L99" s="20">
        <v>-743.0</v>
      </c>
    </row>
    <row r="100" ht="22.5" customHeight="1">
      <c r="B100" s="8" t="s">
        <v>129</v>
      </c>
      <c r="C100" s="20"/>
      <c r="D100" s="20">
        <v>1.0</v>
      </c>
      <c r="E100" s="20">
        <v>15000.0</v>
      </c>
      <c r="F100" s="20">
        <v>15000.0</v>
      </c>
      <c r="G100" s="20">
        <v>0.0</v>
      </c>
      <c r="H100" s="20">
        <v>0.0</v>
      </c>
      <c r="I100" s="21">
        <v>45395.0</v>
      </c>
      <c r="J100" s="21">
        <v>45425.0</v>
      </c>
      <c r="K100" s="8">
        <v>1.0</v>
      </c>
      <c r="L100" s="20">
        <v>-742.0</v>
      </c>
    </row>
    <row r="101" ht="22.5" customHeight="1">
      <c r="B101" s="8" t="s">
        <v>2343</v>
      </c>
      <c r="C101" s="20"/>
      <c r="D101" s="20">
        <v>3.0</v>
      </c>
      <c r="E101" s="20">
        <v>3000.0</v>
      </c>
      <c r="F101" s="20">
        <v>9000.0</v>
      </c>
      <c r="G101" s="20">
        <v>0.0</v>
      </c>
      <c r="H101" s="20">
        <v>0.0</v>
      </c>
      <c r="L101" s="20"/>
      <c r="M101" s="17" t="s">
        <v>2344</v>
      </c>
    </row>
    <row r="102" ht="22.5" customHeight="1">
      <c r="B102" s="8" t="s">
        <v>129</v>
      </c>
      <c r="C102" s="20"/>
      <c r="D102" s="20">
        <v>1.0</v>
      </c>
      <c r="E102" s="20">
        <v>-13340.0</v>
      </c>
      <c r="F102" s="20">
        <v>-13340.0</v>
      </c>
      <c r="G102" s="20">
        <v>0.0</v>
      </c>
      <c r="H102" s="20">
        <v>0.0</v>
      </c>
      <c r="L102" s="20"/>
    </row>
    <row r="103" ht="22.5" hidden="1" customHeight="1">
      <c r="C103" s="20"/>
      <c r="L103" s="20"/>
    </row>
    <row r="104" ht="22.5" hidden="1" customHeight="1">
      <c r="C104" s="20"/>
      <c r="L104" s="20"/>
    </row>
    <row r="105" ht="22.5" hidden="1" customHeight="1">
      <c r="C105" s="20"/>
      <c r="L105" s="20"/>
    </row>
    <row r="106" ht="22.5" hidden="1" customHeight="1">
      <c r="C106" s="20"/>
      <c r="L106" s="20"/>
    </row>
    <row r="107" ht="22.5" hidden="1" customHeight="1">
      <c r="C107" s="20"/>
      <c r="L107" s="20"/>
    </row>
    <row r="108" ht="22.5" hidden="1" customHeight="1">
      <c r="B108" s="8" t="s">
        <v>2331</v>
      </c>
      <c r="C108" s="8">
        <v>0.0</v>
      </c>
      <c r="F108" s="20" t="s">
        <v>983</v>
      </c>
      <c r="G108" s="20">
        <v>0.0</v>
      </c>
      <c r="H108" s="20">
        <v>0.0</v>
      </c>
    </row>
    <row r="109" ht="22.5" hidden="1" customHeight="1">
      <c r="C109" s="20"/>
      <c r="F109" s="20" t="s">
        <v>2332</v>
      </c>
      <c r="H109" s="20">
        <v>0.0</v>
      </c>
    </row>
    <row r="110" ht="22.5" hidden="1" customHeight="1"/>
    <row r="111" ht="22.5" hidden="1" customHeight="1"/>
    <row r="112" ht="22.5" hidden="1" customHeight="1">
      <c r="J112" s="21" t="s">
        <v>2321</v>
      </c>
      <c r="K112" s="22">
        <v>46167.0</v>
      </c>
    </row>
    <row r="113" ht="22.5" hidden="1" customHeight="1">
      <c r="A113" s="8" t="s">
        <v>181</v>
      </c>
      <c r="B113" s="8" t="s">
        <v>2304</v>
      </c>
      <c r="C113" s="20" t="s">
        <v>131</v>
      </c>
      <c r="D113" s="20" t="s">
        <v>2305</v>
      </c>
      <c r="E113" s="20" t="s">
        <v>8</v>
      </c>
      <c r="F113" s="20" t="s">
        <v>982</v>
      </c>
      <c r="G113" s="20" t="s">
        <v>38</v>
      </c>
      <c r="H113" s="20" t="s">
        <v>983</v>
      </c>
      <c r="I113" s="21" t="s">
        <v>2306</v>
      </c>
      <c r="J113" s="21" t="s">
        <v>985</v>
      </c>
      <c r="K113" s="8" t="s">
        <v>986</v>
      </c>
      <c r="L113" s="20" t="s">
        <v>987</v>
      </c>
      <c r="M113" s="17" t="s">
        <v>2307</v>
      </c>
      <c r="N113" s="8" t="s">
        <v>2308</v>
      </c>
    </row>
    <row r="114" ht="22.5" customHeight="1">
      <c r="B114" s="8" t="s">
        <v>2323</v>
      </c>
      <c r="C114" s="20"/>
      <c r="D114" s="20">
        <v>3.0</v>
      </c>
      <c r="E114" s="20">
        <v>100.0</v>
      </c>
      <c r="F114" s="20">
        <v>300.0</v>
      </c>
      <c r="G114" s="20">
        <v>0.0</v>
      </c>
      <c r="H114" s="20">
        <v>0.0</v>
      </c>
      <c r="I114" s="21">
        <v>45432.0</v>
      </c>
      <c r="J114" s="21">
        <v>45463.0</v>
      </c>
      <c r="K114" s="8">
        <v>1.0</v>
      </c>
      <c r="L114" s="20">
        <v>-704.0</v>
      </c>
    </row>
    <row r="115" ht="22.5" customHeight="1">
      <c r="B115" s="8" t="s">
        <v>2324</v>
      </c>
      <c r="C115" s="20"/>
      <c r="D115" s="20">
        <v>7.0</v>
      </c>
      <c r="E115" s="20">
        <v>5.0</v>
      </c>
      <c r="F115" s="20">
        <v>35.0</v>
      </c>
      <c r="G115" s="20">
        <v>0.0</v>
      </c>
      <c r="H115" s="20">
        <v>0.0</v>
      </c>
      <c r="I115" s="21">
        <v>45413.0</v>
      </c>
      <c r="J115" s="21">
        <v>45444.0</v>
      </c>
      <c r="K115" s="8">
        <v>1.0</v>
      </c>
      <c r="L115" s="20">
        <v>-723.0</v>
      </c>
      <c r="M115" s="17">
        <v>45458.0</v>
      </c>
    </row>
    <row r="116" ht="22.5" customHeight="1">
      <c r="B116" s="8" t="s">
        <v>2326</v>
      </c>
      <c r="C116" s="20"/>
      <c r="D116" s="20">
        <v>6.0</v>
      </c>
      <c r="E116" s="20">
        <v>3.0</v>
      </c>
      <c r="F116" s="20">
        <v>18.0</v>
      </c>
      <c r="G116" s="20">
        <v>0.0</v>
      </c>
      <c r="H116" s="20">
        <v>0.0</v>
      </c>
      <c r="I116" s="21">
        <v>45413.0</v>
      </c>
      <c r="J116" s="21">
        <v>45444.0</v>
      </c>
      <c r="K116" s="8">
        <v>1.0</v>
      </c>
      <c r="L116" s="20">
        <v>-723.0</v>
      </c>
      <c r="M116" s="17">
        <v>45458.0</v>
      </c>
    </row>
    <row r="117" ht="22.5" customHeight="1">
      <c r="B117" s="8" t="s">
        <v>2327</v>
      </c>
      <c r="C117" s="20"/>
      <c r="D117" s="20">
        <v>0.0</v>
      </c>
      <c r="E117" s="20">
        <v>1500.0</v>
      </c>
      <c r="F117" s="20">
        <v>0.0</v>
      </c>
      <c r="G117" s="20">
        <v>0.0</v>
      </c>
      <c r="H117" s="20">
        <v>0.0</v>
      </c>
      <c r="L117" s="20"/>
    </row>
    <row r="118" ht="22.5" customHeight="1">
      <c r="B118" s="8" t="s">
        <v>2328</v>
      </c>
      <c r="C118" s="20"/>
      <c r="D118" s="20">
        <v>0.0</v>
      </c>
      <c r="E118" s="20">
        <v>500.0</v>
      </c>
      <c r="F118" s="20">
        <v>0.0</v>
      </c>
      <c r="G118" s="20">
        <v>0.0</v>
      </c>
      <c r="H118" s="20">
        <v>0.0</v>
      </c>
      <c r="L118" s="20"/>
    </row>
    <row r="119" ht="22.5" customHeight="1">
      <c r="A119" s="8" t="s">
        <v>2345</v>
      </c>
      <c r="B119" s="8" t="s">
        <v>2329</v>
      </c>
      <c r="C119" s="20"/>
      <c r="D119" s="20">
        <v>24.0</v>
      </c>
      <c r="E119" s="20">
        <v>22.0</v>
      </c>
      <c r="F119" s="20">
        <v>462.0</v>
      </c>
      <c r="G119" s="20">
        <v>0.0</v>
      </c>
      <c r="H119" s="20">
        <v>0.0</v>
      </c>
      <c r="I119" s="21">
        <v>45413.0</v>
      </c>
      <c r="J119" s="21">
        <v>45444.0</v>
      </c>
      <c r="K119" s="8">
        <v>1.0</v>
      </c>
      <c r="L119" s="20">
        <v>-723.0</v>
      </c>
      <c r="M119" s="17">
        <v>45458.0</v>
      </c>
    </row>
    <row r="120" ht="22.5" customHeight="1">
      <c r="B120" s="8" t="s">
        <v>2330</v>
      </c>
      <c r="C120" s="20"/>
      <c r="D120" s="20">
        <v>0.0</v>
      </c>
      <c r="E120" s="20">
        <v>0.0</v>
      </c>
      <c r="F120" s="20">
        <v>0.0</v>
      </c>
      <c r="G120" s="20">
        <v>0.0</v>
      </c>
      <c r="H120" s="20">
        <v>0.0</v>
      </c>
      <c r="I120" s="21">
        <v>45424.0</v>
      </c>
      <c r="J120" s="21">
        <v>45455.0</v>
      </c>
      <c r="K120" s="8">
        <v>1.0</v>
      </c>
      <c r="L120" s="20">
        <v>-712.0</v>
      </c>
    </row>
    <row r="121" ht="22.5" customHeight="1">
      <c r="B121" s="8" t="s">
        <v>129</v>
      </c>
      <c r="C121" s="20"/>
      <c r="D121" s="20">
        <v>1.0</v>
      </c>
      <c r="E121" s="20">
        <v>15000.0</v>
      </c>
      <c r="F121" s="20">
        <v>15000.0</v>
      </c>
      <c r="G121" s="20">
        <v>0.0</v>
      </c>
      <c r="H121" s="20">
        <v>0.0</v>
      </c>
      <c r="I121" s="21">
        <v>45425.0</v>
      </c>
      <c r="J121" s="21">
        <v>45456.0</v>
      </c>
      <c r="K121" s="8">
        <v>1.0</v>
      </c>
      <c r="L121" s="20">
        <v>-711.0</v>
      </c>
      <c r="M121" s="17">
        <v>45458.0</v>
      </c>
    </row>
    <row r="122" ht="22.5" customHeight="1">
      <c r="B122" s="8" t="s">
        <v>2343</v>
      </c>
      <c r="C122" s="20"/>
      <c r="D122" s="20">
        <v>0.0</v>
      </c>
      <c r="E122" s="20">
        <v>3000.0</v>
      </c>
      <c r="F122" s="20">
        <v>0.0</v>
      </c>
      <c r="G122" s="20">
        <v>0.0</v>
      </c>
      <c r="H122" s="20">
        <v>0.0</v>
      </c>
      <c r="L122" s="20"/>
    </row>
    <row r="123" ht="22.5" hidden="1" customHeight="1">
      <c r="C123" s="20"/>
      <c r="L123" s="20"/>
    </row>
    <row r="124" ht="22.5" hidden="1" customHeight="1">
      <c r="C124" s="20"/>
      <c r="L124" s="20"/>
    </row>
    <row r="125" ht="22.5" hidden="1" customHeight="1">
      <c r="C125" s="20"/>
      <c r="L125" s="20"/>
    </row>
    <row r="126" ht="22.5" hidden="1" customHeight="1">
      <c r="C126" s="20"/>
      <c r="L126" s="20"/>
    </row>
    <row r="127" ht="22.5" hidden="1" customHeight="1">
      <c r="C127" s="20"/>
      <c r="L127" s="20"/>
    </row>
    <row r="128" ht="22.5" hidden="1" customHeight="1">
      <c r="C128" s="20"/>
      <c r="L128" s="20"/>
    </row>
    <row r="129" ht="22.5" hidden="1" customHeight="1">
      <c r="B129" s="8" t="s">
        <v>2331</v>
      </c>
      <c r="C129" s="8">
        <v>0.0</v>
      </c>
      <c r="F129" s="20" t="s">
        <v>983</v>
      </c>
      <c r="G129" s="20">
        <v>0.0</v>
      </c>
      <c r="H129" s="20">
        <v>0.0</v>
      </c>
    </row>
    <row r="130" ht="22.5" hidden="1" customHeight="1">
      <c r="C130" s="20"/>
      <c r="F130" s="20" t="s">
        <v>2332</v>
      </c>
      <c r="H130" s="20">
        <v>0.0</v>
      </c>
    </row>
    <row r="131" ht="22.5" hidden="1" customHeight="1"/>
    <row r="132" ht="22.5" hidden="1" customHeight="1"/>
    <row r="133" ht="22.5" hidden="1" customHeight="1">
      <c r="J133" s="21" t="s">
        <v>2321</v>
      </c>
      <c r="K133" s="22">
        <v>46167.0</v>
      </c>
    </row>
    <row r="134" ht="22.5" hidden="1" customHeight="1">
      <c r="A134" s="8" t="s">
        <v>181</v>
      </c>
      <c r="B134" s="8" t="s">
        <v>2304</v>
      </c>
      <c r="C134" s="20" t="s">
        <v>131</v>
      </c>
      <c r="D134" s="20" t="s">
        <v>2305</v>
      </c>
      <c r="E134" s="20" t="s">
        <v>8</v>
      </c>
      <c r="F134" s="20" t="s">
        <v>982</v>
      </c>
      <c r="G134" s="20" t="s">
        <v>38</v>
      </c>
      <c r="H134" s="20" t="s">
        <v>983</v>
      </c>
      <c r="I134" s="21" t="s">
        <v>2306</v>
      </c>
      <c r="J134" s="21" t="s">
        <v>985</v>
      </c>
      <c r="K134" s="8" t="s">
        <v>986</v>
      </c>
      <c r="L134" s="20" t="s">
        <v>987</v>
      </c>
      <c r="M134" s="17" t="s">
        <v>2307</v>
      </c>
      <c r="N134" s="8" t="s">
        <v>2308</v>
      </c>
    </row>
    <row r="135" ht="22.5" customHeight="1">
      <c r="A135" s="8" t="s">
        <v>2346</v>
      </c>
      <c r="B135" s="8" t="s">
        <v>2323</v>
      </c>
      <c r="C135" s="20"/>
      <c r="D135" s="20">
        <v>3.0</v>
      </c>
      <c r="E135" s="20">
        <v>100.0</v>
      </c>
      <c r="F135" s="20">
        <v>347.5</v>
      </c>
      <c r="G135" s="20">
        <v>0.0</v>
      </c>
      <c r="H135" s="20">
        <v>0.0</v>
      </c>
      <c r="I135" s="21">
        <v>45463.0</v>
      </c>
      <c r="J135" s="21">
        <v>45493.0</v>
      </c>
      <c r="K135" s="8">
        <v>1.0</v>
      </c>
      <c r="L135" s="20">
        <v>-674.0</v>
      </c>
    </row>
    <row r="136" ht="22.5" customHeight="1">
      <c r="B136" s="8" t="s">
        <v>2324</v>
      </c>
      <c r="C136" s="20"/>
      <c r="D136" s="20">
        <v>0.0</v>
      </c>
      <c r="E136" s="20">
        <v>5.0</v>
      </c>
      <c r="F136" s="20">
        <v>0.0</v>
      </c>
      <c r="G136" s="20">
        <v>0.0</v>
      </c>
      <c r="H136" s="20">
        <v>0.0</v>
      </c>
      <c r="I136" s="21">
        <v>45444.0</v>
      </c>
      <c r="J136" s="21">
        <v>45474.0</v>
      </c>
      <c r="K136" s="8">
        <v>1.0</v>
      </c>
      <c r="L136" s="20">
        <v>-693.0</v>
      </c>
      <c r="N136" s="8" t="s">
        <v>2341</v>
      </c>
    </row>
    <row r="137" ht="22.5" customHeight="1">
      <c r="B137" s="8" t="s">
        <v>2326</v>
      </c>
      <c r="C137" s="20"/>
      <c r="D137" s="20">
        <v>4.0</v>
      </c>
      <c r="E137" s="20">
        <v>3.0</v>
      </c>
      <c r="F137" s="20">
        <v>12.0</v>
      </c>
      <c r="G137" s="20">
        <v>0.0</v>
      </c>
      <c r="H137" s="20">
        <v>0.0</v>
      </c>
      <c r="I137" s="21">
        <v>45444.0</v>
      </c>
      <c r="J137" s="21">
        <v>45474.0</v>
      </c>
      <c r="K137" s="8">
        <v>1.0</v>
      </c>
      <c r="L137" s="20">
        <v>-693.0</v>
      </c>
      <c r="M137" s="17">
        <v>45518.0</v>
      </c>
    </row>
    <row r="138" ht="22.5" customHeight="1">
      <c r="B138" s="8" t="s">
        <v>2327</v>
      </c>
      <c r="C138" s="20"/>
      <c r="D138" s="20">
        <v>0.0</v>
      </c>
      <c r="E138" s="20">
        <v>1500.0</v>
      </c>
      <c r="F138" s="20">
        <v>0.0</v>
      </c>
      <c r="G138" s="20">
        <v>0.0</v>
      </c>
      <c r="H138" s="20">
        <v>0.0</v>
      </c>
      <c r="L138" s="20"/>
    </row>
    <row r="139" ht="22.5" customHeight="1">
      <c r="B139" s="8" t="s">
        <v>2328</v>
      </c>
      <c r="C139" s="20"/>
      <c r="D139" s="20">
        <v>0.0</v>
      </c>
      <c r="E139" s="20">
        <v>500.0</v>
      </c>
      <c r="F139" s="20">
        <v>0.0</v>
      </c>
      <c r="G139" s="20">
        <v>0.0</v>
      </c>
      <c r="H139" s="20">
        <v>0.0</v>
      </c>
      <c r="L139" s="20"/>
    </row>
    <row r="140" ht="22.5" customHeight="1">
      <c r="B140" s="8" t="s">
        <v>2329</v>
      </c>
      <c r="C140" s="20"/>
      <c r="D140" s="20">
        <v>21.0</v>
      </c>
      <c r="E140" s="20">
        <v>22.0</v>
      </c>
      <c r="F140" s="20">
        <v>462.0</v>
      </c>
      <c r="G140" s="20">
        <v>0.0</v>
      </c>
      <c r="H140" s="20">
        <v>0.0</v>
      </c>
      <c r="I140" s="21">
        <v>45444.0</v>
      </c>
      <c r="J140" s="21">
        <v>45474.0</v>
      </c>
      <c r="K140" s="8">
        <v>1.0</v>
      </c>
      <c r="L140" s="20">
        <v>-693.0</v>
      </c>
      <c r="M140" s="17" t="s">
        <v>2347</v>
      </c>
      <c r="N140" s="8" t="s">
        <v>2348</v>
      </c>
    </row>
    <row r="141" ht="22.5" customHeight="1">
      <c r="B141" s="8" t="s">
        <v>2330</v>
      </c>
      <c r="C141" s="20"/>
      <c r="D141" s="20">
        <v>0.0</v>
      </c>
      <c r="E141" s="20">
        <v>0.0</v>
      </c>
      <c r="F141" s="20">
        <v>0.0</v>
      </c>
      <c r="G141" s="20">
        <v>0.0</v>
      </c>
      <c r="H141" s="20">
        <v>0.0</v>
      </c>
      <c r="I141" s="21">
        <v>45455.0</v>
      </c>
      <c r="J141" s="21">
        <v>45485.0</v>
      </c>
      <c r="K141" s="8">
        <v>1.0</v>
      </c>
      <c r="L141" s="20">
        <v>-682.0</v>
      </c>
    </row>
    <row r="142" ht="22.5" customHeight="1">
      <c r="B142" s="8" t="s">
        <v>129</v>
      </c>
      <c r="C142" s="20"/>
      <c r="D142" s="20">
        <v>1.0</v>
      </c>
      <c r="E142" s="20">
        <v>15000.0</v>
      </c>
      <c r="F142" s="20">
        <v>15000.0</v>
      </c>
      <c r="G142" s="20">
        <v>0.0</v>
      </c>
      <c r="H142" s="20">
        <v>0.0</v>
      </c>
      <c r="I142" s="21">
        <v>45456.0</v>
      </c>
      <c r="J142" s="21">
        <v>45486.0</v>
      </c>
      <c r="K142" s="8">
        <v>1.0</v>
      </c>
      <c r="L142" s="20">
        <v>-681.0</v>
      </c>
      <c r="M142" s="17">
        <v>45458.0</v>
      </c>
    </row>
    <row r="143" ht="22.5" customHeight="1">
      <c r="B143" s="8" t="s">
        <v>2343</v>
      </c>
      <c r="C143" s="20"/>
      <c r="D143" s="20">
        <v>0.0</v>
      </c>
      <c r="E143" s="20">
        <v>3000.0</v>
      </c>
      <c r="F143" s="20">
        <v>0.0</v>
      </c>
      <c r="G143" s="20">
        <v>0.0</v>
      </c>
      <c r="H143" s="20">
        <v>0.0</v>
      </c>
      <c r="L143" s="20"/>
      <c r="M143" s="17">
        <v>45457.0</v>
      </c>
    </row>
    <row r="144" ht="22.5" customHeight="1">
      <c r="B144" s="8" t="s">
        <v>129</v>
      </c>
      <c r="C144" s="20"/>
      <c r="D144" s="20">
        <v>1.0</v>
      </c>
      <c r="E144" s="20">
        <v>-13340.0</v>
      </c>
      <c r="F144" s="20">
        <v>-16426.0</v>
      </c>
      <c r="G144" s="20">
        <v>0.0</v>
      </c>
      <c r="H144" s="20">
        <v>0.0</v>
      </c>
      <c r="L144" s="20"/>
    </row>
    <row r="145" ht="22.5" hidden="1" customHeight="1">
      <c r="C145" s="20"/>
      <c r="L145" s="20"/>
      <c r="M145" s="17">
        <v>45516.0</v>
      </c>
    </row>
    <row r="146" ht="22.5" customHeight="1">
      <c r="A146" s="13" t="s">
        <v>2349</v>
      </c>
      <c r="B146" s="8" t="s">
        <v>129</v>
      </c>
      <c r="C146" s="20"/>
      <c r="D146" s="20">
        <v>1.0</v>
      </c>
      <c r="E146" s="20">
        <v>21477.0</v>
      </c>
      <c r="F146" s="20">
        <v>-21477.0</v>
      </c>
      <c r="G146" s="20">
        <v>0.0</v>
      </c>
      <c r="I146" s="21">
        <v>45458.0</v>
      </c>
      <c r="J146" s="21">
        <v>45458.0</v>
      </c>
      <c r="K146" s="8">
        <v>1.0</v>
      </c>
      <c r="L146" s="20">
        <v>-709.0</v>
      </c>
      <c r="M146" s="17">
        <v>45458.0</v>
      </c>
    </row>
    <row r="147" ht="22.5" hidden="1" customHeight="1">
      <c r="C147" s="20"/>
      <c r="L147" s="20"/>
    </row>
    <row r="148" ht="22.5" hidden="1" customHeight="1">
      <c r="C148" s="20"/>
      <c r="L148" s="20"/>
    </row>
    <row r="149" ht="22.5" hidden="1" customHeight="1">
      <c r="C149" s="20"/>
      <c r="L149" s="20"/>
    </row>
    <row r="150" ht="22.5" hidden="1" customHeight="1">
      <c r="C150" s="20"/>
    </row>
    <row r="151" ht="22.5" hidden="1" customHeight="1">
      <c r="C151" s="20"/>
    </row>
    <row r="152" ht="22.5" hidden="1" customHeight="1"/>
    <row r="153" ht="22.5" hidden="1" customHeight="1">
      <c r="B153" s="8" t="s">
        <v>2331</v>
      </c>
      <c r="C153" s="8">
        <v>0.0</v>
      </c>
      <c r="F153" s="20" t="s">
        <v>983</v>
      </c>
      <c r="G153" s="20">
        <v>0.0</v>
      </c>
      <c r="H153" s="20">
        <v>0.0</v>
      </c>
    </row>
    <row r="154" ht="22.5" hidden="1" customHeight="1">
      <c r="F154" s="20" t="s">
        <v>2332</v>
      </c>
      <c r="H154" s="20">
        <v>0.0</v>
      </c>
    </row>
    <row r="155" ht="22.5" hidden="1" customHeight="1"/>
    <row r="156" ht="22.5" hidden="1" customHeight="1"/>
    <row r="157" ht="22.5" hidden="1" customHeight="1">
      <c r="J157" s="21" t="s">
        <v>2321</v>
      </c>
      <c r="K157" s="22">
        <v>46167.0</v>
      </c>
    </row>
    <row r="158" ht="22.5" hidden="1" customHeight="1">
      <c r="A158" s="8" t="s">
        <v>181</v>
      </c>
      <c r="B158" s="8" t="s">
        <v>2304</v>
      </c>
      <c r="C158" s="20" t="s">
        <v>131</v>
      </c>
      <c r="D158" s="20" t="s">
        <v>2305</v>
      </c>
      <c r="E158" s="20" t="s">
        <v>8</v>
      </c>
      <c r="F158" s="20" t="s">
        <v>982</v>
      </c>
      <c r="G158" s="20" t="s">
        <v>38</v>
      </c>
      <c r="H158" s="20" t="s">
        <v>983</v>
      </c>
      <c r="I158" s="21" t="s">
        <v>2306</v>
      </c>
      <c r="J158" s="21" t="s">
        <v>985</v>
      </c>
      <c r="K158" s="8" t="s">
        <v>986</v>
      </c>
      <c r="L158" s="20" t="s">
        <v>987</v>
      </c>
      <c r="M158" s="17" t="s">
        <v>2307</v>
      </c>
      <c r="N158" s="8" t="s">
        <v>2308</v>
      </c>
    </row>
    <row r="159" ht="22.5" customHeight="1">
      <c r="B159" s="8" t="s">
        <v>2323</v>
      </c>
      <c r="C159" s="20"/>
      <c r="D159" s="20">
        <v>0.0</v>
      </c>
      <c r="E159" s="20">
        <v>100.0</v>
      </c>
      <c r="F159" s="20">
        <v>0.0</v>
      </c>
      <c r="G159" s="20">
        <v>0.0</v>
      </c>
      <c r="H159" s="20">
        <v>0.0</v>
      </c>
      <c r="L159" s="20"/>
    </row>
    <row r="160" ht="22.5" customHeight="1">
      <c r="B160" s="8" t="s">
        <v>2324</v>
      </c>
      <c r="C160" s="20"/>
      <c r="D160" s="20">
        <v>3.0</v>
      </c>
      <c r="E160" s="20">
        <v>5.0</v>
      </c>
      <c r="F160" s="20">
        <v>15.0</v>
      </c>
      <c r="G160" s="20">
        <v>0.0</v>
      </c>
      <c r="H160" s="20">
        <v>0.0</v>
      </c>
      <c r="I160" s="21">
        <v>45474.0</v>
      </c>
      <c r="J160" s="21">
        <v>45505.0</v>
      </c>
      <c r="K160" s="8">
        <v>1.0</v>
      </c>
      <c r="L160" s="20">
        <v>-662.0</v>
      </c>
    </row>
    <row r="161" ht="22.5" customHeight="1">
      <c r="B161" s="8" t="s">
        <v>2326</v>
      </c>
      <c r="C161" s="20"/>
      <c r="D161" s="20">
        <v>8.0</v>
      </c>
      <c r="E161" s="20">
        <v>3.0</v>
      </c>
      <c r="F161" s="20">
        <v>24.0</v>
      </c>
      <c r="G161" s="20">
        <v>0.0</v>
      </c>
      <c r="H161" s="20">
        <v>0.0</v>
      </c>
      <c r="I161" s="21">
        <v>45474.0</v>
      </c>
      <c r="J161" s="21">
        <v>45505.0</v>
      </c>
      <c r="K161" s="8">
        <v>1.0</v>
      </c>
      <c r="L161" s="20">
        <v>-662.0</v>
      </c>
      <c r="M161" s="17">
        <v>45518.0</v>
      </c>
      <c r="N161" s="8" t="s">
        <v>2350</v>
      </c>
    </row>
    <row r="162" ht="22.5" customHeight="1">
      <c r="B162" s="8" t="s">
        <v>2327</v>
      </c>
      <c r="C162" s="20"/>
      <c r="D162" s="20">
        <v>0.0</v>
      </c>
      <c r="E162" s="20">
        <v>1500.0</v>
      </c>
      <c r="F162" s="20">
        <v>0.0</v>
      </c>
      <c r="G162" s="20">
        <v>0.0</v>
      </c>
      <c r="H162" s="20">
        <v>0.0</v>
      </c>
      <c r="L162" s="20"/>
    </row>
    <row r="163" ht="22.5" customHeight="1">
      <c r="B163" s="8" t="s">
        <v>2328</v>
      </c>
      <c r="C163" s="20"/>
      <c r="D163" s="20">
        <v>0.0</v>
      </c>
      <c r="E163" s="20">
        <v>500.0</v>
      </c>
      <c r="F163" s="20">
        <v>0.0</v>
      </c>
      <c r="G163" s="20">
        <v>0.0</v>
      </c>
      <c r="H163" s="20">
        <v>0.0</v>
      </c>
      <c r="L163" s="20"/>
    </row>
    <row r="164" ht="22.5" customHeight="1">
      <c r="A164" s="8" t="s">
        <v>2351</v>
      </c>
      <c r="B164" s="8" t="s">
        <v>2329</v>
      </c>
      <c r="C164" s="20"/>
      <c r="D164" s="20">
        <v>21.5</v>
      </c>
      <c r="E164" s="20">
        <v>22.0</v>
      </c>
      <c r="F164" s="20">
        <v>473.0</v>
      </c>
      <c r="G164" s="20">
        <v>0.0</v>
      </c>
      <c r="H164" s="20">
        <v>0.0</v>
      </c>
      <c r="I164" s="21">
        <v>45474.0</v>
      </c>
      <c r="J164" s="21">
        <v>45505.0</v>
      </c>
      <c r="K164" s="8">
        <v>1.0</v>
      </c>
      <c r="L164" s="20">
        <v>-662.0</v>
      </c>
      <c r="M164" s="17" t="s">
        <v>2352</v>
      </c>
    </row>
    <row r="165" ht="22.5" customHeight="1">
      <c r="B165" s="8" t="s">
        <v>2330</v>
      </c>
      <c r="C165" s="20"/>
      <c r="D165" s="20">
        <v>0.0</v>
      </c>
      <c r="E165" s="20">
        <v>0.0</v>
      </c>
      <c r="F165" s="20">
        <v>0.0</v>
      </c>
      <c r="G165" s="20">
        <v>0.0</v>
      </c>
      <c r="H165" s="20">
        <v>0.0</v>
      </c>
      <c r="I165" s="21">
        <v>45485.0</v>
      </c>
      <c r="J165" s="21">
        <v>45516.0</v>
      </c>
      <c r="K165" s="8">
        <v>1.0</v>
      </c>
      <c r="L165" s="20">
        <v>-651.0</v>
      </c>
    </row>
    <row r="166" ht="22.5" customHeight="1">
      <c r="B166" s="8" t="s">
        <v>129</v>
      </c>
      <c r="C166" s="20"/>
      <c r="D166" s="20">
        <v>1.0</v>
      </c>
      <c r="E166" s="20">
        <v>15000.0</v>
      </c>
      <c r="F166" s="20">
        <v>15000.0</v>
      </c>
      <c r="G166" s="20">
        <v>0.0</v>
      </c>
      <c r="H166" s="20">
        <v>0.0</v>
      </c>
      <c r="I166" s="21">
        <v>45486.0</v>
      </c>
      <c r="J166" s="21">
        <v>45517.0</v>
      </c>
      <c r="K166" s="8">
        <v>1.0</v>
      </c>
      <c r="L166" s="20">
        <v>-650.0</v>
      </c>
      <c r="M166" s="17">
        <v>45560.0</v>
      </c>
    </row>
    <row r="167" ht="22.5" customHeight="1">
      <c r="B167" s="8" t="s">
        <v>2343</v>
      </c>
      <c r="C167" s="20"/>
      <c r="D167" s="20">
        <v>3.0</v>
      </c>
      <c r="E167" s="20">
        <v>3000.0</v>
      </c>
      <c r="F167" s="20">
        <v>9000.0</v>
      </c>
      <c r="G167" s="20">
        <v>0.0</v>
      </c>
      <c r="H167" s="20">
        <v>0.0</v>
      </c>
      <c r="L167" s="20"/>
    </row>
    <row r="168" ht="22.5" customHeight="1">
      <c r="B168" s="8" t="s">
        <v>129</v>
      </c>
      <c r="C168" s="20"/>
      <c r="D168" s="20">
        <v>1.0</v>
      </c>
      <c r="E168" s="20">
        <v>-13340.0</v>
      </c>
      <c r="F168" s="20">
        <v>-16426.0</v>
      </c>
      <c r="G168" s="20">
        <v>0.0</v>
      </c>
      <c r="H168" s="20">
        <v>0.0</v>
      </c>
      <c r="L168" s="20"/>
    </row>
    <row r="169" ht="22.5" customHeight="1">
      <c r="A169" s="8" t="s">
        <v>2353</v>
      </c>
      <c r="B169" s="8" t="s">
        <v>2354</v>
      </c>
      <c r="C169" s="20"/>
      <c r="D169" s="20">
        <v>1.0</v>
      </c>
      <c r="E169" s="20">
        <v>5015.0</v>
      </c>
      <c r="F169" s="20">
        <v>5015.0</v>
      </c>
      <c r="G169" s="20">
        <v>0.0</v>
      </c>
      <c r="H169" s="20">
        <v>0.0</v>
      </c>
      <c r="I169" s="21">
        <v>45482.0</v>
      </c>
      <c r="J169" s="21">
        <v>45513.0</v>
      </c>
      <c r="K169" s="8">
        <v>1.0</v>
      </c>
      <c r="L169" s="20">
        <v>-654.0</v>
      </c>
      <c r="M169" s="17">
        <v>45478.0</v>
      </c>
    </row>
    <row r="170" ht="22.5" customHeight="1">
      <c r="A170" s="13" t="s">
        <v>2349</v>
      </c>
      <c r="B170" s="8" t="s">
        <v>129</v>
      </c>
      <c r="C170" s="20"/>
      <c r="D170" s="20">
        <v>1.0</v>
      </c>
      <c r="E170" s="20">
        <v>21477.0</v>
      </c>
      <c r="F170" s="20">
        <v>-16462.0</v>
      </c>
      <c r="G170" s="20">
        <v>0.0</v>
      </c>
      <c r="H170" s="20">
        <v>0.0</v>
      </c>
      <c r="I170" s="21">
        <v>45478.0</v>
      </c>
      <c r="J170" s="21">
        <v>45478.0</v>
      </c>
      <c r="K170" s="8">
        <v>1.0</v>
      </c>
      <c r="L170" s="20">
        <v>-689.0</v>
      </c>
      <c r="M170" s="17">
        <v>45478.0</v>
      </c>
    </row>
    <row r="171" ht="22.5" hidden="1" customHeight="1">
      <c r="C171" s="20"/>
      <c r="L171" s="20"/>
    </row>
    <row r="172" ht="22.5" hidden="1" customHeight="1">
      <c r="C172" s="20"/>
      <c r="L172" s="20"/>
    </row>
    <row r="173" ht="22.5" hidden="1" customHeight="1">
      <c r="C173" s="20"/>
      <c r="L173" s="20"/>
    </row>
    <row r="174" ht="22.5" hidden="1" customHeight="1">
      <c r="C174" s="20"/>
    </row>
    <row r="175" ht="22.5" hidden="1" customHeight="1">
      <c r="C175" s="20"/>
    </row>
    <row r="176" ht="22.5" hidden="1" customHeight="1"/>
    <row r="177" ht="22.5" hidden="1" customHeight="1">
      <c r="B177" s="8" t="s">
        <v>2331</v>
      </c>
      <c r="C177" s="8">
        <v>0.0</v>
      </c>
      <c r="F177" s="20" t="s">
        <v>983</v>
      </c>
      <c r="G177" s="20">
        <v>0.0</v>
      </c>
      <c r="H177" s="20">
        <v>0.0</v>
      </c>
    </row>
    <row r="178" ht="22.5" hidden="1" customHeight="1">
      <c r="F178" s="20" t="s">
        <v>2332</v>
      </c>
      <c r="H178" s="20">
        <v>0.0</v>
      </c>
    </row>
    <row r="179" ht="22.5" hidden="1" customHeight="1"/>
    <row r="180" ht="22.5" hidden="1" customHeight="1"/>
    <row r="181" ht="22.5" hidden="1" customHeight="1">
      <c r="J181" s="21" t="s">
        <v>2321</v>
      </c>
      <c r="K181" s="22">
        <v>46167.0</v>
      </c>
    </row>
    <row r="182" ht="22.5" hidden="1" customHeight="1">
      <c r="A182" s="8" t="s">
        <v>181</v>
      </c>
      <c r="B182" s="8" t="s">
        <v>2304</v>
      </c>
      <c r="C182" s="20" t="s">
        <v>131</v>
      </c>
      <c r="D182" s="20" t="s">
        <v>2305</v>
      </c>
      <c r="E182" s="20" t="s">
        <v>8</v>
      </c>
      <c r="F182" s="20" t="s">
        <v>982</v>
      </c>
      <c r="G182" s="20" t="s">
        <v>38</v>
      </c>
      <c r="H182" s="20" t="s">
        <v>983</v>
      </c>
      <c r="I182" s="21" t="s">
        <v>2306</v>
      </c>
      <c r="J182" s="21" t="s">
        <v>985</v>
      </c>
      <c r="K182" s="8" t="s">
        <v>986</v>
      </c>
      <c r="L182" s="20" t="s">
        <v>987</v>
      </c>
      <c r="M182" s="17" t="s">
        <v>2307</v>
      </c>
      <c r="N182" s="8" t="s">
        <v>2308</v>
      </c>
    </row>
    <row r="183" ht="22.5" customHeight="1">
      <c r="B183" s="8" t="s">
        <v>2323</v>
      </c>
      <c r="C183" s="20"/>
      <c r="D183" s="20">
        <v>0.0</v>
      </c>
      <c r="E183" s="20">
        <v>100.0</v>
      </c>
      <c r="F183" s="20">
        <v>0.0</v>
      </c>
      <c r="G183" s="20">
        <v>0.0</v>
      </c>
      <c r="H183" s="20">
        <v>0.0</v>
      </c>
      <c r="L183" s="20"/>
    </row>
    <row r="184" ht="22.5" customHeight="1">
      <c r="B184" s="8" t="s">
        <v>2324</v>
      </c>
      <c r="C184" s="20"/>
      <c r="D184" s="20">
        <v>0.0</v>
      </c>
      <c r="E184" s="20">
        <v>5.0</v>
      </c>
      <c r="F184" s="20">
        <v>15.0</v>
      </c>
      <c r="G184" s="20">
        <v>0.0</v>
      </c>
      <c r="H184" s="20">
        <v>0.0</v>
      </c>
      <c r="I184" s="21">
        <v>45505.0</v>
      </c>
      <c r="J184" s="21">
        <v>45536.0</v>
      </c>
      <c r="K184" s="8">
        <v>1.0</v>
      </c>
      <c r="L184" s="20">
        <v>-631.0</v>
      </c>
    </row>
    <row r="185" ht="22.5" customHeight="1">
      <c r="B185" s="8" t="s">
        <v>2326</v>
      </c>
      <c r="C185" s="20"/>
      <c r="D185" s="20">
        <v>8.0</v>
      </c>
      <c r="E185" s="20">
        <v>3.0</v>
      </c>
      <c r="F185" s="20">
        <v>24.0</v>
      </c>
      <c r="G185" s="20">
        <v>0.0</v>
      </c>
      <c r="H185" s="20">
        <v>0.0</v>
      </c>
      <c r="I185" s="21">
        <v>45505.0</v>
      </c>
      <c r="J185" s="21">
        <v>45536.0</v>
      </c>
      <c r="K185" s="8">
        <v>1.0</v>
      </c>
      <c r="L185" s="20">
        <v>-631.0</v>
      </c>
      <c r="M185" s="17">
        <v>45560.0</v>
      </c>
    </row>
    <row r="186" ht="22.5" customHeight="1">
      <c r="B186" s="8" t="s">
        <v>2327</v>
      </c>
      <c r="C186" s="20"/>
      <c r="D186" s="20">
        <v>0.0</v>
      </c>
      <c r="E186" s="20">
        <v>1500.0</v>
      </c>
      <c r="F186" s="20">
        <v>0.0</v>
      </c>
      <c r="G186" s="20">
        <v>0.0</v>
      </c>
      <c r="H186" s="20">
        <v>0.0</v>
      </c>
      <c r="L186" s="20"/>
    </row>
    <row r="187" ht="22.5" customHeight="1">
      <c r="B187" s="8" t="s">
        <v>2328</v>
      </c>
      <c r="C187" s="20"/>
      <c r="D187" s="20">
        <v>0.0</v>
      </c>
      <c r="E187" s="20">
        <v>500.0</v>
      </c>
      <c r="F187" s="20">
        <v>0.0</v>
      </c>
      <c r="G187" s="20">
        <v>0.0</v>
      </c>
      <c r="H187" s="20">
        <v>0.0</v>
      </c>
      <c r="L187" s="20"/>
    </row>
    <row r="188" ht="22.5" customHeight="1">
      <c r="A188" s="8" t="s">
        <v>2355</v>
      </c>
      <c r="B188" s="8" t="s">
        <v>2329</v>
      </c>
      <c r="C188" s="20"/>
      <c r="D188" s="20">
        <v>25.0</v>
      </c>
      <c r="E188" s="20">
        <v>22.0</v>
      </c>
      <c r="F188" s="20">
        <v>550.0</v>
      </c>
      <c r="G188" s="20">
        <v>0.0</v>
      </c>
      <c r="H188" s="20">
        <v>0.0</v>
      </c>
      <c r="I188" s="21">
        <v>45505.0</v>
      </c>
      <c r="J188" s="21">
        <v>45536.0</v>
      </c>
      <c r="K188" s="8">
        <v>1.0</v>
      </c>
      <c r="L188" s="20">
        <v>-631.0</v>
      </c>
      <c r="M188" s="17" t="s">
        <v>2356</v>
      </c>
      <c r="N188" s="8" t="s">
        <v>2357</v>
      </c>
    </row>
    <row r="189" ht="22.5" customHeight="1">
      <c r="B189" s="8" t="s">
        <v>2330</v>
      </c>
      <c r="C189" s="20"/>
      <c r="D189" s="20">
        <v>0.0</v>
      </c>
      <c r="E189" s="20">
        <v>0.0</v>
      </c>
      <c r="F189" s="20">
        <v>0.0</v>
      </c>
      <c r="G189" s="20">
        <v>0.0</v>
      </c>
      <c r="H189" s="20">
        <v>0.0</v>
      </c>
      <c r="I189" s="21">
        <v>45516.0</v>
      </c>
      <c r="J189" s="21">
        <v>45547.0</v>
      </c>
      <c r="K189" s="8">
        <v>1.0</v>
      </c>
      <c r="L189" s="20">
        <v>-620.0</v>
      </c>
    </row>
    <row r="190" ht="22.5" customHeight="1">
      <c r="B190" s="8" t="s">
        <v>129</v>
      </c>
      <c r="C190" s="20"/>
      <c r="D190" s="20">
        <v>1.0</v>
      </c>
      <c r="E190" s="20">
        <v>15000.0</v>
      </c>
      <c r="F190" s="20">
        <v>15000.0</v>
      </c>
      <c r="G190" s="20">
        <v>0.0</v>
      </c>
      <c r="H190" s="20">
        <v>0.0</v>
      </c>
      <c r="I190" s="21">
        <v>45517.0</v>
      </c>
      <c r="J190" s="21">
        <v>45548.0</v>
      </c>
      <c r="K190" s="8">
        <v>1.0</v>
      </c>
      <c r="L190" s="20">
        <v>-619.0</v>
      </c>
      <c r="M190" s="17">
        <v>45560.0</v>
      </c>
    </row>
    <row r="191" ht="22.5" customHeight="1">
      <c r="B191" s="8" t="s">
        <v>2343</v>
      </c>
      <c r="C191" s="20"/>
      <c r="D191" s="20">
        <v>0.0</v>
      </c>
      <c r="E191" s="20">
        <v>3000.0</v>
      </c>
      <c r="F191" s="20">
        <v>0.0</v>
      </c>
      <c r="G191" s="20">
        <v>0.0</v>
      </c>
      <c r="H191" s="20">
        <v>0.0</v>
      </c>
      <c r="L191" s="20"/>
    </row>
    <row r="192" ht="22.5" customHeight="1">
      <c r="B192" s="8" t="s">
        <v>2354</v>
      </c>
      <c r="C192" s="20"/>
      <c r="D192" s="20">
        <v>1.0</v>
      </c>
      <c r="E192" s="20">
        <v>5015.0</v>
      </c>
      <c r="F192" s="20">
        <v>5015.0</v>
      </c>
      <c r="G192" s="20">
        <v>0.0</v>
      </c>
      <c r="H192" s="20">
        <v>0.0</v>
      </c>
      <c r="I192" s="21">
        <v>45513.0</v>
      </c>
      <c r="J192" s="21">
        <v>45544.0</v>
      </c>
      <c r="K192" s="8">
        <v>1.0</v>
      </c>
      <c r="L192" s="20">
        <v>-623.0</v>
      </c>
      <c r="M192" s="17">
        <v>45516.0</v>
      </c>
    </row>
    <row r="193" ht="22.5" customHeight="1">
      <c r="B193" s="8" t="s">
        <v>129</v>
      </c>
      <c r="C193" s="20"/>
      <c r="D193" s="20">
        <v>1.0</v>
      </c>
      <c r="E193" s="20">
        <v>21477.0</v>
      </c>
      <c r="F193" s="20">
        <v>-11477.0</v>
      </c>
      <c r="G193" s="20">
        <v>0.0</v>
      </c>
      <c r="H193" s="20">
        <v>0.0</v>
      </c>
      <c r="I193" s="21">
        <v>45516.0</v>
      </c>
      <c r="J193" s="21">
        <v>45516.0</v>
      </c>
      <c r="K193" s="8">
        <v>1.0</v>
      </c>
      <c r="L193" s="20">
        <v>-651.0</v>
      </c>
      <c r="M193" s="17">
        <v>45516.0</v>
      </c>
    </row>
    <row r="194" ht="22.5" customHeight="1">
      <c r="B194" s="8" t="s">
        <v>129</v>
      </c>
      <c r="C194" s="20"/>
      <c r="D194" s="20">
        <v>1.0</v>
      </c>
      <c r="E194" s="20">
        <v>21477.0</v>
      </c>
      <c r="F194" s="20">
        <v>-1379.0</v>
      </c>
      <c r="G194" s="20">
        <v>0.0</v>
      </c>
      <c r="H194" s="20">
        <v>0.0</v>
      </c>
      <c r="I194" s="21">
        <v>45516.0</v>
      </c>
      <c r="J194" s="21">
        <v>45516.0</v>
      </c>
      <c r="K194" s="8">
        <v>1.0</v>
      </c>
      <c r="L194" s="20">
        <v>-651.0</v>
      </c>
      <c r="M194" s="17">
        <v>45516.0</v>
      </c>
    </row>
    <row r="195" ht="22.5" hidden="1" customHeight="1">
      <c r="C195" s="20"/>
      <c r="L195" s="20"/>
    </row>
    <row r="196" ht="22.5" hidden="1" customHeight="1">
      <c r="C196" s="20"/>
      <c r="L196" s="20"/>
    </row>
    <row r="197" ht="22.5" hidden="1" customHeight="1">
      <c r="C197" s="20"/>
      <c r="L197" s="20"/>
    </row>
    <row r="198" ht="22.5" hidden="1" customHeight="1">
      <c r="C198" s="20"/>
    </row>
    <row r="199" ht="22.5" hidden="1" customHeight="1">
      <c r="C199" s="20"/>
    </row>
    <row r="200" ht="22.5" hidden="1" customHeight="1">
      <c r="B200" s="8" t="s">
        <v>2331</v>
      </c>
      <c r="C200" s="8">
        <v>0.0</v>
      </c>
      <c r="F200" s="20" t="s">
        <v>983</v>
      </c>
      <c r="G200" s="20">
        <v>0.0</v>
      </c>
      <c r="H200" s="20">
        <v>0.0</v>
      </c>
    </row>
    <row r="201" ht="22.5" hidden="1" customHeight="1">
      <c r="F201" s="20" t="s">
        <v>2332</v>
      </c>
      <c r="H201" s="20">
        <v>0.0</v>
      </c>
    </row>
    <row r="202" ht="22.5" hidden="1" customHeight="1"/>
    <row r="203" ht="22.5" hidden="1" customHeight="1"/>
    <row r="204" ht="22.5" hidden="1" customHeight="1"/>
    <row r="205" ht="22.5" hidden="1" customHeight="1">
      <c r="J205" s="21" t="s">
        <v>2321</v>
      </c>
      <c r="K205" s="22">
        <v>46167.0</v>
      </c>
    </row>
    <row r="206" ht="22.5" hidden="1" customHeight="1">
      <c r="A206" s="8" t="s">
        <v>181</v>
      </c>
      <c r="B206" s="8" t="s">
        <v>2304</v>
      </c>
      <c r="C206" s="20" t="s">
        <v>131</v>
      </c>
      <c r="D206" s="20" t="s">
        <v>2305</v>
      </c>
      <c r="E206" s="20" t="s">
        <v>8</v>
      </c>
      <c r="F206" s="20" t="s">
        <v>982</v>
      </c>
      <c r="G206" s="20" t="s">
        <v>38</v>
      </c>
      <c r="H206" s="20" t="s">
        <v>983</v>
      </c>
      <c r="I206" s="21" t="s">
        <v>2306</v>
      </c>
      <c r="J206" s="21" t="s">
        <v>985</v>
      </c>
      <c r="K206" s="8" t="s">
        <v>986</v>
      </c>
      <c r="L206" s="20" t="s">
        <v>987</v>
      </c>
      <c r="M206" s="17" t="s">
        <v>2307</v>
      </c>
      <c r="N206" s="8" t="s">
        <v>2308</v>
      </c>
    </row>
    <row r="207" ht="22.5" customHeight="1">
      <c r="B207" s="8" t="s">
        <v>2323</v>
      </c>
      <c r="C207" s="20"/>
      <c r="D207" s="20">
        <v>0.0</v>
      </c>
      <c r="E207" s="20">
        <v>100.0</v>
      </c>
      <c r="F207" s="20">
        <v>0.0</v>
      </c>
      <c r="G207" s="20">
        <v>0.0</v>
      </c>
      <c r="H207" s="20">
        <v>0.0</v>
      </c>
      <c r="L207" s="20"/>
    </row>
    <row r="208" ht="22.5" customHeight="1">
      <c r="B208" s="8" t="s">
        <v>2324</v>
      </c>
      <c r="C208" s="20"/>
      <c r="D208" s="20">
        <v>0.0</v>
      </c>
      <c r="E208" s="20">
        <v>5.0</v>
      </c>
      <c r="F208" s="20">
        <v>15.0</v>
      </c>
      <c r="G208" s="20">
        <v>0.0</v>
      </c>
      <c r="H208" s="20">
        <v>0.0</v>
      </c>
      <c r="I208" s="21">
        <v>45536.0</v>
      </c>
      <c r="J208" s="21">
        <v>45566.0</v>
      </c>
      <c r="K208" s="8">
        <v>1.0</v>
      </c>
      <c r="L208" s="20">
        <v>-601.0</v>
      </c>
    </row>
    <row r="209" ht="22.5" customHeight="1">
      <c r="A209" s="8" t="s">
        <v>2021</v>
      </c>
      <c r="B209" s="8" t="s">
        <v>2326</v>
      </c>
      <c r="C209" s="20"/>
      <c r="D209" s="20">
        <v>6.0</v>
      </c>
      <c r="E209" s="20">
        <v>3.0</v>
      </c>
      <c r="F209" s="20">
        <v>18.0</v>
      </c>
      <c r="G209" s="20">
        <v>0.0</v>
      </c>
      <c r="H209" s="20">
        <v>0.0</v>
      </c>
      <c r="I209" s="21">
        <v>45536.0</v>
      </c>
      <c r="J209" s="21">
        <v>45566.0</v>
      </c>
      <c r="K209" s="8">
        <v>1.0</v>
      </c>
      <c r="L209" s="20">
        <v>-601.0</v>
      </c>
      <c r="M209" s="17" t="s">
        <v>2358</v>
      </c>
      <c r="N209" s="8" t="s">
        <v>2359</v>
      </c>
    </row>
    <row r="210" ht="22.5" customHeight="1">
      <c r="B210" s="8" t="s">
        <v>2327</v>
      </c>
      <c r="C210" s="20"/>
      <c r="D210" s="20">
        <v>0.0</v>
      </c>
      <c r="E210" s="20">
        <v>1500.0</v>
      </c>
      <c r="F210" s="20">
        <v>0.0</v>
      </c>
      <c r="G210" s="20">
        <v>0.0</v>
      </c>
      <c r="H210" s="20">
        <v>0.0</v>
      </c>
      <c r="L210" s="20"/>
    </row>
    <row r="211" ht="22.5" customHeight="1">
      <c r="B211" s="8" t="s">
        <v>2328</v>
      </c>
      <c r="C211" s="20"/>
      <c r="D211" s="20">
        <v>0.0</v>
      </c>
      <c r="E211" s="20">
        <v>500.0</v>
      </c>
      <c r="F211" s="20">
        <v>0.0</v>
      </c>
      <c r="G211" s="20">
        <v>0.0</v>
      </c>
      <c r="H211" s="20">
        <v>0.0</v>
      </c>
      <c r="L211" s="20"/>
    </row>
    <row r="212" ht="22.5" customHeight="1">
      <c r="A212" s="8" t="s">
        <v>2360</v>
      </c>
      <c r="B212" s="8" t="s">
        <v>2329</v>
      </c>
      <c r="C212" s="20"/>
      <c r="D212" s="20">
        <v>13.5</v>
      </c>
      <c r="E212" s="20">
        <v>22.0</v>
      </c>
      <c r="F212" s="20">
        <v>297.0</v>
      </c>
      <c r="G212" s="20">
        <v>0.0</v>
      </c>
      <c r="H212" s="20">
        <v>0.0</v>
      </c>
      <c r="I212" s="21">
        <v>45536.0</v>
      </c>
      <c r="J212" s="21">
        <v>45566.0</v>
      </c>
      <c r="K212" s="8">
        <v>1.0</v>
      </c>
      <c r="L212" s="20">
        <v>-601.0</v>
      </c>
      <c r="M212" s="17">
        <v>45631.0</v>
      </c>
    </row>
    <row r="213" ht="22.5" customHeight="1">
      <c r="B213" s="8" t="s">
        <v>2330</v>
      </c>
      <c r="C213" s="20"/>
      <c r="D213" s="20">
        <v>0.0</v>
      </c>
      <c r="E213" s="20">
        <v>0.0</v>
      </c>
      <c r="F213" s="20">
        <v>0.0</v>
      </c>
      <c r="G213" s="20">
        <v>0.0</v>
      </c>
      <c r="H213" s="20">
        <v>0.0</v>
      </c>
      <c r="I213" s="21">
        <v>45547.0</v>
      </c>
      <c r="J213" s="21">
        <v>45577.0</v>
      </c>
      <c r="K213" s="8">
        <v>1.0</v>
      </c>
      <c r="L213" s="20">
        <v>-590.0</v>
      </c>
    </row>
    <row r="214" ht="22.5" customHeight="1">
      <c r="B214" s="8" t="s">
        <v>129</v>
      </c>
      <c r="C214" s="20"/>
      <c r="D214" s="20">
        <v>1.0</v>
      </c>
      <c r="E214" s="20">
        <v>15000.0</v>
      </c>
      <c r="F214" s="20">
        <v>15000.0</v>
      </c>
      <c r="G214" s="20">
        <v>0.0</v>
      </c>
      <c r="H214" s="20">
        <v>0.0</v>
      </c>
      <c r="I214" s="21">
        <v>45548.0</v>
      </c>
      <c r="J214" s="21">
        <v>45578.0</v>
      </c>
      <c r="K214" s="8">
        <v>1.0</v>
      </c>
      <c r="L214" s="20">
        <v>-589.0</v>
      </c>
      <c r="M214" s="17">
        <v>45686.0</v>
      </c>
    </row>
    <row r="215" ht="22.5" customHeight="1">
      <c r="B215" s="8" t="s">
        <v>2343</v>
      </c>
      <c r="C215" s="20"/>
      <c r="D215" s="20">
        <v>0.0</v>
      </c>
      <c r="E215" s="20">
        <v>3000.0</v>
      </c>
      <c r="F215" s="20">
        <v>0.0</v>
      </c>
      <c r="G215" s="20">
        <v>0.0</v>
      </c>
      <c r="H215" s="20">
        <v>0.0</v>
      </c>
      <c r="L215" s="20"/>
    </row>
    <row r="216" ht="22.5" customHeight="1">
      <c r="B216" s="8" t="s">
        <v>2354</v>
      </c>
      <c r="C216" s="20"/>
      <c r="D216" s="20">
        <v>1.0</v>
      </c>
      <c r="E216" s="20">
        <v>5000.0</v>
      </c>
      <c r="F216" s="20">
        <v>5000.0</v>
      </c>
      <c r="G216" s="20">
        <v>0.0</v>
      </c>
      <c r="H216" s="20">
        <v>0.0</v>
      </c>
      <c r="I216" s="21">
        <v>45544.0</v>
      </c>
      <c r="J216" s="21">
        <v>45574.0</v>
      </c>
      <c r="K216" s="8">
        <v>1.0</v>
      </c>
      <c r="L216" s="20">
        <v>-593.0</v>
      </c>
      <c r="M216" s="17">
        <v>45560.0</v>
      </c>
    </row>
    <row r="217" ht="22.5" customHeight="1">
      <c r="B217" s="8" t="s">
        <v>129</v>
      </c>
      <c r="C217" s="20"/>
      <c r="D217" s="20">
        <v>1.0</v>
      </c>
      <c r="E217" s="20">
        <v>15500.0</v>
      </c>
      <c r="F217" s="20">
        <v>3860.0</v>
      </c>
      <c r="G217" s="20">
        <v>0.0</v>
      </c>
      <c r="H217" s="20">
        <v>0.0</v>
      </c>
      <c r="I217" s="21">
        <v>45560.0</v>
      </c>
      <c r="L217" s="20"/>
      <c r="M217" s="17">
        <v>45560.0</v>
      </c>
    </row>
    <row r="218" ht="22.5" hidden="1" customHeight="1"/>
    <row r="219" ht="22.5" hidden="1" customHeight="1">
      <c r="C219" s="20"/>
      <c r="L219" s="20"/>
    </row>
    <row r="220" ht="22.5" hidden="1" customHeight="1">
      <c r="C220" s="20"/>
      <c r="L220" s="20"/>
    </row>
    <row r="221" ht="22.5" hidden="1" customHeight="1">
      <c r="C221" s="20"/>
      <c r="L221" s="20"/>
    </row>
    <row r="222" ht="22.5" hidden="1" customHeight="1">
      <c r="C222" s="20"/>
    </row>
    <row r="223" ht="22.5" hidden="1" customHeight="1">
      <c r="C223" s="20"/>
    </row>
    <row r="224" ht="22.5" hidden="1" customHeight="1">
      <c r="B224" s="8" t="s">
        <v>2331</v>
      </c>
      <c r="C224" s="8">
        <v>0.0</v>
      </c>
      <c r="F224" s="20" t="s">
        <v>983</v>
      </c>
      <c r="G224" s="20">
        <v>0.0</v>
      </c>
      <c r="H224" s="20">
        <v>0.0</v>
      </c>
    </row>
    <row r="225" ht="22.5" hidden="1" customHeight="1">
      <c r="F225" s="20" t="s">
        <v>2332</v>
      </c>
      <c r="H225" s="20">
        <v>0.0</v>
      </c>
    </row>
    <row r="226" ht="22.5" hidden="1" customHeight="1"/>
    <row r="227" ht="22.5" hidden="1" customHeight="1"/>
    <row r="228" ht="22.5" hidden="1" customHeight="1"/>
    <row r="229" ht="22.5" hidden="1" customHeight="1">
      <c r="J229" s="21" t="s">
        <v>2321</v>
      </c>
      <c r="K229" s="22">
        <v>46167.0</v>
      </c>
    </row>
    <row r="230" ht="22.5" hidden="1" customHeight="1">
      <c r="A230" s="8" t="s">
        <v>181</v>
      </c>
      <c r="B230" s="8" t="s">
        <v>2304</v>
      </c>
      <c r="C230" s="20" t="s">
        <v>131</v>
      </c>
      <c r="D230" s="20" t="s">
        <v>2305</v>
      </c>
      <c r="E230" s="20" t="s">
        <v>8</v>
      </c>
      <c r="F230" s="20" t="s">
        <v>982</v>
      </c>
      <c r="G230" s="20" t="s">
        <v>38</v>
      </c>
      <c r="H230" s="20" t="s">
        <v>983</v>
      </c>
      <c r="I230" s="21" t="s">
        <v>2306</v>
      </c>
      <c r="J230" s="21" t="s">
        <v>985</v>
      </c>
      <c r="K230" s="8" t="s">
        <v>986</v>
      </c>
      <c r="L230" s="20" t="s">
        <v>987</v>
      </c>
      <c r="M230" s="17" t="s">
        <v>2307</v>
      </c>
      <c r="N230" s="8" t="s">
        <v>2308</v>
      </c>
    </row>
    <row r="231" ht="22.5" customHeight="1">
      <c r="B231" s="8" t="s">
        <v>2323</v>
      </c>
      <c r="C231" s="20"/>
      <c r="D231" s="20">
        <v>0.0</v>
      </c>
      <c r="E231" s="20">
        <v>100.0</v>
      </c>
      <c r="F231" s="20">
        <v>0.0</v>
      </c>
      <c r="G231" s="20">
        <v>0.0</v>
      </c>
      <c r="H231" s="20">
        <v>0.0</v>
      </c>
      <c r="L231" s="20"/>
    </row>
    <row r="232" ht="22.5" customHeight="1">
      <c r="B232" s="8" t="s">
        <v>2324</v>
      </c>
      <c r="C232" s="20"/>
      <c r="D232" s="20">
        <v>0.0</v>
      </c>
      <c r="E232" s="20">
        <v>5.0</v>
      </c>
      <c r="F232" s="20">
        <v>15.0</v>
      </c>
      <c r="G232" s="20">
        <v>0.0</v>
      </c>
      <c r="H232" s="20">
        <v>0.0</v>
      </c>
      <c r="I232" s="21">
        <v>45566.0</v>
      </c>
      <c r="J232" s="21">
        <v>45597.0</v>
      </c>
      <c r="K232" s="8">
        <v>1.0</v>
      </c>
      <c r="L232" s="20">
        <v>-570.0</v>
      </c>
    </row>
    <row r="233" ht="22.5" customHeight="1">
      <c r="B233" s="8" t="s">
        <v>2326</v>
      </c>
      <c r="C233" s="20"/>
      <c r="D233" s="20">
        <v>11.0</v>
      </c>
      <c r="E233" s="20">
        <v>3.0</v>
      </c>
      <c r="F233" s="20">
        <v>33.0</v>
      </c>
      <c r="G233" s="20">
        <v>0.0</v>
      </c>
      <c r="H233" s="20">
        <v>0.0</v>
      </c>
      <c r="I233" s="21">
        <v>45566.0</v>
      </c>
      <c r="J233" s="21">
        <v>45597.0</v>
      </c>
      <c r="K233" s="8">
        <v>1.0</v>
      </c>
      <c r="L233" s="20">
        <v>-570.0</v>
      </c>
      <c r="M233" s="17" t="s">
        <v>2361</v>
      </c>
    </row>
    <row r="234" ht="22.5" customHeight="1">
      <c r="B234" s="8" t="s">
        <v>2327</v>
      </c>
      <c r="C234" s="20"/>
      <c r="D234" s="20">
        <v>0.0</v>
      </c>
      <c r="E234" s="20">
        <v>1500.0</v>
      </c>
      <c r="F234" s="20">
        <v>0.0</v>
      </c>
      <c r="G234" s="20">
        <v>0.0</v>
      </c>
      <c r="H234" s="20">
        <v>0.0</v>
      </c>
      <c r="L234" s="20"/>
    </row>
    <row r="235" ht="22.5" customHeight="1">
      <c r="B235" s="8" t="s">
        <v>2328</v>
      </c>
      <c r="C235" s="20"/>
      <c r="D235" s="20">
        <v>0.0</v>
      </c>
      <c r="E235" s="20">
        <v>500.0</v>
      </c>
      <c r="F235" s="20">
        <v>0.0</v>
      </c>
      <c r="G235" s="20">
        <v>0.0</v>
      </c>
      <c r="H235" s="20">
        <v>0.0</v>
      </c>
      <c r="L235" s="20"/>
    </row>
    <row r="236" ht="22.5" customHeight="1">
      <c r="A236" s="8" t="s">
        <v>2362</v>
      </c>
      <c r="B236" s="8" t="s">
        <v>2329</v>
      </c>
      <c r="C236" s="20"/>
      <c r="D236" s="20">
        <v>24.0</v>
      </c>
      <c r="E236" s="20">
        <v>22.0</v>
      </c>
      <c r="F236" s="20">
        <v>528.0</v>
      </c>
      <c r="G236" s="20">
        <v>0.0</v>
      </c>
      <c r="H236" s="20">
        <v>0.0</v>
      </c>
      <c r="I236" s="21">
        <v>45566.0</v>
      </c>
      <c r="J236" s="21">
        <v>45597.0</v>
      </c>
      <c r="K236" s="8">
        <v>1.0</v>
      </c>
      <c r="L236" s="20">
        <v>-570.0</v>
      </c>
      <c r="M236" s="17">
        <v>45686.0</v>
      </c>
    </row>
    <row r="237" ht="22.5" customHeight="1">
      <c r="B237" s="8" t="s">
        <v>2330</v>
      </c>
      <c r="C237" s="20"/>
      <c r="D237" s="20">
        <v>0.0</v>
      </c>
      <c r="E237" s="20">
        <v>0.0</v>
      </c>
      <c r="F237" s="20">
        <v>0.0</v>
      </c>
      <c r="G237" s="20">
        <v>0.0</v>
      </c>
      <c r="H237" s="20">
        <v>0.0</v>
      </c>
      <c r="L237" s="20"/>
    </row>
    <row r="238" ht="22.5" customHeight="1">
      <c r="B238" s="8" t="s">
        <v>129</v>
      </c>
      <c r="C238" s="20"/>
      <c r="D238" s="20">
        <v>1.0</v>
      </c>
      <c r="E238" s="20">
        <v>15000.0</v>
      </c>
      <c r="F238" s="20">
        <v>15000.0</v>
      </c>
      <c r="G238" s="20">
        <v>0.0</v>
      </c>
      <c r="H238" s="20">
        <v>0.0</v>
      </c>
      <c r="I238" s="21">
        <v>45578.0</v>
      </c>
      <c r="J238" s="21">
        <v>45609.0</v>
      </c>
      <c r="K238" s="8">
        <v>1.0</v>
      </c>
      <c r="L238" s="20">
        <v>-558.0</v>
      </c>
      <c r="M238" s="17">
        <v>45788.0</v>
      </c>
    </row>
    <row r="239" ht="22.5" customHeight="1">
      <c r="B239" s="8" t="s">
        <v>2343</v>
      </c>
      <c r="C239" s="20"/>
      <c r="D239" s="20">
        <v>0.0</v>
      </c>
      <c r="E239" s="20">
        <v>3000.0</v>
      </c>
      <c r="F239" s="20">
        <v>0.0</v>
      </c>
      <c r="G239" s="20">
        <v>0.0</v>
      </c>
      <c r="H239" s="20">
        <v>0.0</v>
      </c>
      <c r="L239" s="20"/>
    </row>
    <row r="240" ht="22.5" customHeight="1">
      <c r="A240" s="8" t="s">
        <v>2363</v>
      </c>
      <c r="B240" s="8" t="s">
        <v>2354</v>
      </c>
      <c r="C240" s="20"/>
      <c r="D240" s="20">
        <v>0.0</v>
      </c>
      <c r="E240" s="20">
        <v>5000.0</v>
      </c>
      <c r="F240" s="20">
        <v>0.0</v>
      </c>
      <c r="G240" s="20">
        <v>0.0</v>
      </c>
      <c r="H240" s="20">
        <v>0.0</v>
      </c>
      <c r="L240" s="20"/>
    </row>
    <row r="241" ht="22.5" customHeight="1">
      <c r="B241" s="8" t="s">
        <v>129</v>
      </c>
      <c r="C241" s="20"/>
      <c r="D241" s="20">
        <v>1.0</v>
      </c>
      <c r="G241" s="20">
        <v>0.0</v>
      </c>
      <c r="H241" s="20">
        <v>0.0</v>
      </c>
      <c r="L241" s="20"/>
    </row>
    <row r="242" ht="22.5" customHeight="1">
      <c r="B242" s="8" t="s">
        <v>2364</v>
      </c>
      <c r="C242" s="20" t="s">
        <v>1441</v>
      </c>
      <c r="D242" s="20">
        <v>1.0</v>
      </c>
      <c r="E242" s="20">
        <v>5000.0</v>
      </c>
      <c r="F242" s="20">
        <v>5000.0</v>
      </c>
      <c r="G242" s="20" t="s">
        <v>2365</v>
      </c>
      <c r="H242" s="20" t="s">
        <v>2365</v>
      </c>
      <c r="I242" s="21">
        <v>45589.0</v>
      </c>
      <c r="J242" s="21">
        <v>45620.0</v>
      </c>
      <c r="K242" s="8">
        <v>0.0</v>
      </c>
      <c r="L242" s="20">
        <v>-547.0</v>
      </c>
    </row>
    <row r="243" ht="22.5" customHeight="1">
      <c r="A243" s="8" t="s">
        <v>2366</v>
      </c>
      <c r="B243" s="8" t="s">
        <v>2367</v>
      </c>
      <c r="C243" s="20" t="s">
        <v>1441</v>
      </c>
      <c r="D243" s="20">
        <v>1.0</v>
      </c>
      <c r="E243" s="20">
        <v>5000.0</v>
      </c>
      <c r="F243" s="20">
        <v>5000.0</v>
      </c>
      <c r="G243" s="20" t="s">
        <v>2365</v>
      </c>
      <c r="H243" s="20" t="s">
        <v>2365</v>
      </c>
      <c r="I243" s="21">
        <v>45562.0</v>
      </c>
      <c r="J243" s="21">
        <v>45603.0</v>
      </c>
      <c r="K243" s="8">
        <v>0.0</v>
      </c>
      <c r="L243" s="20">
        <v>-564.0</v>
      </c>
    </row>
    <row r="244" ht="22.5" hidden="1" customHeight="1">
      <c r="C244" s="20"/>
      <c r="L244" s="20"/>
    </row>
    <row r="245" ht="22.5" hidden="1" customHeight="1">
      <c r="C245" s="20"/>
      <c r="L245" s="20"/>
    </row>
    <row r="246" ht="22.5" hidden="1" customHeight="1">
      <c r="C246" s="20"/>
    </row>
    <row r="247" ht="22.5" hidden="1" customHeight="1">
      <c r="C247" s="20"/>
    </row>
    <row r="248" ht="22.5" hidden="1" customHeight="1">
      <c r="B248" s="8" t="s">
        <v>2331</v>
      </c>
      <c r="C248" s="8">
        <v>2.0</v>
      </c>
      <c r="F248" s="20" t="s">
        <v>983</v>
      </c>
      <c r="G248" s="20">
        <v>0.0</v>
      </c>
      <c r="H248" s="20">
        <v>0.0</v>
      </c>
    </row>
    <row r="249" ht="22.5" hidden="1" customHeight="1">
      <c r="F249" s="20" t="s">
        <v>2332</v>
      </c>
      <c r="H249" s="20">
        <v>0.0</v>
      </c>
    </row>
    <row r="250" ht="22.5" hidden="1" customHeight="1"/>
    <row r="251" ht="22.5" hidden="1" customHeight="1"/>
    <row r="252" ht="22.5" hidden="1" customHeight="1"/>
    <row r="253" ht="22.5" hidden="1" customHeight="1">
      <c r="J253" s="21" t="s">
        <v>2321</v>
      </c>
      <c r="K253" s="22">
        <v>46167.0</v>
      </c>
    </row>
    <row r="254" ht="22.5" hidden="1" customHeight="1">
      <c r="A254" s="8" t="s">
        <v>181</v>
      </c>
      <c r="B254" s="8" t="s">
        <v>2304</v>
      </c>
      <c r="C254" s="20" t="s">
        <v>131</v>
      </c>
      <c r="D254" s="20" t="s">
        <v>2305</v>
      </c>
      <c r="E254" s="20" t="s">
        <v>8</v>
      </c>
      <c r="F254" s="20" t="s">
        <v>982</v>
      </c>
      <c r="G254" s="20" t="s">
        <v>38</v>
      </c>
      <c r="H254" s="20" t="s">
        <v>983</v>
      </c>
      <c r="I254" s="21" t="s">
        <v>2306</v>
      </c>
      <c r="J254" s="21" t="s">
        <v>985</v>
      </c>
      <c r="K254" s="8" t="s">
        <v>986</v>
      </c>
      <c r="L254" s="20" t="s">
        <v>987</v>
      </c>
      <c r="M254" s="17" t="s">
        <v>2307</v>
      </c>
      <c r="N254" s="8" t="s">
        <v>2308</v>
      </c>
    </row>
    <row r="255" ht="22.5" customHeight="1">
      <c r="B255" s="8" t="s">
        <v>2323</v>
      </c>
      <c r="C255" s="20"/>
      <c r="D255" s="20">
        <v>0.0</v>
      </c>
      <c r="E255" s="20">
        <v>100.0</v>
      </c>
      <c r="F255" s="20">
        <v>0.0</v>
      </c>
      <c r="G255" s="20">
        <v>0.0</v>
      </c>
      <c r="H255" s="20">
        <v>0.0</v>
      </c>
      <c r="I255" s="21">
        <v>45616.0</v>
      </c>
      <c r="J255" s="21">
        <v>45646.0</v>
      </c>
      <c r="K255" s="8">
        <v>1.0</v>
      </c>
      <c r="L255" s="20">
        <v>-521.0</v>
      </c>
    </row>
    <row r="256" ht="22.5" customHeight="1">
      <c r="B256" s="8" t="s">
        <v>2324</v>
      </c>
      <c r="C256" s="20"/>
      <c r="D256" s="20">
        <v>0.0</v>
      </c>
      <c r="E256" s="20">
        <v>5.0</v>
      </c>
      <c r="F256" s="20">
        <v>15.0</v>
      </c>
      <c r="G256" s="20">
        <v>0.0</v>
      </c>
      <c r="H256" s="20">
        <v>0.0</v>
      </c>
      <c r="I256" s="21">
        <v>45597.0</v>
      </c>
      <c r="J256" s="21">
        <v>45627.0</v>
      </c>
      <c r="K256" s="8">
        <v>1.0</v>
      </c>
      <c r="L256" s="20">
        <v>-540.0</v>
      </c>
    </row>
    <row r="257" ht="22.5" customHeight="1">
      <c r="A257" s="8" t="s">
        <v>2368</v>
      </c>
      <c r="B257" s="8" t="s">
        <v>2326</v>
      </c>
      <c r="C257" s="20"/>
      <c r="D257" s="20">
        <v>9.0</v>
      </c>
      <c r="E257" s="20">
        <v>3.0</v>
      </c>
      <c r="F257" s="20">
        <v>27.0</v>
      </c>
      <c r="G257" s="20">
        <v>0.0</v>
      </c>
      <c r="H257" s="20">
        <v>0.0</v>
      </c>
      <c r="I257" s="21">
        <v>45597.0</v>
      </c>
      <c r="J257" s="21">
        <v>45627.0</v>
      </c>
      <c r="K257" s="8">
        <v>1.0</v>
      </c>
      <c r="L257" s="20">
        <v>-540.0</v>
      </c>
      <c r="M257" s="17">
        <v>45727.0</v>
      </c>
    </row>
    <row r="258" ht="22.5" customHeight="1">
      <c r="B258" s="8" t="s">
        <v>2327</v>
      </c>
      <c r="C258" s="20"/>
      <c r="D258" s="20">
        <v>0.0</v>
      </c>
      <c r="E258" s="20">
        <v>1500.0</v>
      </c>
      <c r="F258" s="20">
        <v>0.0</v>
      </c>
      <c r="G258" s="20">
        <v>0.0</v>
      </c>
      <c r="H258" s="20">
        <v>0.0</v>
      </c>
      <c r="L258" s="20"/>
    </row>
    <row r="259" ht="22.5" customHeight="1">
      <c r="B259" s="8" t="s">
        <v>2328</v>
      </c>
      <c r="C259" s="20"/>
      <c r="D259" s="20">
        <v>0.0</v>
      </c>
      <c r="E259" s="20">
        <v>500.0</v>
      </c>
      <c r="F259" s="20">
        <v>0.0</v>
      </c>
      <c r="G259" s="20">
        <v>0.0</v>
      </c>
      <c r="H259" s="20">
        <v>0.0</v>
      </c>
      <c r="L259" s="20"/>
    </row>
    <row r="260" ht="22.5" customHeight="1">
      <c r="A260" s="8" t="s">
        <v>2369</v>
      </c>
      <c r="B260" s="8" t="s">
        <v>2329</v>
      </c>
      <c r="C260" s="20"/>
      <c r="D260" s="20">
        <v>24.0</v>
      </c>
      <c r="E260" s="20">
        <v>22.0</v>
      </c>
      <c r="F260" s="20">
        <v>528.0</v>
      </c>
      <c r="G260" s="20">
        <v>0.0</v>
      </c>
      <c r="H260" s="20">
        <v>0.0</v>
      </c>
      <c r="I260" s="21">
        <v>45597.0</v>
      </c>
      <c r="J260" s="21">
        <v>45627.0</v>
      </c>
      <c r="K260" s="8">
        <v>1.0</v>
      </c>
      <c r="L260" s="20">
        <v>-540.0</v>
      </c>
      <c r="M260" s="17">
        <v>45778.0</v>
      </c>
      <c r="N260" s="8" t="s">
        <v>2370</v>
      </c>
    </row>
    <row r="261" ht="22.5" customHeight="1">
      <c r="B261" s="8" t="s">
        <v>2330</v>
      </c>
      <c r="C261" s="20"/>
      <c r="D261" s="20">
        <v>0.0</v>
      </c>
      <c r="E261" s="20">
        <v>0.0</v>
      </c>
      <c r="F261" s="20">
        <v>0.0</v>
      </c>
      <c r="G261" s="20">
        <v>0.0</v>
      </c>
      <c r="H261" s="20">
        <v>0.0</v>
      </c>
      <c r="I261" s="21">
        <v>45608.0</v>
      </c>
      <c r="J261" s="21">
        <v>45638.0</v>
      </c>
      <c r="K261" s="8">
        <v>1.0</v>
      </c>
      <c r="L261" s="20">
        <v>-529.0</v>
      </c>
    </row>
    <row r="262" ht="22.5" customHeight="1">
      <c r="B262" s="8" t="s">
        <v>129</v>
      </c>
      <c r="C262" s="20"/>
      <c r="D262" s="20">
        <v>1.0</v>
      </c>
      <c r="E262" s="20">
        <v>15000.0</v>
      </c>
      <c r="F262" s="20">
        <v>15000.0</v>
      </c>
      <c r="G262" s="20">
        <v>0.0</v>
      </c>
      <c r="H262" s="20">
        <v>0.0</v>
      </c>
      <c r="I262" s="21">
        <v>45609.0</v>
      </c>
      <c r="J262" s="21">
        <v>45639.0</v>
      </c>
      <c r="K262" s="8">
        <v>1.0</v>
      </c>
      <c r="L262" s="20">
        <v>-528.0</v>
      </c>
      <c r="M262" s="17">
        <v>45788.0</v>
      </c>
    </row>
    <row r="263" ht="22.5" customHeight="1">
      <c r="B263" s="8" t="s">
        <v>2343</v>
      </c>
      <c r="C263" s="20"/>
      <c r="D263" s="20">
        <v>0.0</v>
      </c>
      <c r="E263" s="20">
        <v>3000.0</v>
      </c>
      <c r="F263" s="20">
        <v>0.0</v>
      </c>
      <c r="G263" s="20">
        <v>0.0</v>
      </c>
      <c r="H263" s="20">
        <v>0.0</v>
      </c>
      <c r="L263" s="20"/>
    </row>
    <row r="264" ht="22.5" customHeight="1">
      <c r="B264" s="8" t="s">
        <v>2354</v>
      </c>
      <c r="C264" s="20"/>
      <c r="D264" s="20">
        <v>0.0</v>
      </c>
      <c r="E264" s="20">
        <v>5000.0</v>
      </c>
      <c r="F264" s="20">
        <v>0.0</v>
      </c>
      <c r="G264" s="20">
        <v>0.0</v>
      </c>
      <c r="H264" s="20">
        <v>0.0</v>
      </c>
      <c r="L264" s="20"/>
    </row>
    <row r="265" ht="22.5" customHeight="1">
      <c r="B265" s="8" t="s">
        <v>129</v>
      </c>
      <c r="C265" s="20"/>
      <c r="D265" s="20">
        <v>1.0</v>
      </c>
      <c r="G265" s="20">
        <v>0.0</v>
      </c>
      <c r="H265" s="20">
        <v>0.0</v>
      </c>
      <c r="L265" s="20"/>
    </row>
    <row r="266" ht="22.5" customHeight="1">
      <c r="B266" s="8" t="s">
        <v>2364</v>
      </c>
      <c r="C266" s="20"/>
      <c r="D266" s="20">
        <v>1.0</v>
      </c>
      <c r="E266" s="20">
        <v>5000.0</v>
      </c>
      <c r="F266" s="20">
        <v>5000.0</v>
      </c>
      <c r="G266" s="20">
        <v>0.0</v>
      </c>
      <c r="H266" s="20">
        <v>0.0</v>
      </c>
      <c r="I266" s="21">
        <v>45620.0</v>
      </c>
      <c r="J266" s="21">
        <v>45650.0</v>
      </c>
      <c r="K266" s="8">
        <v>1.0</v>
      </c>
      <c r="L266" s="20">
        <v>-517.0</v>
      </c>
      <c r="M266" s="17" t="s">
        <v>2371</v>
      </c>
    </row>
    <row r="267" ht="22.5" customHeight="1">
      <c r="A267" s="8" t="s">
        <v>2366</v>
      </c>
      <c r="B267" s="8" t="s">
        <v>2367</v>
      </c>
      <c r="C267" s="20"/>
      <c r="D267" s="20">
        <v>1.0</v>
      </c>
      <c r="E267" s="20">
        <v>5000.0</v>
      </c>
      <c r="F267" s="20">
        <v>5000.0</v>
      </c>
      <c r="G267" s="20">
        <v>0.0</v>
      </c>
      <c r="H267" s="20">
        <v>0.0</v>
      </c>
      <c r="I267" s="21">
        <v>45603.0</v>
      </c>
      <c r="J267" s="21">
        <v>45633.0</v>
      </c>
      <c r="K267" s="8">
        <v>1.0</v>
      </c>
      <c r="L267" s="20">
        <v>-534.0</v>
      </c>
      <c r="M267" s="17" t="s">
        <v>2371</v>
      </c>
    </row>
    <row r="268" ht="22.5" customHeight="1">
      <c r="B268" s="8" t="s">
        <v>55</v>
      </c>
      <c r="C268" s="20"/>
      <c r="D268" s="20">
        <v>12.0</v>
      </c>
      <c r="E268" s="20">
        <v>6.0</v>
      </c>
      <c r="F268" s="20">
        <v>72.0</v>
      </c>
      <c r="G268" s="20">
        <v>0.0</v>
      </c>
      <c r="H268" s="20">
        <v>0.0</v>
      </c>
      <c r="I268" s="21">
        <v>45621.0</v>
      </c>
      <c r="J268" s="21">
        <v>45651.0</v>
      </c>
      <c r="K268" s="8">
        <v>1.0</v>
      </c>
      <c r="L268" s="20">
        <v>-516.0</v>
      </c>
      <c r="M268" s="17" t="s">
        <v>2372</v>
      </c>
    </row>
    <row r="269" ht="22.5" hidden="1" customHeight="1">
      <c r="C269" s="20"/>
      <c r="L269" s="20"/>
    </row>
    <row r="270" ht="22.5" hidden="1" customHeight="1">
      <c r="C270" s="20"/>
    </row>
    <row r="271" ht="22.5" hidden="1" customHeight="1">
      <c r="C271" s="20"/>
    </row>
    <row r="272" ht="22.5" hidden="1" customHeight="1">
      <c r="B272" s="8" t="s">
        <v>2331</v>
      </c>
      <c r="C272" s="8">
        <v>0.0</v>
      </c>
      <c r="F272" s="20" t="s">
        <v>983</v>
      </c>
      <c r="G272" s="20">
        <v>0.0</v>
      </c>
      <c r="H272" s="20">
        <v>0.0</v>
      </c>
    </row>
    <row r="273" ht="22.5" hidden="1" customHeight="1">
      <c r="F273" s="20" t="s">
        <v>2332</v>
      </c>
      <c r="H273" s="20">
        <v>0.0</v>
      </c>
    </row>
    <row r="274" ht="22.5" hidden="1" customHeight="1"/>
    <row r="275" ht="22.5" hidden="1" customHeight="1"/>
    <row r="276" ht="22.5" hidden="1" customHeight="1"/>
    <row r="277" ht="22.5" hidden="1" customHeight="1">
      <c r="J277" s="21" t="s">
        <v>2321</v>
      </c>
      <c r="K277" s="22">
        <v>46167.0</v>
      </c>
    </row>
    <row r="278" ht="22.5" hidden="1" customHeight="1">
      <c r="A278" s="8" t="s">
        <v>181</v>
      </c>
      <c r="B278" s="8" t="s">
        <v>2304</v>
      </c>
      <c r="C278" s="20" t="s">
        <v>131</v>
      </c>
      <c r="D278" s="20" t="s">
        <v>2305</v>
      </c>
      <c r="E278" s="20" t="s">
        <v>8</v>
      </c>
      <c r="F278" s="20" t="s">
        <v>982</v>
      </c>
      <c r="G278" s="20" t="s">
        <v>38</v>
      </c>
      <c r="H278" s="20" t="s">
        <v>983</v>
      </c>
      <c r="I278" s="21" t="s">
        <v>2306</v>
      </c>
      <c r="J278" s="21" t="s">
        <v>985</v>
      </c>
      <c r="K278" s="8" t="s">
        <v>986</v>
      </c>
      <c r="L278" s="20" t="s">
        <v>987</v>
      </c>
      <c r="M278" s="17" t="s">
        <v>2307</v>
      </c>
      <c r="N278" s="8" t="s">
        <v>2308</v>
      </c>
    </row>
    <row r="279" ht="22.5" customHeight="1">
      <c r="B279" s="8" t="s">
        <v>2323</v>
      </c>
      <c r="C279" s="20"/>
      <c r="D279" s="20">
        <v>0.0</v>
      </c>
      <c r="E279" s="20">
        <v>100.0</v>
      </c>
      <c r="F279" s="20">
        <v>0.0</v>
      </c>
      <c r="G279" s="20">
        <v>0.0</v>
      </c>
      <c r="H279" s="20">
        <v>0.0</v>
      </c>
      <c r="I279" s="21">
        <v>45646.0</v>
      </c>
      <c r="J279" s="21">
        <v>45677.0</v>
      </c>
      <c r="K279" s="8">
        <v>1.0</v>
      </c>
      <c r="L279" s="20">
        <v>-490.0</v>
      </c>
    </row>
    <row r="280" ht="22.5" customHeight="1">
      <c r="B280" s="8" t="s">
        <v>2324</v>
      </c>
      <c r="C280" s="20"/>
      <c r="D280" s="20">
        <v>0.0</v>
      </c>
      <c r="E280" s="20">
        <v>5.0</v>
      </c>
      <c r="F280" s="20">
        <v>15.0</v>
      </c>
      <c r="G280" s="20">
        <v>0.0</v>
      </c>
      <c r="H280" s="20">
        <v>0.0</v>
      </c>
      <c r="I280" s="21">
        <v>45627.0</v>
      </c>
      <c r="J280" s="21">
        <v>45658.0</v>
      </c>
      <c r="K280" s="8">
        <v>1.0</v>
      </c>
      <c r="L280" s="20">
        <v>-509.0</v>
      </c>
    </row>
    <row r="281" ht="22.5" customHeight="1">
      <c r="A281" s="8" t="s">
        <v>2373</v>
      </c>
      <c r="B281" s="8" t="s">
        <v>2326</v>
      </c>
      <c r="C281" s="20" t="s">
        <v>1441</v>
      </c>
      <c r="D281" s="20">
        <v>15.0</v>
      </c>
      <c r="E281" s="20">
        <v>3.0</v>
      </c>
      <c r="F281" s="20">
        <v>45.0</v>
      </c>
      <c r="G281" s="20">
        <v>0.0</v>
      </c>
      <c r="H281" s="20">
        <v>0.0</v>
      </c>
      <c r="I281" s="21">
        <v>45627.0</v>
      </c>
      <c r="J281" s="21">
        <v>45658.0</v>
      </c>
      <c r="K281" s="8">
        <v>1.0</v>
      </c>
      <c r="L281" s="20">
        <v>-509.0</v>
      </c>
      <c r="M281" s="17">
        <v>45727.0</v>
      </c>
    </row>
    <row r="282" ht="22.5" customHeight="1">
      <c r="B282" s="8" t="s">
        <v>2327</v>
      </c>
      <c r="C282" s="20"/>
      <c r="D282" s="20">
        <v>0.0</v>
      </c>
      <c r="E282" s="20">
        <v>1500.0</v>
      </c>
      <c r="F282" s="20">
        <v>0.0</v>
      </c>
      <c r="G282" s="20">
        <v>0.0</v>
      </c>
      <c r="H282" s="20">
        <v>0.0</v>
      </c>
      <c r="L282" s="20"/>
    </row>
    <row r="283" ht="22.5" customHeight="1">
      <c r="B283" s="8" t="s">
        <v>2328</v>
      </c>
      <c r="C283" s="20"/>
      <c r="D283" s="20">
        <v>0.0</v>
      </c>
      <c r="E283" s="20">
        <v>500.0</v>
      </c>
      <c r="F283" s="20">
        <v>0.0</v>
      </c>
      <c r="G283" s="20">
        <v>0.0</v>
      </c>
      <c r="H283" s="20">
        <v>0.0</v>
      </c>
      <c r="L283" s="20"/>
    </row>
    <row r="284" ht="22.5" customHeight="1">
      <c r="A284" s="8" t="s">
        <v>2374</v>
      </c>
      <c r="B284" s="8" t="s">
        <v>2329</v>
      </c>
      <c r="C284" s="20"/>
      <c r="D284" s="20">
        <v>18.0</v>
      </c>
      <c r="E284" s="20">
        <v>22.0</v>
      </c>
      <c r="F284" s="20">
        <v>396.0</v>
      </c>
      <c r="G284" s="20">
        <v>0.0</v>
      </c>
      <c r="H284" s="20">
        <v>0.0</v>
      </c>
      <c r="I284" s="21">
        <v>45627.0</v>
      </c>
      <c r="J284" s="21">
        <v>45658.0</v>
      </c>
      <c r="K284" s="8">
        <v>1.0</v>
      </c>
      <c r="L284" s="20">
        <v>-509.0</v>
      </c>
      <c r="M284" s="17">
        <v>45811.0</v>
      </c>
    </row>
    <row r="285" ht="22.5" customHeight="1">
      <c r="B285" s="8" t="s">
        <v>2330</v>
      </c>
      <c r="C285" s="20"/>
      <c r="D285" s="20">
        <v>0.0</v>
      </c>
      <c r="E285" s="20">
        <v>0.0</v>
      </c>
      <c r="F285" s="20">
        <v>0.0</v>
      </c>
      <c r="G285" s="20">
        <v>0.0</v>
      </c>
      <c r="H285" s="20">
        <v>0.0</v>
      </c>
      <c r="I285" s="21">
        <v>31.0</v>
      </c>
      <c r="J285" s="21">
        <v>60.0</v>
      </c>
      <c r="K285" s="8">
        <v>1.0</v>
      </c>
      <c r="L285" s="20">
        <v>-46107.0</v>
      </c>
    </row>
    <row r="286" ht="22.5" customHeight="1">
      <c r="B286" s="8" t="s">
        <v>129</v>
      </c>
      <c r="C286" s="20"/>
      <c r="D286" s="20">
        <v>1.0</v>
      </c>
      <c r="E286" s="20">
        <v>15000.0</v>
      </c>
      <c r="F286" s="20">
        <v>15000.0</v>
      </c>
      <c r="G286" s="20">
        <v>0.0</v>
      </c>
      <c r="H286" s="20">
        <v>0.0</v>
      </c>
      <c r="I286" s="21">
        <v>45639.0</v>
      </c>
      <c r="J286" s="21">
        <v>45670.0</v>
      </c>
      <c r="K286" s="8">
        <v>1.0</v>
      </c>
      <c r="L286" s="20">
        <v>-497.0</v>
      </c>
    </row>
    <row r="287" ht="22.5" customHeight="1">
      <c r="B287" s="8" t="s">
        <v>2343</v>
      </c>
      <c r="C287" s="20"/>
      <c r="D287" s="20">
        <v>0.0</v>
      </c>
      <c r="E287" s="20">
        <v>3000.0</v>
      </c>
      <c r="F287" s="20">
        <v>0.0</v>
      </c>
      <c r="G287" s="20">
        <v>0.0</v>
      </c>
      <c r="H287" s="20">
        <v>0.0</v>
      </c>
      <c r="L287" s="20"/>
    </row>
    <row r="288" ht="22.5" customHeight="1">
      <c r="B288" s="8" t="s">
        <v>2354</v>
      </c>
      <c r="C288" s="20"/>
      <c r="D288" s="20">
        <v>0.0</v>
      </c>
      <c r="E288" s="20">
        <v>5000.0</v>
      </c>
      <c r="F288" s="20">
        <v>0.0</v>
      </c>
      <c r="G288" s="20">
        <v>0.0</v>
      </c>
      <c r="H288" s="20">
        <v>0.0</v>
      </c>
      <c r="L288" s="20"/>
    </row>
    <row r="289" ht="22.5" customHeight="1">
      <c r="A289" s="8" t="s">
        <v>2375</v>
      </c>
      <c r="B289" s="8" t="s">
        <v>129</v>
      </c>
      <c r="C289" s="20"/>
      <c r="D289" s="20">
        <v>1.0</v>
      </c>
      <c r="E289" s="20">
        <v>44488.0</v>
      </c>
      <c r="F289" s="20">
        <v>44488.0</v>
      </c>
      <c r="L289" s="20"/>
      <c r="M289" s="17">
        <v>45686.0</v>
      </c>
    </row>
    <row r="290" ht="22.5" customHeight="1">
      <c r="B290" s="8" t="s">
        <v>2364</v>
      </c>
      <c r="C290" s="20"/>
      <c r="D290" s="20">
        <v>1.0</v>
      </c>
      <c r="E290" s="20">
        <v>5000.0</v>
      </c>
      <c r="F290" s="20">
        <v>5000.0</v>
      </c>
      <c r="G290" s="20">
        <v>0.0</v>
      </c>
      <c r="H290" s="20">
        <v>0.0</v>
      </c>
      <c r="I290" s="21">
        <v>45650.0</v>
      </c>
      <c r="J290" s="21">
        <v>45681.0</v>
      </c>
      <c r="K290" s="8">
        <v>1.0</v>
      </c>
      <c r="L290" s="20">
        <v>-486.0</v>
      </c>
      <c r="M290" s="17">
        <v>45686.0</v>
      </c>
    </row>
    <row r="291" ht="22.5" customHeight="1">
      <c r="A291" s="8" t="s">
        <v>2366</v>
      </c>
      <c r="B291" s="8" t="s">
        <v>2367</v>
      </c>
      <c r="C291" s="20"/>
      <c r="D291" s="20">
        <v>1.0</v>
      </c>
      <c r="E291" s="20">
        <v>5000.0</v>
      </c>
      <c r="F291" s="20">
        <v>5000.0</v>
      </c>
      <c r="G291" s="20">
        <v>0.0</v>
      </c>
      <c r="H291" s="20">
        <v>0.0</v>
      </c>
      <c r="I291" s="21">
        <v>45633.0</v>
      </c>
      <c r="J291" s="21">
        <v>45664.0</v>
      </c>
      <c r="K291" s="8">
        <v>1.0</v>
      </c>
      <c r="L291" s="20">
        <v>-503.0</v>
      </c>
      <c r="M291" s="17">
        <v>45686.0</v>
      </c>
    </row>
    <row r="292" ht="22.5" customHeight="1">
      <c r="A292" s="8" t="s">
        <v>2376</v>
      </c>
      <c r="B292" s="8" t="s">
        <v>55</v>
      </c>
      <c r="C292" s="20"/>
      <c r="D292" s="20">
        <v>12.0</v>
      </c>
      <c r="E292" s="20">
        <v>6.0</v>
      </c>
      <c r="F292" s="20">
        <v>72.0</v>
      </c>
      <c r="G292" s="20">
        <v>0.0</v>
      </c>
      <c r="H292" s="20">
        <v>0.0</v>
      </c>
      <c r="I292" s="21">
        <v>45651.0</v>
      </c>
      <c r="J292" s="21">
        <v>45682.0</v>
      </c>
      <c r="K292" s="8">
        <v>1.0</v>
      </c>
      <c r="L292" s="20">
        <v>-485.0</v>
      </c>
      <c r="M292" s="17">
        <v>45686.0</v>
      </c>
    </row>
    <row r="293" ht="22.5" hidden="1" customHeight="1">
      <c r="C293" s="20"/>
      <c r="L293" s="20"/>
    </row>
    <row r="294" ht="22.5" hidden="1" customHeight="1">
      <c r="C294" s="20"/>
    </row>
    <row r="295" ht="22.5" hidden="1" customHeight="1">
      <c r="C295" s="20"/>
    </row>
    <row r="296" ht="22.5" hidden="1" customHeight="1">
      <c r="B296" s="8" t="s">
        <v>2331</v>
      </c>
      <c r="C296" s="8">
        <v>1.0</v>
      </c>
      <c r="F296" s="20" t="s">
        <v>983</v>
      </c>
      <c r="G296" s="20">
        <v>0.0</v>
      </c>
      <c r="H296" s="20">
        <v>0.0</v>
      </c>
    </row>
    <row r="297" ht="22.5" hidden="1" customHeight="1">
      <c r="F297" s="20" t="s">
        <v>2332</v>
      </c>
      <c r="H297" s="20">
        <v>0.0</v>
      </c>
    </row>
    <row r="298" ht="22.5" hidden="1" customHeight="1"/>
    <row r="299" ht="22.5" hidden="1" customHeight="1"/>
    <row r="300" ht="22.5" hidden="1" customHeight="1"/>
    <row r="301" ht="22.5" hidden="1" customHeight="1">
      <c r="J301" s="21" t="s">
        <v>2321</v>
      </c>
      <c r="K301" s="22">
        <v>46167.0</v>
      </c>
    </row>
    <row r="302" ht="22.5" hidden="1" customHeight="1"/>
    <row r="303" ht="22.5" hidden="1" customHeight="1">
      <c r="A303" s="8" t="s">
        <v>181</v>
      </c>
      <c r="B303" s="8" t="s">
        <v>2304</v>
      </c>
      <c r="C303" s="20" t="s">
        <v>131</v>
      </c>
      <c r="D303" s="20" t="s">
        <v>2305</v>
      </c>
      <c r="E303" s="20" t="s">
        <v>8</v>
      </c>
      <c r="F303" s="20" t="s">
        <v>982</v>
      </c>
      <c r="G303" s="20" t="s">
        <v>38</v>
      </c>
      <c r="H303" s="20" t="s">
        <v>983</v>
      </c>
      <c r="I303" s="21" t="s">
        <v>2306</v>
      </c>
      <c r="J303" s="21" t="s">
        <v>985</v>
      </c>
      <c r="K303" s="8" t="s">
        <v>986</v>
      </c>
      <c r="L303" s="20" t="s">
        <v>987</v>
      </c>
      <c r="M303" s="17" t="s">
        <v>2307</v>
      </c>
      <c r="N303" s="8" t="s">
        <v>2308</v>
      </c>
    </row>
    <row r="304" ht="22.5" customHeight="1">
      <c r="B304" s="8" t="s">
        <v>2323</v>
      </c>
      <c r="C304" s="20"/>
      <c r="D304" s="20">
        <v>0.0</v>
      </c>
      <c r="E304" s="20">
        <v>100.0</v>
      </c>
      <c r="F304" s="20">
        <v>0.0</v>
      </c>
      <c r="G304" s="20">
        <v>0.0</v>
      </c>
      <c r="H304" s="20">
        <v>0.0</v>
      </c>
      <c r="I304" s="21">
        <v>45677.0</v>
      </c>
      <c r="J304" s="21">
        <v>45708.0</v>
      </c>
      <c r="K304" s="8">
        <v>1.0</v>
      </c>
      <c r="L304" s="20">
        <v>-459.0</v>
      </c>
    </row>
    <row r="305" ht="22.5" customHeight="1">
      <c r="B305" s="8" t="s">
        <v>2324</v>
      </c>
      <c r="C305" s="20"/>
      <c r="D305" s="20">
        <v>0.0</v>
      </c>
      <c r="E305" s="20">
        <v>5.0</v>
      </c>
      <c r="F305" s="20">
        <v>15.0</v>
      </c>
      <c r="G305" s="20">
        <v>0.0</v>
      </c>
      <c r="H305" s="20">
        <v>0.0</v>
      </c>
      <c r="I305" s="21">
        <v>45658.0</v>
      </c>
      <c r="J305" s="21">
        <v>45689.0</v>
      </c>
      <c r="K305" s="8">
        <v>1.0</v>
      </c>
      <c r="L305" s="20">
        <v>-478.0</v>
      </c>
    </row>
    <row r="306" ht="22.5" customHeight="1">
      <c r="B306" s="8" t="s">
        <v>2326</v>
      </c>
      <c r="C306" s="20" t="s">
        <v>1441</v>
      </c>
      <c r="D306" s="20">
        <v>0.0</v>
      </c>
      <c r="E306" s="20">
        <v>3.0</v>
      </c>
      <c r="F306" s="20">
        <v>0.0</v>
      </c>
      <c r="G306" s="20">
        <v>0.0</v>
      </c>
      <c r="H306" s="20">
        <v>0.0</v>
      </c>
      <c r="I306" s="21">
        <v>45658.0</v>
      </c>
      <c r="J306" s="21">
        <v>45689.0</v>
      </c>
      <c r="K306" s="8">
        <v>1.0</v>
      </c>
      <c r="L306" s="20">
        <v>-478.0</v>
      </c>
    </row>
    <row r="307" ht="22.5" customHeight="1">
      <c r="B307" s="8" t="s">
        <v>2327</v>
      </c>
      <c r="C307" s="20"/>
      <c r="D307" s="20">
        <v>0.0</v>
      </c>
      <c r="E307" s="20">
        <v>1500.0</v>
      </c>
      <c r="F307" s="20">
        <v>0.0</v>
      </c>
      <c r="G307" s="20">
        <v>0.0</v>
      </c>
      <c r="H307" s="20">
        <v>0.0</v>
      </c>
      <c r="L307" s="20"/>
    </row>
    <row r="308" ht="22.5" customHeight="1">
      <c r="B308" s="8" t="s">
        <v>2328</v>
      </c>
      <c r="C308" s="20"/>
      <c r="D308" s="20">
        <v>0.0</v>
      </c>
      <c r="E308" s="20">
        <v>500.0</v>
      </c>
      <c r="F308" s="20">
        <v>0.0</v>
      </c>
      <c r="G308" s="20">
        <v>0.0</v>
      </c>
      <c r="H308" s="20">
        <v>0.0</v>
      </c>
      <c r="L308" s="20"/>
    </row>
    <row r="309" ht="22.5" customHeight="1">
      <c r="A309" s="8" t="s">
        <v>2377</v>
      </c>
      <c r="B309" s="8" t="s">
        <v>2329</v>
      </c>
      <c r="C309" s="20"/>
      <c r="D309" s="20">
        <v>9.5</v>
      </c>
      <c r="E309" s="20">
        <v>22.0</v>
      </c>
      <c r="F309" s="20">
        <v>209.0</v>
      </c>
      <c r="G309" s="20">
        <v>0.0</v>
      </c>
      <c r="H309" s="20">
        <v>0.0</v>
      </c>
      <c r="I309" s="21">
        <v>45658.0</v>
      </c>
      <c r="J309" s="21">
        <v>45689.0</v>
      </c>
      <c r="K309" s="8">
        <v>1.0</v>
      </c>
      <c r="L309" s="20">
        <v>-478.0</v>
      </c>
      <c r="M309" s="17">
        <v>45811.0</v>
      </c>
    </row>
    <row r="310" ht="22.5" customHeight="1">
      <c r="B310" s="8" t="s">
        <v>2330</v>
      </c>
      <c r="C310" s="20"/>
      <c r="D310" s="20">
        <v>0.0</v>
      </c>
      <c r="E310" s="20">
        <v>0.0</v>
      </c>
      <c r="F310" s="20">
        <v>0.0</v>
      </c>
      <c r="G310" s="20">
        <v>0.0</v>
      </c>
      <c r="H310" s="20">
        <v>0.0</v>
      </c>
      <c r="I310" s="21">
        <v>60.0</v>
      </c>
      <c r="J310" s="21">
        <v>88.0</v>
      </c>
      <c r="K310" s="8">
        <v>1.0</v>
      </c>
      <c r="L310" s="20">
        <v>-46079.0</v>
      </c>
    </row>
    <row r="311" ht="22.5" customHeight="1">
      <c r="B311" s="8" t="s">
        <v>129</v>
      </c>
      <c r="C311" s="20"/>
      <c r="D311" s="20">
        <v>1.0</v>
      </c>
      <c r="E311" s="20">
        <v>15000.0</v>
      </c>
      <c r="F311" s="20">
        <v>15000.0</v>
      </c>
      <c r="G311" s="20">
        <v>0.0</v>
      </c>
      <c r="H311" s="20">
        <v>0.0</v>
      </c>
      <c r="I311" s="21">
        <v>45670.0</v>
      </c>
      <c r="J311" s="21">
        <v>45701.0</v>
      </c>
      <c r="K311" s="8">
        <v>1.0</v>
      </c>
      <c r="L311" s="20">
        <v>-466.0</v>
      </c>
    </row>
    <row r="312" ht="22.5" customHeight="1">
      <c r="B312" s="8" t="s">
        <v>2343</v>
      </c>
      <c r="C312" s="20"/>
      <c r="D312" s="20">
        <v>0.0</v>
      </c>
      <c r="E312" s="20">
        <v>3000.0</v>
      </c>
      <c r="F312" s="20">
        <v>0.0</v>
      </c>
      <c r="G312" s="20">
        <v>0.0</v>
      </c>
      <c r="H312" s="20">
        <v>0.0</v>
      </c>
      <c r="L312" s="20"/>
    </row>
    <row r="313" ht="22.5" customHeight="1">
      <c r="B313" s="8" t="s">
        <v>2354</v>
      </c>
      <c r="C313" s="20"/>
      <c r="D313" s="20">
        <v>0.0</v>
      </c>
      <c r="E313" s="20">
        <v>5000.0</v>
      </c>
      <c r="F313" s="20">
        <v>0.0</v>
      </c>
      <c r="G313" s="20">
        <v>0.0</v>
      </c>
      <c r="H313" s="20">
        <v>0.0</v>
      </c>
      <c r="L313" s="20"/>
    </row>
    <row r="314" ht="22.5" customHeight="1">
      <c r="B314" s="8" t="s">
        <v>129</v>
      </c>
      <c r="C314" s="20"/>
      <c r="D314" s="20">
        <v>1.0</v>
      </c>
      <c r="G314" s="20">
        <v>0.0</v>
      </c>
      <c r="H314" s="20">
        <v>0.0</v>
      </c>
      <c r="L314" s="20"/>
    </row>
    <row r="315" ht="22.5" customHeight="1">
      <c r="B315" s="8" t="s">
        <v>2364</v>
      </c>
      <c r="C315" s="20"/>
      <c r="D315" s="20">
        <v>1.0</v>
      </c>
      <c r="E315" s="20">
        <v>5000.0</v>
      </c>
      <c r="F315" s="20">
        <v>5000.0</v>
      </c>
      <c r="G315" s="20">
        <v>0.0</v>
      </c>
      <c r="H315" s="20">
        <v>0.0</v>
      </c>
      <c r="I315" s="21">
        <v>45681.0</v>
      </c>
      <c r="J315" s="21">
        <v>45712.0</v>
      </c>
      <c r="K315" s="8">
        <v>1.0</v>
      </c>
      <c r="L315" s="20">
        <v>-455.0</v>
      </c>
      <c r="M315" s="17">
        <v>45727.0</v>
      </c>
      <c r="N315" s="8" t="s">
        <v>2378</v>
      </c>
    </row>
    <row r="316" ht="22.5" customHeight="1">
      <c r="B316" s="8" t="s">
        <v>2367</v>
      </c>
      <c r="C316" s="20"/>
      <c r="D316" s="20">
        <v>1.0</v>
      </c>
      <c r="E316" s="20">
        <v>5000.0</v>
      </c>
      <c r="F316" s="20">
        <v>5000.0</v>
      </c>
      <c r="G316" s="20">
        <v>0.0</v>
      </c>
      <c r="H316" s="20">
        <v>0.0</v>
      </c>
      <c r="I316" s="21">
        <v>45664.0</v>
      </c>
      <c r="J316" s="21">
        <v>45695.0</v>
      </c>
      <c r="K316" s="8">
        <v>1.0</v>
      </c>
      <c r="L316" s="20">
        <v>-472.0</v>
      </c>
      <c r="M316" s="17">
        <v>45727.0</v>
      </c>
      <c r="N316" s="8" t="s">
        <v>2379</v>
      </c>
    </row>
    <row r="317" ht="22.5" customHeight="1">
      <c r="B317" s="8" t="s">
        <v>55</v>
      </c>
      <c r="C317" s="20"/>
      <c r="D317" s="20">
        <v>13.0</v>
      </c>
      <c r="E317" s="20">
        <v>6.0</v>
      </c>
      <c r="F317" s="20">
        <v>78.0</v>
      </c>
      <c r="G317" s="20">
        <v>0.0</v>
      </c>
      <c r="H317" s="20">
        <v>0.0</v>
      </c>
      <c r="I317" s="21">
        <v>45682.0</v>
      </c>
      <c r="J317" s="21">
        <v>45713.0</v>
      </c>
      <c r="K317" s="8">
        <v>0.0</v>
      </c>
      <c r="L317" s="20">
        <v>-454.0</v>
      </c>
      <c r="M317" s="8" t="s">
        <v>2380</v>
      </c>
    </row>
    <row r="318" ht="22.5" hidden="1" customHeight="1">
      <c r="C318" s="20"/>
      <c r="L318" s="20"/>
    </row>
    <row r="319" ht="22.5" hidden="1" customHeight="1">
      <c r="C319" s="20"/>
    </row>
    <row r="320" ht="22.5" hidden="1" customHeight="1">
      <c r="C320" s="20"/>
    </row>
    <row r="321" ht="22.5" hidden="1" customHeight="1">
      <c r="B321" s="8" t="s">
        <v>2331</v>
      </c>
      <c r="C321" s="8">
        <v>1.0</v>
      </c>
      <c r="F321" s="20" t="s">
        <v>983</v>
      </c>
      <c r="G321" s="20">
        <v>0.0</v>
      </c>
      <c r="H321" s="20">
        <v>0.0</v>
      </c>
    </row>
    <row r="322" ht="22.5" hidden="1" customHeight="1">
      <c r="F322" s="20" t="s">
        <v>2332</v>
      </c>
      <c r="H322" s="20">
        <v>0.0</v>
      </c>
    </row>
    <row r="323" ht="22.5" hidden="1" customHeight="1"/>
    <row r="324" ht="22.5" hidden="1" customHeight="1"/>
    <row r="325" ht="22.5" hidden="1" customHeight="1"/>
    <row r="326" ht="22.5" hidden="1" customHeight="1">
      <c r="J326" s="21" t="s">
        <v>2321</v>
      </c>
      <c r="K326" s="22">
        <v>46167.0</v>
      </c>
    </row>
    <row r="327" ht="22.5" hidden="1" customHeight="1"/>
    <row r="328" ht="22.5" hidden="1" customHeight="1">
      <c r="A328" s="8" t="s">
        <v>181</v>
      </c>
      <c r="B328" s="8" t="s">
        <v>2304</v>
      </c>
      <c r="C328" s="20" t="s">
        <v>131</v>
      </c>
      <c r="D328" s="20" t="s">
        <v>2305</v>
      </c>
      <c r="E328" s="20" t="s">
        <v>8</v>
      </c>
      <c r="F328" s="20" t="s">
        <v>982</v>
      </c>
      <c r="G328" s="20" t="s">
        <v>38</v>
      </c>
      <c r="H328" s="20" t="s">
        <v>983</v>
      </c>
      <c r="I328" s="21" t="s">
        <v>2306</v>
      </c>
      <c r="J328" s="21" t="s">
        <v>985</v>
      </c>
      <c r="K328" s="8" t="s">
        <v>986</v>
      </c>
      <c r="L328" s="20" t="s">
        <v>987</v>
      </c>
      <c r="M328" s="17" t="s">
        <v>2307</v>
      </c>
      <c r="N328" s="8" t="s">
        <v>2308</v>
      </c>
    </row>
    <row r="329" ht="22.5" customHeight="1">
      <c r="B329" s="8" t="s">
        <v>2323</v>
      </c>
      <c r="C329" s="20"/>
      <c r="D329" s="20">
        <v>0.0</v>
      </c>
      <c r="E329" s="20">
        <v>100.0</v>
      </c>
      <c r="F329" s="20">
        <v>0.0</v>
      </c>
      <c r="G329" s="20">
        <v>0.0</v>
      </c>
      <c r="H329" s="20">
        <v>0.0</v>
      </c>
      <c r="I329" s="21">
        <v>45708.0</v>
      </c>
      <c r="J329" s="21">
        <v>45736.0</v>
      </c>
      <c r="K329" s="8">
        <v>1.0</v>
      </c>
      <c r="L329" s="20">
        <v>-431.0</v>
      </c>
    </row>
    <row r="330" ht="22.5" customHeight="1">
      <c r="B330" s="8" t="s">
        <v>2324</v>
      </c>
      <c r="C330" s="20"/>
      <c r="D330" s="20">
        <v>0.0</v>
      </c>
      <c r="E330" s="20">
        <v>5.0</v>
      </c>
      <c r="F330" s="20">
        <v>15.0</v>
      </c>
      <c r="G330" s="20">
        <v>0.0</v>
      </c>
      <c r="H330" s="20">
        <v>0.0</v>
      </c>
      <c r="I330" s="21">
        <v>45689.0</v>
      </c>
      <c r="J330" s="21">
        <v>45717.0</v>
      </c>
      <c r="K330" s="8">
        <v>1.0</v>
      </c>
      <c r="L330" s="20">
        <v>-450.0</v>
      </c>
    </row>
    <row r="331" ht="22.5" customHeight="1">
      <c r="B331" s="8" t="s">
        <v>2326</v>
      </c>
      <c r="C331" s="20" t="s">
        <v>1441</v>
      </c>
      <c r="D331" s="20">
        <v>0.0</v>
      </c>
      <c r="E331" s="20">
        <v>3.0</v>
      </c>
      <c r="F331" s="20">
        <v>0.0</v>
      </c>
      <c r="G331" s="20">
        <v>0.0</v>
      </c>
      <c r="H331" s="20">
        <v>0.0</v>
      </c>
      <c r="I331" s="21">
        <v>45689.0</v>
      </c>
      <c r="J331" s="21">
        <v>45717.0</v>
      </c>
      <c r="K331" s="8">
        <v>1.0</v>
      </c>
      <c r="L331" s="20">
        <v>-450.0</v>
      </c>
    </row>
    <row r="332" ht="22.5" customHeight="1">
      <c r="B332" s="8" t="s">
        <v>2327</v>
      </c>
      <c r="C332" s="20"/>
      <c r="D332" s="20">
        <v>0.0</v>
      </c>
      <c r="E332" s="20">
        <v>1500.0</v>
      </c>
      <c r="F332" s="20">
        <v>0.0</v>
      </c>
      <c r="G332" s="20">
        <v>0.0</v>
      </c>
      <c r="H332" s="20">
        <v>0.0</v>
      </c>
      <c r="L332" s="20"/>
    </row>
    <row r="333" ht="22.5" customHeight="1">
      <c r="B333" s="8" t="s">
        <v>2328</v>
      </c>
      <c r="C333" s="20"/>
      <c r="D333" s="20">
        <v>0.0</v>
      </c>
      <c r="E333" s="20">
        <v>500.0</v>
      </c>
      <c r="F333" s="20">
        <v>0.0</v>
      </c>
      <c r="G333" s="20">
        <v>0.0</v>
      </c>
      <c r="H333" s="20">
        <v>0.0</v>
      </c>
      <c r="L333" s="20"/>
    </row>
    <row r="334" ht="22.5" customHeight="1">
      <c r="A334" s="8" t="s">
        <v>2381</v>
      </c>
      <c r="B334" s="8" t="s">
        <v>2329</v>
      </c>
      <c r="C334" s="20"/>
      <c r="D334" s="20">
        <v>7.5</v>
      </c>
      <c r="E334" s="20">
        <v>22.0</v>
      </c>
      <c r="F334" s="20">
        <v>165.0</v>
      </c>
      <c r="G334" s="20">
        <v>0.0</v>
      </c>
      <c r="H334" s="20">
        <v>0.0</v>
      </c>
      <c r="I334" s="21">
        <v>45689.0</v>
      </c>
      <c r="J334" s="21">
        <v>45717.0</v>
      </c>
      <c r="K334" s="8">
        <v>1.0</v>
      </c>
      <c r="L334" s="20">
        <v>-450.0</v>
      </c>
      <c r="M334" s="17">
        <v>45844.0</v>
      </c>
    </row>
    <row r="335" ht="22.5" customHeight="1">
      <c r="B335" s="8" t="s">
        <v>2330</v>
      </c>
      <c r="C335" s="20"/>
      <c r="D335" s="20">
        <v>0.0</v>
      </c>
      <c r="E335" s="20">
        <v>0.0</v>
      </c>
      <c r="F335" s="20">
        <v>0.0</v>
      </c>
      <c r="G335" s="20">
        <v>0.0</v>
      </c>
      <c r="H335" s="20">
        <v>0.0</v>
      </c>
      <c r="I335" s="21">
        <v>88.0</v>
      </c>
      <c r="J335" s="21">
        <v>119.0</v>
      </c>
      <c r="K335" s="8">
        <v>1.0</v>
      </c>
      <c r="L335" s="20">
        <v>-46048.0</v>
      </c>
    </row>
    <row r="336" ht="22.5" customHeight="1">
      <c r="B336" s="8" t="s">
        <v>129</v>
      </c>
      <c r="C336" s="20"/>
      <c r="D336" s="20">
        <v>1.0</v>
      </c>
      <c r="E336" s="20">
        <v>15000.0</v>
      </c>
      <c r="F336" s="20">
        <v>15000.0</v>
      </c>
      <c r="G336" s="20">
        <v>0.0</v>
      </c>
      <c r="H336" s="20">
        <v>0.0</v>
      </c>
      <c r="I336" s="21">
        <v>45701.0</v>
      </c>
      <c r="J336" s="21">
        <v>45729.0</v>
      </c>
      <c r="K336" s="8">
        <v>1.0</v>
      </c>
      <c r="L336" s="20">
        <v>-438.0</v>
      </c>
    </row>
    <row r="337" ht="22.5" customHeight="1">
      <c r="B337" s="8" t="s">
        <v>2343</v>
      </c>
      <c r="C337" s="20"/>
      <c r="D337" s="20">
        <v>0.0</v>
      </c>
      <c r="E337" s="20">
        <v>3000.0</v>
      </c>
      <c r="F337" s="20">
        <v>0.0</v>
      </c>
      <c r="G337" s="20">
        <v>0.0</v>
      </c>
      <c r="H337" s="20">
        <v>0.0</v>
      </c>
      <c r="L337" s="20"/>
    </row>
    <row r="338" ht="22.5" customHeight="1">
      <c r="B338" s="8" t="s">
        <v>2354</v>
      </c>
      <c r="C338" s="20"/>
      <c r="D338" s="20">
        <v>0.0</v>
      </c>
      <c r="E338" s="20">
        <v>5000.0</v>
      </c>
      <c r="F338" s="20">
        <v>0.0</v>
      </c>
      <c r="G338" s="20">
        <v>0.0</v>
      </c>
      <c r="H338" s="20">
        <v>0.0</v>
      </c>
      <c r="L338" s="20"/>
    </row>
    <row r="339" ht="22.5" customHeight="1">
      <c r="B339" s="8" t="s">
        <v>129</v>
      </c>
      <c r="C339" s="20"/>
      <c r="D339" s="20">
        <v>1.0</v>
      </c>
      <c r="G339" s="20">
        <v>0.0</v>
      </c>
      <c r="H339" s="20">
        <v>0.0</v>
      </c>
      <c r="L339" s="20"/>
    </row>
    <row r="340" ht="22.5" customHeight="1">
      <c r="A340" s="8" t="s">
        <v>2382</v>
      </c>
      <c r="B340" s="8" t="s">
        <v>2364</v>
      </c>
      <c r="C340" s="20"/>
      <c r="D340" s="20">
        <v>1.0</v>
      </c>
      <c r="E340" s="20">
        <v>5000.0</v>
      </c>
      <c r="F340" s="20">
        <v>5000.0</v>
      </c>
      <c r="G340" s="20">
        <v>0.0</v>
      </c>
      <c r="H340" s="20">
        <v>0.0</v>
      </c>
      <c r="I340" s="21">
        <v>45712.0</v>
      </c>
      <c r="J340" s="21">
        <v>45740.0</v>
      </c>
      <c r="K340" s="8">
        <v>1.0</v>
      </c>
      <c r="L340" s="20">
        <v>-427.0</v>
      </c>
    </row>
    <row r="341" ht="22.5" customHeight="1">
      <c r="B341" s="8" t="s">
        <v>2367</v>
      </c>
      <c r="C341" s="20"/>
      <c r="D341" s="20">
        <v>1.0</v>
      </c>
      <c r="E341" s="20">
        <v>5000.0</v>
      </c>
      <c r="F341" s="20">
        <v>5000.0</v>
      </c>
      <c r="G341" s="20">
        <v>0.0</v>
      </c>
      <c r="H341" s="20">
        <v>0.0</v>
      </c>
      <c r="I341" s="21">
        <v>45695.0</v>
      </c>
      <c r="J341" s="21">
        <v>45723.0</v>
      </c>
      <c r="K341" s="8">
        <v>1.0</v>
      </c>
      <c r="L341" s="20">
        <v>-444.0</v>
      </c>
      <c r="M341" s="17">
        <v>45727.0</v>
      </c>
    </row>
    <row r="342" ht="22.5" customHeight="1">
      <c r="B342" s="8" t="s">
        <v>55</v>
      </c>
      <c r="C342" s="20"/>
      <c r="D342" s="20">
        <v>11.0</v>
      </c>
      <c r="E342" s="20">
        <v>6.0</v>
      </c>
      <c r="F342" s="20">
        <v>66.0</v>
      </c>
      <c r="G342" s="20">
        <v>0.0</v>
      </c>
      <c r="H342" s="20">
        <v>0.0</v>
      </c>
      <c r="I342" s="21">
        <v>45713.0</v>
      </c>
      <c r="J342" s="21">
        <v>45741.0</v>
      </c>
      <c r="K342" s="8">
        <v>0.0</v>
      </c>
      <c r="L342" s="20">
        <v>-426.0</v>
      </c>
      <c r="M342" s="8" t="s">
        <v>2383</v>
      </c>
    </row>
    <row r="343" ht="22.5" hidden="1" customHeight="1">
      <c r="C343" s="20"/>
      <c r="L343" s="20"/>
    </row>
    <row r="344" ht="22.5" hidden="1" customHeight="1">
      <c r="C344" s="20"/>
    </row>
    <row r="345" ht="22.5" hidden="1" customHeight="1">
      <c r="C345" s="20"/>
    </row>
    <row r="346" ht="22.5" hidden="1" customHeight="1">
      <c r="B346" s="8" t="s">
        <v>2331</v>
      </c>
      <c r="C346" s="8">
        <v>1.0</v>
      </c>
      <c r="F346" s="20" t="s">
        <v>983</v>
      </c>
      <c r="G346" s="20">
        <v>0.0</v>
      </c>
      <c r="H346" s="20">
        <v>0.0</v>
      </c>
    </row>
    <row r="347" ht="22.5" hidden="1" customHeight="1">
      <c r="F347" s="20" t="s">
        <v>2332</v>
      </c>
      <c r="H347" s="20">
        <v>0.0</v>
      </c>
    </row>
    <row r="348" ht="22.5" hidden="1" customHeight="1"/>
    <row r="349" ht="22.5" hidden="1" customHeight="1"/>
    <row r="350" ht="22.5" hidden="1" customHeight="1"/>
    <row r="351" ht="22.5" hidden="1" customHeight="1">
      <c r="J351" s="21" t="s">
        <v>2321</v>
      </c>
      <c r="K351" s="22">
        <v>46167.0</v>
      </c>
    </row>
    <row r="352" ht="22.5" hidden="1" customHeight="1"/>
    <row r="353" ht="22.5" hidden="1" customHeight="1">
      <c r="A353" s="8" t="s">
        <v>181</v>
      </c>
      <c r="B353" s="8" t="s">
        <v>2304</v>
      </c>
      <c r="C353" s="20" t="s">
        <v>131</v>
      </c>
      <c r="D353" s="20" t="s">
        <v>2305</v>
      </c>
      <c r="E353" s="20" t="s">
        <v>8</v>
      </c>
      <c r="F353" s="20" t="s">
        <v>982</v>
      </c>
      <c r="G353" s="20" t="s">
        <v>38</v>
      </c>
      <c r="H353" s="20" t="s">
        <v>983</v>
      </c>
      <c r="I353" s="21" t="s">
        <v>2306</v>
      </c>
      <c r="J353" s="9" t="s">
        <v>985</v>
      </c>
      <c r="K353" s="8" t="s">
        <v>986</v>
      </c>
      <c r="L353" s="20" t="s">
        <v>987</v>
      </c>
      <c r="M353" s="17" t="s">
        <v>2307</v>
      </c>
      <c r="N353" s="8" t="s">
        <v>2308</v>
      </c>
    </row>
    <row r="354" ht="22.5" customHeight="1">
      <c r="B354" s="8" t="s">
        <v>2323</v>
      </c>
      <c r="C354" s="20"/>
      <c r="D354" s="20">
        <v>0.0</v>
      </c>
      <c r="E354" s="20">
        <v>100.0</v>
      </c>
      <c r="F354" s="20">
        <v>0.0</v>
      </c>
      <c r="G354" s="20">
        <v>0.0</v>
      </c>
      <c r="H354" s="20">
        <v>0.0</v>
      </c>
      <c r="I354" s="21">
        <v>45736.0</v>
      </c>
      <c r="J354" s="21">
        <v>45767.0</v>
      </c>
      <c r="K354" s="8">
        <v>1.0</v>
      </c>
      <c r="L354" s="20">
        <v>-400.0</v>
      </c>
    </row>
    <row r="355" ht="22.5" customHeight="1">
      <c r="B355" s="8" t="s">
        <v>2324</v>
      </c>
      <c r="C355" s="20"/>
      <c r="D355" s="20">
        <v>0.0</v>
      </c>
      <c r="E355" s="20">
        <v>5.0</v>
      </c>
      <c r="F355" s="20">
        <v>15.0</v>
      </c>
      <c r="G355" s="20">
        <v>0.0</v>
      </c>
      <c r="H355" s="20">
        <v>0.0</v>
      </c>
      <c r="I355" s="21">
        <v>45717.0</v>
      </c>
      <c r="J355" s="21">
        <v>45748.0</v>
      </c>
      <c r="K355" s="8">
        <v>1.0</v>
      </c>
      <c r="L355" s="20">
        <v>-419.0</v>
      </c>
    </row>
    <row r="356" ht="22.5" customHeight="1">
      <c r="B356" s="8" t="s">
        <v>2326</v>
      </c>
      <c r="C356" s="20" t="s">
        <v>1441</v>
      </c>
      <c r="D356" s="20">
        <v>0.0</v>
      </c>
      <c r="E356" s="20">
        <v>3.0</v>
      </c>
      <c r="F356" s="20">
        <v>0.0</v>
      </c>
      <c r="G356" s="20">
        <v>0.0</v>
      </c>
      <c r="H356" s="20">
        <v>0.0</v>
      </c>
      <c r="I356" s="21">
        <v>45717.0</v>
      </c>
      <c r="J356" s="21">
        <v>45748.0</v>
      </c>
      <c r="K356" s="8">
        <v>1.0</v>
      </c>
      <c r="L356" s="20">
        <v>-419.0</v>
      </c>
    </row>
    <row r="357" ht="22.5" customHeight="1">
      <c r="B357" s="8" t="s">
        <v>2327</v>
      </c>
      <c r="C357" s="20"/>
      <c r="D357" s="20">
        <v>0.0</v>
      </c>
      <c r="E357" s="20">
        <v>1500.0</v>
      </c>
      <c r="F357" s="20">
        <v>0.0</v>
      </c>
      <c r="G357" s="20">
        <v>0.0</v>
      </c>
      <c r="H357" s="20">
        <v>0.0</v>
      </c>
      <c r="L357" s="20"/>
    </row>
    <row r="358" ht="22.5" customHeight="1">
      <c r="B358" s="8" t="s">
        <v>2328</v>
      </c>
      <c r="C358" s="20"/>
      <c r="D358" s="20">
        <v>0.0</v>
      </c>
      <c r="E358" s="20">
        <v>500.0</v>
      </c>
      <c r="F358" s="20">
        <v>0.0</v>
      </c>
      <c r="G358" s="20">
        <v>0.0</v>
      </c>
      <c r="H358" s="20">
        <v>0.0</v>
      </c>
      <c r="L358" s="20"/>
    </row>
    <row r="359" ht="22.5" customHeight="1">
      <c r="A359" s="8" t="s">
        <v>2384</v>
      </c>
      <c r="B359" s="8" t="s">
        <v>2329</v>
      </c>
      <c r="C359" s="20"/>
      <c r="D359" s="20">
        <v>10.5</v>
      </c>
      <c r="E359" s="20">
        <v>22.0</v>
      </c>
      <c r="F359" s="20">
        <v>231.0</v>
      </c>
      <c r="G359" s="20">
        <v>0.0</v>
      </c>
      <c r="H359" s="20">
        <v>0.0</v>
      </c>
      <c r="I359" s="21">
        <v>45717.0</v>
      </c>
      <c r="J359" s="21">
        <v>45748.0</v>
      </c>
      <c r="K359" s="8">
        <v>1.0</v>
      </c>
      <c r="L359" s="20">
        <v>-419.0</v>
      </c>
      <c r="M359" s="17">
        <v>45844.0</v>
      </c>
    </row>
    <row r="360" ht="22.5" customHeight="1">
      <c r="B360" s="8" t="s">
        <v>2330</v>
      </c>
      <c r="C360" s="20"/>
      <c r="D360" s="20">
        <v>0.0</v>
      </c>
      <c r="E360" s="20">
        <v>0.0</v>
      </c>
      <c r="F360" s="20">
        <v>0.0</v>
      </c>
      <c r="G360" s="20">
        <v>0.0</v>
      </c>
      <c r="H360" s="20">
        <v>0.0</v>
      </c>
      <c r="I360" s="21">
        <v>119.0</v>
      </c>
      <c r="J360" s="21">
        <v>149.0</v>
      </c>
      <c r="K360" s="8">
        <v>1.0</v>
      </c>
      <c r="L360" s="20">
        <v>-46018.0</v>
      </c>
    </row>
    <row r="361" ht="22.5" customHeight="1">
      <c r="B361" s="8" t="s">
        <v>129</v>
      </c>
      <c r="C361" s="20"/>
      <c r="D361" s="20">
        <v>0.0</v>
      </c>
      <c r="E361" s="20">
        <v>15000.0</v>
      </c>
      <c r="F361" s="20">
        <v>0.0</v>
      </c>
      <c r="G361" s="20">
        <v>0.0</v>
      </c>
      <c r="H361" s="20">
        <v>0.0</v>
      </c>
      <c r="I361" s="21">
        <v>45729.0</v>
      </c>
      <c r="J361" s="21">
        <v>45760.0</v>
      </c>
      <c r="K361" s="8">
        <v>1.0</v>
      </c>
      <c r="L361" s="20">
        <v>-407.0</v>
      </c>
    </row>
    <row r="362" ht="22.5" customHeight="1">
      <c r="B362" s="8" t="s">
        <v>2343</v>
      </c>
      <c r="C362" s="20"/>
      <c r="D362" s="20">
        <v>0.0</v>
      </c>
      <c r="E362" s="20">
        <v>3000.0</v>
      </c>
      <c r="F362" s="20">
        <v>0.0</v>
      </c>
      <c r="G362" s="20">
        <v>0.0</v>
      </c>
      <c r="H362" s="20">
        <v>0.0</v>
      </c>
      <c r="L362" s="20"/>
    </row>
    <row r="363" ht="22.5" customHeight="1">
      <c r="B363" s="8" t="s">
        <v>2354</v>
      </c>
      <c r="C363" s="20"/>
      <c r="D363" s="20">
        <v>0.0</v>
      </c>
      <c r="E363" s="20">
        <v>5000.0</v>
      </c>
      <c r="F363" s="20">
        <v>0.0</v>
      </c>
      <c r="G363" s="20">
        <v>0.0</v>
      </c>
      <c r="H363" s="20">
        <v>0.0</v>
      </c>
      <c r="L363" s="20"/>
    </row>
    <row r="364" ht="22.5" customHeight="1">
      <c r="B364" s="8" t="s">
        <v>129</v>
      </c>
      <c r="C364" s="20"/>
      <c r="D364" s="20">
        <v>1.0</v>
      </c>
      <c r="G364" s="20">
        <v>0.0</v>
      </c>
      <c r="H364" s="20">
        <v>0.0</v>
      </c>
      <c r="L364" s="20"/>
    </row>
    <row r="365" ht="22.5" customHeight="1">
      <c r="A365" s="8" t="s">
        <v>2382</v>
      </c>
      <c r="B365" s="8" t="s">
        <v>2364</v>
      </c>
      <c r="C365" s="20" t="s">
        <v>2021</v>
      </c>
      <c r="D365" s="20">
        <v>1.0</v>
      </c>
      <c r="E365" s="20">
        <v>5000.0</v>
      </c>
      <c r="F365" s="20">
        <v>5000.0</v>
      </c>
      <c r="G365" s="20">
        <v>0.0</v>
      </c>
      <c r="H365" s="20">
        <v>0.0</v>
      </c>
      <c r="I365" s="21">
        <v>45740.0</v>
      </c>
      <c r="J365" s="21">
        <v>45771.0</v>
      </c>
      <c r="K365" s="8">
        <v>1.0</v>
      </c>
      <c r="L365" s="20">
        <v>-396.0</v>
      </c>
    </row>
    <row r="366" ht="22.5" customHeight="1">
      <c r="B366" s="8" t="s">
        <v>2367</v>
      </c>
      <c r="C366" s="20"/>
      <c r="D366" s="20">
        <v>1.0</v>
      </c>
      <c r="E366" s="20">
        <v>5000.0</v>
      </c>
      <c r="F366" s="20">
        <v>5000.0</v>
      </c>
      <c r="G366" s="20">
        <v>0.0</v>
      </c>
      <c r="H366" s="20">
        <v>0.0</v>
      </c>
      <c r="I366" s="21">
        <v>45723.0</v>
      </c>
      <c r="J366" s="21">
        <v>45754.0</v>
      </c>
      <c r="K366" s="8">
        <v>1.0</v>
      </c>
      <c r="L366" s="20">
        <v>-413.0</v>
      </c>
      <c r="M366" s="8" t="s">
        <v>2385</v>
      </c>
    </row>
    <row r="367" ht="22.5" customHeight="1">
      <c r="B367" s="8" t="s">
        <v>55</v>
      </c>
      <c r="C367" s="20"/>
      <c r="D367" s="20">
        <v>10.0</v>
      </c>
      <c r="E367" s="20">
        <v>6.0</v>
      </c>
      <c r="F367" s="20">
        <v>60.0</v>
      </c>
      <c r="G367" s="20">
        <v>0.0</v>
      </c>
      <c r="H367" s="20">
        <v>0.0</v>
      </c>
      <c r="I367" s="21">
        <v>45741.0</v>
      </c>
      <c r="J367" s="21">
        <v>45772.0</v>
      </c>
      <c r="K367" s="8">
        <v>1.0</v>
      </c>
      <c r="L367" s="20">
        <v>-395.0</v>
      </c>
      <c r="M367" s="8" t="s">
        <v>2386</v>
      </c>
    </row>
    <row r="368" ht="22.5" customHeight="1">
      <c r="A368" s="8" t="s">
        <v>2387</v>
      </c>
      <c r="B368" s="8" t="s">
        <v>129</v>
      </c>
      <c r="C368" s="20" t="s">
        <v>2388</v>
      </c>
      <c r="D368" s="20">
        <v>1.0</v>
      </c>
      <c r="F368" s="20">
        <v>5106.0</v>
      </c>
      <c r="L368" s="20"/>
    </row>
    <row r="369" ht="22.5" hidden="1" customHeight="1">
      <c r="C369" s="20"/>
      <c r="F369" s="20">
        <v>0.0</v>
      </c>
      <c r="G369" s="20">
        <v>0.0</v>
      </c>
      <c r="H369" s="20">
        <v>0.0</v>
      </c>
      <c r="J369" s="21">
        <v>31.0</v>
      </c>
      <c r="K369" s="8">
        <v>1.0</v>
      </c>
      <c r="L369" s="20">
        <v>-46136.0</v>
      </c>
    </row>
    <row r="370" ht="22.5" hidden="1" customHeight="1">
      <c r="C370" s="20"/>
    </row>
    <row r="371" ht="22.5" hidden="1" customHeight="1">
      <c r="C371" s="20"/>
    </row>
    <row r="372" ht="22.5" hidden="1" customHeight="1">
      <c r="B372" s="8" t="s">
        <v>2331</v>
      </c>
      <c r="C372" s="8">
        <v>1.0</v>
      </c>
      <c r="F372" s="20" t="s">
        <v>983</v>
      </c>
      <c r="G372" s="20">
        <v>0.0</v>
      </c>
      <c r="H372" s="20">
        <v>0.0</v>
      </c>
    </row>
    <row r="373" ht="22.5" hidden="1" customHeight="1">
      <c r="F373" s="20" t="s">
        <v>2332</v>
      </c>
      <c r="H373" s="20">
        <v>0.0</v>
      </c>
    </row>
    <row r="374" ht="22.5" hidden="1" customHeight="1"/>
    <row r="375" ht="22.5" hidden="1" customHeight="1"/>
    <row r="376" ht="22.5" hidden="1" customHeight="1"/>
    <row r="377" ht="22.5" hidden="1" customHeight="1">
      <c r="C377" s="20" t="s">
        <v>2389</v>
      </c>
      <c r="J377" s="21" t="s">
        <v>2321</v>
      </c>
      <c r="K377" s="22">
        <v>46167.0</v>
      </c>
    </row>
    <row r="378" ht="22.5" hidden="1" customHeight="1"/>
    <row r="379" ht="22.5" hidden="1" customHeight="1">
      <c r="A379" s="8" t="s">
        <v>181</v>
      </c>
      <c r="B379" s="8" t="s">
        <v>2304</v>
      </c>
      <c r="C379" s="20" t="s">
        <v>131</v>
      </c>
      <c r="D379" s="20" t="s">
        <v>2305</v>
      </c>
      <c r="E379" s="20" t="s">
        <v>8</v>
      </c>
      <c r="F379" s="20" t="s">
        <v>982</v>
      </c>
      <c r="G379" s="20" t="s">
        <v>38</v>
      </c>
      <c r="H379" s="20" t="s">
        <v>983</v>
      </c>
      <c r="I379" s="21" t="s">
        <v>2306</v>
      </c>
      <c r="J379" s="21" t="s">
        <v>985</v>
      </c>
      <c r="K379" s="8" t="s">
        <v>986</v>
      </c>
      <c r="L379" s="20" t="s">
        <v>987</v>
      </c>
      <c r="M379" s="17" t="s">
        <v>2307</v>
      </c>
      <c r="N379" s="8" t="s">
        <v>2308</v>
      </c>
    </row>
    <row r="380" ht="22.5" customHeight="1">
      <c r="B380" s="8" t="s">
        <v>2323</v>
      </c>
      <c r="C380" s="20"/>
      <c r="D380" s="20">
        <v>0.0</v>
      </c>
      <c r="E380" s="20">
        <v>100.0</v>
      </c>
      <c r="F380" s="20">
        <v>0.0</v>
      </c>
      <c r="G380" s="20">
        <v>0.0</v>
      </c>
      <c r="H380" s="20">
        <v>0.0</v>
      </c>
      <c r="I380" s="21">
        <v>45767.0</v>
      </c>
      <c r="J380" s="21">
        <v>45797.0</v>
      </c>
      <c r="K380" s="8">
        <v>1.0</v>
      </c>
      <c r="L380" s="20">
        <v>-370.0</v>
      </c>
    </row>
    <row r="381" ht="22.5" customHeight="1">
      <c r="B381" s="8" t="s">
        <v>2324</v>
      </c>
      <c r="D381" s="20">
        <v>0.0</v>
      </c>
      <c r="E381" s="20">
        <v>5.0</v>
      </c>
      <c r="F381" s="20">
        <v>15.0</v>
      </c>
      <c r="G381" s="20">
        <v>0.0</v>
      </c>
      <c r="H381" s="20">
        <v>0.0</v>
      </c>
      <c r="I381" s="21">
        <v>45748.0</v>
      </c>
      <c r="J381" s="21">
        <v>45778.0</v>
      </c>
      <c r="K381" s="8">
        <v>1.0</v>
      </c>
      <c r="L381" s="20">
        <v>-389.0</v>
      </c>
    </row>
    <row r="382" ht="22.5" customHeight="1">
      <c r="B382" s="8" t="s">
        <v>2326</v>
      </c>
      <c r="C382" s="20" t="s">
        <v>1441</v>
      </c>
      <c r="D382" s="20">
        <v>0.0</v>
      </c>
      <c r="E382" s="20">
        <v>3.0</v>
      </c>
      <c r="F382" s="20">
        <v>0.0</v>
      </c>
      <c r="G382" s="20">
        <v>0.0</v>
      </c>
      <c r="H382" s="20">
        <v>0.0</v>
      </c>
      <c r="I382" s="21">
        <v>45748.0</v>
      </c>
      <c r="J382" s="21">
        <v>45778.0</v>
      </c>
      <c r="K382" s="8">
        <v>1.0</v>
      </c>
      <c r="L382" s="20">
        <v>-389.0</v>
      </c>
    </row>
    <row r="383" ht="22.5" customHeight="1">
      <c r="B383" s="8" t="s">
        <v>2327</v>
      </c>
      <c r="C383" s="20"/>
      <c r="D383" s="20">
        <v>0.0</v>
      </c>
      <c r="E383" s="20">
        <v>1500.0</v>
      </c>
      <c r="F383" s="20">
        <v>0.0</v>
      </c>
      <c r="G383" s="20">
        <v>0.0</v>
      </c>
      <c r="H383" s="20">
        <v>0.0</v>
      </c>
      <c r="L383" s="20"/>
    </row>
    <row r="384" ht="22.5" customHeight="1">
      <c r="B384" s="8" t="s">
        <v>2328</v>
      </c>
      <c r="C384" s="20"/>
      <c r="D384" s="20">
        <v>0.0</v>
      </c>
      <c r="E384" s="20">
        <v>500.0</v>
      </c>
      <c r="F384" s="20">
        <v>0.0</v>
      </c>
      <c r="G384" s="20">
        <v>0.0</v>
      </c>
      <c r="H384" s="20">
        <v>0.0</v>
      </c>
      <c r="L384" s="20"/>
    </row>
    <row r="385" ht="22.5" customHeight="1">
      <c r="A385" s="8" t="s">
        <v>2390</v>
      </c>
      <c r="B385" s="8" t="s">
        <v>2329</v>
      </c>
      <c r="D385" s="20">
        <v>15.0</v>
      </c>
      <c r="E385" s="20">
        <v>22.0</v>
      </c>
      <c r="F385" s="20">
        <v>330.0</v>
      </c>
      <c r="G385" s="20">
        <v>0.0</v>
      </c>
      <c r="H385" s="20">
        <v>0.0</v>
      </c>
      <c r="I385" s="21">
        <v>45748.0</v>
      </c>
      <c r="J385" s="21">
        <v>45778.0</v>
      </c>
      <c r="K385" s="8">
        <v>1.0</v>
      </c>
      <c r="L385" s="20">
        <v>-389.0</v>
      </c>
      <c r="M385" s="17">
        <v>45920.0</v>
      </c>
    </row>
    <row r="386" ht="22.5" customHeight="1">
      <c r="B386" s="8" t="s">
        <v>2330</v>
      </c>
      <c r="C386" s="20"/>
      <c r="D386" s="20">
        <v>0.0</v>
      </c>
      <c r="E386" s="20">
        <v>0.0</v>
      </c>
      <c r="F386" s="20">
        <v>0.0</v>
      </c>
      <c r="G386" s="20">
        <v>0.0</v>
      </c>
      <c r="H386" s="20">
        <v>0.0</v>
      </c>
      <c r="I386" s="21">
        <v>149.0</v>
      </c>
      <c r="J386" s="21">
        <v>180.0</v>
      </c>
      <c r="K386" s="8">
        <v>1.0</v>
      </c>
      <c r="L386" s="20">
        <v>-45987.0</v>
      </c>
    </row>
    <row r="387" ht="22.5" customHeight="1">
      <c r="B387" s="8" t="s">
        <v>129</v>
      </c>
      <c r="C387" s="20"/>
      <c r="D387" s="20">
        <v>0.0</v>
      </c>
      <c r="E387" s="20">
        <v>15000.0</v>
      </c>
      <c r="F387" s="20">
        <v>0.0</v>
      </c>
      <c r="G387" s="20">
        <v>0.0</v>
      </c>
      <c r="H387" s="20">
        <v>0.0</v>
      </c>
      <c r="I387" s="21">
        <v>45760.0</v>
      </c>
      <c r="J387" s="21">
        <v>45790.0</v>
      </c>
      <c r="K387" s="8">
        <v>1.0</v>
      </c>
      <c r="L387" s="20">
        <v>-377.0</v>
      </c>
    </row>
    <row r="388" ht="22.5" customHeight="1">
      <c r="B388" s="8" t="s">
        <v>2343</v>
      </c>
      <c r="C388" s="20"/>
      <c r="D388" s="20">
        <v>0.0</v>
      </c>
      <c r="E388" s="20">
        <v>3000.0</v>
      </c>
      <c r="F388" s="20">
        <v>0.0</v>
      </c>
      <c r="G388" s="20">
        <v>0.0</v>
      </c>
      <c r="H388" s="20">
        <v>0.0</v>
      </c>
      <c r="L388" s="20"/>
    </row>
    <row r="389" ht="22.5" customHeight="1">
      <c r="B389" s="8" t="s">
        <v>2354</v>
      </c>
      <c r="C389" s="20"/>
      <c r="D389" s="20">
        <v>0.0</v>
      </c>
      <c r="E389" s="20">
        <v>5000.0</v>
      </c>
      <c r="F389" s="20">
        <v>0.0</v>
      </c>
      <c r="G389" s="20">
        <v>0.0</v>
      </c>
      <c r="H389" s="20">
        <v>0.0</v>
      </c>
      <c r="L389" s="20"/>
    </row>
    <row r="390" ht="22.5" customHeight="1">
      <c r="B390" s="8" t="s">
        <v>129</v>
      </c>
      <c r="C390" s="20"/>
      <c r="D390" s="20">
        <v>1.0</v>
      </c>
      <c r="G390" s="20">
        <v>0.0</v>
      </c>
      <c r="H390" s="20">
        <v>0.0</v>
      </c>
      <c r="L390" s="20"/>
    </row>
    <row r="391" ht="22.5" customHeight="1">
      <c r="A391" s="8" t="s">
        <v>2382</v>
      </c>
      <c r="B391" s="8" t="s">
        <v>2364</v>
      </c>
      <c r="D391" s="20">
        <v>0.0</v>
      </c>
      <c r="E391" s="20">
        <v>6000.0</v>
      </c>
      <c r="F391" s="20">
        <v>0.0</v>
      </c>
      <c r="G391" s="20">
        <v>0.0</v>
      </c>
      <c r="H391" s="20">
        <v>0.0</v>
      </c>
      <c r="I391" s="21">
        <v>45771.0</v>
      </c>
      <c r="J391" s="21">
        <v>45801.0</v>
      </c>
      <c r="K391" s="8">
        <v>1.0</v>
      </c>
      <c r="L391" s="20">
        <v>-366.0</v>
      </c>
    </row>
    <row r="392" ht="22.5" customHeight="1">
      <c r="A392" s="8" t="s">
        <v>2391</v>
      </c>
      <c r="B392" s="8" t="s">
        <v>2367</v>
      </c>
      <c r="D392" s="20">
        <v>0.633</v>
      </c>
      <c r="E392" s="20">
        <v>6000.0</v>
      </c>
      <c r="F392" s="20">
        <v>3798.0</v>
      </c>
      <c r="G392" s="20">
        <v>0.0</v>
      </c>
      <c r="H392" s="20">
        <v>0.0</v>
      </c>
      <c r="I392" s="21">
        <v>45754.0</v>
      </c>
      <c r="J392" s="21">
        <v>45768.0</v>
      </c>
      <c r="K392" s="8">
        <v>1.0</v>
      </c>
      <c r="L392" s="20">
        <v>-399.0</v>
      </c>
      <c r="M392" s="8" t="s">
        <v>2392</v>
      </c>
    </row>
    <row r="393" ht="22.5" customHeight="1">
      <c r="B393" s="8" t="s">
        <v>55</v>
      </c>
      <c r="C393" s="20"/>
      <c r="D393" s="20">
        <v>0.0</v>
      </c>
      <c r="E393" s="20">
        <v>6.0</v>
      </c>
      <c r="F393" s="20">
        <v>0.0</v>
      </c>
      <c r="G393" s="20">
        <v>0.0</v>
      </c>
      <c r="H393" s="20">
        <v>0.0</v>
      </c>
      <c r="I393" s="21">
        <v>45772.0</v>
      </c>
      <c r="J393" s="21">
        <v>45802.0</v>
      </c>
      <c r="K393" s="8">
        <v>0.0</v>
      </c>
      <c r="L393" s="20">
        <v>-365.0</v>
      </c>
    </row>
    <row r="394" ht="22.5" hidden="1" customHeight="1">
      <c r="C394" s="20"/>
      <c r="L394" s="20"/>
    </row>
    <row r="395" ht="22.5" hidden="1" customHeight="1">
      <c r="C395" s="20"/>
    </row>
    <row r="396" ht="22.5" hidden="1" customHeight="1">
      <c r="C396" s="20"/>
    </row>
    <row r="397" ht="22.5" hidden="1" customHeight="1">
      <c r="B397" s="8" t="s">
        <v>2331</v>
      </c>
      <c r="C397" s="8">
        <v>1.0</v>
      </c>
      <c r="F397" s="20" t="s">
        <v>983</v>
      </c>
      <c r="G397" s="20">
        <v>0.0</v>
      </c>
      <c r="H397" s="20">
        <v>0.0</v>
      </c>
    </row>
    <row r="398" ht="22.5" hidden="1" customHeight="1">
      <c r="F398" s="20" t="s">
        <v>2332</v>
      </c>
      <c r="H398" s="20">
        <v>0.0</v>
      </c>
    </row>
    <row r="399" ht="22.5" hidden="1" customHeight="1"/>
    <row r="400" ht="22.5" hidden="1" customHeight="1"/>
    <row r="401" ht="22.5" hidden="1" customHeight="1"/>
    <row r="402" ht="22.5" hidden="1" customHeight="1">
      <c r="J402" s="21" t="s">
        <v>2321</v>
      </c>
      <c r="K402" s="22">
        <v>46167.0</v>
      </c>
    </row>
    <row r="403" ht="22.5" hidden="1" customHeight="1"/>
    <row r="404" ht="22.5" hidden="1" customHeight="1">
      <c r="A404" s="8" t="s">
        <v>181</v>
      </c>
      <c r="B404" s="8" t="s">
        <v>2304</v>
      </c>
      <c r="C404" s="20" t="s">
        <v>131</v>
      </c>
      <c r="D404" s="20" t="s">
        <v>2305</v>
      </c>
      <c r="E404" s="20" t="s">
        <v>8</v>
      </c>
      <c r="F404" s="20" t="s">
        <v>982</v>
      </c>
      <c r="G404" s="20" t="s">
        <v>38</v>
      </c>
      <c r="H404" s="20" t="s">
        <v>983</v>
      </c>
      <c r="I404" s="21" t="s">
        <v>2306</v>
      </c>
      <c r="J404" s="21" t="s">
        <v>985</v>
      </c>
      <c r="K404" s="8" t="s">
        <v>986</v>
      </c>
      <c r="L404" s="20" t="s">
        <v>987</v>
      </c>
      <c r="M404" s="17" t="s">
        <v>2307</v>
      </c>
      <c r="N404" s="8" t="s">
        <v>2308</v>
      </c>
    </row>
    <row r="405" ht="22.5" customHeight="1">
      <c r="B405" s="8" t="s">
        <v>2323</v>
      </c>
      <c r="C405" s="20"/>
      <c r="D405" s="20">
        <v>0.0</v>
      </c>
      <c r="E405" s="20">
        <v>100.0</v>
      </c>
      <c r="F405" s="20">
        <v>0.0</v>
      </c>
      <c r="G405" s="20">
        <v>0.0</v>
      </c>
      <c r="H405" s="20">
        <v>0.0</v>
      </c>
      <c r="I405" s="21">
        <v>45797.0</v>
      </c>
      <c r="J405" s="21">
        <v>45828.0</v>
      </c>
      <c r="K405" s="8">
        <v>1.0</v>
      </c>
      <c r="L405" s="20">
        <v>-339.0</v>
      </c>
    </row>
    <row r="406" ht="22.5" customHeight="1">
      <c r="B406" s="8" t="s">
        <v>2324</v>
      </c>
      <c r="C406" s="20"/>
      <c r="D406" s="20">
        <v>0.0</v>
      </c>
      <c r="E406" s="20">
        <v>5.0</v>
      </c>
      <c r="F406" s="20">
        <v>15.0</v>
      </c>
      <c r="G406" s="20">
        <v>0.0</v>
      </c>
      <c r="H406" s="20">
        <v>0.0</v>
      </c>
      <c r="I406" s="21">
        <v>45778.0</v>
      </c>
      <c r="J406" s="21">
        <v>45809.0</v>
      </c>
      <c r="K406" s="8">
        <v>1.0</v>
      </c>
      <c r="L406" s="20">
        <v>-358.0</v>
      </c>
    </row>
    <row r="407" ht="22.5" customHeight="1">
      <c r="B407" s="8" t="s">
        <v>2326</v>
      </c>
      <c r="C407" s="20" t="s">
        <v>1441</v>
      </c>
      <c r="D407" s="20">
        <v>0.0</v>
      </c>
      <c r="E407" s="20">
        <v>3.0</v>
      </c>
      <c r="F407" s="20">
        <v>0.0</v>
      </c>
      <c r="G407" s="20">
        <v>0.0</v>
      </c>
      <c r="H407" s="20">
        <v>0.0</v>
      </c>
      <c r="I407" s="21">
        <v>45778.0</v>
      </c>
      <c r="J407" s="21">
        <v>45809.0</v>
      </c>
      <c r="K407" s="8">
        <v>1.0</v>
      </c>
      <c r="L407" s="20">
        <v>-358.0</v>
      </c>
    </row>
    <row r="408" ht="22.5" customHeight="1">
      <c r="B408" s="8" t="s">
        <v>2327</v>
      </c>
      <c r="C408" s="20"/>
      <c r="D408" s="20">
        <v>0.0</v>
      </c>
      <c r="E408" s="20">
        <v>1500.0</v>
      </c>
      <c r="F408" s="20">
        <v>0.0</v>
      </c>
      <c r="G408" s="20">
        <v>0.0</v>
      </c>
      <c r="H408" s="20">
        <v>0.0</v>
      </c>
      <c r="L408" s="20"/>
    </row>
    <row r="409" ht="22.5" customHeight="1">
      <c r="B409" s="8" t="s">
        <v>2328</v>
      </c>
      <c r="C409" s="20"/>
      <c r="D409" s="20">
        <v>0.0</v>
      </c>
      <c r="E409" s="20">
        <v>500.0</v>
      </c>
      <c r="F409" s="20">
        <v>0.0</v>
      </c>
      <c r="G409" s="20">
        <v>0.0</v>
      </c>
      <c r="H409" s="20">
        <v>0.0</v>
      </c>
      <c r="L409" s="20"/>
    </row>
    <row r="410" ht="22.5" customHeight="1">
      <c r="B410" s="8" t="s">
        <v>2329</v>
      </c>
      <c r="C410" s="20"/>
      <c r="D410" s="20">
        <v>16.0</v>
      </c>
      <c r="E410" s="20">
        <v>22.0</v>
      </c>
      <c r="F410" s="20">
        <v>352.0</v>
      </c>
      <c r="G410" s="20">
        <v>0.0</v>
      </c>
      <c r="H410" s="20">
        <v>0.0</v>
      </c>
      <c r="I410" s="21">
        <v>45778.0</v>
      </c>
      <c r="J410" s="21">
        <v>45809.0</v>
      </c>
      <c r="K410" s="8">
        <v>1.0</v>
      </c>
      <c r="L410" s="20">
        <v>-358.0</v>
      </c>
      <c r="M410" s="8" t="s">
        <v>2393</v>
      </c>
    </row>
    <row r="411" ht="22.5" customHeight="1">
      <c r="B411" s="8" t="s">
        <v>2330</v>
      </c>
      <c r="C411" s="20"/>
      <c r="D411" s="20">
        <v>0.0</v>
      </c>
      <c r="E411" s="20">
        <v>0.0</v>
      </c>
      <c r="F411" s="20">
        <v>0.0</v>
      </c>
      <c r="G411" s="20">
        <v>0.0</v>
      </c>
      <c r="H411" s="20">
        <v>0.0</v>
      </c>
      <c r="I411" s="21">
        <v>180.0</v>
      </c>
      <c r="J411" s="21">
        <v>210.0</v>
      </c>
      <c r="K411" s="8">
        <v>1.0</v>
      </c>
      <c r="L411" s="20">
        <v>-45957.0</v>
      </c>
    </row>
    <row r="412" ht="22.5" customHeight="1">
      <c r="B412" s="8" t="s">
        <v>129</v>
      </c>
      <c r="C412" s="20"/>
      <c r="D412" s="20">
        <v>0.0</v>
      </c>
      <c r="E412" s="20">
        <v>15000.0</v>
      </c>
      <c r="F412" s="20">
        <v>0.0</v>
      </c>
      <c r="G412" s="20">
        <v>0.0</v>
      </c>
      <c r="H412" s="20">
        <v>0.0</v>
      </c>
      <c r="I412" s="21">
        <v>45790.0</v>
      </c>
      <c r="J412" s="21">
        <v>45821.0</v>
      </c>
      <c r="K412" s="8">
        <v>1.0</v>
      </c>
      <c r="L412" s="20">
        <v>-346.0</v>
      </c>
    </row>
    <row r="413" ht="22.5" customHeight="1">
      <c r="B413" s="8" t="s">
        <v>2343</v>
      </c>
      <c r="C413" s="20"/>
      <c r="D413" s="20">
        <v>0.0</v>
      </c>
      <c r="E413" s="20">
        <v>3000.0</v>
      </c>
      <c r="F413" s="20">
        <v>0.0</v>
      </c>
      <c r="G413" s="20">
        <v>0.0</v>
      </c>
      <c r="H413" s="20">
        <v>0.0</v>
      </c>
      <c r="L413" s="20"/>
    </row>
    <row r="414" ht="22.5" customHeight="1">
      <c r="B414" s="8" t="s">
        <v>2354</v>
      </c>
      <c r="C414" s="20"/>
      <c r="D414" s="20">
        <v>0.0</v>
      </c>
      <c r="E414" s="20">
        <v>5000.0</v>
      </c>
      <c r="F414" s="20">
        <v>0.0</v>
      </c>
      <c r="G414" s="20">
        <v>0.0</v>
      </c>
      <c r="H414" s="20">
        <v>0.0</v>
      </c>
      <c r="L414" s="20"/>
    </row>
    <row r="415" ht="22.5" customHeight="1">
      <c r="B415" s="8" t="s">
        <v>129</v>
      </c>
      <c r="C415" s="20"/>
      <c r="D415" s="20">
        <v>1.0</v>
      </c>
      <c r="G415" s="20">
        <v>0.0</v>
      </c>
      <c r="H415" s="20">
        <v>0.0</v>
      </c>
      <c r="L415" s="20"/>
    </row>
    <row r="416" ht="22.5" customHeight="1">
      <c r="A416" s="8" t="s">
        <v>2394</v>
      </c>
      <c r="B416" s="8" t="s">
        <v>2364</v>
      </c>
      <c r="C416" s="20"/>
      <c r="D416" s="20">
        <v>0.0</v>
      </c>
      <c r="E416" s="20">
        <v>5000.0</v>
      </c>
      <c r="F416" s="20">
        <v>0.0</v>
      </c>
      <c r="G416" s="20">
        <v>0.0</v>
      </c>
      <c r="H416" s="20">
        <v>0.0</v>
      </c>
      <c r="I416" s="21">
        <v>45801.0</v>
      </c>
      <c r="J416" s="21">
        <v>45832.0</v>
      </c>
      <c r="K416" s="8">
        <v>1.0</v>
      </c>
      <c r="L416" s="20">
        <v>-335.0</v>
      </c>
    </row>
    <row r="417" ht="22.5" customHeight="1">
      <c r="A417" s="8" t="s">
        <v>2394</v>
      </c>
      <c r="B417" s="8" t="s">
        <v>2367</v>
      </c>
      <c r="C417" s="20" t="s">
        <v>1441</v>
      </c>
      <c r="D417" s="20">
        <v>0.0</v>
      </c>
      <c r="E417" s="20">
        <v>5000.0</v>
      </c>
      <c r="F417" s="20">
        <v>0.0</v>
      </c>
      <c r="G417" s="20">
        <v>0.0</v>
      </c>
      <c r="H417" s="20">
        <v>0.0</v>
      </c>
      <c r="I417" s="21">
        <v>45784.0</v>
      </c>
      <c r="J417" s="21">
        <v>45815.0</v>
      </c>
      <c r="K417" s="8">
        <v>1.0</v>
      </c>
      <c r="L417" s="20">
        <v>-352.0</v>
      </c>
    </row>
    <row r="418" ht="22.5" customHeight="1">
      <c r="B418" s="8" t="s">
        <v>55</v>
      </c>
      <c r="C418" s="20"/>
      <c r="D418" s="20">
        <v>0.0</v>
      </c>
      <c r="E418" s="20">
        <v>6.0</v>
      </c>
      <c r="F418" s="20">
        <v>0.0</v>
      </c>
      <c r="G418" s="20">
        <v>0.0</v>
      </c>
      <c r="H418" s="20">
        <v>0.0</v>
      </c>
      <c r="I418" s="21">
        <v>45802.0</v>
      </c>
      <c r="J418" s="21">
        <v>45833.0</v>
      </c>
      <c r="K418" s="8">
        <v>0.0</v>
      </c>
      <c r="L418" s="20">
        <v>-334.0</v>
      </c>
    </row>
    <row r="419" ht="22.5" hidden="1" customHeight="1">
      <c r="C419" s="20"/>
      <c r="L419" s="20"/>
    </row>
    <row r="420" ht="22.5" hidden="1" customHeight="1">
      <c r="C420" s="20"/>
    </row>
    <row r="421" ht="22.5" hidden="1" customHeight="1">
      <c r="C421" s="20"/>
    </row>
    <row r="422" ht="22.5" hidden="1" customHeight="1">
      <c r="B422" s="8" t="s">
        <v>2331</v>
      </c>
      <c r="C422" s="8">
        <v>2.0</v>
      </c>
      <c r="F422" s="20" t="s">
        <v>983</v>
      </c>
      <c r="G422" s="20">
        <v>0.0</v>
      </c>
      <c r="H422" s="20">
        <v>0.0</v>
      </c>
    </row>
    <row r="423" ht="22.5" hidden="1" customHeight="1">
      <c r="F423" s="20" t="s">
        <v>2332</v>
      </c>
      <c r="H423" s="20">
        <v>0.0</v>
      </c>
    </row>
    <row r="424" ht="22.5" hidden="1" customHeight="1"/>
    <row r="425" ht="22.5" hidden="1" customHeight="1"/>
    <row r="426" ht="22.5" hidden="1" customHeight="1"/>
    <row r="427" ht="22.5" customHeight="1">
      <c r="B427" s="8" t="s">
        <v>2395</v>
      </c>
      <c r="J427" s="21" t="s">
        <v>2321</v>
      </c>
      <c r="K427" s="22">
        <v>46167.0</v>
      </c>
    </row>
    <row r="428" ht="22.5" hidden="1" customHeight="1"/>
    <row r="429" ht="22.5" hidden="1" customHeight="1">
      <c r="A429" s="8" t="s">
        <v>181</v>
      </c>
      <c r="B429" s="8" t="s">
        <v>2304</v>
      </c>
      <c r="C429" s="20" t="s">
        <v>131</v>
      </c>
      <c r="D429" s="20" t="s">
        <v>2305</v>
      </c>
      <c r="E429" s="20" t="s">
        <v>8</v>
      </c>
      <c r="F429" s="20" t="s">
        <v>982</v>
      </c>
      <c r="G429" s="20" t="s">
        <v>38</v>
      </c>
      <c r="H429" s="20" t="s">
        <v>983</v>
      </c>
      <c r="I429" s="21" t="s">
        <v>2306</v>
      </c>
      <c r="J429" s="21" t="s">
        <v>985</v>
      </c>
      <c r="K429" s="8" t="s">
        <v>986</v>
      </c>
      <c r="L429" s="20" t="s">
        <v>987</v>
      </c>
      <c r="M429" s="17" t="s">
        <v>2307</v>
      </c>
      <c r="N429" s="8" t="s">
        <v>2308</v>
      </c>
    </row>
    <row r="430" ht="22.5" customHeight="1">
      <c r="B430" s="8" t="s">
        <v>2323</v>
      </c>
      <c r="C430" s="20"/>
      <c r="D430" s="20">
        <v>0.0</v>
      </c>
      <c r="E430" s="20">
        <v>100.0</v>
      </c>
      <c r="F430" s="20">
        <v>0.0</v>
      </c>
      <c r="G430" s="20">
        <v>0.0</v>
      </c>
      <c r="H430" s="20">
        <v>0.0</v>
      </c>
      <c r="L430" s="20"/>
    </row>
    <row r="431" ht="22.5" customHeight="1">
      <c r="B431" s="8" t="s">
        <v>2324</v>
      </c>
      <c r="C431" s="20"/>
      <c r="D431" s="20">
        <v>0.0</v>
      </c>
      <c r="E431" s="20">
        <v>5.0</v>
      </c>
      <c r="F431" s="20">
        <v>15.0</v>
      </c>
      <c r="G431" s="20">
        <v>0.0</v>
      </c>
      <c r="H431" s="20">
        <v>0.0</v>
      </c>
      <c r="I431" s="21">
        <v>45597.0</v>
      </c>
      <c r="J431" s="21">
        <v>45627.0</v>
      </c>
      <c r="K431" s="8">
        <v>1.0</v>
      </c>
      <c r="L431" s="20">
        <v>-540.0</v>
      </c>
    </row>
    <row r="432" ht="22.5" customHeight="1">
      <c r="A432" s="8" t="s">
        <v>2396</v>
      </c>
      <c r="B432" s="8" t="s">
        <v>2326</v>
      </c>
      <c r="D432" s="20">
        <v>2.25</v>
      </c>
      <c r="E432" s="20">
        <v>3.0</v>
      </c>
      <c r="F432" s="20">
        <v>6.75</v>
      </c>
      <c r="G432" s="20">
        <v>0.0</v>
      </c>
      <c r="H432" s="20">
        <v>0.0</v>
      </c>
      <c r="I432" s="21">
        <v>45597.0</v>
      </c>
      <c r="J432" s="21">
        <v>45627.0</v>
      </c>
      <c r="K432" s="8">
        <v>1.0</v>
      </c>
      <c r="L432" s="20">
        <v>-540.0</v>
      </c>
    </row>
    <row r="433" ht="22.5" customHeight="1">
      <c r="B433" s="8" t="s">
        <v>2327</v>
      </c>
      <c r="C433" s="20"/>
      <c r="D433" s="20">
        <v>0.0</v>
      </c>
      <c r="E433" s="20">
        <v>1500.0</v>
      </c>
      <c r="F433" s="20">
        <v>0.0</v>
      </c>
      <c r="G433" s="20">
        <v>0.0</v>
      </c>
      <c r="H433" s="20">
        <v>0.0</v>
      </c>
      <c r="L433" s="20"/>
    </row>
    <row r="434" ht="22.5" customHeight="1">
      <c r="B434" s="8" t="s">
        <v>2328</v>
      </c>
      <c r="C434" s="20"/>
      <c r="D434" s="20">
        <v>0.0</v>
      </c>
      <c r="E434" s="20">
        <v>500.0</v>
      </c>
      <c r="F434" s="20">
        <v>0.0</v>
      </c>
      <c r="G434" s="20">
        <v>0.0</v>
      </c>
      <c r="H434" s="20">
        <v>0.0</v>
      </c>
      <c r="L434" s="20"/>
    </row>
    <row r="435" ht="22.5" customHeight="1">
      <c r="B435" s="8" t="s">
        <v>2329</v>
      </c>
      <c r="C435" s="20"/>
      <c r="D435" s="20">
        <v>9.5</v>
      </c>
      <c r="E435" s="20">
        <v>22.0</v>
      </c>
      <c r="F435" s="20">
        <v>209.0</v>
      </c>
      <c r="G435" s="20">
        <v>0.0</v>
      </c>
      <c r="H435" s="20">
        <v>0.0</v>
      </c>
      <c r="I435" s="21">
        <v>45597.0</v>
      </c>
      <c r="J435" s="21">
        <v>45627.0</v>
      </c>
      <c r="K435" s="8">
        <v>1.0</v>
      </c>
      <c r="L435" s="20">
        <v>-540.0</v>
      </c>
    </row>
    <row r="436" ht="22.5" customHeight="1">
      <c r="B436" s="8" t="s">
        <v>2330</v>
      </c>
      <c r="C436" s="20"/>
      <c r="D436" s="20">
        <v>0.0</v>
      </c>
      <c r="E436" s="20">
        <v>0.0</v>
      </c>
      <c r="F436" s="20">
        <v>0.0</v>
      </c>
      <c r="G436" s="20">
        <v>0.0</v>
      </c>
      <c r="H436" s="20">
        <v>0.0</v>
      </c>
      <c r="J436" s="21">
        <v>31.0</v>
      </c>
      <c r="K436" s="8">
        <v>1.0</v>
      </c>
      <c r="L436" s="20">
        <v>-46136.0</v>
      </c>
    </row>
    <row r="437" ht="22.5" customHeight="1">
      <c r="B437" s="8" t="s">
        <v>129</v>
      </c>
      <c r="C437" s="20"/>
      <c r="D437" s="20">
        <v>0.0</v>
      </c>
      <c r="E437" s="20">
        <v>15000.0</v>
      </c>
      <c r="F437" s="20">
        <v>0.0</v>
      </c>
      <c r="G437" s="20">
        <v>0.0</v>
      </c>
      <c r="H437" s="20">
        <v>0.0</v>
      </c>
      <c r="I437" s="21">
        <v>45609.0</v>
      </c>
      <c r="J437" s="21">
        <v>45639.0</v>
      </c>
      <c r="K437" s="8">
        <v>1.0</v>
      </c>
      <c r="L437" s="20">
        <v>-528.0</v>
      </c>
    </row>
    <row r="438" ht="22.5" customHeight="1">
      <c r="B438" s="8" t="s">
        <v>2343</v>
      </c>
      <c r="C438" s="20"/>
      <c r="D438" s="20">
        <v>0.0</v>
      </c>
      <c r="E438" s="20">
        <v>3000.0</v>
      </c>
      <c r="F438" s="20">
        <v>0.0</v>
      </c>
      <c r="G438" s="20">
        <v>0.0</v>
      </c>
      <c r="H438" s="20">
        <v>0.0</v>
      </c>
      <c r="L438" s="20"/>
    </row>
    <row r="439" ht="22.5" customHeight="1">
      <c r="B439" s="8" t="s">
        <v>2354</v>
      </c>
      <c r="C439" s="20"/>
      <c r="D439" s="20">
        <v>0.0</v>
      </c>
      <c r="E439" s="20">
        <v>5000.0</v>
      </c>
      <c r="F439" s="20">
        <v>0.0</v>
      </c>
      <c r="G439" s="20">
        <v>0.0</v>
      </c>
      <c r="H439" s="20">
        <v>0.0</v>
      </c>
      <c r="L439" s="20"/>
    </row>
    <row r="440" ht="22.5" customHeight="1">
      <c r="B440" s="8" t="s">
        <v>129</v>
      </c>
      <c r="C440" s="20"/>
      <c r="D440" s="20">
        <v>1.0</v>
      </c>
      <c r="G440" s="20">
        <v>0.0</v>
      </c>
      <c r="H440" s="20">
        <v>0.0</v>
      </c>
      <c r="L440" s="20"/>
    </row>
    <row r="441" ht="22.5" customHeight="1">
      <c r="B441" s="8" t="s">
        <v>2364</v>
      </c>
      <c r="C441" s="20"/>
      <c r="D441" s="20">
        <v>0.0</v>
      </c>
      <c r="E441" s="20">
        <v>5000.0</v>
      </c>
      <c r="F441" s="20">
        <v>0.0</v>
      </c>
      <c r="G441" s="20">
        <v>0.0</v>
      </c>
      <c r="H441" s="20">
        <v>0.0</v>
      </c>
      <c r="I441" s="21">
        <v>45620.0</v>
      </c>
      <c r="J441" s="21">
        <v>45650.0</v>
      </c>
      <c r="K441" s="8">
        <v>1.0</v>
      </c>
      <c r="L441" s="20">
        <v>-517.0</v>
      </c>
    </row>
    <row r="442" ht="22.5" customHeight="1">
      <c r="A442" s="8" t="s">
        <v>2397</v>
      </c>
      <c r="B442" s="8" t="s">
        <v>2367</v>
      </c>
      <c r="C442" s="20"/>
      <c r="D442" s="20">
        <v>0.0</v>
      </c>
      <c r="E442" s="20">
        <v>6000.0</v>
      </c>
      <c r="F442" s="20">
        <v>0.0</v>
      </c>
      <c r="G442" s="20">
        <v>0.0</v>
      </c>
      <c r="H442" s="20">
        <v>0.0</v>
      </c>
      <c r="I442" s="21">
        <v>45603.0</v>
      </c>
      <c r="J442" s="21">
        <v>45633.0</v>
      </c>
      <c r="K442" s="8">
        <v>1.0</v>
      </c>
      <c r="L442" s="20">
        <v>-534.0</v>
      </c>
      <c r="M442" s="8" t="s">
        <v>2398</v>
      </c>
    </row>
    <row r="443" ht="22.5" customHeight="1">
      <c r="B443" s="8" t="s">
        <v>55</v>
      </c>
      <c r="C443" s="20"/>
      <c r="D443" s="20">
        <v>0.0</v>
      </c>
      <c r="E443" s="20">
        <v>6.0</v>
      </c>
      <c r="F443" s="20">
        <v>0.0</v>
      </c>
      <c r="G443" s="20">
        <v>0.0</v>
      </c>
      <c r="H443" s="20">
        <v>0.0</v>
      </c>
      <c r="I443" s="21">
        <v>45621.0</v>
      </c>
      <c r="J443" s="21">
        <v>45651.0</v>
      </c>
      <c r="K443" s="8">
        <v>0.0</v>
      </c>
      <c r="L443" s="20">
        <v>-516.0</v>
      </c>
    </row>
    <row r="444" ht="22.5" hidden="1" customHeight="1">
      <c r="C444" s="20"/>
      <c r="L444" s="20"/>
    </row>
    <row r="445" ht="22.5" hidden="1" customHeight="1">
      <c r="C445" s="20"/>
    </row>
    <row r="446" ht="22.5" hidden="1" customHeight="1">
      <c r="C446" s="20"/>
    </row>
    <row r="447" ht="22.5" hidden="1" customHeight="1">
      <c r="B447" s="8" t="s">
        <v>2331</v>
      </c>
      <c r="C447" s="8">
        <v>0.0</v>
      </c>
      <c r="F447" s="20" t="s">
        <v>983</v>
      </c>
      <c r="G447" s="20">
        <v>0.0</v>
      </c>
      <c r="H447" s="20">
        <v>0.0</v>
      </c>
    </row>
    <row r="448" ht="22.5" hidden="1" customHeight="1">
      <c r="F448" s="20" t="s">
        <v>2332</v>
      </c>
      <c r="H448" s="20">
        <v>0.0</v>
      </c>
    </row>
    <row r="449" ht="22.5" hidden="1" customHeight="1"/>
    <row r="450" ht="22.5" hidden="1" customHeight="1"/>
    <row r="451" ht="22.5" hidden="1" customHeight="1"/>
    <row r="452" ht="22.5" hidden="1" customHeight="1">
      <c r="J452" s="21" t="s">
        <v>2321</v>
      </c>
      <c r="K452" s="22">
        <v>46167.0</v>
      </c>
    </row>
    <row r="453" ht="22.5" hidden="1" customHeight="1"/>
    <row r="454" ht="22.5" hidden="1" customHeight="1">
      <c r="A454" s="8" t="s">
        <v>181</v>
      </c>
      <c r="B454" s="8" t="s">
        <v>2304</v>
      </c>
      <c r="C454" s="20" t="s">
        <v>131</v>
      </c>
      <c r="D454" s="20" t="s">
        <v>2305</v>
      </c>
      <c r="E454" s="20" t="s">
        <v>8</v>
      </c>
      <c r="F454" s="20" t="s">
        <v>982</v>
      </c>
      <c r="G454" s="20" t="s">
        <v>38</v>
      </c>
      <c r="H454" s="20" t="s">
        <v>983</v>
      </c>
      <c r="I454" s="21" t="s">
        <v>2306</v>
      </c>
      <c r="J454" s="21" t="s">
        <v>985</v>
      </c>
      <c r="K454" s="8" t="s">
        <v>986</v>
      </c>
      <c r="L454" s="20" t="s">
        <v>987</v>
      </c>
      <c r="M454" s="17" t="s">
        <v>2307</v>
      </c>
      <c r="N454" s="8" t="s">
        <v>2308</v>
      </c>
    </row>
    <row r="455" ht="22.5" customHeight="1">
      <c r="B455" s="8" t="s">
        <v>2323</v>
      </c>
      <c r="C455" s="20"/>
      <c r="D455" s="20">
        <v>0.0</v>
      </c>
      <c r="E455" s="20">
        <v>100.0</v>
      </c>
      <c r="F455" s="20">
        <v>0.0</v>
      </c>
      <c r="G455" s="20">
        <v>0.0</v>
      </c>
      <c r="H455" s="20">
        <v>0.0</v>
      </c>
      <c r="L455" s="20"/>
    </row>
    <row r="456" ht="22.5" customHeight="1">
      <c r="B456" s="8" t="s">
        <v>2324</v>
      </c>
      <c r="C456" s="20"/>
      <c r="D456" s="20">
        <v>0.0</v>
      </c>
      <c r="E456" s="20">
        <v>5.0</v>
      </c>
      <c r="F456" s="20">
        <v>15.0</v>
      </c>
      <c r="G456" s="20">
        <v>0.0</v>
      </c>
      <c r="H456" s="20">
        <v>0.0</v>
      </c>
      <c r="I456" s="21">
        <v>45597.0</v>
      </c>
      <c r="J456" s="21">
        <v>45627.0</v>
      </c>
      <c r="K456" s="8">
        <v>1.0</v>
      </c>
      <c r="L456" s="20">
        <v>-540.0</v>
      </c>
    </row>
    <row r="457" ht="22.5" customHeight="1">
      <c r="A457" s="8" t="s">
        <v>2399</v>
      </c>
      <c r="B457" s="8" t="s">
        <v>2326</v>
      </c>
      <c r="D457" s="20">
        <v>8.25</v>
      </c>
      <c r="E457" s="20">
        <v>3.0</v>
      </c>
      <c r="F457" s="20">
        <v>24.75</v>
      </c>
      <c r="G457" s="20">
        <v>0.0</v>
      </c>
      <c r="H457" s="20">
        <v>0.0</v>
      </c>
      <c r="I457" s="21">
        <v>45597.0</v>
      </c>
      <c r="J457" s="21">
        <v>45627.0</v>
      </c>
      <c r="K457" s="8">
        <v>1.0</v>
      </c>
      <c r="L457" s="20">
        <v>-540.0</v>
      </c>
    </row>
    <row r="458" ht="22.5" customHeight="1">
      <c r="B458" s="8" t="s">
        <v>2327</v>
      </c>
      <c r="C458" s="20"/>
      <c r="D458" s="20">
        <v>0.0</v>
      </c>
      <c r="E458" s="20">
        <v>1500.0</v>
      </c>
      <c r="F458" s="20">
        <v>0.0</v>
      </c>
      <c r="G458" s="20">
        <v>0.0</v>
      </c>
      <c r="H458" s="20">
        <v>0.0</v>
      </c>
      <c r="L458" s="20"/>
    </row>
    <row r="459" ht="22.5" customHeight="1">
      <c r="B459" s="8" t="s">
        <v>2328</v>
      </c>
      <c r="C459" s="20"/>
      <c r="D459" s="20">
        <v>0.0</v>
      </c>
      <c r="E459" s="20">
        <v>500.0</v>
      </c>
      <c r="F459" s="20">
        <v>0.0</v>
      </c>
      <c r="G459" s="20">
        <v>0.0</v>
      </c>
      <c r="H459" s="20">
        <v>0.0</v>
      </c>
      <c r="L459" s="20"/>
    </row>
    <row r="460" ht="22.5" customHeight="1">
      <c r="B460" s="8" t="s">
        <v>2329</v>
      </c>
      <c r="C460" s="20"/>
      <c r="D460" s="20">
        <v>0.0</v>
      </c>
      <c r="E460" s="20">
        <v>22.0</v>
      </c>
      <c r="F460" s="20">
        <v>0.0</v>
      </c>
      <c r="G460" s="20">
        <v>0.0</v>
      </c>
      <c r="H460" s="20">
        <v>0.0</v>
      </c>
      <c r="I460" s="21">
        <v>45597.0</v>
      </c>
      <c r="J460" s="21">
        <v>45627.0</v>
      </c>
      <c r="K460" s="8">
        <v>1.0</v>
      </c>
      <c r="L460" s="20">
        <v>-540.0</v>
      </c>
    </row>
    <row r="461" ht="22.5" customHeight="1">
      <c r="B461" s="8" t="s">
        <v>2330</v>
      </c>
      <c r="C461" s="20"/>
      <c r="D461" s="20">
        <v>0.0</v>
      </c>
      <c r="E461" s="20">
        <v>0.0</v>
      </c>
      <c r="F461" s="20">
        <v>0.0</v>
      </c>
      <c r="G461" s="20">
        <v>0.0</v>
      </c>
      <c r="H461" s="20">
        <v>0.0</v>
      </c>
      <c r="J461" s="21">
        <v>31.0</v>
      </c>
      <c r="K461" s="8">
        <v>1.0</v>
      </c>
      <c r="L461" s="20">
        <v>-46136.0</v>
      </c>
    </row>
    <row r="462" ht="22.5" customHeight="1">
      <c r="B462" s="8" t="s">
        <v>129</v>
      </c>
      <c r="C462" s="20"/>
      <c r="D462" s="20">
        <v>0.0</v>
      </c>
      <c r="E462" s="20">
        <v>15000.0</v>
      </c>
      <c r="F462" s="20">
        <v>0.0</v>
      </c>
      <c r="G462" s="20">
        <v>0.0</v>
      </c>
      <c r="H462" s="20">
        <v>0.0</v>
      </c>
      <c r="I462" s="21">
        <v>45609.0</v>
      </c>
      <c r="J462" s="21">
        <v>45639.0</v>
      </c>
      <c r="K462" s="8">
        <v>1.0</v>
      </c>
      <c r="L462" s="20">
        <v>-528.0</v>
      </c>
    </row>
    <row r="463" ht="22.5" customHeight="1">
      <c r="B463" s="8" t="s">
        <v>2343</v>
      </c>
      <c r="C463" s="20"/>
      <c r="D463" s="20">
        <v>0.0</v>
      </c>
      <c r="E463" s="20">
        <v>3000.0</v>
      </c>
      <c r="F463" s="20">
        <v>0.0</v>
      </c>
      <c r="G463" s="20">
        <v>0.0</v>
      </c>
      <c r="H463" s="20">
        <v>0.0</v>
      </c>
      <c r="L463" s="20"/>
    </row>
    <row r="464" ht="22.5" customHeight="1">
      <c r="B464" s="8" t="s">
        <v>2354</v>
      </c>
      <c r="C464" s="20"/>
      <c r="D464" s="20">
        <v>0.0</v>
      </c>
      <c r="E464" s="20">
        <v>5000.0</v>
      </c>
      <c r="F464" s="20">
        <v>0.0</v>
      </c>
      <c r="G464" s="20">
        <v>0.0</v>
      </c>
      <c r="H464" s="20">
        <v>0.0</v>
      </c>
      <c r="L464" s="20"/>
    </row>
    <row r="465" ht="22.5" customHeight="1">
      <c r="B465" s="8" t="s">
        <v>129</v>
      </c>
      <c r="C465" s="20"/>
      <c r="L465" s="20"/>
    </row>
    <row r="466" ht="22.5" customHeight="1">
      <c r="A466" s="8" t="s">
        <v>2400</v>
      </c>
      <c r="B466" s="8" t="s">
        <v>129</v>
      </c>
      <c r="C466" s="20"/>
      <c r="D466" s="20">
        <v>1.0</v>
      </c>
      <c r="G466" s="20">
        <v>0.0</v>
      </c>
      <c r="H466" s="20">
        <v>0.0</v>
      </c>
      <c r="L466" s="20"/>
    </row>
    <row r="467" ht="22.5" customHeight="1">
      <c r="A467" s="8" t="s">
        <v>2401</v>
      </c>
      <c r="B467" s="8" t="s">
        <v>2364</v>
      </c>
      <c r="C467" s="20"/>
      <c r="D467" s="20">
        <v>1.0</v>
      </c>
      <c r="E467" s="20">
        <v>6000.0</v>
      </c>
      <c r="F467" s="20">
        <v>6000.0</v>
      </c>
      <c r="G467" s="20">
        <v>0.0</v>
      </c>
      <c r="H467" s="20">
        <v>0.0</v>
      </c>
      <c r="I467" s="21">
        <v>45620.0</v>
      </c>
      <c r="J467" s="21">
        <v>45650.0</v>
      </c>
      <c r="K467" s="8">
        <v>1.0</v>
      </c>
      <c r="L467" s="20">
        <v>-517.0</v>
      </c>
    </row>
    <row r="468" ht="22.5" customHeight="1">
      <c r="A468" s="8" t="s">
        <v>2402</v>
      </c>
      <c r="B468" s="8" t="s">
        <v>2367</v>
      </c>
      <c r="C468" s="20"/>
      <c r="D468" s="20">
        <v>0.0</v>
      </c>
      <c r="E468" s="20">
        <v>6000.0</v>
      </c>
      <c r="F468" s="20">
        <v>0.0</v>
      </c>
      <c r="G468" s="20">
        <v>0.0</v>
      </c>
      <c r="H468" s="20">
        <v>0.0</v>
      </c>
      <c r="I468" s="21">
        <v>45603.0</v>
      </c>
      <c r="J468" s="21">
        <v>45633.0</v>
      </c>
      <c r="K468" s="8">
        <v>1.0</v>
      </c>
      <c r="L468" s="20">
        <v>-534.0</v>
      </c>
      <c r="M468" s="8" t="s">
        <v>2403</v>
      </c>
    </row>
    <row r="469" ht="22.5" customHeight="1">
      <c r="B469" s="8" t="s">
        <v>55</v>
      </c>
      <c r="C469" s="20"/>
      <c r="D469" s="20">
        <v>0.0</v>
      </c>
      <c r="E469" s="20">
        <v>6.0</v>
      </c>
      <c r="F469" s="20">
        <v>0.0</v>
      </c>
      <c r="G469" s="20">
        <v>0.0</v>
      </c>
      <c r="H469" s="20">
        <v>0.0</v>
      </c>
      <c r="I469" s="21">
        <v>45621.0</v>
      </c>
      <c r="J469" s="21">
        <v>45651.0</v>
      </c>
      <c r="K469" s="8">
        <v>0.0</v>
      </c>
      <c r="L469" s="20">
        <v>-516.0</v>
      </c>
    </row>
    <row r="470" ht="22.5" hidden="1" customHeight="1">
      <c r="C470" s="20"/>
      <c r="L470" s="20"/>
    </row>
    <row r="471" ht="22.5" hidden="1" customHeight="1">
      <c r="C471" s="20"/>
    </row>
    <row r="472" ht="22.5" hidden="1" customHeight="1">
      <c r="C472" s="20"/>
    </row>
    <row r="473" ht="22.5" hidden="1" customHeight="1">
      <c r="B473" s="8" t="s">
        <v>2331</v>
      </c>
      <c r="C473" s="8">
        <v>0.0</v>
      </c>
      <c r="F473" s="20" t="s">
        <v>983</v>
      </c>
      <c r="G473" s="20">
        <v>0.0</v>
      </c>
      <c r="H473" s="20">
        <v>0.0</v>
      </c>
    </row>
    <row r="474" ht="22.5" hidden="1" customHeight="1">
      <c r="F474" s="20" t="s">
        <v>2332</v>
      </c>
      <c r="H474" s="20">
        <v>0.0</v>
      </c>
    </row>
    <row r="475" ht="22.5" hidden="1" customHeight="1"/>
    <row r="476" ht="22.5" hidden="1" customHeight="1"/>
    <row r="477" ht="22.5" hidden="1" customHeight="1"/>
    <row r="478" ht="22.5" hidden="1" customHeight="1">
      <c r="J478" s="21" t="s">
        <v>2321</v>
      </c>
      <c r="K478" s="22">
        <v>46167.0</v>
      </c>
    </row>
    <row r="479" ht="22.5" hidden="1" customHeight="1"/>
    <row r="480" ht="22.5" hidden="1" customHeight="1">
      <c r="A480" s="8" t="s">
        <v>181</v>
      </c>
      <c r="B480" s="8" t="s">
        <v>2304</v>
      </c>
      <c r="C480" s="20" t="s">
        <v>131</v>
      </c>
      <c r="D480" s="20" t="s">
        <v>2305</v>
      </c>
      <c r="E480" s="20" t="s">
        <v>8</v>
      </c>
      <c r="F480" s="20" t="s">
        <v>982</v>
      </c>
      <c r="G480" s="20" t="s">
        <v>38</v>
      </c>
      <c r="H480" s="20" t="s">
        <v>983</v>
      </c>
      <c r="I480" s="21" t="s">
        <v>2306</v>
      </c>
      <c r="J480" s="21" t="s">
        <v>985</v>
      </c>
      <c r="K480" s="8" t="s">
        <v>986</v>
      </c>
      <c r="L480" s="20" t="s">
        <v>987</v>
      </c>
      <c r="M480" s="17" t="s">
        <v>2307</v>
      </c>
      <c r="N480" s="8" t="s">
        <v>2308</v>
      </c>
    </row>
    <row r="481" ht="22.5" customHeight="1">
      <c r="B481" s="8" t="s">
        <v>2323</v>
      </c>
      <c r="C481" s="20"/>
      <c r="D481" s="20">
        <v>0.0</v>
      </c>
      <c r="E481" s="20">
        <v>100.0</v>
      </c>
      <c r="F481" s="20">
        <v>0.0</v>
      </c>
      <c r="G481" s="20">
        <v>0.0</v>
      </c>
      <c r="H481" s="20">
        <v>0.0</v>
      </c>
      <c r="L481" s="20"/>
    </row>
    <row r="482" ht="22.5" customHeight="1">
      <c r="B482" s="8" t="s">
        <v>2324</v>
      </c>
      <c r="C482" s="20"/>
      <c r="D482" s="20">
        <v>0.0</v>
      </c>
      <c r="E482" s="20">
        <v>5.0</v>
      </c>
      <c r="F482" s="20">
        <v>15.0</v>
      </c>
      <c r="G482" s="20">
        <v>0.0</v>
      </c>
      <c r="H482" s="20">
        <v>0.0</v>
      </c>
      <c r="I482" s="21">
        <v>45597.0</v>
      </c>
      <c r="J482" s="21">
        <v>45627.0</v>
      </c>
      <c r="K482" s="8">
        <v>1.0</v>
      </c>
      <c r="L482" s="20">
        <v>-540.0</v>
      </c>
    </row>
    <row r="483" ht="22.5" customHeight="1">
      <c r="A483" s="8" t="s">
        <v>2404</v>
      </c>
      <c r="B483" s="8" t="s">
        <v>2326</v>
      </c>
      <c r="D483" s="20">
        <v>12.0</v>
      </c>
      <c r="E483" s="20">
        <v>3.0</v>
      </c>
      <c r="F483" s="20">
        <v>36.0</v>
      </c>
      <c r="G483" s="20">
        <v>0.0</v>
      </c>
      <c r="H483" s="20">
        <v>0.0</v>
      </c>
      <c r="I483" s="21">
        <v>45597.0</v>
      </c>
      <c r="J483" s="21">
        <v>45627.0</v>
      </c>
      <c r="K483" s="8">
        <v>1.0</v>
      </c>
      <c r="L483" s="20">
        <v>-540.0</v>
      </c>
    </row>
    <row r="484" ht="22.5" customHeight="1">
      <c r="B484" s="8" t="s">
        <v>2327</v>
      </c>
      <c r="C484" s="20"/>
      <c r="D484" s="20">
        <v>0.0</v>
      </c>
      <c r="E484" s="20">
        <v>1500.0</v>
      </c>
      <c r="F484" s="20">
        <v>0.0</v>
      </c>
      <c r="G484" s="20">
        <v>0.0</v>
      </c>
      <c r="H484" s="20">
        <v>0.0</v>
      </c>
      <c r="L484" s="20"/>
    </row>
    <row r="485" ht="22.5" customHeight="1">
      <c r="B485" s="8" t="s">
        <v>2328</v>
      </c>
      <c r="C485" s="20"/>
      <c r="D485" s="20">
        <v>0.0</v>
      </c>
      <c r="E485" s="20">
        <v>500.0</v>
      </c>
      <c r="F485" s="20">
        <v>0.0</v>
      </c>
      <c r="G485" s="20">
        <v>0.0</v>
      </c>
      <c r="H485" s="20">
        <v>0.0</v>
      </c>
      <c r="L485" s="20"/>
    </row>
    <row r="486" ht="22.5" customHeight="1">
      <c r="B486" s="8" t="s">
        <v>2329</v>
      </c>
      <c r="C486" s="20"/>
      <c r="D486" s="20">
        <v>0.0</v>
      </c>
      <c r="E486" s="20">
        <v>22.0</v>
      </c>
      <c r="F486" s="20">
        <v>0.0</v>
      </c>
      <c r="G486" s="20">
        <v>0.0</v>
      </c>
      <c r="H486" s="20">
        <v>0.0</v>
      </c>
      <c r="I486" s="21">
        <v>45597.0</v>
      </c>
      <c r="J486" s="21">
        <v>45627.0</v>
      </c>
      <c r="K486" s="8">
        <v>1.0</v>
      </c>
      <c r="L486" s="20">
        <v>-540.0</v>
      </c>
    </row>
    <row r="487" ht="22.5" customHeight="1">
      <c r="B487" s="8" t="s">
        <v>2330</v>
      </c>
      <c r="C487" s="20"/>
      <c r="D487" s="20">
        <v>0.0</v>
      </c>
      <c r="E487" s="20">
        <v>0.0</v>
      </c>
      <c r="F487" s="20">
        <v>0.0</v>
      </c>
      <c r="G487" s="20">
        <v>0.0</v>
      </c>
      <c r="H487" s="20">
        <v>0.0</v>
      </c>
      <c r="J487" s="21">
        <v>31.0</v>
      </c>
      <c r="K487" s="8">
        <v>1.0</v>
      </c>
      <c r="L487" s="20">
        <v>-46136.0</v>
      </c>
    </row>
    <row r="488" ht="22.5" customHeight="1">
      <c r="B488" s="8" t="s">
        <v>129</v>
      </c>
      <c r="C488" s="20"/>
      <c r="D488" s="20">
        <v>0.0</v>
      </c>
      <c r="E488" s="20">
        <v>15000.0</v>
      </c>
      <c r="F488" s="20">
        <v>0.0</v>
      </c>
      <c r="G488" s="20">
        <v>0.0</v>
      </c>
      <c r="H488" s="20">
        <v>0.0</v>
      </c>
      <c r="I488" s="21">
        <v>45609.0</v>
      </c>
      <c r="J488" s="21">
        <v>45639.0</v>
      </c>
      <c r="K488" s="8">
        <v>1.0</v>
      </c>
      <c r="L488" s="20">
        <v>-528.0</v>
      </c>
    </row>
    <row r="489" ht="22.5" customHeight="1">
      <c r="B489" s="8" t="s">
        <v>2343</v>
      </c>
      <c r="C489" s="20"/>
      <c r="D489" s="20">
        <v>0.0</v>
      </c>
      <c r="E489" s="20">
        <v>3000.0</v>
      </c>
      <c r="F489" s="20">
        <v>0.0</v>
      </c>
      <c r="G489" s="20">
        <v>0.0</v>
      </c>
      <c r="H489" s="20">
        <v>0.0</v>
      </c>
      <c r="L489" s="20"/>
    </row>
    <row r="490" ht="22.5" customHeight="1">
      <c r="B490" s="8" t="s">
        <v>2354</v>
      </c>
      <c r="C490" s="20"/>
      <c r="D490" s="20">
        <v>0.0</v>
      </c>
      <c r="E490" s="20">
        <v>5000.0</v>
      </c>
      <c r="F490" s="20">
        <v>0.0</v>
      </c>
      <c r="G490" s="20">
        <v>0.0</v>
      </c>
      <c r="H490" s="20">
        <v>0.0</v>
      </c>
      <c r="L490" s="20"/>
    </row>
    <row r="491" ht="22.5" customHeight="1">
      <c r="B491" s="8" t="s">
        <v>129</v>
      </c>
      <c r="C491" s="20"/>
      <c r="L491" s="20"/>
    </row>
    <row r="492" ht="22.5" customHeight="1">
      <c r="B492" s="8" t="s">
        <v>129</v>
      </c>
      <c r="C492" s="20"/>
      <c r="D492" s="20">
        <v>1.0</v>
      </c>
      <c r="G492" s="20">
        <v>0.0</v>
      </c>
      <c r="H492" s="20">
        <v>0.0</v>
      </c>
      <c r="L492" s="20"/>
    </row>
    <row r="493" ht="22.5" customHeight="1">
      <c r="A493" s="8" t="s">
        <v>2405</v>
      </c>
      <c r="B493" s="8" t="s">
        <v>2364</v>
      </c>
      <c r="C493" s="20" t="s">
        <v>1441</v>
      </c>
      <c r="D493" s="20">
        <v>0.0</v>
      </c>
      <c r="E493" s="20">
        <v>6000.0</v>
      </c>
      <c r="F493" s="20">
        <v>0.0</v>
      </c>
      <c r="G493" s="20">
        <v>0.0</v>
      </c>
      <c r="H493" s="20">
        <v>0.0</v>
      </c>
      <c r="I493" s="21">
        <v>45620.0</v>
      </c>
      <c r="J493" s="21">
        <v>45650.0</v>
      </c>
      <c r="K493" s="8">
        <v>1.0</v>
      </c>
      <c r="L493" s="20">
        <v>-517.0</v>
      </c>
    </row>
    <row r="494" ht="22.5" customHeight="1">
      <c r="B494" s="8" t="s">
        <v>2367</v>
      </c>
      <c r="C494" s="20"/>
      <c r="D494" s="20">
        <v>0.0</v>
      </c>
      <c r="E494" s="20">
        <v>6000.0</v>
      </c>
      <c r="F494" s="20">
        <v>0.0</v>
      </c>
      <c r="G494" s="20">
        <v>0.0</v>
      </c>
      <c r="H494" s="20">
        <v>0.0</v>
      </c>
      <c r="I494" s="21">
        <v>45603.0</v>
      </c>
      <c r="J494" s="21">
        <v>45633.0</v>
      </c>
      <c r="K494" s="8">
        <v>1.0</v>
      </c>
      <c r="L494" s="20">
        <v>-534.0</v>
      </c>
    </row>
    <row r="495" ht="22.5" customHeight="1">
      <c r="B495" s="8" t="s">
        <v>55</v>
      </c>
      <c r="C495" s="20"/>
      <c r="D495" s="20">
        <v>0.0</v>
      </c>
      <c r="E495" s="20">
        <v>6.0</v>
      </c>
      <c r="F495" s="20">
        <v>0.0</v>
      </c>
      <c r="G495" s="20">
        <v>0.0</v>
      </c>
      <c r="H495" s="20">
        <v>0.0</v>
      </c>
      <c r="I495" s="21">
        <v>45621.0</v>
      </c>
      <c r="J495" s="21">
        <v>45651.0</v>
      </c>
      <c r="K495" s="8">
        <v>0.0</v>
      </c>
      <c r="L495" s="20">
        <v>-516.0</v>
      </c>
    </row>
    <row r="496" ht="22.5" hidden="1" customHeight="1">
      <c r="C496" s="20"/>
      <c r="L496" s="20"/>
    </row>
    <row r="497" ht="22.5" hidden="1" customHeight="1">
      <c r="C497" s="20"/>
    </row>
    <row r="498" ht="22.5" hidden="1" customHeight="1">
      <c r="C498" s="20"/>
    </row>
    <row r="499" ht="22.5" hidden="1" customHeight="1">
      <c r="B499" s="8" t="s">
        <v>2331</v>
      </c>
      <c r="C499" s="8">
        <v>1.0</v>
      </c>
      <c r="F499" s="20" t="s">
        <v>983</v>
      </c>
      <c r="G499" s="20">
        <v>0.0</v>
      </c>
      <c r="H499" s="20">
        <v>0.0</v>
      </c>
    </row>
    <row r="500" ht="22.5" hidden="1" customHeight="1">
      <c r="F500" s="20" t="s">
        <v>2332</v>
      </c>
      <c r="H500" s="20">
        <v>0.0</v>
      </c>
    </row>
    <row r="501" ht="22.5" hidden="1" customHeight="1"/>
    <row r="502" ht="22.5" hidden="1" customHeight="1"/>
    <row r="503" ht="22.5" hidden="1" customHeight="1">
      <c r="J503" s="21" t="s">
        <v>2321</v>
      </c>
      <c r="K503" s="22">
        <v>46167.0</v>
      </c>
    </row>
    <row r="504" ht="22.5" hidden="1" customHeight="1"/>
    <row r="505" ht="22.5" hidden="1" customHeight="1">
      <c r="A505" s="8" t="s">
        <v>181</v>
      </c>
      <c r="B505" s="8" t="s">
        <v>2304</v>
      </c>
      <c r="C505" s="20" t="s">
        <v>131</v>
      </c>
      <c r="D505" s="20" t="s">
        <v>2305</v>
      </c>
      <c r="E505" s="20" t="s">
        <v>8</v>
      </c>
      <c r="F505" s="20" t="s">
        <v>982</v>
      </c>
      <c r="G505" s="20" t="s">
        <v>38</v>
      </c>
      <c r="H505" s="20" t="s">
        <v>983</v>
      </c>
      <c r="I505" s="21" t="s">
        <v>2306</v>
      </c>
      <c r="J505" s="21" t="s">
        <v>985</v>
      </c>
      <c r="K505" s="8" t="s">
        <v>986</v>
      </c>
      <c r="L505" s="20" t="s">
        <v>987</v>
      </c>
      <c r="M505" s="17" t="s">
        <v>2307</v>
      </c>
      <c r="N505" s="8" t="s">
        <v>2308</v>
      </c>
    </row>
    <row r="506" ht="22.5" customHeight="1">
      <c r="B506" s="8" t="s">
        <v>2323</v>
      </c>
      <c r="C506" s="20"/>
      <c r="D506" s="20">
        <v>0.0</v>
      </c>
      <c r="E506" s="20">
        <v>100.0</v>
      </c>
      <c r="F506" s="20">
        <v>0.0</v>
      </c>
      <c r="G506" s="20">
        <v>0.0</v>
      </c>
      <c r="H506" s="20">
        <v>0.0</v>
      </c>
      <c r="L506" s="20"/>
    </row>
    <row r="507" ht="22.5" customHeight="1">
      <c r="B507" s="8" t="s">
        <v>2324</v>
      </c>
      <c r="C507" s="20"/>
      <c r="D507" s="20">
        <v>0.0</v>
      </c>
      <c r="E507" s="20">
        <v>5.0</v>
      </c>
      <c r="F507" s="20">
        <v>15.0</v>
      </c>
      <c r="G507" s="20">
        <v>0.0</v>
      </c>
      <c r="H507" s="20">
        <v>0.0</v>
      </c>
      <c r="I507" s="21">
        <v>45597.0</v>
      </c>
      <c r="J507" s="21">
        <v>45627.0</v>
      </c>
      <c r="K507" s="8">
        <v>1.0</v>
      </c>
      <c r="L507" s="20">
        <v>-540.0</v>
      </c>
    </row>
    <row r="508" ht="22.5" customHeight="1">
      <c r="A508" s="8" t="s">
        <v>2406</v>
      </c>
      <c r="B508" s="8" t="s">
        <v>2326</v>
      </c>
      <c r="D508" s="20">
        <v>10.52</v>
      </c>
      <c r="E508" s="20">
        <v>3.0</v>
      </c>
      <c r="F508" s="20">
        <v>31.56</v>
      </c>
      <c r="G508" s="20">
        <v>0.0</v>
      </c>
      <c r="H508" s="20">
        <v>0.0</v>
      </c>
      <c r="I508" s="21">
        <v>45597.0</v>
      </c>
      <c r="J508" s="21">
        <v>45627.0</v>
      </c>
      <c r="K508" s="8">
        <v>1.0</v>
      </c>
      <c r="L508" s="20">
        <v>-540.0</v>
      </c>
    </row>
    <row r="509" ht="22.5" customHeight="1">
      <c r="B509" s="8" t="s">
        <v>2327</v>
      </c>
      <c r="C509" s="20"/>
      <c r="D509" s="20">
        <v>0.0</v>
      </c>
      <c r="E509" s="20">
        <v>1500.0</v>
      </c>
      <c r="F509" s="20">
        <v>0.0</v>
      </c>
      <c r="G509" s="20">
        <v>0.0</v>
      </c>
      <c r="H509" s="20">
        <v>0.0</v>
      </c>
      <c r="L509" s="20"/>
    </row>
    <row r="510" ht="22.5" customHeight="1">
      <c r="B510" s="8" t="s">
        <v>2328</v>
      </c>
      <c r="C510" s="20"/>
      <c r="D510" s="20">
        <v>0.0</v>
      </c>
      <c r="E510" s="20">
        <v>500.0</v>
      </c>
      <c r="F510" s="20">
        <v>0.0</v>
      </c>
      <c r="G510" s="20">
        <v>0.0</v>
      </c>
      <c r="H510" s="20">
        <v>0.0</v>
      </c>
      <c r="L510" s="20"/>
    </row>
    <row r="511" ht="22.5" customHeight="1">
      <c r="B511" s="8" t="s">
        <v>2329</v>
      </c>
      <c r="C511" s="20"/>
      <c r="D511" s="20">
        <v>0.0</v>
      </c>
      <c r="E511" s="20">
        <v>22.0</v>
      </c>
      <c r="F511" s="20">
        <v>0.0</v>
      </c>
      <c r="G511" s="20">
        <v>0.0</v>
      </c>
      <c r="H511" s="20">
        <v>0.0</v>
      </c>
      <c r="I511" s="21">
        <v>45597.0</v>
      </c>
      <c r="J511" s="21">
        <v>45627.0</v>
      </c>
      <c r="K511" s="8">
        <v>1.0</v>
      </c>
      <c r="L511" s="20">
        <v>-540.0</v>
      </c>
    </row>
    <row r="512" ht="22.5" customHeight="1">
      <c r="B512" s="8" t="s">
        <v>2330</v>
      </c>
      <c r="C512" s="20"/>
      <c r="D512" s="20">
        <v>0.0</v>
      </c>
      <c r="E512" s="20">
        <v>0.0</v>
      </c>
      <c r="F512" s="20">
        <v>0.0</v>
      </c>
      <c r="G512" s="20">
        <v>0.0</v>
      </c>
      <c r="H512" s="20">
        <v>0.0</v>
      </c>
      <c r="J512" s="21">
        <v>31.0</v>
      </c>
      <c r="K512" s="8">
        <v>1.0</v>
      </c>
      <c r="L512" s="20">
        <v>-46136.0</v>
      </c>
    </row>
    <row r="513" ht="22.5" customHeight="1">
      <c r="B513" s="8" t="s">
        <v>129</v>
      </c>
      <c r="C513" s="20"/>
      <c r="D513" s="20">
        <v>0.0</v>
      </c>
      <c r="E513" s="20">
        <v>15000.0</v>
      </c>
      <c r="F513" s="20">
        <v>0.0</v>
      </c>
      <c r="G513" s="20">
        <v>0.0</v>
      </c>
      <c r="H513" s="20">
        <v>0.0</v>
      </c>
      <c r="I513" s="21">
        <v>45609.0</v>
      </c>
      <c r="J513" s="21">
        <v>45639.0</v>
      </c>
      <c r="K513" s="8">
        <v>1.0</v>
      </c>
      <c r="L513" s="20">
        <v>-528.0</v>
      </c>
    </row>
    <row r="514" ht="22.5" customHeight="1">
      <c r="B514" s="8" t="s">
        <v>2343</v>
      </c>
      <c r="C514" s="20"/>
      <c r="D514" s="20">
        <v>0.0</v>
      </c>
      <c r="E514" s="20">
        <v>3000.0</v>
      </c>
      <c r="F514" s="20">
        <v>0.0</v>
      </c>
      <c r="G514" s="20">
        <v>0.0</v>
      </c>
      <c r="H514" s="20">
        <v>0.0</v>
      </c>
      <c r="L514" s="20"/>
    </row>
    <row r="515" ht="22.5" customHeight="1">
      <c r="B515" s="8" t="s">
        <v>2354</v>
      </c>
      <c r="C515" s="20"/>
      <c r="D515" s="20">
        <v>0.0</v>
      </c>
      <c r="E515" s="20">
        <v>5000.0</v>
      </c>
      <c r="F515" s="20">
        <v>0.0</v>
      </c>
      <c r="G515" s="20">
        <v>0.0</v>
      </c>
      <c r="H515" s="20">
        <v>0.0</v>
      </c>
      <c r="L515" s="20"/>
    </row>
    <row r="516" ht="22.5" customHeight="1">
      <c r="B516" s="8" t="s">
        <v>129</v>
      </c>
      <c r="C516" s="20"/>
      <c r="L516" s="20"/>
    </row>
    <row r="517" ht="22.5" customHeight="1">
      <c r="B517" s="8" t="s">
        <v>129</v>
      </c>
      <c r="C517" s="20"/>
      <c r="D517" s="20">
        <v>1.0</v>
      </c>
      <c r="G517" s="20">
        <v>0.0</v>
      </c>
      <c r="H517" s="20">
        <v>0.0</v>
      </c>
      <c r="L517" s="20"/>
    </row>
    <row r="518" ht="22.5" customHeight="1">
      <c r="A518" s="8" t="s">
        <v>2407</v>
      </c>
      <c r="B518" s="8" t="s">
        <v>2364</v>
      </c>
      <c r="C518" s="20"/>
      <c r="D518" s="20">
        <v>1.0</v>
      </c>
      <c r="E518" s="20">
        <v>6000.0</v>
      </c>
      <c r="F518" s="20">
        <v>6000.0</v>
      </c>
      <c r="G518" s="20">
        <v>0.0</v>
      </c>
      <c r="H518" s="20">
        <v>0.0</v>
      </c>
      <c r="I518" s="21">
        <v>45620.0</v>
      </c>
      <c r="J518" s="21">
        <v>45650.0</v>
      </c>
      <c r="K518" s="8">
        <v>1.0</v>
      </c>
      <c r="L518" s="20">
        <v>-517.0</v>
      </c>
    </row>
    <row r="519" ht="22.5" customHeight="1">
      <c r="B519" s="8" t="s">
        <v>2367</v>
      </c>
      <c r="C519" s="20"/>
      <c r="D519" s="20">
        <v>0.0</v>
      </c>
      <c r="E519" s="20">
        <v>6000.0</v>
      </c>
      <c r="F519" s="20">
        <v>0.0</v>
      </c>
      <c r="G519" s="20">
        <v>0.0</v>
      </c>
      <c r="H519" s="20">
        <v>0.0</v>
      </c>
      <c r="I519" s="21">
        <v>45603.0</v>
      </c>
      <c r="J519" s="21">
        <v>45633.0</v>
      </c>
      <c r="K519" s="8">
        <v>1.0</v>
      </c>
      <c r="L519" s="20">
        <v>-534.0</v>
      </c>
    </row>
    <row r="520" ht="22.5" customHeight="1">
      <c r="B520" s="8" t="s">
        <v>55</v>
      </c>
      <c r="C520" s="20"/>
      <c r="D520" s="20">
        <v>0.0</v>
      </c>
      <c r="E520" s="20">
        <v>6.0</v>
      </c>
      <c r="F520" s="20">
        <v>0.0</v>
      </c>
      <c r="G520" s="20">
        <v>0.0</v>
      </c>
      <c r="H520" s="20">
        <v>0.0</v>
      </c>
      <c r="I520" s="21">
        <v>45621.0</v>
      </c>
      <c r="J520" s="21">
        <v>45651.0</v>
      </c>
      <c r="K520" s="8">
        <v>0.0</v>
      </c>
      <c r="L520" s="20">
        <v>-516.0</v>
      </c>
    </row>
    <row r="521" ht="22.5" hidden="1" customHeight="1">
      <c r="C521" s="20"/>
      <c r="L521" s="20"/>
    </row>
    <row r="522" ht="22.5" hidden="1" customHeight="1">
      <c r="C522" s="20"/>
    </row>
    <row r="523" ht="22.5" hidden="1" customHeight="1">
      <c r="C523" s="20"/>
    </row>
    <row r="524" ht="22.5" hidden="1" customHeight="1">
      <c r="B524" s="8" t="s">
        <v>2331</v>
      </c>
      <c r="C524" s="8">
        <v>0.0</v>
      </c>
      <c r="F524" s="20" t="s">
        <v>983</v>
      </c>
      <c r="G524" s="20">
        <v>0.0</v>
      </c>
      <c r="H524" s="20">
        <v>0.0</v>
      </c>
    </row>
    <row r="525" ht="22.5" hidden="1" customHeight="1">
      <c r="F525" s="20" t="s">
        <v>2332</v>
      </c>
      <c r="H525" s="20">
        <v>0.0</v>
      </c>
    </row>
    <row r="526" ht="22.5" hidden="1" customHeight="1"/>
    <row r="527" ht="22.5" hidden="1" customHeight="1"/>
    <row r="528" ht="22.5" hidden="1" customHeight="1">
      <c r="J528" s="21" t="s">
        <v>2321</v>
      </c>
      <c r="K528" s="22">
        <v>46167.0</v>
      </c>
    </row>
    <row r="529" ht="22.5" hidden="1" customHeight="1"/>
    <row r="530" ht="22.5" hidden="1" customHeight="1">
      <c r="A530" s="8" t="s">
        <v>181</v>
      </c>
      <c r="B530" s="8" t="s">
        <v>2304</v>
      </c>
      <c r="C530" s="20" t="s">
        <v>131</v>
      </c>
      <c r="D530" s="20" t="s">
        <v>2305</v>
      </c>
      <c r="E530" s="20" t="s">
        <v>8</v>
      </c>
      <c r="F530" s="20" t="s">
        <v>982</v>
      </c>
      <c r="G530" s="20" t="s">
        <v>38</v>
      </c>
      <c r="H530" s="20" t="s">
        <v>983</v>
      </c>
      <c r="I530" s="21" t="s">
        <v>2306</v>
      </c>
      <c r="J530" s="21" t="s">
        <v>985</v>
      </c>
      <c r="K530" s="20" t="s">
        <v>986</v>
      </c>
      <c r="L530" s="20" t="s">
        <v>987</v>
      </c>
      <c r="M530" s="17" t="s">
        <v>2307</v>
      </c>
      <c r="N530" s="8" t="s">
        <v>2308</v>
      </c>
    </row>
    <row r="531" ht="22.5" customHeight="1">
      <c r="B531" s="8" t="s">
        <v>2323</v>
      </c>
      <c r="C531" s="20"/>
      <c r="D531" s="20">
        <v>0.0</v>
      </c>
      <c r="E531" s="20">
        <v>100.0</v>
      </c>
      <c r="F531" s="20">
        <v>0.0</v>
      </c>
      <c r="G531" s="20">
        <v>0.0</v>
      </c>
      <c r="H531" s="20">
        <v>0.0</v>
      </c>
      <c r="L531" s="20"/>
    </row>
    <row r="532" ht="22.5" customHeight="1">
      <c r="B532" s="8" t="s">
        <v>2324</v>
      </c>
      <c r="C532" s="20"/>
      <c r="D532" s="20">
        <v>0.0</v>
      </c>
      <c r="E532" s="20">
        <v>5.0</v>
      </c>
      <c r="F532" s="20">
        <v>15.0</v>
      </c>
      <c r="G532" s="20">
        <v>0.0</v>
      </c>
      <c r="H532" s="20">
        <v>0.0</v>
      </c>
      <c r="I532" s="21">
        <v>45597.0</v>
      </c>
      <c r="J532" s="21">
        <v>45627.0</v>
      </c>
      <c r="K532" s="8">
        <v>1.0</v>
      </c>
      <c r="L532" s="20">
        <v>-540.0</v>
      </c>
    </row>
    <row r="533" ht="22.5" customHeight="1">
      <c r="B533" s="8" t="s">
        <v>2326</v>
      </c>
      <c r="C533" s="20" t="s">
        <v>1441</v>
      </c>
      <c r="D533" s="20">
        <v>0.0</v>
      </c>
      <c r="E533" s="20">
        <v>3.0</v>
      </c>
      <c r="F533" s="20">
        <v>0.0</v>
      </c>
      <c r="G533" s="20">
        <v>0.0</v>
      </c>
      <c r="H533" s="20">
        <v>0.0</v>
      </c>
      <c r="I533" s="21">
        <v>45597.0</v>
      </c>
      <c r="J533" s="21">
        <v>45627.0</v>
      </c>
      <c r="K533" s="8">
        <v>1.0</v>
      </c>
      <c r="L533" s="20">
        <v>-540.0</v>
      </c>
    </row>
    <row r="534" ht="22.5" customHeight="1">
      <c r="B534" s="8" t="s">
        <v>2327</v>
      </c>
      <c r="C534" s="20"/>
      <c r="D534" s="20">
        <v>0.0</v>
      </c>
      <c r="E534" s="20">
        <v>1500.0</v>
      </c>
      <c r="F534" s="20">
        <v>0.0</v>
      </c>
      <c r="G534" s="20">
        <v>0.0</v>
      </c>
      <c r="H534" s="20">
        <v>0.0</v>
      </c>
      <c r="L534" s="20"/>
    </row>
    <row r="535" ht="22.5" customHeight="1">
      <c r="B535" s="8" t="s">
        <v>2328</v>
      </c>
      <c r="C535" s="20"/>
      <c r="D535" s="20">
        <v>0.0</v>
      </c>
      <c r="E535" s="20">
        <v>500.0</v>
      </c>
      <c r="F535" s="20">
        <v>0.0</v>
      </c>
      <c r="G535" s="20">
        <v>0.0</v>
      </c>
      <c r="H535" s="20">
        <v>0.0</v>
      </c>
      <c r="L535" s="20"/>
    </row>
    <row r="536" ht="22.5" customHeight="1">
      <c r="B536" s="8" t="s">
        <v>2329</v>
      </c>
      <c r="C536" s="20"/>
      <c r="D536" s="20">
        <v>0.0</v>
      </c>
      <c r="E536" s="20">
        <v>22.0</v>
      </c>
      <c r="F536" s="20">
        <v>0.0</v>
      </c>
      <c r="G536" s="20">
        <v>0.0</v>
      </c>
      <c r="H536" s="20">
        <v>0.0</v>
      </c>
      <c r="I536" s="21">
        <v>45597.0</v>
      </c>
      <c r="J536" s="21">
        <v>45627.0</v>
      </c>
      <c r="K536" s="8">
        <v>1.0</v>
      </c>
      <c r="L536" s="20">
        <v>-540.0</v>
      </c>
    </row>
    <row r="537" ht="22.5" customHeight="1">
      <c r="B537" s="8" t="s">
        <v>2330</v>
      </c>
      <c r="C537" s="20"/>
      <c r="D537" s="20">
        <v>0.0</v>
      </c>
      <c r="E537" s="20">
        <v>0.0</v>
      </c>
      <c r="F537" s="20">
        <v>0.0</v>
      </c>
      <c r="G537" s="20">
        <v>0.0</v>
      </c>
      <c r="H537" s="20">
        <v>0.0</v>
      </c>
      <c r="J537" s="21">
        <v>31.0</v>
      </c>
      <c r="K537" s="8">
        <v>1.0</v>
      </c>
      <c r="L537" s="20">
        <v>-46136.0</v>
      </c>
    </row>
    <row r="538" ht="22.5" customHeight="1">
      <c r="B538" s="8" t="s">
        <v>129</v>
      </c>
      <c r="C538" s="20"/>
      <c r="D538" s="20">
        <v>0.0</v>
      </c>
      <c r="E538" s="20">
        <v>15000.0</v>
      </c>
      <c r="F538" s="20">
        <v>0.0</v>
      </c>
      <c r="G538" s="20">
        <v>0.0</v>
      </c>
      <c r="H538" s="20">
        <v>0.0</v>
      </c>
      <c r="I538" s="21">
        <v>45609.0</v>
      </c>
      <c r="J538" s="21">
        <v>45639.0</v>
      </c>
      <c r="K538" s="8">
        <v>1.0</v>
      </c>
      <c r="L538" s="20">
        <v>-528.0</v>
      </c>
    </row>
    <row r="539" ht="22.5" customHeight="1">
      <c r="B539" s="8" t="s">
        <v>2343</v>
      </c>
      <c r="C539" s="20"/>
      <c r="D539" s="20">
        <v>0.0</v>
      </c>
      <c r="E539" s="20">
        <v>3000.0</v>
      </c>
      <c r="F539" s="20">
        <v>0.0</v>
      </c>
      <c r="G539" s="20">
        <v>0.0</v>
      </c>
      <c r="H539" s="20">
        <v>0.0</v>
      </c>
      <c r="L539" s="20"/>
    </row>
    <row r="540" ht="22.5" customHeight="1">
      <c r="B540" s="8" t="s">
        <v>2354</v>
      </c>
      <c r="C540" s="20"/>
      <c r="D540" s="20">
        <v>0.0</v>
      </c>
      <c r="E540" s="20">
        <v>5000.0</v>
      </c>
      <c r="F540" s="20">
        <v>0.0</v>
      </c>
      <c r="G540" s="20">
        <v>0.0</v>
      </c>
      <c r="H540" s="20">
        <v>0.0</v>
      </c>
      <c r="L540" s="20"/>
    </row>
    <row r="541" ht="22.5" customHeight="1">
      <c r="B541" s="8" t="s">
        <v>129</v>
      </c>
      <c r="C541" s="20"/>
      <c r="L541" s="20"/>
    </row>
    <row r="542" ht="22.5" customHeight="1">
      <c r="A542" s="8" t="s">
        <v>2400</v>
      </c>
      <c r="B542" s="8" t="s">
        <v>129</v>
      </c>
      <c r="C542" s="20"/>
      <c r="D542" s="20">
        <v>1.0</v>
      </c>
      <c r="G542" s="20">
        <v>0.0</v>
      </c>
      <c r="H542" s="20">
        <v>0.0</v>
      </c>
      <c r="L542" s="20"/>
    </row>
    <row r="543" ht="22.5" customHeight="1">
      <c r="B543" s="8" t="s">
        <v>2364</v>
      </c>
      <c r="C543" s="20"/>
      <c r="D543" s="20">
        <v>0.0</v>
      </c>
      <c r="E543" s="20">
        <v>5000.0</v>
      </c>
      <c r="F543" s="20">
        <v>0.0</v>
      </c>
      <c r="G543" s="20">
        <v>0.0</v>
      </c>
      <c r="H543" s="20">
        <v>0.0</v>
      </c>
      <c r="I543" s="21">
        <v>45620.0</v>
      </c>
      <c r="J543" s="21">
        <v>45650.0</v>
      </c>
      <c r="K543" s="8">
        <v>1.0</v>
      </c>
      <c r="L543" s="20">
        <v>-517.0</v>
      </c>
    </row>
    <row r="544" ht="22.5" customHeight="1">
      <c r="A544" s="8" t="s">
        <v>2408</v>
      </c>
      <c r="B544" s="8" t="s">
        <v>2367</v>
      </c>
      <c r="C544" s="20"/>
      <c r="D544" s="20">
        <v>0.0</v>
      </c>
      <c r="E544" s="20">
        <v>6000.0</v>
      </c>
      <c r="F544" s="20">
        <v>0.0</v>
      </c>
      <c r="G544" s="20">
        <v>0.0</v>
      </c>
      <c r="H544" s="20">
        <v>0.0</v>
      </c>
      <c r="I544" s="21">
        <v>45603.0</v>
      </c>
      <c r="J544" s="21">
        <v>45633.0</v>
      </c>
      <c r="K544" s="8">
        <v>1.0</v>
      </c>
      <c r="L544" s="20">
        <v>-534.0</v>
      </c>
      <c r="M544" s="17" t="s">
        <v>2403</v>
      </c>
    </row>
    <row r="545" ht="22.5" customHeight="1">
      <c r="B545" s="8" t="s">
        <v>55</v>
      </c>
      <c r="C545" s="20"/>
      <c r="D545" s="20">
        <v>0.0</v>
      </c>
      <c r="E545" s="20">
        <v>6.0</v>
      </c>
      <c r="F545" s="20">
        <v>0.0</v>
      </c>
      <c r="G545" s="20">
        <v>0.0</v>
      </c>
      <c r="H545" s="20">
        <v>0.0</v>
      </c>
      <c r="I545" s="21">
        <v>45621.0</v>
      </c>
      <c r="J545" s="21">
        <v>45651.0</v>
      </c>
      <c r="K545" s="8">
        <v>0.0</v>
      </c>
      <c r="L545" s="20">
        <v>-516.0</v>
      </c>
    </row>
    <row r="546" ht="22.5" customHeight="1"/>
    <row r="547" ht="22.5" hidden="1" customHeight="1">
      <c r="C547" s="20"/>
      <c r="L547" s="20"/>
    </row>
    <row r="548" ht="22.5" hidden="1" customHeight="1">
      <c r="C548" s="20"/>
    </row>
    <row r="549" ht="22.5" hidden="1" customHeight="1">
      <c r="C549" s="20"/>
    </row>
    <row r="550" ht="22.5" hidden="1" customHeight="1">
      <c r="B550" s="8" t="s">
        <v>2331</v>
      </c>
      <c r="C550" s="20">
        <v>1.0</v>
      </c>
      <c r="F550" s="20" t="s">
        <v>983</v>
      </c>
      <c r="G550" s="20">
        <v>0.0</v>
      </c>
      <c r="H550" s="20">
        <v>0.0</v>
      </c>
    </row>
    <row r="551" ht="22.5" hidden="1" customHeight="1">
      <c r="F551" s="20" t="s">
        <v>2332</v>
      </c>
      <c r="H551" s="20">
        <v>0.0</v>
      </c>
    </row>
    <row r="552" ht="22.5" hidden="1" customHeight="1"/>
    <row r="553" ht="22.5" hidden="1" customHeight="1"/>
    <row r="554" ht="22.5" hidden="1" customHeight="1"/>
    <row r="555" ht="22.5" hidden="1" customHeight="1"/>
    <row r="556" ht="22.5" hidden="1" customHeight="1"/>
    <row r="557" ht="22.5" hidden="1" customHeight="1"/>
    <row r="558" ht="22.5" hidden="1" customHeight="1"/>
    <row r="559" ht="22.5" hidden="1" customHeight="1"/>
    <row r="560" ht="22.5" hidden="1" customHeight="1"/>
    <row r="561" ht="22.5" hidden="1" customHeight="1"/>
    <row r="562" ht="22.5" hidden="1" customHeight="1"/>
    <row r="563" ht="22.5" hidden="1" customHeight="1"/>
    <row r="564" ht="22.5" hidden="1" customHeight="1"/>
    <row r="565" ht="22.5" hidden="1" customHeight="1"/>
    <row r="566" ht="22.5" hidden="1" customHeight="1"/>
    <row r="567" ht="22.5" hidden="1" customHeight="1"/>
    <row r="568" ht="22.5" hidden="1" customHeight="1"/>
    <row r="569" ht="22.5" hidden="1" customHeight="1"/>
    <row r="570" ht="22.5" hidden="1" customHeight="1"/>
    <row r="571" ht="22.5" hidden="1" customHeight="1"/>
    <row r="572" ht="22.5" hidden="1" customHeight="1"/>
    <row r="573" ht="22.5" hidden="1" customHeight="1"/>
    <row r="574" ht="22.5" hidden="1" customHeight="1"/>
    <row r="575" ht="22.5" hidden="1" customHeight="1"/>
    <row r="576" ht="22.5" hidden="1" customHeight="1"/>
    <row r="577" ht="22.5" hidden="1" customHeight="1"/>
    <row r="578" ht="22.5" hidden="1" customHeight="1"/>
    <row r="579" ht="22.5" hidden="1" customHeight="1"/>
    <row r="580" ht="22.5" hidden="1" customHeight="1"/>
    <row r="581" ht="22.5" hidden="1" customHeight="1"/>
    <row r="582" ht="22.5" hidden="1" customHeight="1"/>
    <row r="583" ht="22.5" hidden="1" customHeight="1"/>
    <row r="584" ht="22.5" hidden="1" customHeight="1"/>
    <row r="585" ht="22.5" hidden="1" customHeight="1"/>
    <row r="586" ht="22.5" hidden="1" customHeight="1"/>
    <row r="587" ht="22.5" hidden="1" customHeight="1"/>
    <row r="588" ht="22.5" hidden="1" customHeight="1"/>
    <row r="589" ht="22.5" hidden="1" customHeight="1"/>
    <row r="590" ht="22.5" hidden="1" customHeight="1"/>
    <row r="591" ht="22.5" hidden="1" customHeight="1"/>
    <row r="592" ht="22.5" hidden="1" customHeight="1"/>
    <row r="593" ht="22.5" hidden="1" customHeight="1"/>
    <row r="594" ht="22.5" hidden="1" customHeight="1"/>
    <row r="595" ht="22.5" hidden="1" customHeight="1"/>
    <row r="596" ht="22.5" hidden="1" customHeight="1"/>
    <row r="597" ht="22.5" hidden="1" customHeight="1"/>
    <row r="598" ht="22.5" hidden="1" customHeight="1"/>
    <row r="599" ht="22.5" hidden="1" customHeight="1"/>
    <row r="600" ht="22.5" hidden="1" customHeight="1"/>
    <row r="601" ht="22.5" hidden="1" customHeight="1"/>
    <row r="602" ht="22.5" hidden="1" customHeight="1"/>
    <row r="603" ht="22.5" hidden="1" customHeight="1"/>
    <row r="604" ht="22.5" hidden="1" customHeight="1"/>
    <row r="605" ht="22.5" hidden="1" customHeight="1"/>
    <row r="606" ht="22.5" hidden="1" customHeight="1"/>
    <row r="607" ht="22.5" hidden="1" customHeight="1"/>
    <row r="608" ht="22.5" hidden="1" customHeight="1"/>
    <row r="609" ht="22.5" hidden="1" customHeight="1"/>
    <row r="610" ht="22.5" hidden="1" customHeight="1"/>
    <row r="611" ht="22.5" hidden="1" customHeight="1"/>
    <row r="612" ht="22.5" hidden="1" customHeight="1"/>
    <row r="613" ht="22.5" hidden="1" customHeight="1"/>
    <row r="614" ht="22.5" hidden="1" customHeight="1"/>
    <row r="615" ht="22.5" hidden="1" customHeight="1"/>
    <row r="616" ht="22.5" hidden="1" customHeight="1"/>
    <row r="617" ht="22.5" hidden="1" customHeight="1"/>
    <row r="618" ht="22.5" hidden="1" customHeight="1"/>
    <row r="619" ht="22.5" hidden="1" customHeight="1"/>
    <row r="620" ht="22.5" hidden="1" customHeight="1"/>
    <row r="621" ht="22.5" hidden="1" customHeight="1"/>
    <row r="622" ht="22.5" hidden="1" customHeight="1"/>
    <row r="623" ht="22.5" hidden="1" customHeight="1"/>
    <row r="624" ht="22.5" hidden="1" customHeight="1"/>
    <row r="625" ht="22.5" hidden="1" customHeight="1"/>
    <row r="626" ht="22.5" hidden="1" customHeight="1"/>
    <row r="627" ht="22.5" hidden="1" customHeight="1"/>
    <row r="628" ht="22.5" hidden="1" customHeight="1"/>
    <row r="629" ht="22.5" hidden="1" customHeight="1"/>
    <row r="630" ht="22.5" hidden="1" customHeight="1"/>
    <row r="631" ht="22.5" hidden="1" customHeight="1"/>
    <row r="632" ht="22.5" hidden="1" customHeight="1"/>
    <row r="633" ht="22.5" hidden="1" customHeight="1"/>
    <row r="634" ht="22.5" hidden="1" customHeight="1"/>
    <row r="635" ht="22.5" hidden="1" customHeight="1"/>
    <row r="636" ht="22.5" hidden="1" customHeight="1"/>
    <row r="637" ht="22.5" hidden="1" customHeight="1"/>
    <row r="638" ht="22.5" hidden="1" customHeight="1"/>
    <row r="639" ht="22.5" hidden="1" customHeight="1"/>
    <row r="640" ht="22.5" hidden="1" customHeight="1"/>
    <row r="641" ht="22.5" hidden="1" customHeight="1"/>
    <row r="642" ht="22.5" hidden="1" customHeight="1"/>
    <row r="643" ht="22.5" hidden="1" customHeight="1"/>
    <row r="644" ht="22.5" hidden="1" customHeight="1"/>
    <row r="645" ht="22.5" hidden="1" customHeight="1"/>
    <row r="646" ht="22.5" hidden="1" customHeight="1"/>
    <row r="647" ht="22.5" hidden="1" customHeight="1"/>
    <row r="648" ht="22.5" hidden="1" customHeight="1"/>
    <row r="649" ht="22.5" hidden="1" customHeight="1"/>
    <row r="650" ht="22.5" hidden="1" customHeight="1"/>
    <row r="651" ht="22.5" hidden="1" customHeight="1"/>
    <row r="652" ht="22.5" hidden="1" customHeight="1"/>
    <row r="653" ht="22.5" hidden="1" customHeight="1"/>
    <row r="654" ht="22.5" hidden="1" customHeight="1"/>
    <row r="655" ht="22.5" hidden="1" customHeight="1"/>
    <row r="656" ht="22.5" hidden="1" customHeight="1"/>
    <row r="657" ht="22.5" hidden="1" customHeight="1"/>
    <row r="658" ht="22.5" hidden="1" customHeight="1"/>
    <row r="659" ht="22.5" hidden="1" customHeight="1"/>
    <row r="660" ht="22.5" hidden="1" customHeight="1"/>
    <row r="661" ht="22.5" hidden="1" customHeight="1"/>
    <row r="662" ht="22.5" hidden="1" customHeight="1"/>
    <row r="663" ht="22.5" hidden="1" customHeight="1"/>
    <row r="664" ht="22.5" hidden="1" customHeight="1"/>
    <row r="665" ht="22.5" hidden="1" customHeight="1"/>
    <row r="666" ht="22.5" hidden="1" customHeight="1"/>
    <row r="667" ht="22.5" hidden="1" customHeight="1"/>
    <row r="668" ht="22.5" hidden="1" customHeight="1"/>
    <row r="669" ht="22.5" hidden="1" customHeight="1"/>
    <row r="670" ht="22.5" hidden="1" customHeight="1"/>
    <row r="671" ht="22.5" hidden="1" customHeight="1"/>
    <row r="672" ht="22.5" hidden="1" customHeight="1"/>
    <row r="673" ht="22.5" hidden="1" customHeight="1"/>
    <row r="674" ht="22.5" hidden="1" customHeight="1"/>
    <row r="675" ht="22.5" hidden="1" customHeight="1"/>
    <row r="676" ht="22.5" hidden="1" customHeight="1"/>
    <row r="677" ht="22.5" hidden="1" customHeight="1"/>
    <row r="678" ht="22.5" hidden="1" customHeight="1"/>
    <row r="679" ht="22.5" hidden="1" customHeight="1"/>
    <row r="680" ht="22.5" hidden="1" customHeight="1"/>
    <row r="681" ht="22.5" hidden="1" customHeight="1"/>
    <row r="682" ht="22.5" hidden="1" customHeight="1"/>
    <row r="683" ht="22.5" hidden="1" customHeight="1"/>
    <row r="684" ht="22.5" hidden="1" customHeight="1"/>
    <row r="685" ht="22.5" hidden="1" customHeight="1"/>
    <row r="686" ht="22.5" hidden="1" customHeight="1"/>
    <row r="687" ht="22.5" hidden="1" customHeight="1"/>
    <row r="688" ht="22.5" hidden="1" customHeight="1"/>
    <row r="689" ht="22.5" hidden="1" customHeight="1"/>
    <row r="690" ht="22.5" hidden="1" customHeight="1"/>
    <row r="691" ht="22.5" hidden="1" customHeight="1"/>
    <row r="692" ht="22.5" hidden="1" customHeight="1"/>
    <row r="693" ht="22.5" hidden="1" customHeight="1"/>
    <row r="694" ht="22.5" hidden="1" customHeight="1"/>
    <row r="695" ht="22.5" hidden="1" customHeight="1"/>
    <row r="696" ht="22.5" hidden="1" customHeight="1"/>
    <row r="697" ht="22.5" hidden="1" customHeight="1"/>
    <row r="698" ht="22.5" hidden="1" customHeight="1"/>
    <row r="699" ht="22.5" hidden="1" customHeight="1"/>
    <row r="700" ht="22.5" hidden="1" customHeight="1"/>
    <row r="701" ht="22.5" hidden="1" customHeight="1"/>
    <row r="702" ht="22.5" hidden="1" customHeight="1"/>
    <row r="703" ht="22.5" hidden="1" customHeight="1"/>
    <row r="704" ht="22.5" hidden="1" customHeight="1"/>
    <row r="705" ht="22.5" hidden="1" customHeight="1"/>
    <row r="706" ht="22.5" hidden="1" customHeight="1"/>
    <row r="707" ht="22.5" hidden="1" customHeight="1"/>
    <row r="708" ht="22.5" hidden="1" customHeight="1"/>
    <row r="709" ht="22.5" hidden="1" customHeight="1"/>
    <row r="710" ht="22.5" hidden="1" customHeight="1"/>
    <row r="711" ht="22.5" hidden="1" customHeight="1"/>
    <row r="712" ht="22.5" hidden="1" customHeight="1"/>
    <row r="713" ht="22.5" hidden="1" customHeight="1"/>
    <row r="714" ht="22.5" hidden="1" customHeight="1"/>
    <row r="715" ht="22.5" hidden="1" customHeight="1"/>
    <row r="716" ht="22.5" hidden="1" customHeight="1"/>
    <row r="717" ht="22.5" hidden="1" customHeight="1"/>
    <row r="718" ht="22.5" hidden="1" customHeight="1"/>
    <row r="719" ht="22.5" hidden="1" customHeight="1"/>
    <row r="720" ht="22.5" hidden="1" customHeight="1"/>
    <row r="721" ht="22.5" hidden="1" customHeight="1"/>
    <row r="722" ht="22.5" hidden="1" customHeight="1"/>
    <row r="723" ht="22.5" hidden="1" customHeight="1"/>
    <row r="724" ht="22.5" hidden="1" customHeight="1"/>
    <row r="725" ht="22.5" hidden="1" customHeight="1"/>
    <row r="726" ht="22.5" hidden="1" customHeight="1"/>
    <row r="727" ht="22.5" hidden="1" customHeight="1"/>
    <row r="728" ht="22.5" hidden="1" customHeight="1"/>
    <row r="729" ht="22.5" hidden="1" customHeight="1"/>
    <row r="730" ht="22.5" hidden="1" customHeight="1"/>
    <row r="731" ht="22.5" hidden="1" customHeight="1"/>
    <row r="732" ht="22.5" hidden="1" customHeight="1"/>
    <row r="733" ht="22.5" hidden="1" customHeight="1"/>
    <row r="734" ht="22.5" hidden="1" customHeight="1"/>
    <row r="735" ht="22.5" hidden="1" customHeight="1"/>
    <row r="736" ht="22.5" hidden="1" customHeight="1"/>
    <row r="737" ht="22.5" hidden="1" customHeight="1"/>
    <row r="738" ht="22.5" hidden="1" customHeight="1"/>
    <row r="739" ht="22.5" hidden="1" customHeight="1"/>
    <row r="740" ht="22.5" hidden="1" customHeight="1"/>
    <row r="741" ht="22.5" hidden="1" customHeight="1"/>
    <row r="742" ht="22.5" hidden="1" customHeight="1"/>
    <row r="743" ht="22.5" hidden="1" customHeight="1"/>
    <row r="744" ht="22.5" hidden="1" customHeight="1"/>
    <row r="745" ht="22.5" hidden="1" customHeight="1"/>
    <row r="746" ht="22.5" hidden="1" customHeight="1"/>
    <row r="747" ht="22.5" hidden="1" customHeight="1"/>
    <row r="748" ht="22.5" hidden="1" customHeight="1"/>
    <row r="749" ht="22.5" hidden="1" customHeight="1"/>
    <row r="750" ht="22.5" hidden="1" customHeight="1"/>
    <row r="751" ht="22.5" hidden="1"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sheetData>
    <row r="1" ht="22.5" customHeight="1">
      <c r="A1" s="8" t="s">
        <v>610</v>
      </c>
      <c r="B1" s="8" t="s">
        <v>2409</v>
      </c>
      <c r="C1" s="8" t="s">
        <v>2410</v>
      </c>
      <c r="D1" s="8" t="s">
        <v>2411</v>
      </c>
      <c r="E1" s="8" t="s">
        <v>2412</v>
      </c>
      <c r="F1" s="8" t="s">
        <v>2413</v>
      </c>
      <c r="G1" s="8" t="s">
        <v>2414</v>
      </c>
      <c r="H1" s="8" t="s">
        <v>2415</v>
      </c>
      <c r="I1" s="8" t="s">
        <v>2416</v>
      </c>
      <c r="J1" s="8" t="s">
        <v>2417</v>
      </c>
      <c r="K1" s="8" t="s">
        <v>2418</v>
      </c>
      <c r="L1" s="8" t="s">
        <v>2419</v>
      </c>
      <c r="M1" s="8" t="s">
        <v>2420</v>
      </c>
      <c r="N1" s="8" t="s">
        <v>2421</v>
      </c>
      <c r="O1" s="8" t="s">
        <v>2422</v>
      </c>
      <c r="P1" s="8" t="s">
        <v>2423</v>
      </c>
      <c r="Q1" s="8" t="s">
        <v>2424</v>
      </c>
      <c r="R1" s="8" t="s">
        <v>2425</v>
      </c>
      <c r="S1" s="8" t="s">
        <v>2426</v>
      </c>
      <c r="T1" s="8" t="s">
        <v>2312</v>
      </c>
    </row>
    <row r="2" ht="22.5" customHeight="1">
      <c r="A2" s="8" t="s">
        <v>2427</v>
      </c>
      <c r="B2" s="8" t="s">
        <v>2428</v>
      </c>
      <c r="C2" s="8" t="s">
        <v>2429</v>
      </c>
      <c r="D2" s="9" t="s">
        <v>2430</v>
      </c>
      <c r="E2" s="8" t="s">
        <v>2431</v>
      </c>
      <c r="F2" s="21">
        <v>45291.0</v>
      </c>
      <c r="H2" s="8" t="s">
        <v>2432</v>
      </c>
      <c r="I2" s="8" t="s">
        <v>2433</v>
      </c>
      <c r="L2" s="11" t="s">
        <v>2434</v>
      </c>
    </row>
    <row r="3" ht="22.5" customHeight="1">
      <c r="A3" s="8" t="s">
        <v>2330</v>
      </c>
      <c r="B3" s="8" t="s">
        <v>2435</v>
      </c>
      <c r="C3" s="8" t="s">
        <v>2436</v>
      </c>
      <c r="D3" s="9" t="s">
        <v>2437</v>
      </c>
      <c r="E3" s="8" t="s">
        <v>2438</v>
      </c>
      <c r="F3" s="21">
        <v>45291.0</v>
      </c>
      <c r="H3" s="8" t="s">
        <v>2432</v>
      </c>
      <c r="I3" s="8" t="s">
        <v>2439</v>
      </c>
      <c r="L3" s="11" t="s">
        <v>2440</v>
      </c>
      <c r="P3" s="8" t="s">
        <v>2441</v>
      </c>
    </row>
    <row r="4" ht="22.5" customHeight="1">
      <c r="A4" s="8" t="s">
        <v>2442</v>
      </c>
      <c r="B4" s="8" t="s">
        <v>949</v>
      </c>
      <c r="C4" s="8" t="s">
        <v>2429</v>
      </c>
      <c r="D4" s="9" t="s">
        <v>2443</v>
      </c>
      <c r="E4" s="8" t="s">
        <v>2444</v>
      </c>
      <c r="F4" s="21">
        <v>45598.0</v>
      </c>
      <c r="G4" s="8" t="s">
        <v>2445</v>
      </c>
      <c r="H4" s="8" t="s">
        <v>2446</v>
      </c>
      <c r="I4" s="8" t="s">
        <v>2447</v>
      </c>
      <c r="J4" s="8" t="s">
        <v>2448</v>
      </c>
      <c r="K4" s="8" t="s">
        <v>2449</v>
      </c>
      <c r="L4" s="11" t="s">
        <v>2450</v>
      </c>
      <c r="M4" s="8" t="s">
        <v>2451</v>
      </c>
      <c r="O4" s="8" t="s">
        <v>2452</v>
      </c>
      <c r="P4" s="8" t="s">
        <v>2021</v>
      </c>
    </row>
    <row r="5" ht="22.5" customHeight="1">
      <c r="A5" s="8" t="s">
        <v>55</v>
      </c>
      <c r="B5" s="8" t="s">
        <v>949</v>
      </c>
      <c r="C5" s="8" t="s">
        <v>2453</v>
      </c>
      <c r="D5" s="9" t="s">
        <v>2454</v>
      </c>
      <c r="E5" s="8" t="s">
        <v>2455</v>
      </c>
      <c r="F5" s="21">
        <v>45568.0</v>
      </c>
      <c r="G5" s="8" t="s">
        <v>2456</v>
      </c>
      <c r="H5" s="8" t="s">
        <v>2446</v>
      </c>
      <c r="I5" s="8" t="s">
        <v>2457</v>
      </c>
      <c r="J5" s="8" t="s">
        <v>2458</v>
      </c>
      <c r="K5" s="8" t="s">
        <v>2459</v>
      </c>
      <c r="L5" s="11" t="s">
        <v>2460</v>
      </c>
      <c r="M5" s="8" t="s">
        <v>2461</v>
      </c>
      <c r="O5" s="8" t="s">
        <v>2452</v>
      </c>
      <c r="P5" s="23">
        <v>45585.0</v>
      </c>
    </row>
    <row r="6" ht="22.5" customHeight="1">
      <c r="A6" s="8" t="s">
        <v>2462</v>
      </c>
      <c r="B6" s="8" t="s">
        <v>949</v>
      </c>
      <c r="C6" s="8" t="s">
        <v>2453</v>
      </c>
      <c r="D6" s="9" t="s">
        <v>2463</v>
      </c>
      <c r="E6" s="8" t="s">
        <v>2464</v>
      </c>
      <c r="F6" s="21">
        <v>45568.0</v>
      </c>
      <c r="G6" s="8" t="s">
        <v>2465</v>
      </c>
      <c r="H6" s="8" t="s">
        <v>2446</v>
      </c>
      <c r="I6" s="8" t="s">
        <v>2466</v>
      </c>
      <c r="J6" s="8" t="s">
        <v>2467</v>
      </c>
      <c r="K6" s="8" t="s">
        <v>2468</v>
      </c>
      <c r="L6" s="11" t="s">
        <v>2469</v>
      </c>
      <c r="M6" s="8" t="s">
        <v>2470</v>
      </c>
      <c r="O6" s="8" t="s">
        <v>2452</v>
      </c>
      <c r="P6" s="8">
        <v>4.0</v>
      </c>
    </row>
    <row r="7" ht="22.5" customHeight="1"/>
    <row r="8" ht="22.5" customHeight="1">
      <c r="A8" s="8" t="s">
        <v>2471</v>
      </c>
      <c r="B8" s="8" t="s">
        <v>949</v>
      </c>
      <c r="D8" s="9" t="s">
        <v>2463</v>
      </c>
      <c r="E8" s="8" t="s">
        <v>2472</v>
      </c>
    </row>
    <row r="9" ht="22.5" customHeight="1"/>
    <row r="10" ht="22.5" customHeight="1">
      <c r="A10" s="8" t="s">
        <v>2473</v>
      </c>
      <c r="B10" s="8" t="s">
        <v>949</v>
      </c>
      <c r="D10" s="9" t="s">
        <v>2474</v>
      </c>
      <c r="E10" s="8" t="s">
        <v>2475</v>
      </c>
      <c r="F10" s="21">
        <v>45568.0</v>
      </c>
      <c r="G10" s="8" t="s">
        <v>2476</v>
      </c>
      <c r="H10" s="8" t="s">
        <v>2446</v>
      </c>
      <c r="I10" s="8" t="s">
        <v>2477</v>
      </c>
      <c r="J10" s="8" t="s">
        <v>2478</v>
      </c>
      <c r="K10" s="8" t="s">
        <v>2479</v>
      </c>
      <c r="L10" s="11" t="s">
        <v>2480</v>
      </c>
      <c r="M10" s="8" t="s">
        <v>2481</v>
      </c>
      <c r="P10" s="23">
        <v>45585.0</v>
      </c>
    </row>
    <row r="11" ht="22.5" customHeight="1"/>
    <row r="12" ht="22.5" customHeight="1">
      <c r="A12" s="8" t="s">
        <v>2482</v>
      </c>
      <c r="B12" s="8" t="s">
        <v>949</v>
      </c>
      <c r="D12" s="9" t="s">
        <v>2483</v>
      </c>
      <c r="E12" s="8" t="s">
        <v>2484</v>
      </c>
      <c r="F12" s="21">
        <v>45568.0</v>
      </c>
      <c r="G12" s="8" t="s">
        <v>2485</v>
      </c>
      <c r="H12" s="8" t="s">
        <v>2446</v>
      </c>
      <c r="I12" s="8" t="s">
        <v>2486</v>
      </c>
      <c r="J12" s="8" t="s">
        <v>2487</v>
      </c>
      <c r="K12" s="8" t="s">
        <v>2459</v>
      </c>
      <c r="L12" s="11" t="s">
        <v>2488</v>
      </c>
      <c r="M12" s="8" t="s">
        <v>2489</v>
      </c>
      <c r="P12" s="8" t="s">
        <v>2490</v>
      </c>
    </row>
    <row r="13" ht="22.5" customHeight="1"/>
    <row r="14" ht="22.5" customHeight="1">
      <c r="A14" s="8" t="s">
        <v>2491</v>
      </c>
      <c r="B14" s="8" t="s">
        <v>2492</v>
      </c>
      <c r="E14" s="8" t="s">
        <v>2493</v>
      </c>
    </row>
    <row r="15" ht="22.5" customHeight="1"/>
    <row r="16" ht="22.5" customHeight="1">
      <c r="A16" s="8" t="s">
        <v>2494</v>
      </c>
      <c r="B16" s="8" t="s">
        <v>2492</v>
      </c>
      <c r="E16" s="8" t="s">
        <v>2495</v>
      </c>
    </row>
    <row r="17" ht="22.5" customHeight="1"/>
    <row r="18" ht="22.5" customHeight="1">
      <c r="A18" s="8" t="s">
        <v>2327</v>
      </c>
      <c r="B18" s="8" t="s">
        <v>2492</v>
      </c>
      <c r="E18" s="8" t="s">
        <v>2496</v>
      </c>
      <c r="H18" s="8" t="s">
        <v>2432</v>
      </c>
      <c r="J18" s="8" t="s">
        <v>2497</v>
      </c>
      <c r="P18" s="8" t="s">
        <v>2498</v>
      </c>
    </row>
    <row r="19" ht="22.5" customHeight="1">
      <c r="A19" s="8" t="s">
        <v>2323</v>
      </c>
      <c r="B19" s="8" t="s">
        <v>2499</v>
      </c>
      <c r="D19" s="9" t="s">
        <v>2500</v>
      </c>
      <c r="E19" s="8" t="s">
        <v>2501</v>
      </c>
      <c r="H19" s="8" t="s">
        <v>136</v>
      </c>
      <c r="J19" s="8" t="s">
        <v>2502</v>
      </c>
      <c r="P19" s="8" t="s">
        <v>2503</v>
      </c>
    </row>
    <row r="20" ht="22.5" customHeight="1"/>
    <row r="21" ht="22.5" customHeight="1"/>
    <row r="22" ht="22.5" customHeight="1">
      <c r="A22" s="8" t="s">
        <v>2326</v>
      </c>
      <c r="B22" s="8" t="s">
        <v>2499</v>
      </c>
      <c r="D22" s="9" t="s">
        <v>2504</v>
      </c>
      <c r="E22" s="8" t="s">
        <v>2505</v>
      </c>
      <c r="F22" s="21">
        <v>45069.0</v>
      </c>
      <c r="G22" s="24">
        <v>0.5625</v>
      </c>
      <c r="H22" s="8" t="s">
        <v>136</v>
      </c>
      <c r="J22" s="8" t="s">
        <v>2506</v>
      </c>
      <c r="L22" s="11" t="s">
        <v>2507</v>
      </c>
      <c r="P22" s="8" t="s">
        <v>2508</v>
      </c>
    </row>
    <row r="23" ht="22.5" customHeight="1">
      <c r="A23" s="8" t="s">
        <v>2328</v>
      </c>
      <c r="B23" s="8" t="s">
        <v>2492</v>
      </c>
      <c r="D23" s="9" t="s">
        <v>2509</v>
      </c>
      <c r="E23" s="8" t="s">
        <v>2510</v>
      </c>
      <c r="H23" s="8" t="s">
        <v>2446</v>
      </c>
      <c r="J23" s="8" t="s">
        <v>2511</v>
      </c>
      <c r="K23" s="8" t="s">
        <v>2512</v>
      </c>
    </row>
    <row r="24" ht="22.5" customHeight="1">
      <c r="A24" s="8" t="s">
        <v>2513</v>
      </c>
      <c r="B24" s="8" t="s">
        <v>2492</v>
      </c>
      <c r="D24" s="9" t="s">
        <v>2514</v>
      </c>
      <c r="E24" s="8" t="s">
        <v>2515</v>
      </c>
      <c r="H24" s="8" t="s">
        <v>2446</v>
      </c>
      <c r="J24" s="8" t="s">
        <v>2516</v>
      </c>
      <c r="K24" s="8" t="s">
        <v>2517</v>
      </c>
      <c r="P24" s="8" t="s">
        <v>2518</v>
      </c>
    </row>
    <row r="25" ht="22.5" customHeight="1">
      <c r="A25" s="8" t="s">
        <v>2519</v>
      </c>
      <c r="B25" s="8" t="s">
        <v>2499</v>
      </c>
      <c r="E25" s="8" t="s">
        <v>2520</v>
      </c>
      <c r="F25" s="21">
        <v>45064.0</v>
      </c>
      <c r="G25" s="24">
        <v>0.625</v>
      </c>
      <c r="H25" s="8" t="s">
        <v>2446</v>
      </c>
      <c r="J25" s="8" t="s">
        <v>2521</v>
      </c>
      <c r="K25" s="8" t="s">
        <v>53</v>
      </c>
      <c r="L25" s="11" t="s">
        <v>2507</v>
      </c>
    </row>
    <row r="26" ht="22.5" customHeight="1">
      <c r="A26" s="8" t="s">
        <v>2522</v>
      </c>
      <c r="B26" s="8" t="s">
        <v>2499</v>
      </c>
      <c r="E26" s="8" t="s">
        <v>2523</v>
      </c>
      <c r="F26" s="21">
        <v>45074.0</v>
      </c>
      <c r="G26" s="24">
        <v>0.6458333333333334</v>
      </c>
      <c r="H26" s="8" t="s">
        <v>2446</v>
      </c>
      <c r="J26" s="8" t="s">
        <v>2524</v>
      </c>
      <c r="K26" s="8" t="s">
        <v>37</v>
      </c>
      <c r="L26" s="11" t="s">
        <v>2507</v>
      </c>
    </row>
    <row r="27" ht="22.5" customHeight="1"/>
    <row r="28" ht="22.5" customHeight="1">
      <c r="A28" s="8" t="s">
        <v>2525</v>
      </c>
      <c r="B28" s="8" t="s">
        <v>2499</v>
      </c>
      <c r="D28" s="9" t="s">
        <v>2526</v>
      </c>
      <c r="E28" s="8" t="s">
        <v>2527</v>
      </c>
      <c r="F28" s="21">
        <v>45068.0</v>
      </c>
      <c r="G28" s="24">
        <v>0.6666666666666666</v>
      </c>
      <c r="H28" s="8" t="s">
        <v>2446</v>
      </c>
      <c r="J28" s="8" t="s">
        <v>33</v>
      </c>
      <c r="L28" s="11" t="s">
        <v>2507</v>
      </c>
    </row>
    <row r="29" ht="22.5" customHeight="1">
      <c r="A29" s="8" t="s">
        <v>2528</v>
      </c>
      <c r="B29" s="8" t="s">
        <v>2499</v>
      </c>
      <c r="E29" s="8" t="s">
        <v>2529</v>
      </c>
      <c r="F29" s="21">
        <v>45069.0</v>
      </c>
      <c r="G29" s="24">
        <v>0.625</v>
      </c>
      <c r="I29" s="8" t="s">
        <v>2530</v>
      </c>
      <c r="J29" s="8" t="s">
        <v>2531</v>
      </c>
      <c r="K29" s="8" t="s">
        <v>2532</v>
      </c>
      <c r="L29" s="11" t="s">
        <v>2507</v>
      </c>
    </row>
    <row r="30" ht="22.5" customHeight="1">
      <c r="A30" s="8" t="s">
        <v>2329</v>
      </c>
      <c r="B30" s="8" t="s">
        <v>2499</v>
      </c>
      <c r="E30" s="8" t="s">
        <v>2533</v>
      </c>
      <c r="H30" s="8" t="s">
        <v>136</v>
      </c>
      <c r="J30" s="8" t="s">
        <v>2534</v>
      </c>
    </row>
    <row r="31" ht="22.5" customHeight="1">
      <c r="A31" s="8" t="s">
        <v>2324</v>
      </c>
      <c r="B31" s="8" t="s">
        <v>2499</v>
      </c>
      <c r="E31" s="8" t="s">
        <v>2535</v>
      </c>
      <c r="H31" s="8" t="s">
        <v>140</v>
      </c>
      <c r="J31" s="8" t="s">
        <v>2536</v>
      </c>
      <c r="P31" s="8" t="s">
        <v>2537</v>
      </c>
    </row>
    <row r="32" ht="22.5" customHeight="1"/>
    <row r="33" ht="22.5" customHeight="1">
      <c r="A33" s="8" t="s">
        <v>2343</v>
      </c>
      <c r="B33" s="8" t="s">
        <v>2499</v>
      </c>
      <c r="D33" s="9" t="s">
        <v>2538</v>
      </c>
      <c r="E33" s="8" t="s">
        <v>2539</v>
      </c>
      <c r="F33" s="21">
        <v>45064.0</v>
      </c>
      <c r="G33" s="24">
        <v>0.5833333333333334</v>
      </c>
      <c r="I33" s="8" t="s">
        <v>2540</v>
      </c>
      <c r="J33" s="8" t="s">
        <v>2541</v>
      </c>
      <c r="L33" s="11" t="s">
        <v>2507</v>
      </c>
    </row>
    <row r="34" ht="22.5" customHeight="1"/>
    <row r="35" ht="22.5" customHeight="1">
      <c r="A35" s="8" t="s">
        <v>2364</v>
      </c>
      <c r="B35" s="8" t="s">
        <v>2435</v>
      </c>
      <c r="C35" s="8" t="s">
        <v>2429</v>
      </c>
      <c r="E35" s="8" t="s">
        <v>2542</v>
      </c>
      <c r="H35" s="8" t="s">
        <v>136</v>
      </c>
    </row>
    <row r="36" ht="22.5" customHeight="1"/>
    <row r="37" ht="22.5" customHeight="1">
      <c r="A37" s="8" t="s">
        <v>2543</v>
      </c>
      <c r="B37" s="8" t="s">
        <v>2435</v>
      </c>
      <c r="E37" s="8" t="s">
        <v>2544</v>
      </c>
    </row>
    <row r="38" ht="22.5" customHeight="1"/>
    <row r="39" ht="22.5" customHeight="1">
      <c r="A39" s="8" t="s">
        <v>2354</v>
      </c>
      <c r="B39" s="8" t="s">
        <v>2492</v>
      </c>
      <c r="E39" s="8" t="s">
        <v>2545</v>
      </c>
    </row>
    <row r="40" ht="22.5" customHeight="1">
      <c r="A40" s="8" t="s">
        <v>129</v>
      </c>
      <c r="B40" s="8" t="s">
        <v>2435</v>
      </c>
      <c r="C40" s="8" t="s">
        <v>2429</v>
      </c>
      <c r="E40" s="8" t="s">
        <v>2546</v>
      </c>
      <c r="H40" s="8" t="s">
        <v>136</v>
      </c>
    </row>
    <row r="41" ht="22.5" customHeight="1">
      <c r="A41" s="8" t="s">
        <v>2547</v>
      </c>
      <c r="B41" s="8" t="s">
        <v>2548</v>
      </c>
      <c r="C41" s="8" t="s">
        <v>2436</v>
      </c>
      <c r="D41" s="9">
        <f>601167674941</f>
        <v>601167674941</v>
      </c>
      <c r="E41" s="8" t="s">
        <v>2549</v>
      </c>
      <c r="F41" s="21">
        <v>45702.0</v>
      </c>
      <c r="L41" s="11" t="s">
        <v>2550</v>
      </c>
    </row>
    <row r="42" ht="22.5" customHeight="1"/>
    <row r="43" ht="22.5" customHeight="1">
      <c r="A43" s="8" t="s">
        <v>2551</v>
      </c>
      <c r="B43" s="8" t="s">
        <v>2552</v>
      </c>
      <c r="C43" s="8" t="s">
        <v>2436</v>
      </c>
      <c r="E43" s="8" t="s">
        <v>2553</v>
      </c>
      <c r="F43" s="21">
        <v>46142.0</v>
      </c>
      <c r="G43" s="8" t="s">
        <v>2554</v>
      </c>
      <c r="I43" s="8" t="s">
        <v>2555</v>
      </c>
      <c r="J43" s="8" t="s">
        <v>2556</v>
      </c>
      <c r="K43" s="8" t="s">
        <v>2557</v>
      </c>
      <c r="L43" s="11" t="s">
        <v>2558</v>
      </c>
      <c r="M43" s="8" t="s">
        <v>2559</v>
      </c>
      <c r="P43" s="8" t="s">
        <v>2560</v>
      </c>
    </row>
    <row r="44" ht="22.5" customHeight="1">
      <c r="A44" s="8" t="s">
        <v>2561</v>
      </c>
      <c r="B44" s="8" t="s">
        <v>2562</v>
      </c>
      <c r="C44" s="8" t="s">
        <v>2436</v>
      </c>
      <c r="E44" s="8" t="s">
        <v>2563</v>
      </c>
      <c r="J44" s="8" t="s">
        <v>2564</v>
      </c>
      <c r="L44" s="11" t="s">
        <v>2565</v>
      </c>
      <c r="M44" s="8" t="s">
        <v>2566</v>
      </c>
    </row>
    <row r="45" ht="22.5" customHeight="1">
      <c r="A45" s="8" t="s">
        <v>2567</v>
      </c>
      <c r="B45" s="8" t="s">
        <v>2568</v>
      </c>
      <c r="C45" s="8" t="s">
        <v>2569</v>
      </c>
      <c r="D45" s="9">
        <f>2347013136614</f>
        <v>2347013136614</v>
      </c>
      <c r="E45" s="8" t="s">
        <v>2570</v>
      </c>
      <c r="F45" s="21">
        <v>46147.0</v>
      </c>
      <c r="G45" s="8" t="s">
        <v>2571</v>
      </c>
      <c r="I45" s="8" t="s">
        <v>2572</v>
      </c>
      <c r="J45" s="8" t="s">
        <v>2573</v>
      </c>
      <c r="L45" s="11" t="s">
        <v>2574</v>
      </c>
      <c r="M45" s="8" t="s">
        <v>2575</v>
      </c>
    </row>
    <row r="46" ht="22.5" customHeight="1"/>
    <row r="47" ht="22.5" customHeight="1"/>
    <row r="48" ht="22.5" customHeight="1"/>
    <row r="49" ht="22.5" customHeight="1"/>
    <row r="50" ht="22.5" customHeight="1"/>
    <row r="51" ht="22.5" customHeight="1"/>
    <row r="52" ht="22.5" customHeight="1"/>
    <row r="53" ht="22.5" customHeight="1"/>
    <row r="54" ht="22.5" customHeight="1"/>
    <row r="55" ht="22.5" customHeight="1"/>
    <row r="56" ht="22.5" customHeight="1"/>
    <row r="57" ht="22.5" customHeight="1"/>
    <row r="58" ht="22.5" customHeight="1"/>
    <row r="59" ht="22.5" customHeight="1"/>
    <row r="60" ht="22.5" customHeight="1"/>
    <row r="61" ht="22.5" customHeight="1"/>
    <row r="62" ht="22.5" customHeight="1"/>
    <row r="63" ht="22.5" customHeight="1"/>
    <row r="64" ht="22.5" customHeight="1"/>
    <row r="65" ht="22.5" customHeight="1"/>
    <row r="66" ht="22.5" customHeight="1"/>
    <row r="67" ht="22.5" customHeight="1"/>
    <row r="68" ht="22.5" customHeight="1"/>
    <row r="69" ht="22.5" customHeight="1"/>
    <row r="70" ht="22.5" customHeight="1"/>
    <row r="71" ht="22.5" customHeight="1"/>
    <row r="72" ht="22.5" customHeight="1"/>
    <row r="73" ht="22.5" customHeight="1"/>
    <row r="74" ht="22.5" customHeight="1"/>
    <row r="75" ht="22.5" customHeight="1"/>
    <row r="76" ht="22.5" customHeight="1"/>
    <row r="77" ht="22.5" customHeight="1"/>
    <row r="78" ht="22.5" customHeight="1"/>
    <row r="79" ht="22.5" customHeight="1"/>
    <row r="80" ht="22.5" customHeight="1"/>
    <row r="81" ht="22.5" customHeight="1"/>
    <row r="82" ht="22.5" customHeight="1"/>
    <row r="83" ht="22.5" customHeight="1"/>
    <row r="84" ht="22.5" customHeight="1"/>
    <row r="85" ht="22.5" customHeight="1"/>
    <row r="86" ht="22.5" customHeight="1"/>
    <row r="87" ht="22.5" customHeight="1"/>
    <row r="88" ht="22.5" customHeight="1"/>
    <row r="89" ht="22.5" customHeight="1"/>
    <row r="90" ht="22.5" customHeight="1"/>
    <row r="91" ht="22.5" customHeight="1"/>
    <row r="92" ht="22.5" customHeight="1"/>
    <row r="93" ht="22.5" customHeight="1"/>
    <row r="94" ht="22.5" customHeight="1"/>
    <row r="95" ht="22.5" customHeight="1"/>
    <row r="96" ht="22.5" customHeight="1"/>
    <row r="97" ht="22.5" customHeight="1"/>
    <row r="98" ht="22.5" customHeight="1"/>
    <row r="99" ht="22.5" customHeight="1"/>
    <row r="100" ht="22.5" customHeight="1"/>
    <row r="101" ht="22.5" customHeight="1"/>
    <row r="102" ht="22.5" customHeight="1"/>
    <row r="103" ht="22.5" customHeight="1"/>
    <row r="104" ht="22.5" customHeight="1"/>
    <row r="105" ht="22.5" customHeight="1"/>
    <row r="106" ht="22.5" customHeight="1"/>
    <row r="107" ht="22.5" customHeight="1"/>
    <row r="108" ht="22.5" customHeight="1"/>
    <row r="109" ht="22.5" customHeight="1"/>
    <row r="110" ht="22.5" customHeight="1"/>
    <row r="111" ht="22.5" customHeight="1"/>
    <row r="112" ht="22.5" customHeight="1"/>
    <row r="113" ht="22.5" customHeight="1"/>
    <row r="114" ht="22.5" customHeight="1"/>
    <row r="115" ht="22.5" customHeight="1"/>
    <row r="116" ht="22.5" customHeight="1"/>
    <row r="117" ht="22.5" customHeight="1"/>
    <row r="118" ht="22.5" customHeight="1"/>
    <row r="119" ht="22.5" customHeight="1"/>
    <row r="120" ht="22.5" customHeight="1"/>
    <row r="121" ht="22.5" customHeight="1"/>
    <row r="122" ht="22.5" customHeight="1"/>
    <row r="123" ht="22.5" customHeight="1"/>
    <row r="124" ht="22.5" customHeight="1"/>
    <row r="125" ht="22.5" customHeight="1"/>
    <row r="126" ht="22.5" customHeight="1"/>
    <row r="127" ht="22.5" customHeight="1"/>
    <row r="128" ht="22.5" customHeight="1"/>
    <row r="129" ht="22.5" customHeight="1"/>
    <row r="130" ht="22.5" customHeight="1"/>
    <row r="131" ht="22.5" customHeight="1"/>
    <row r="132" ht="22.5" customHeight="1"/>
    <row r="133" ht="22.5" customHeight="1"/>
    <row r="134" ht="22.5" customHeight="1"/>
    <row r="135" ht="22.5" customHeight="1"/>
    <row r="136" ht="22.5" customHeight="1"/>
    <row r="137" ht="22.5" customHeight="1"/>
    <row r="138" ht="22.5" customHeight="1"/>
    <row r="139" ht="22.5" customHeight="1"/>
    <row r="140" ht="22.5" customHeight="1"/>
    <row r="141" ht="22.5" customHeight="1"/>
    <row r="142" ht="22.5" customHeight="1"/>
    <row r="143" ht="22.5" customHeight="1"/>
    <row r="144" ht="22.5" customHeight="1"/>
    <row r="145" ht="22.5" customHeight="1"/>
    <row r="146" ht="22.5" customHeight="1"/>
    <row r="147" ht="22.5" customHeight="1"/>
    <row r="148" ht="22.5" customHeight="1"/>
    <row r="149" ht="22.5" customHeight="1"/>
    <row r="150" ht="22.5" customHeight="1"/>
    <row r="151" ht="22.5" customHeight="1"/>
    <row r="152" ht="22.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L2"/>
    <hyperlink r:id="rId2" ref="L3"/>
    <hyperlink r:id="rId3" ref="L4"/>
    <hyperlink r:id="rId4" ref="L5"/>
    <hyperlink r:id="rId5" ref="L6"/>
    <hyperlink r:id="rId6" ref="L10"/>
    <hyperlink r:id="rId7" ref="L12"/>
    <hyperlink r:id="rId8" ref="L22"/>
    <hyperlink r:id="rId9" ref="L25"/>
    <hyperlink r:id="rId10" ref="L26"/>
    <hyperlink r:id="rId11" ref="L28"/>
    <hyperlink r:id="rId12" ref="L29"/>
    <hyperlink r:id="rId13" ref="L33"/>
    <hyperlink r:id="rId14" ref="L41"/>
    <hyperlink r:id="rId15" ref="L43"/>
    <hyperlink r:id="rId16" ref="L44"/>
    <hyperlink r:id="rId17" ref="L45"/>
  </hyperlinks>
  <drawing r:id="rId18"/>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cols>
    <col customWidth="1" min="2" max="2" width="14.22"/>
    <col customWidth="1" min="3" max="3" width="19.67"/>
    <col customWidth="1" min="4" max="4" width="14.44"/>
    <col customWidth="1" min="5" max="5" width="19.67"/>
    <col customWidth="1" min="7" max="7" width="17.11"/>
    <col customWidth="1" min="10" max="10" width="13.33"/>
    <col customWidth="1" min="12" max="12" width="18.22"/>
    <col customWidth="1" min="15" max="15" width="13.67"/>
    <col customWidth="1" min="17" max="17" width="13.33"/>
    <col customWidth="1" min="19" max="19" width="13.78"/>
    <col customWidth="1" min="20" max="20" width="13.22"/>
    <col customWidth="1" min="22" max="22" width="14.0"/>
  </cols>
  <sheetData>
    <row r="2" ht="22.5" customHeight="1">
      <c r="A2" s="8" t="s">
        <v>667</v>
      </c>
      <c r="B2" s="8" t="s">
        <v>2576</v>
      </c>
      <c r="C2" s="8" t="s">
        <v>2577</v>
      </c>
      <c r="D2" s="8" t="s">
        <v>2578</v>
      </c>
      <c r="E2" s="8" t="s">
        <v>2579</v>
      </c>
      <c r="F2" s="8" t="s">
        <v>806</v>
      </c>
      <c r="G2" s="8" t="s">
        <v>2580</v>
      </c>
      <c r="H2" s="8" t="s">
        <v>2581</v>
      </c>
      <c r="I2" s="8" t="s">
        <v>2582</v>
      </c>
      <c r="J2" s="25" t="s">
        <v>2583</v>
      </c>
      <c r="K2" s="25" t="s">
        <v>2584</v>
      </c>
      <c r="L2" s="8" t="s">
        <v>2585</v>
      </c>
      <c r="M2" s="8" t="s">
        <v>183</v>
      </c>
      <c r="N2" s="8" t="s">
        <v>2586</v>
      </c>
      <c r="O2" s="8" t="s">
        <v>2587</v>
      </c>
      <c r="P2" s="8" t="s">
        <v>2588</v>
      </c>
      <c r="Q2" s="8" t="s">
        <v>173</v>
      </c>
      <c r="R2" s="8" t="s">
        <v>2589</v>
      </c>
      <c r="S2" s="8" t="s">
        <v>2590</v>
      </c>
      <c r="T2" s="8" t="s">
        <v>2591</v>
      </c>
      <c r="U2" s="8" t="s">
        <v>2592</v>
      </c>
      <c r="V2" s="8" t="s">
        <v>2593</v>
      </c>
      <c r="W2" s="8" t="s">
        <v>2594</v>
      </c>
    </row>
    <row r="3" ht="22.5" customHeight="1"/>
    <row r="4" ht="22.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cols>
    <col customWidth="1" min="2" max="2" width="14.22"/>
    <col customWidth="1" min="3" max="3" width="19.67"/>
    <col customWidth="1" min="4" max="4" width="14.44"/>
    <col customWidth="1" min="5" max="5" width="19.67"/>
    <col customWidth="1" min="7" max="7" width="17.11"/>
    <col customWidth="1" min="10" max="10" width="13.33"/>
    <col customWidth="1" min="12" max="12" width="18.22"/>
    <col customWidth="1" min="15" max="15" width="13.67"/>
    <col customWidth="1" min="17" max="17" width="13.33"/>
    <col customWidth="1" min="19" max="19" width="13.78"/>
    <col customWidth="1" min="20" max="20" width="13.22"/>
    <col customWidth="1" min="22" max="22" width="14.0"/>
  </cols>
  <sheetData>
    <row r="1" ht="22.5" customHeight="1">
      <c r="A1" s="8" t="s">
        <v>667</v>
      </c>
      <c r="B1" s="8" t="s">
        <v>2576</v>
      </c>
      <c r="C1" s="8" t="s">
        <v>2577</v>
      </c>
      <c r="D1" s="8" t="s">
        <v>2578</v>
      </c>
      <c r="E1" s="8" t="s">
        <v>2579</v>
      </c>
      <c r="F1" s="8" t="s">
        <v>806</v>
      </c>
      <c r="G1" s="8" t="s">
        <v>2580</v>
      </c>
      <c r="H1" s="8" t="s">
        <v>2581</v>
      </c>
      <c r="I1" s="8" t="s">
        <v>2582</v>
      </c>
      <c r="J1" s="25" t="s">
        <v>2583</v>
      </c>
      <c r="K1" s="25" t="s">
        <v>2584</v>
      </c>
      <c r="L1" s="8" t="s">
        <v>2585</v>
      </c>
      <c r="M1" s="8" t="s">
        <v>183</v>
      </c>
      <c r="N1" s="8" t="s">
        <v>2586</v>
      </c>
      <c r="O1" s="8" t="s">
        <v>2587</v>
      </c>
      <c r="P1" s="8" t="s">
        <v>2588</v>
      </c>
      <c r="Q1" s="8" t="s">
        <v>173</v>
      </c>
      <c r="R1" s="8" t="s">
        <v>2589</v>
      </c>
      <c r="S1" s="8" t="s">
        <v>2590</v>
      </c>
      <c r="T1" s="8" t="s">
        <v>2591</v>
      </c>
      <c r="U1" s="8" t="s">
        <v>2592</v>
      </c>
      <c r="V1" s="8" t="s">
        <v>2593</v>
      </c>
      <c r="W1" s="8" t="s">
        <v>2594</v>
      </c>
    </row>
    <row r="2" ht="22.5" customHeight="1"/>
    <row r="3" ht="22.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sheetData>
    <row r="1">
      <c r="A1" s="8" t="s">
        <v>2595</v>
      </c>
      <c r="B1" s="8" t="s">
        <v>2596</v>
      </c>
      <c r="C1" s="8" t="s">
        <v>176</v>
      </c>
      <c r="D1" s="8" t="s">
        <v>2597</v>
      </c>
      <c r="E1" s="8" t="s">
        <v>2598</v>
      </c>
      <c r="F1" s="8" t="s">
        <v>131</v>
      </c>
      <c r="G1" s="8" t="s">
        <v>2599</v>
      </c>
      <c r="H1" s="8" t="s">
        <v>2600</v>
      </c>
      <c r="I1" s="8" t="s">
        <v>2601</v>
      </c>
    </row>
    <row r="2">
      <c r="A2" s="8" t="s">
        <v>2602</v>
      </c>
      <c r="B2" s="8" t="s">
        <v>56</v>
      </c>
      <c r="C2" s="8" t="s">
        <v>2603</v>
      </c>
      <c r="D2" s="8" t="s">
        <v>2492</v>
      </c>
      <c r="E2" s="8" t="s">
        <v>2568</v>
      </c>
      <c r="F2" s="8" t="s">
        <v>136</v>
      </c>
      <c r="G2" s="8" t="s">
        <v>38</v>
      </c>
      <c r="H2" s="8" t="s">
        <v>2604</v>
      </c>
      <c r="I2" s="26" t="s">
        <v>2605</v>
      </c>
    </row>
    <row r="3">
      <c r="A3" s="8" t="s">
        <v>2606</v>
      </c>
      <c r="B3" s="8" t="s">
        <v>129</v>
      </c>
      <c r="C3" s="8" t="s">
        <v>2546</v>
      </c>
      <c r="D3" s="8" t="s">
        <v>2435</v>
      </c>
      <c r="E3" s="8" t="s">
        <v>2607</v>
      </c>
      <c r="F3" s="8" t="s">
        <v>136</v>
      </c>
      <c r="G3" s="8" t="s">
        <v>15</v>
      </c>
      <c r="H3" s="8" t="s">
        <v>2608</v>
      </c>
      <c r="I3" s="26" t="s">
        <v>2609</v>
      </c>
    </row>
    <row r="4">
      <c r="A4" s="8" t="s">
        <v>2610</v>
      </c>
      <c r="B4" s="26" t="s">
        <v>14</v>
      </c>
      <c r="C4" s="8" t="s">
        <v>2501</v>
      </c>
      <c r="D4" s="8" t="s">
        <v>2492</v>
      </c>
      <c r="E4" s="8" t="s">
        <v>2568</v>
      </c>
      <c r="F4" s="8" t="s">
        <v>136</v>
      </c>
      <c r="G4" s="8" t="s">
        <v>29</v>
      </c>
      <c r="H4" s="8" t="s">
        <v>2604</v>
      </c>
      <c r="I4" s="26" t="s">
        <v>2605</v>
      </c>
    </row>
    <row r="5">
      <c r="A5" s="8" t="s">
        <v>2611</v>
      </c>
      <c r="B5" s="26" t="s">
        <v>44</v>
      </c>
      <c r="C5" s="8" t="s">
        <v>2612</v>
      </c>
      <c r="D5" s="8" t="s">
        <v>2492</v>
      </c>
      <c r="E5" s="8" t="s">
        <v>2568</v>
      </c>
      <c r="F5" s="8" t="s">
        <v>136</v>
      </c>
      <c r="G5" s="8" t="s">
        <v>63</v>
      </c>
      <c r="H5" s="8" t="s">
        <v>2604</v>
      </c>
      <c r="I5" s="26" t="s">
        <v>2605</v>
      </c>
    </row>
    <row r="6">
      <c r="A6" s="8" t="s">
        <v>2613</v>
      </c>
      <c r="B6" s="26" t="s">
        <v>130</v>
      </c>
      <c r="C6" s="8" t="s">
        <v>2614</v>
      </c>
      <c r="D6" s="8" t="s">
        <v>2492</v>
      </c>
      <c r="E6" s="8" t="s">
        <v>2568</v>
      </c>
      <c r="F6" s="8" t="s">
        <v>136</v>
      </c>
      <c r="G6" s="8" t="s">
        <v>50</v>
      </c>
      <c r="H6" s="8" t="s">
        <v>2604</v>
      </c>
      <c r="I6" s="26" t="s">
        <v>2605</v>
      </c>
    </row>
    <row r="7">
      <c r="A7" s="8" t="s">
        <v>2615</v>
      </c>
      <c r="B7" s="8" t="s">
        <v>55</v>
      </c>
      <c r="C7" s="8" t="s">
        <v>2616</v>
      </c>
      <c r="D7" s="8" t="s">
        <v>2492</v>
      </c>
      <c r="E7" s="8" t="s">
        <v>2568</v>
      </c>
      <c r="F7" s="8" t="s">
        <v>136</v>
      </c>
      <c r="G7" s="8" t="s">
        <v>50</v>
      </c>
      <c r="H7" s="8" t="s">
        <v>2604</v>
      </c>
      <c r="I7" s="26" t="s">
        <v>2605</v>
      </c>
    </row>
    <row r="8">
      <c r="A8" s="8" t="s">
        <v>2617</v>
      </c>
      <c r="B8" s="8" t="s">
        <v>2327</v>
      </c>
      <c r="C8" s="8" t="s">
        <v>2496</v>
      </c>
      <c r="D8" s="8" t="s">
        <v>2492</v>
      </c>
      <c r="E8" s="8" t="s">
        <v>2568</v>
      </c>
      <c r="F8" s="8" t="s">
        <v>136</v>
      </c>
      <c r="G8" s="8" t="s">
        <v>15</v>
      </c>
      <c r="H8" s="8" t="s">
        <v>2604</v>
      </c>
      <c r="I8" s="26" t="s">
        <v>2605</v>
      </c>
    </row>
    <row r="9">
      <c r="A9" s="8" t="s">
        <v>2618</v>
      </c>
      <c r="B9" s="8" t="s">
        <v>2328</v>
      </c>
      <c r="C9" s="8" t="s">
        <v>2510</v>
      </c>
      <c r="D9" s="8" t="s">
        <v>2492</v>
      </c>
      <c r="E9" s="8" t="s">
        <v>2568</v>
      </c>
      <c r="F9" s="8" t="s">
        <v>136</v>
      </c>
      <c r="G9" s="8" t="s">
        <v>38</v>
      </c>
      <c r="H9" s="8" t="s">
        <v>2604</v>
      </c>
      <c r="I9" s="26" t="s">
        <v>2605</v>
      </c>
    </row>
    <row r="10">
      <c r="A10" s="8" t="s">
        <v>2619</v>
      </c>
      <c r="B10" s="26" t="s">
        <v>2620</v>
      </c>
      <c r="C10" s="8" t="s">
        <v>2545</v>
      </c>
      <c r="D10" s="8" t="s">
        <v>2492</v>
      </c>
      <c r="E10" s="8" t="s">
        <v>2568</v>
      </c>
      <c r="F10" s="8" t="s">
        <v>140</v>
      </c>
      <c r="G10" s="26" t="s">
        <v>15</v>
      </c>
      <c r="H10" s="8" t="s">
        <v>2604</v>
      </c>
      <c r="I10" s="26" t="s">
        <v>2605</v>
      </c>
    </row>
    <row r="11">
      <c r="A11" s="8" t="s">
        <v>2621</v>
      </c>
      <c r="B11" s="8" t="s">
        <v>2364</v>
      </c>
      <c r="C11" s="8" t="s">
        <v>2542</v>
      </c>
      <c r="D11" s="8" t="s">
        <v>2435</v>
      </c>
      <c r="E11" s="8" t="s">
        <v>2622</v>
      </c>
      <c r="F11" s="8" t="s">
        <v>140</v>
      </c>
      <c r="G11" s="8" t="s">
        <v>15</v>
      </c>
      <c r="H11" s="8" t="s">
        <v>2604</v>
      </c>
      <c r="I11" s="8" t="s">
        <v>2623</v>
      </c>
    </row>
    <row r="12">
      <c r="A12" s="8" t="s">
        <v>2624</v>
      </c>
      <c r="B12" s="8" t="s">
        <v>2543</v>
      </c>
      <c r="C12" s="8" t="s">
        <v>2544</v>
      </c>
      <c r="D12" s="8" t="s">
        <v>2435</v>
      </c>
      <c r="E12" s="8" t="s">
        <v>2607</v>
      </c>
      <c r="F12" s="8" t="s">
        <v>140</v>
      </c>
      <c r="G12" s="8" t="s">
        <v>15</v>
      </c>
      <c r="H12" s="8" t="s">
        <v>2604</v>
      </c>
      <c r="I12" s="8" t="s">
        <v>2625</v>
      </c>
    </row>
    <row r="13">
      <c r="A13" s="8" t="s">
        <v>2626</v>
      </c>
      <c r="B13" s="26" t="s">
        <v>2627</v>
      </c>
      <c r="C13" s="8" t="s">
        <v>2438</v>
      </c>
      <c r="D13" s="8" t="s">
        <v>2435</v>
      </c>
      <c r="E13" s="8" t="s">
        <v>2622</v>
      </c>
      <c r="F13" s="8" t="s">
        <v>140</v>
      </c>
      <c r="G13" s="8" t="s">
        <v>63</v>
      </c>
      <c r="H13" s="8" t="s">
        <v>2604</v>
      </c>
      <c r="I13" s="8" t="s">
        <v>2623</v>
      </c>
    </row>
    <row r="14">
      <c r="A14" s="8" t="s">
        <v>2628</v>
      </c>
      <c r="B14" s="26" t="s">
        <v>2629</v>
      </c>
      <c r="C14" s="8" t="s">
        <v>2630</v>
      </c>
      <c r="D14" s="8" t="s">
        <v>2492</v>
      </c>
      <c r="E14" s="8" t="s">
        <v>2568</v>
      </c>
      <c r="F14" s="8" t="s">
        <v>140</v>
      </c>
      <c r="G14" s="8" t="s">
        <v>50</v>
      </c>
      <c r="H14" s="8" t="s">
        <v>2604</v>
      </c>
      <c r="I14" s="26" t="s">
        <v>2605</v>
      </c>
    </row>
    <row r="15">
      <c r="A15" s="26" t="s">
        <v>2631</v>
      </c>
      <c r="B15" s="8" t="s">
        <v>2343</v>
      </c>
      <c r="C15" s="8" t="s">
        <v>2632</v>
      </c>
      <c r="D15" s="8" t="s">
        <v>2492</v>
      </c>
      <c r="E15" s="8" t="s">
        <v>2568</v>
      </c>
      <c r="F15" s="8" t="s">
        <v>140</v>
      </c>
      <c r="G15" s="26" t="s">
        <v>50</v>
      </c>
      <c r="H15" s="8" t="s">
        <v>2604</v>
      </c>
      <c r="I15" s="26" t="s">
        <v>2605</v>
      </c>
    </row>
    <row r="16">
      <c r="A16" s="26" t="s">
        <v>2633</v>
      </c>
      <c r="B16" s="8" t="s">
        <v>2367</v>
      </c>
      <c r="C16" s="8" t="s">
        <v>2634</v>
      </c>
      <c r="D16" s="8" t="s">
        <v>2435</v>
      </c>
      <c r="E16" s="8" t="s">
        <v>2607</v>
      </c>
      <c r="F16" s="8" t="s">
        <v>140</v>
      </c>
      <c r="G16" s="8" t="s">
        <v>15</v>
      </c>
      <c r="H16" s="8" t="s">
        <v>2604</v>
      </c>
      <c r="I16" s="8" t="s">
        <v>2625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