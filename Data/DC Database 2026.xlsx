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s" sheetId="1" r:id="rId5"/>
    <sheet state="visible" name="Batches" sheetId="2" r:id="rId6"/>
    <sheet state="visible" name="Students" sheetId="3" r:id="rId7"/>
    <sheet state="visible" name="Text_Formats" sheetId="4" r:id="rId8"/>
    <sheet state="visible" name="Currencies" sheetId="5" r:id="rId9"/>
    <sheet state="visible" name="Invoice_Months" sheetId="6" r:id="rId10"/>
    <sheet state="visible" name="Student_Statuses" sheetId="7" r:id="rId11"/>
    <sheet state="visible" name="Canva" sheetId="8" r:id="rId12"/>
    <sheet state="visible" name="Booklets" sheetId="9" r:id="rId13"/>
    <sheet state="visible" name="GCR" sheetId="10" r:id="rId14"/>
    <sheet state="hidden" name="Student_Invoices1" sheetId="11" r:id="rId15"/>
    <sheet state="visible" name="Student_Invoices" sheetId="12" r:id="rId16"/>
    <sheet state="visible" name="Staff_Payments" sheetId="13" r:id="rId17"/>
    <sheet state="hidden" name="Copy of Staff_Payments" sheetId="14" r:id="rId18"/>
    <sheet state="visible" name="Recruits" sheetId="15" r:id="rId19"/>
    <sheet state="visible" name="Backlog" sheetId="16" r:id="rId20"/>
    <sheet state="visible" name="Sprints" sheetId="17" r:id="rId21"/>
  </sheets>
  <definedNames>
    <definedName hidden="1" localSheetId="10" name="_xlnm._FilterDatabase">Student_Invoices1!$A$1:$U$1370</definedName>
    <definedName hidden="1" localSheetId="11" name="_xlnm._FilterDatabase">Student_Invoices!$A$1:$U$752</definedName>
    <definedName hidden="1" localSheetId="12" name="_xlnm._FilterDatabase">Staff_Payments!$A$1:$Z$1062</definedName>
  </definedNames>
  <calcPr/>
</workbook>
</file>

<file path=xl/sharedStrings.xml><?xml version="1.0" encoding="utf-8"?>
<sst xmlns="http://schemas.openxmlformats.org/spreadsheetml/2006/main" count="14856" uniqueCount="2545">
  <si>
    <t>Batch</t>
  </si>
  <si>
    <t>Board</t>
  </si>
  <si>
    <t>Course/Class</t>
  </si>
  <si>
    <t>Subject Code</t>
  </si>
  <si>
    <t>Subject Name</t>
  </si>
  <si>
    <t>Full Subject Name</t>
  </si>
  <si>
    <t>Instructor</t>
  </si>
  <si>
    <t>Currency</t>
  </si>
  <si>
    <t>Rate</t>
  </si>
  <si>
    <t>B14</t>
  </si>
  <si>
    <t>Cambridge</t>
  </si>
  <si>
    <t>IGCSE</t>
  </si>
  <si>
    <t>0417</t>
  </si>
  <si>
    <t>Information &amp; Communication Technology</t>
  </si>
  <si>
    <t>Mr Akhtar</t>
  </si>
  <si>
    <t>SAR</t>
  </si>
  <si>
    <t>AED</t>
  </si>
  <si>
    <t>INR</t>
  </si>
  <si>
    <t>C13</t>
  </si>
  <si>
    <t>GBP</t>
  </si>
  <si>
    <t>T2</t>
  </si>
  <si>
    <t>Mr Ahmar</t>
  </si>
  <si>
    <t>PKR</t>
  </si>
  <si>
    <t>0450</t>
  </si>
  <si>
    <t>Business Studies</t>
  </si>
  <si>
    <t>Ms Aurneela</t>
  </si>
  <si>
    <t>0452</t>
  </si>
  <si>
    <t>Accounting</t>
  </si>
  <si>
    <t>0455</t>
  </si>
  <si>
    <t>Economics</t>
  </si>
  <si>
    <t>0478</t>
  </si>
  <si>
    <t>Computer Science</t>
  </si>
  <si>
    <t>0500</t>
  </si>
  <si>
    <t>First Language English</t>
  </si>
  <si>
    <t>C16</t>
  </si>
  <si>
    <t>T5</t>
  </si>
  <si>
    <t>0510</t>
  </si>
  <si>
    <t>English as a Second Language</t>
  </si>
  <si>
    <t>T3</t>
  </si>
  <si>
    <t>Mr Murtaza</t>
  </si>
  <si>
    <t>English as a Second language</t>
  </si>
  <si>
    <t>MYR</t>
  </si>
  <si>
    <t>0580</t>
  </si>
  <si>
    <t>Mathematics</t>
  </si>
  <si>
    <t>0610</t>
  </si>
  <si>
    <t>Biology</t>
  </si>
  <si>
    <t>0620</t>
  </si>
  <si>
    <t>Chemistry</t>
  </si>
  <si>
    <t>B14 Cambridge IGCSE 0620 Chemistry - INR Saksham</t>
  </si>
  <si>
    <t>0625</t>
  </si>
  <si>
    <t>Physics</t>
  </si>
  <si>
    <t>B18</t>
  </si>
  <si>
    <t>AS-Level</t>
  </si>
  <si>
    <t>8021</t>
  </si>
  <si>
    <t>English General Paper</t>
  </si>
  <si>
    <t>B8</t>
  </si>
  <si>
    <t>B8 Cambridge AS-Level 8021 English General Paper - GBP</t>
  </si>
  <si>
    <t>9093</t>
  </si>
  <si>
    <t>English Language</t>
  </si>
  <si>
    <t>A-Level</t>
  </si>
  <si>
    <t>9239</t>
  </si>
  <si>
    <t>Global Perspectives &amp; Research</t>
  </si>
  <si>
    <t>9609</t>
  </si>
  <si>
    <t>Business</t>
  </si>
  <si>
    <t>9618</t>
  </si>
  <si>
    <t>9626</t>
  </si>
  <si>
    <t>Information Technology</t>
  </si>
  <si>
    <t>9695</t>
  </si>
  <si>
    <t>Literature in English</t>
  </si>
  <si>
    <t>English Literature</t>
  </si>
  <si>
    <t>9700</t>
  </si>
  <si>
    <t>Dr Harem</t>
  </si>
  <si>
    <t>9701</t>
  </si>
  <si>
    <t>C15</t>
  </si>
  <si>
    <t>C17</t>
  </si>
  <si>
    <t>Edexcel</t>
  </si>
  <si>
    <t>C18</t>
  </si>
  <si>
    <t>C18 Cambridge A-Level 9701 Chemistry - GBP</t>
  </si>
  <si>
    <t>C19</t>
  </si>
  <si>
    <t>9702</t>
  </si>
  <si>
    <t>C14</t>
  </si>
  <si>
    <t>9708</t>
  </si>
  <si>
    <t>9709</t>
  </si>
  <si>
    <t>Further Mathematics</t>
  </si>
  <si>
    <t>Mathematics: Mechanics 1</t>
  </si>
  <si>
    <t>Mathematics: Pure 1</t>
  </si>
  <si>
    <t>Mathematics: Pure 3</t>
  </si>
  <si>
    <t>Mathematics: Statistics 1</t>
  </si>
  <si>
    <t>Mathematics: Statistics 2</t>
  </si>
  <si>
    <t>C3</t>
  </si>
  <si>
    <t>OCR</t>
  </si>
  <si>
    <t>GCSE</t>
  </si>
  <si>
    <t>J277</t>
  </si>
  <si>
    <t>B13</t>
  </si>
  <si>
    <t>KSA</t>
  </si>
  <si>
    <t>Qudrat GAT</t>
  </si>
  <si>
    <t>English</t>
  </si>
  <si>
    <t>Math</t>
  </si>
  <si>
    <t>IB</t>
  </si>
  <si>
    <t>DP</t>
  </si>
  <si>
    <t>USD</t>
  </si>
  <si>
    <t>C11</t>
  </si>
  <si>
    <t>College Board</t>
  </si>
  <si>
    <t>SAT</t>
  </si>
  <si>
    <t>C12</t>
  </si>
  <si>
    <t>C4</t>
  </si>
  <si>
    <t>DC</t>
  </si>
  <si>
    <t>Quantum AI</t>
  </si>
  <si>
    <t>SGD</t>
  </si>
  <si>
    <t>C6</t>
  </si>
  <si>
    <t>Singapore</t>
  </si>
  <si>
    <t>T4</t>
  </si>
  <si>
    <t>Science</t>
  </si>
  <si>
    <t>Counseling Session</t>
  </si>
  <si>
    <t>Ms Atiqa</t>
  </si>
  <si>
    <t>IDP</t>
  </si>
  <si>
    <t>IELTS</t>
  </si>
  <si>
    <t>ACT</t>
  </si>
  <si>
    <t>C20</t>
  </si>
  <si>
    <t>C21</t>
  </si>
  <si>
    <t>ICT</t>
  </si>
  <si>
    <t>IMO Mathematics</t>
  </si>
  <si>
    <t>C22</t>
  </si>
  <si>
    <t>DTU</t>
  </si>
  <si>
    <t>BTech</t>
  </si>
  <si>
    <t>C23</t>
  </si>
  <si>
    <t>IMAT</t>
  </si>
  <si>
    <t>C24</t>
  </si>
  <si>
    <t>AQA</t>
  </si>
  <si>
    <t>AP</t>
  </si>
  <si>
    <t>Computer Science Priniciples</t>
  </si>
  <si>
    <t>Status</t>
  </si>
  <si>
    <t>Students</t>
  </si>
  <si>
    <t>B10</t>
  </si>
  <si>
    <t>B11</t>
  </si>
  <si>
    <t>B12</t>
  </si>
  <si>
    <t>Active</t>
  </si>
  <si>
    <t>Manya Agarwal, Brighty Bejoy, Ibrahim Kamal Pasha, Muhammed IMTIYAZ, Aliya Wazir, Faraz, Shifa Adnan</t>
  </si>
  <si>
    <t>B15</t>
  </si>
  <si>
    <t>B16</t>
  </si>
  <si>
    <t>Inactive</t>
  </si>
  <si>
    <t>B4</t>
  </si>
  <si>
    <t>Zahra Rasheed</t>
  </si>
  <si>
    <t>Steve Rex, Noya Mahasin, Howard Lim</t>
  </si>
  <si>
    <t>B9</t>
  </si>
  <si>
    <t>C1</t>
  </si>
  <si>
    <t>C10</t>
  </si>
  <si>
    <t>Pritika Deb</t>
  </si>
  <si>
    <t>Hafsah</t>
  </si>
  <si>
    <t>Al Aqmar Jamnagarwalla, Asrar Ahmad Shah</t>
  </si>
  <si>
    <t>C2</t>
  </si>
  <si>
    <t>Wajd</t>
  </si>
  <si>
    <t>Zahra Zahra</t>
  </si>
  <si>
    <t>Vaishak</t>
  </si>
  <si>
    <t>Yajna Gopalan</t>
  </si>
  <si>
    <t>C5</t>
  </si>
  <si>
    <t>C7</t>
  </si>
  <si>
    <t>C8</t>
  </si>
  <si>
    <t>C9</t>
  </si>
  <si>
    <t>Besly Bejoy, Afeez Abduljaleel, Adithya Aji</t>
  </si>
  <si>
    <t>Faraz</t>
  </si>
  <si>
    <t>T6</t>
  </si>
  <si>
    <t>C25</t>
  </si>
  <si>
    <t>C26</t>
  </si>
  <si>
    <t>C27</t>
  </si>
  <si>
    <t>C28</t>
  </si>
  <si>
    <t>C29</t>
  </si>
  <si>
    <t>C30</t>
  </si>
  <si>
    <t>C31</t>
  </si>
  <si>
    <t>C32</t>
  </si>
  <si>
    <t>Student ID</t>
  </si>
  <si>
    <t>Student Name</t>
  </si>
  <si>
    <t>Timesheet</t>
  </si>
  <si>
    <t>Time Zone</t>
  </si>
  <si>
    <t>WhatsApp Number</t>
  </si>
  <si>
    <t>Parent WhatsApp Number</t>
  </si>
  <si>
    <t>Email</t>
  </si>
  <si>
    <t>School</t>
  </si>
  <si>
    <t>Group</t>
  </si>
  <si>
    <t>GCR</t>
  </si>
  <si>
    <t>Schedule</t>
  </si>
  <si>
    <t>Notes</t>
  </si>
  <si>
    <t>Progress Tracker</t>
  </si>
  <si>
    <t>Location</t>
  </si>
  <si>
    <t>Rania Sami</t>
  </si>
  <si>
    <t>https://docs.google.com/spreadsheets/d/1dhv1_0hiSfoJkU5-kznEk8hxhkwQ_PPbDUjKyY-2_FA/edit?usp=drivesdk</t>
  </si>
  <si>
    <t>Coreen Estico</t>
  </si>
  <si>
    <t>SCR</t>
  </si>
  <si>
    <t>https://docs.google.com/spreadsheets/d/1MBnckGwAVpeOaHqFblCPDekC-O9N-cVpGJwrwnfWZKo/edit?usp=drivesdk</t>
  </si>
  <si>
    <t>Jotham</t>
  </si>
  <si>
    <t>B3</t>
  </si>
  <si>
    <t>https://docs.google.com/spreadsheets/d/1Ek1ocKSKtpNFbSRVqwTJR1uKq5PmVlwORzBtT1zUBK8/edit?usp=drivesdk</t>
  </si>
  <si>
    <t>Shrey Agarwal</t>
  </si>
  <si>
    <t>https://docs.google.com/spreadsheets/d/1ok1234jufTF6gmNQnYrL3veVUwwWkNf5KBqw1_1fJQI/edit?usp=drivesdk</t>
  </si>
  <si>
    <t>Niranjana Aji</t>
  </si>
  <si>
    <t>https://docs.google.com/spreadsheets/d/1cwlrPtruw_Yxu_yjTUYGpV5y4V1Ss0myVlmQTxmjGNA/edit?usp=drivesdk</t>
  </si>
  <si>
    <t>Dhruv Vamshi</t>
  </si>
  <si>
    <t>https://docs.google.com/spreadsheets/d/1uSfl89DcmB4vZrOx3slZtMyf0-JRzrd9mFzSYFEuaBI/edit?usp=drivesdk</t>
  </si>
  <si>
    <t>Maanvi Mittal</t>
  </si>
  <si>
    <t>https://docs.google.com/spreadsheets/d/13w-mdUlWXCfTCybWBzjAdeK_XcCezFtB3cF6d_D1Xts/edit?usp=drivesdk</t>
  </si>
  <si>
    <t>https://docs.google.com/spreadsheets/d/1mrtBKXnkKr7mQSZHJi4Ag6EbVtWFEPlVXMhpkf-mch0/edit?usp=drivesdk</t>
  </si>
  <si>
    <t>Ayaan Kanwar</t>
  </si>
  <si>
    <t>https://docs.google.com/spreadsheets/d/1TsKeYt8EVBaix_aaiq1yt2yEz5N-8KWPXI42eZKop48/edit?usp=drivesdk</t>
  </si>
  <si>
    <t>Neha Harkut</t>
  </si>
  <si>
    <t>https://docs.google.com/spreadsheets/d/19QvIZ6STExSmer5do2t3kfsDC9-990tKm2gH094a4YQ/edit?usp=drivesdk</t>
  </si>
  <si>
    <t>Aditya Bansal</t>
  </si>
  <si>
    <t>https://docs.google.com/spreadsheets/d/12cuzlS9Re5KNBYD1uzsHowB6_GfJEPue3dnH3_-7N_A/edit?usp=drivesdk</t>
  </si>
  <si>
    <t>Anas Shareef</t>
  </si>
  <si>
    <t>https://docs.google.com/spreadsheets/d/1-qFC3ijuqkXx-Yktdd5g3RTShhCUhiovMvnOhOWYgtc/edit?usp=drivesdk</t>
  </si>
  <si>
    <t>Rachit Sonthalia</t>
  </si>
  <si>
    <t>https://docs.google.com/spreadsheets/d/1d98j9l1a6mbyHeXQKqOeDyOnrCTXhsUF5oEYxU7rK04/edit?usp=drivesdk</t>
  </si>
  <si>
    <t>Adithya Aji</t>
  </si>
  <si>
    <t>https://docs.google.com/spreadsheets/d/1HCAEgGKUH47cqe4_dg9RmSEO6LARaTYcgIeFvwxs46A/edit?usp=drivesdk</t>
  </si>
  <si>
    <t>Sara Kadwani</t>
  </si>
  <si>
    <t>https://docs.google.com/spreadsheets/d/14_fQTSTAr-avVBRNFGSNv-iDYOwOQcS5_aMw6Sf8sDU/edit?usp=drivesdk</t>
  </si>
  <si>
    <t>Safa Rasheed</t>
  </si>
  <si>
    <t>https://docs.google.com/spreadsheets/d/1KKYzMNIiv6a6DjFgCJoczwtEQHX1DSYD0rjEtEKIyV0/edit?usp=drivesdk</t>
  </si>
  <si>
    <t>Lula Abraham</t>
  </si>
  <si>
    <t>https://docs.google.com/spreadsheets/d/1vmg-8nNwFux-VnzDU8w7onwsE45fBIiwGVUXXsCG4e8/edit?usp=drivesdk</t>
  </si>
  <si>
    <t>Diyana Abraham</t>
  </si>
  <si>
    <t>https://docs.google.com/spreadsheets/d/1uxnekuhIZYdtmnmC3GgLoOzIr_A0B2L6dxTumucZMKc/edit?usp=drivesdk</t>
  </si>
  <si>
    <t>Najla Salih</t>
  </si>
  <si>
    <t>https://docs.google.com/spreadsheets/d/13pQ3773A5siqJx-TxnAocKKueKbmemH6mPob7FF3q2o/edit?usp=drivesdk</t>
  </si>
  <si>
    <t>Mawaddah Haitham</t>
  </si>
  <si>
    <t>https://docs.google.com/spreadsheets/d/1QUU3GfWrtndX6SNo4udbbmaQlIGEdy9wdNLomC7Jqw8/edit?usp=drivesdk</t>
  </si>
  <si>
    <t>Amena Muskan</t>
  </si>
  <si>
    <t>https://docs.google.com/spreadsheets/d/1y4KEVOpvwF1yMsK-Ed-JOdp00qz6sHUc5ZzrlpehPkE/edit?usp=drivesdk</t>
  </si>
  <si>
    <t>Sumayyah Muhammad</t>
  </si>
  <si>
    <t>https://docs.google.com/spreadsheets/d/1SEaKQUHr3-Vn4yUMQMO3-XuXxwlfupfWiwufbp3hIPg/edit?usp=drivesdk</t>
  </si>
  <si>
    <t>Rana</t>
  </si>
  <si>
    <t>https://docs.google.com/spreadsheets/d/1gduTQ4Ifb4bBbMTskEcbw9ikXxYJ8WWy6mI6VMgX2pM/edit?usp=drivesdk</t>
  </si>
  <si>
    <t>Rania Kamel</t>
  </si>
  <si>
    <t>https://docs.google.com/spreadsheets/d/19G-sndFnVeLWXfLRbtDrIctzB12iRtCrOdZNSlnuYMg/edit?usp=drivesdk</t>
  </si>
  <si>
    <t>Layan Alhothali</t>
  </si>
  <si>
    <t>https://docs.google.com/spreadsheets/d/1pkA1WzUFsIbjbXRRstnqxCf0IOZZKKwX8lUMcfkVrJ0/edit?usp=drivesdk</t>
  </si>
  <si>
    <t>Sai Hrithika</t>
  </si>
  <si>
    <t>https://docs.google.com/spreadsheets/d/1DCNDnuNFOdmhskI79IpKpLMxMsj0FBeEU4EGOmMWB2k/edit?usp=drivesdk</t>
  </si>
  <si>
    <t>Khadijah Bako</t>
  </si>
  <si>
    <t>https://docs.google.com/spreadsheets/d/1blDJgQyrlCXKQd5dmIRdyd4Bzru8AWDJzbqaMaGK_HM/edit?usp=drivesdk</t>
  </si>
  <si>
    <t>Jwan Mohammed</t>
  </si>
  <si>
    <t>https://docs.google.com/spreadsheets/d/1AiIVBRVjWW-OdlziE1693QrqA3Qm5rld5-n9rgk0j9s/edit?usp=drivesdk</t>
  </si>
  <si>
    <t>Dina Ali</t>
  </si>
  <si>
    <t>https://docs.google.com/spreadsheets/d/1wa-PIeFaqPbhyxFkIxFLrVJinqwEy2lsM3iE-Iaunk0/edit?usp=drivesdk</t>
  </si>
  <si>
    <t>Rawan Naser</t>
  </si>
  <si>
    <t>https://docs.google.com/spreadsheets/d/1qoNs5wGgkQ0zGHkg_BSzWr_qm0HACR96cxppL2Em4XE/edit?usp=drivesdk</t>
  </si>
  <si>
    <t>Ellan</t>
  </si>
  <si>
    <t>https://docs.google.com/spreadsheets/d/1hFGinuDo7_fec-ilkCDSbAAh4yFHUrBU9Nobrvxj0kw/edit?usp=drivesdk</t>
  </si>
  <si>
    <t>Faizah</t>
  </si>
  <si>
    <t>https://docs.google.com/spreadsheets/d/1CfYjuK8Ptup8VjgcX4J__BsUNEpkLGq7Ek2cwYADOmc/edit?usp=drivesdk</t>
  </si>
  <si>
    <t>Safa Marwah</t>
  </si>
  <si>
    <t>https://docs.google.com/spreadsheets/d/1KSj3MyMlBkItT-eXU1GMXNrXvp8rxn16WtW764Lw8UE/edit?usp=drivesdk</t>
  </si>
  <si>
    <t>Fatima</t>
  </si>
  <si>
    <t>https://docs.google.com/spreadsheets/d/1ChRP93hH_n9q-IcfbcoFIaCCNovzvuwsiSzQaJQaiWo/edit?usp=drivesdk</t>
  </si>
  <si>
    <t>Seba</t>
  </si>
  <si>
    <t>https://docs.google.com/spreadsheets/d/1QNhTVKz2iK0TxluRdDC3e7V7PJugAudODITzdDh3LL8/edit?usp=drivesdk</t>
  </si>
  <si>
    <t>Hamsini Upadhyayula</t>
  </si>
  <si>
    <t>https://docs.google.com/spreadsheets/d/1-7lgoxRNUEfVI3aJmG2jD8ypn8ArwBfsmdcgTmCA3e4/edit?usp=drivesdk</t>
  </si>
  <si>
    <t>Ayisha Abdulaziz</t>
  </si>
  <si>
    <t>https://docs.google.com/spreadsheets/d/1VCiipQtR7a0qJcVGq5HD8FJfnXsYHU1wL0ajHhnCwIs/edit?usp=drivesdk</t>
  </si>
  <si>
    <t>Nairah Noushad</t>
  </si>
  <si>
    <t>https://docs.google.com/spreadsheets/d/1L4xnVoQk2YtWNXjQscksiHXbBFg9QfbmXNueKFYlROE/edit?usp=drivesdk</t>
  </si>
  <si>
    <t>Mohammed Abdulmonem</t>
  </si>
  <si>
    <t>https://docs.google.com/spreadsheets/d/12Yr2-qPLdKeGjhTBJi_zqFLNClsn3VzBQdBlouMeGpg/edit?usp=drivesdk</t>
  </si>
  <si>
    <t>Riza Shaheen</t>
  </si>
  <si>
    <t>https://docs.google.com/spreadsheets/d/1q9f6t3Hp6J7hEWlU9wsi3qJRV0rhkSH4vWY7la78dWI/edit?usp=drivesdk</t>
  </si>
  <si>
    <t>Diya Ravipati</t>
  </si>
  <si>
    <t>https://docs.google.com/spreadsheets/d/1yOYQbvB140S1sodATPZ8pkk7X2Qp6no5ugBZnOInak0/edit?usp=drivesdk</t>
  </si>
  <si>
    <t>Maram</t>
  </si>
  <si>
    <t>https://docs.google.com/spreadsheets/d/1yYGyNsw5Pmr4mIL4ssOzhmq99LPPyiPfnq4p2fCs2N0/edit?usp=drivesdk</t>
  </si>
  <si>
    <t>Yaqeen Idriss</t>
  </si>
  <si>
    <t>https://docs.google.com/spreadsheets/d/1K7KUMKAgcoFUeEkpyFI8me0gvPtLG90ClwV_a8rfeHE/edit?usp=drivesdk</t>
  </si>
  <si>
    <t>Ritaj Ahmed</t>
  </si>
  <si>
    <t>https://docs.google.com/spreadsheets/d/11l0rmocQ6ecOJtGE4B7OBoKBS4Zlx3CvMh729nHJ-V8/edit?usp=drivesdk</t>
  </si>
  <si>
    <t>Kavish Agarwal</t>
  </si>
  <si>
    <t>https://docs.google.com/spreadsheets/d/1Gvqi81bUlLcT-VFNqAC7FKo3Cyx8n1uShDnyt23bNK0/edit?usp=drivesdk</t>
  </si>
  <si>
    <t>Ritvik Modani</t>
  </si>
  <si>
    <t>https://docs.google.com/spreadsheets/d/1u-Q_ezGjSTRKa0Z3Vq4rDzaL_AkzAvYyVIdGmfEJmE8/edit?usp=drivesdk</t>
  </si>
  <si>
    <t>Layan Sahli</t>
  </si>
  <si>
    <t>https://docs.google.com/spreadsheets/d/17busmjXSeTjqj3GBv842VhORlC8vqaA3I0f6KyQzYnA/edit?usp=drivesdk</t>
  </si>
  <si>
    <t>Basant Gohal</t>
  </si>
  <si>
    <t>https://docs.google.com/spreadsheets/d/1iS-85FKqXAky01xMHoHZJOhb18zVgd55Avyu89y0Ibo/edit?usp=drivesdk</t>
  </si>
  <si>
    <t>Ashragat Mohammadin</t>
  </si>
  <si>
    <t>https://docs.google.com/spreadsheets/d/10wMcNsnUNCYNATIY4khLvhuow6WqyM7MWcQloGd_Xv4/edit?usp=drivesdk</t>
  </si>
  <si>
    <t>Aseel Aymen</t>
  </si>
  <si>
    <t>https://docs.google.com/spreadsheets/d/17F11EfgAyViMwQKDHGSP7uPWudSDPQxYPa6lvtBAp04/edit?usp=drivesdk</t>
  </si>
  <si>
    <t>Menna Aymen</t>
  </si>
  <si>
    <t>https://docs.google.com/spreadsheets/d/1gDEH_58WoA1PWOCwK4G7CEhtjWLGb9vMr24d1jrTaNs/edit?usp=drivesdk</t>
  </si>
  <si>
    <t>Himani Chourasia</t>
  </si>
  <si>
    <t>https://docs.google.com/spreadsheets/d/1gOHNXrx1Hr_fFXFBDc9cBGvWRkrzpA22a8CzWl8B6dk/edit?usp=drivesdk</t>
  </si>
  <si>
    <t>Noorseen Osman</t>
  </si>
  <si>
    <t>https://docs.google.com/spreadsheets/d/1QPm5e1Ya076_Dhu4uMjyTzVJWTaw_IGlWa1Xonp-8CM/edit?usp=drivesdk</t>
  </si>
  <si>
    <t>Sai Nikhita</t>
  </si>
  <si>
    <t>https://docs.google.com/spreadsheets/d/1fspgqGkbhrlKHZeIdscKjA0tty0Xkg4hEQ65jo3HZBQ/edit?usp=drivesdk</t>
  </si>
  <si>
    <t>Daniel Peter</t>
  </si>
  <si>
    <t>https://docs.google.com/spreadsheets/d/1dGG1McBvaiw3fh8JIFQCNX9ABFYkGM1k6RRPI1ZvBdg/edit?usp=drivesdk</t>
  </si>
  <si>
    <t>Debjyoti Sikdar</t>
  </si>
  <si>
    <t>https://docs.google.com/spreadsheets/d/1__bylC8N_ZEHtcpJRl5vrRatcFZKGuSRITcNII5Yj7o/edit?usp=drivesdk</t>
  </si>
  <si>
    <t>Bhawik</t>
  </si>
  <si>
    <t>https://docs.google.com/spreadsheets/d/1smW-loNEI835BOq4_d1x188HuB_PEej4_GNTdfk1f-g/edit?usp=drivesdk</t>
  </si>
  <si>
    <t>Yasir Kaleem</t>
  </si>
  <si>
    <t>https://docs.google.com/spreadsheets/d/1k-4ffVXpL12XrZI1sEhuVAVFEeXLGm3yFhttD-Zb75k/edit?usp=drivesdk</t>
  </si>
  <si>
    <t>Mudassir Dhanani</t>
  </si>
  <si>
    <t>https://docs.google.com/spreadsheets/d/1oZTGqfvimZ1BHJRzKimTqa0oq-lqLQ2g0EdtbOacyac/edit?usp=drivesdk</t>
  </si>
  <si>
    <t>Ikramuddin</t>
  </si>
  <si>
    <t>https://docs.google.com/spreadsheets/d/1iB02cCfWEki6w71Bzfr2-mqeHeCgsJDHFwQuh59IC_U/edit?usp=drivesdk</t>
  </si>
  <si>
    <t>Ritvik P</t>
  </si>
  <si>
    <t>https://docs.google.com/spreadsheets/d/16IvJ0Q9cH40lqCFRkw-UyQUxnzXzO08i04cSd8aAGes/edit?usp=drivesdk</t>
  </si>
  <si>
    <t>Taahaa Khalifa</t>
  </si>
  <si>
    <t>https://docs.google.com/spreadsheets/d/1WP_b_SX1lgyhjGra453enlXRQNax-mrPJ3QZ5ejjPQw/edit?usp=drivesdk</t>
  </si>
  <si>
    <t>Juveria Dhanani</t>
  </si>
  <si>
    <t>https://docs.google.com/spreadsheets/d/1oAv2vfrd8Bk06YG3Rc_sI3j660s0lhr_gabP3z7EKAo/edit?usp=drivesdk</t>
  </si>
  <si>
    <t>Ayesha Imran</t>
  </si>
  <si>
    <t>https://docs.google.com/spreadsheets/d/1B8riig5oPmNpYQHcwkoP8GTtDAKzt1QWEMe33GPpKeA/edit?usp=drivesdk</t>
  </si>
  <si>
    <t>Geet Panjwani</t>
  </si>
  <si>
    <t>https://docs.google.com/spreadsheets/d/1TFlwjmuHePPuyaboxw_QtuFotGbpIyutUw16X7avwwE/edit?usp=drivesdk</t>
  </si>
  <si>
    <t>Nabeel</t>
  </si>
  <si>
    <t>https://docs.google.com/spreadsheets/d/1QKjFGuj08Ddir91PEGmP2dv1lGauwJWaM9TBiU-Wc_w/edit?usp=drivesdk</t>
  </si>
  <si>
    <t>Yaseen Khalifa</t>
  </si>
  <si>
    <t>https://docs.google.com/spreadsheets/d/1M8KzW0wWCQKGdhO8IS0WfmA0_3PryM17_Dnc0MDPPQk/edit?usp=drivesdk</t>
  </si>
  <si>
    <t>Hryday Kedia</t>
  </si>
  <si>
    <t>https://docs.google.com/spreadsheets/d/1I8mHOtf8O0PuGuC_nX1GMqyhdMrMs-JjsrzaAvhNMOQ/edit?usp=drivesdk</t>
  </si>
  <si>
    <t>https://docs.google.com/spreadsheets/d/1W_IEXjMfF4jHesT9n_B-Rv60lb0XLxmtfJOcgcemYVA/edit?usp=drivesdk</t>
  </si>
  <si>
    <t>Taleen Hakami</t>
  </si>
  <si>
    <t>https://docs.google.com/spreadsheets/d/1pBO3p0JrSKUOTfqd8XGwFlwuWLfsPx8rPsFxoipmqCM/edit?usp=drivesdk</t>
  </si>
  <si>
    <t>Farah</t>
  </si>
  <si>
    <t>https://docs.google.com/spreadsheets/d/1nJVxv-iu--fScZ6mYUq-8GoGoVrbMzABo_VTxMzSv78/edit?usp=drivesdk</t>
  </si>
  <si>
    <t>Fajr</t>
  </si>
  <si>
    <t>https://docs.google.com/spreadsheets/d/1XFawn1geBhh8OUs2LRzAj4gjoC0wUmzeY48ulRd06dA/edit?usp=drivesdk</t>
  </si>
  <si>
    <t>Adeeba</t>
  </si>
  <si>
    <t>https://docs.google.com/spreadsheets/d/1fHUMC9Zb-Eb3eGZicgJF43FJJq72bc18ZFh27NZOKDQ/edit?usp=drive_link</t>
  </si>
  <si>
    <t>Shubh Kalra</t>
  </si>
  <si>
    <t>https://docs.google.com/spreadsheets/d/1-AzrdbuGYaAOmSPL325zALfR6MzrL1jyPNZRqRoSGDc/edit?usp=drivesdk</t>
  </si>
  <si>
    <t>Taha Siddiqui</t>
  </si>
  <si>
    <t>https://docs.google.com/spreadsheets/d/1ZRV4qSwhPvaTveh1JFAR-sGPuaBf36TuhwrY_r20pgk/edit?usp=drivesdk</t>
  </si>
  <si>
    <t>Tooba Naveed</t>
  </si>
  <si>
    <t>https://docs.google.com/spreadsheets/d/1-ofHBsBUG5dDKMVd-h6bqY2yQKAr8rrMA9TKNyDFp-4/edit?usp=drivesdk</t>
  </si>
  <si>
    <t>Ayra Shareef</t>
  </si>
  <si>
    <t>https://docs.google.com/spreadsheets/d/1b1VclikjSZmlVF7niocJKt75qZO7ZDlwWgdk1Jqwz7Y/edit?usp=drivesdk</t>
  </si>
  <si>
    <t>Sree</t>
  </si>
  <si>
    <t>https://docs.google.com/spreadsheets/d/1dtW7oFfvpElDkllLiiHoaMnt-tS9VEfDmmi2qcmtJww/edit?usp=drivesdk</t>
  </si>
  <si>
    <t>Arafat</t>
  </si>
  <si>
    <t>https://docs.google.com/spreadsheets/d/1nWvS3kRwOU1qzAjehRmKQFzjveNqvTt3g39OlO1-f0A/edit?usp=drivesdk</t>
  </si>
  <si>
    <t>https://docs.google.com/spreadsheets/d/1sI4kSiP6Yr_aAiiM00cYSXQdp61jJXGs7fhW6jUpGns/edit?usp=drive_link</t>
  </si>
  <si>
    <t>Tala Hakami</t>
  </si>
  <si>
    <t>https://docs.google.com/spreadsheets/d/15HnreLzm-Ecm1ylxMX_5GuDc3yDsCGYDvnaMITyURwo/edit?usp=drivesdk</t>
  </si>
  <si>
    <t>Sofiya Rawal</t>
  </si>
  <si>
    <t>https://docs.google.com/spreadsheets/d/1rk948Ezw59id0VCJehXxJkw5J5yAVv5yAESGwJTOweI/edit?usp=drivesdk</t>
  </si>
  <si>
    <t>Saksham</t>
  </si>
  <si>
    <t>https://docs.google.com/spreadsheets/d/1p1Vvqj825F2ee0qC9FtB7DAE_BbKg24V5-noJFuscZg/edit?usp=drivesdk</t>
  </si>
  <si>
    <t>Sarah</t>
  </si>
  <si>
    <t>https://docs.google.com/spreadsheets/d/1AyUNcORAgM4RXuWSOrNMK4nL0bKK7bJZqEL0YpOZ0qg/edit?usp=drivesdk</t>
  </si>
  <si>
    <t>Marium Rehman</t>
  </si>
  <si>
    <t>https://docs.google.com/spreadsheets/d/1ItKf23mMj0lhg6a6cZ037Q_dPYggL9HZC_zsQpb2o7o/edit?usp=drivesdk</t>
  </si>
  <si>
    <t>Heba Alomar</t>
  </si>
  <si>
    <t>https://docs.google.com/spreadsheets/d/1Wy_5PdDGRNprxEPAVvEJCX0L52gNo_T86AfEnMsR5qo/edit?usp=drivesdk</t>
  </si>
  <si>
    <t>Ayza Shareef</t>
  </si>
  <si>
    <t>https://docs.google.com/spreadsheets/d/1IiZKDKAzysMoyv55T188ECuyI4xipdS4gUrWLGziOOE/edit?usp=drivesdk</t>
  </si>
  <si>
    <t>Layan Abdelmonem</t>
  </si>
  <si>
    <t>https://docs.google.com/spreadsheets/d/13FLgMpIsEMyDZU4qymyN4vKorHQ9l_6gjK8lxO_um3U/edit?usp=drivesdk</t>
  </si>
  <si>
    <t>Abdurrahman</t>
  </si>
  <si>
    <t>https://docs.google.com/spreadsheets/d/1jmaaXV9T_2HlWQV5L5Gwe-DZBbfsM5PPp2a7yPWFBjM/edit?usp=drivesdk</t>
  </si>
  <si>
    <t>Agamjot</t>
  </si>
  <si>
    <t>https://docs.google.com/spreadsheets/d/1JHMvIS-cRA7FBoTFMzfHluJNg5xfHfzbioJhwQ8HA4U/edit?usp=drivesdk</t>
  </si>
  <si>
    <t>Vatsal Abrols</t>
  </si>
  <si>
    <t>https://docs.google.com/spreadsheets/d/17D0H8LMHSWJdbwWbrNbfMuVYvVrph9GDLZFDcockJm4/edit?usp=drive_link</t>
  </si>
  <si>
    <t>Zakir Osama</t>
  </si>
  <si>
    <t>https://docs.google.com/spreadsheets/d/1XVIDumlA3PATMBV366U9qd-P4fLOt5lMCCKlHUO-is0/edit?usp=drivesdk</t>
  </si>
  <si>
    <t>Muzzamil</t>
  </si>
  <si>
    <t>https://docs.google.com/spreadsheets/d/1p3kvdU45ASbSd_bCZq2zm69aHlj--HdsW9Xl6lYBd4A/edit?usp=drivesdk</t>
  </si>
  <si>
    <t>Nabeeha</t>
  </si>
  <si>
    <t>https://docs.google.com/spreadsheets/d/1xcMjmZq4QtdwMJ1nZWVm88e_YNLX1uWOI6BzvpXXfag/edit?usp=drivesdk</t>
  </si>
  <si>
    <t>Alberto</t>
  </si>
  <si>
    <t>https://docs.google.com/spreadsheets/d/1hMbJHEOVrEiSfNnD0U3qCnJ0r_w8jR-TBhphadXaBE4/edit?usp=drive_link</t>
  </si>
  <si>
    <t>https://docs.google.com/spreadsheets/d/1Ecvrj8YoJjFPYZiZil_1FokNAQP8YXab1NtM3FISgjU/edit?usp=sharing</t>
  </si>
  <si>
    <t xml:space="preserve">Aatif </t>
  </si>
  <si>
    <t>https://docs.google.com/spreadsheets/d/1EcerOxpV2Na3WyJrFgqAZQiMooBBLo6K2mcYcOwDtJ4/edit?usp=drivesdk</t>
  </si>
  <si>
    <t>https://docs.google.com/spreadsheets/d/1W2B-wSuM2PC8ux1tnHm-MjrFxzUD22z2KqFTLA4ua-4/edit?usp=drive_link</t>
  </si>
  <si>
    <t>https://docs.google.com/spreadsheets/d/1Cj-xU-9AjtjVaeN9j6NgOjGgwIQaiFsjLPNEx66qz50/edit?usp=drivesdk</t>
  </si>
  <si>
    <t>Ritvik Raj Pamidi</t>
  </si>
  <si>
    <t>https://docs.google.com/spreadsheets/d/1xZY6oP8Tq_En3Aq_Ba1YlRIqU74e7WXNpe4X4LmL4qc/edit?usp=drivesdk</t>
  </si>
  <si>
    <t>SGT</t>
  </si>
  <si>
    <t>ritvikrajpamidi@gmail.com</t>
  </si>
  <si>
    <t>Suhani Jain</t>
  </si>
  <si>
    <t>https://docs.google.com/spreadsheets/d/1DjM5X2doRmUvWHdtDlMYFtIO3-seoyCPuNTJ2vskrrw/edit?usp=drivesdk</t>
  </si>
  <si>
    <t>IST</t>
  </si>
  <si>
    <t>suhanijain2212@gmail.com</t>
  </si>
  <si>
    <t>Diniru Dissanayake</t>
  </si>
  <si>
    <t>https://docs.google.com/spreadsheets/d/18fWl5DSpNOvB3Cj142m_mJJQtsqBupm7qnTDCIX-CUc/edit?usp=drivesdk</t>
  </si>
  <si>
    <t>AST</t>
  </si>
  <si>
    <r>
      <rPr>
        <rFont val="Roboto"/>
        <color rgb="FF1155CC"/>
        <sz val="11.0"/>
        <u/>
      </rPr>
      <t>sa_dissanayake@yahoo.com</t>
    </r>
  </si>
  <si>
    <t>Muhammed IMTIYAZ</t>
  </si>
  <si>
    <t>https://docs.google.com/spreadsheets/d/1dqp5-2Txaznqzg8S3i-M5KtK0-GumZEHYOlhoM9dO9Y/edit?usp=drivesdk</t>
  </si>
  <si>
    <t>rehana120221@gmail.com</t>
  </si>
  <si>
    <t>Al Aqmar Jamnagarwalla</t>
  </si>
  <si>
    <t>https://docs.google.com/spreadsheets/d/1qEIxE1-XuwdnpHzLHoCnr6wBVymn_22mjFNs8HPPq3o/edit?usp=drivesdk</t>
  </si>
  <si>
    <t>alaqmarj@gmail.com</t>
  </si>
  <si>
    <t>Jerrin Jaison</t>
  </si>
  <si>
    <t>https://docs.google.com/spreadsheets/d/11hOs-5HHbgUIdxzaTcZbS8gqadtfzouvKYXPfs3io5Y/edit?usp=drivesdk</t>
  </si>
  <si>
    <t>firewhirlz1@gmail.com</t>
  </si>
  <si>
    <t>M Naseef M</t>
  </si>
  <si>
    <t>https://docs.google.com/spreadsheets/d/1NfNK43VThOAPRY86vXL1fFDDG1Ya325H0o5ghvvIyc0/edit?usp=drivesdk</t>
  </si>
  <si>
    <t>md2007mnm@gmail.com</t>
  </si>
  <si>
    <t>Brighty Bejoy</t>
  </si>
  <si>
    <t>https://docs.google.com/spreadsheets/d/1b4aoFP4q9nXBSj11hF0LgLTDFuihtQp6Maj7Je-AQCo/edit?usp=drivesdk</t>
  </si>
  <si>
    <t>bettyelezebeth@gmail.com</t>
  </si>
  <si>
    <t>Besly Bejoy</t>
  </si>
  <si>
    <t>https://docs.google.com/spreadsheets/d/1fGOCS2u9GKnuriTyDlsKWa5QvsAUpqsH4tZaW1ZIdIk/edit?usp=drivesdk</t>
  </si>
  <si>
    <t>Omar BIN ZARRAR</t>
  </si>
  <si>
    <t>https://docs.google.com/spreadsheets/d/1Z7xsqwH3amkElvNdh3Hfa77_Pu8g8UB3GkcU0nStjVI/edit?usp=drivesdk</t>
  </si>
  <si>
    <t>shahlazarrar1@gmail.com</t>
  </si>
  <si>
    <t>Al Ansar Int School</t>
  </si>
  <si>
    <t>Aakaash Nandakumar</t>
  </si>
  <si>
    <t>https://docs.google.com/spreadsheets/d/1LSehiUMH4_pHzn11H3j_PBdMzi0I7oNFENMJabfQ4Hw/edit?usp=drivesdk</t>
  </si>
  <si>
    <t>rajeswari.com@gmail.com</t>
  </si>
  <si>
    <t>Manya Agarwal</t>
  </si>
  <si>
    <t>https://docs.google.com/spreadsheets/d/1iN5PP-Tj7AaJaxz1UL05wchDoeYVTI5MiAvo9WOItmA/edit?usp=drivesdk</t>
  </si>
  <si>
    <t>manyaazno1@gmail.com</t>
  </si>
  <si>
    <t>Joey Feng</t>
  </si>
  <si>
    <t>https://docs.google.com/spreadsheets/d/1KfootIuGJo2DnRwVaCUMwsEZ-lrLmoY7kGT5FUJpQHY/edit?usp=drivesdk</t>
  </si>
  <si>
    <t>fengj133@hotmail.com</t>
  </si>
  <si>
    <t>Heritage</t>
  </si>
  <si>
    <t>Ayaan Khan</t>
  </si>
  <si>
    <t>https://docs.google.com/spreadsheets/d/1O7bTaus7bOrVLpU1M8jYCZIzeH20VkgmsEBcNWBA1OA/edit?usp=drivesdk</t>
  </si>
  <si>
    <t>khansnk000@gmail.com</t>
  </si>
  <si>
    <t>Mayoor School</t>
  </si>
  <si>
    <t>Afeez Abduljaleel</t>
  </si>
  <si>
    <t>https://docs.google.com/spreadsheets/d/1XsGP3ok3b7ScZNvjq7Fn5BJsI6z9C9lebM2FZejpXHI/edit?usp=drivesdk</t>
  </si>
  <si>
    <t>binthabduljaleel34@gmail.com</t>
  </si>
  <si>
    <t>King Fahad School</t>
  </si>
  <si>
    <t xml:space="preserve">Mehreen </t>
  </si>
  <si>
    <t xml:space="preserve">GBP </t>
  </si>
  <si>
    <t>https://docs.google.com/spreadsheets/d/1T1Gvk_PQPHIlzPBD0nfwxVXcXjfFg4iplhKl-59s8Yg/edit?usp=drivesdk</t>
  </si>
  <si>
    <t>CST</t>
  </si>
  <si>
    <t>Sharmira Perkash</t>
  </si>
  <si>
    <t xml:space="preserve">MYR </t>
  </si>
  <si>
    <t>https://docs.google.com/spreadsheets/d/1ni93iUxoUz_AZU2NKJ0aPh1y6KZYWyi6utg6wU1MZGE/edit?usp=drivesdk</t>
  </si>
  <si>
    <t>MYT</t>
  </si>
  <si>
    <t>https://docs.google.com/spreadsheets/d/1ofMDPCUpG4mu7S5gAB5DAeYUpO0XhmGLrHbF9mfdzJk/edit?usp=drivesdk</t>
  </si>
  <si>
    <t>Noya Mahasin</t>
  </si>
  <si>
    <t>https://docs.google.com/spreadsheets/d/13Z2NQyCH8HD25eD415NTjdJOOE64DcgWrqVtRMHpGIU/edit?usp=drivesdk</t>
  </si>
  <si>
    <t>Steve Rex</t>
  </si>
  <si>
    <t>https://docs.google.com/spreadsheets/d/1gkngIjNKKHnMHYnQF_yveZd_JykrlOqtfWZgeNlKtZE/edit?usp=drivesdk</t>
  </si>
  <si>
    <t>https://docs.google.com/spreadsheets/d/1AYdWptw8Th5KBkwrrYQzc4maswXLsd_NRrCIshh9Y2Q/edit?usp=drivesdk</t>
  </si>
  <si>
    <t xml:space="preserve">Shifa Adnan </t>
  </si>
  <si>
    <t>https://docs.google.com/spreadsheets/d/1fFSVASXkk4tBraP04s_pzbRRkm2EDQ3mXD-Mi1BOks8/edit?usp=drivesdk</t>
  </si>
  <si>
    <t>Hananah Khan</t>
  </si>
  <si>
    <t>https://docs.google.com/spreadsheets/d/1wsgxcOMhU6iNHLq7KHLpUgDtyOxlS_8Nnl-wVIKI3os/edit?usp=drivesdk</t>
  </si>
  <si>
    <t>UAE</t>
  </si>
  <si>
    <t>+971585450302</t>
  </si>
  <si>
    <t>saeeda.riaz@gmail.com</t>
  </si>
  <si>
    <t>Ananya T</t>
  </si>
  <si>
    <t>https://docs.google.com/spreadsheets/d/1Oxg8zo2eqK0k9kUPKqT4XDhKEjtKJJLDClpEbpmHPTc/edit?usp=drivesdk</t>
  </si>
  <si>
    <t xml:space="preserve">+917898009293
</t>
  </si>
  <si>
    <t>goyalruchi12@gmail.com</t>
  </si>
  <si>
    <t>Aliya Wazir</t>
  </si>
  <si>
    <t>https://docs.google.com/spreadsheets/d/15qVa9V-rMyhNao5oMFUMKBAozRIBTSsR4CEOaWRMwXs/edit?usp=drivesdk</t>
  </si>
  <si>
    <t>+917418751783</t>
  </si>
  <si>
    <t>Vriddhi Sonthalia</t>
  </si>
  <si>
    <t>https://docs.google.com/spreadsheets/d/1zO_qMdYJFtbTtcba_aA4EafHeb0CSJKlyem2wzGcbxE/edit?usp=drivesdk</t>
  </si>
  <si>
    <t>+919849067410</t>
  </si>
  <si>
    <t>Imtiaz</t>
  </si>
  <si>
    <t>https://docs.google.com/spreadsheets/d/1VtH5AbLzzfH0wvHOk0f_sWXGVfNET_rGZNjR32SYp3M/edit?usp=drivesdk</t>
  </si>
  <si>
    <t>Ritvik Rawat</t>
  </si>
  <si>
    <t>https://docs.google.com/spreadsheets/d/1O_EewbwPl6zpShmtwmZgN53TR1gUDkbb10JBK6gUQNk/edit?usp=drivesdk</t>
  </si>
  <si>
    <t>Ibrahim Kamal Pasha</t>
  </si>
  <si>
    <t>https://docs.google.com/spreadsheets/d/1x9d0ljye2OouK7jQWxWkdU_ZcP9j_FEoEutvd9rMi2g/edit?usp=drivesdk</t>
  </si>
  <si>
    <t xml:space="preserve">Saudi </t>
  </si>
  <si>
    <t>+966543362128</t>
  </si>
  <si>
    <t>SheftaJamal@Gmail.com</t>
  </si>
  <si>
    <t>BISJ</t>
  </si>
  <si>
    <t>Abdullah Kamal Pasha</t>
  </si>
  <si>
    <t>https://docs.google.com/spreadsheets/d/1e5a6Lrqy5r7j3eT5uIQgn4f-FGGnSzS9lV5zGmlGEUA/edit?usp=drivesdk</t>
  </si>
  <si>
    <t>Asrar Ahmad Shah</t>
  </si>
  <si>
    <t>https://docs.google.com/spreadsheets/d/1d1xJhdetWalAbnkfkf1aYCRCjttRkzuGD1niN3TkmvI/edit?usp=drivesdk</t>
  </si>
  <si>
    <t>+91 6006764995</t>
  </si>
  <si>
    <r>
      <rPr>
        <rFont val="Roboto"/>
        <color rgb="FF1155CC"/>
        <sz val="11.0"/>
        <u/>
      </rPr>
      <t>shahasrarahmad@gmail.com</t>
    </r>
  </si>
  <si>
    <t>AS Level Physics • Referred by Aina Bashir</t>
  </si>
  <si>
    <t>Howard Lim</t>
  </si>
  <si>
    <t>https://docs.google.com/spreadsheets/d/1BzglDzgnpOP_fgL48AKnO_Z29ewhXZVbYqvUVR8d3tc/edit?usp=drivesdk</t>
  </si>
  <si>
    <t>Indonesia</t>
  </si>
  <si>
    <t>+6281281097579</t>
  </si>
  <si>
    <r>
      <rPr>
        <rFont val="Roboto"/>
        <color rgb="FF1155CC"/>
        <sz val="11.0"/>
        <u/>
      </rPr>
      <t>howardklim1510@gmail.com</t>
    </r>
  </si>
  <si>
    <t>Maths</t>
  </si>
  <si>
    <t>Amakie Ematu</t>
  </si>
  <si>
    <t>https://docs.google.com/spreadsheets/d/1m96alep541rzuOLa1Bq4yZaeuAy9ctxGMk_gJtdxRRY/edit?usp=drivesdk</t>
  </si>
  <si>
    <t>akunmereclark@gmail.com</t>
  </si>
  <si>
    <t>AAIS</t>
  </si>
  <si>
    <t>Chemistry
Physics
BIology
Maths
English as a Second Language</t>
  </si>
  <si>
    <t>Ethan</t>
  </si>
  <si>
    <t>NA</t>
  </si>
  <si>
    <t>https://docs.google.com/spreadsheets/d/1c06h0m2azuC27F6MDdGh9H4MZDF-6BalNfyWvmxNXxw/edit?usp=drivesdk</t>
  </si>
  <si>
    <t>GMT+2</t>
  </si>
  <si>
    <t>samanthagopalan01@gmail.com</t>
  </si>
  <si>
    <t>Interested in Computer Science classes and resources. Referred by TeacherOn.</t>
  </si>
  <si>
    <t>South Africa</t>
  </si>
  <si>
    <t>Eric Lay</t>
  </si>
  <si>
    <t>GMT+7</t>
  </si>
  <si>
    <t>ericvlay11112008@gmail.com</t>
  </si>
  <si>
    <t>Tunas Bangsa Christian School</t>
  </si>
  <si>
    <t>Interested in Further Mathematics. Referred by Howard.</t>
  </si>
  <si>
    <t>NAME</t>
  </si>
  <si>
    <t>TEXT</t>
  </si>
  <si>
    <t>ALTERNATE TEXT #1</t>
  </si>
  <si>
    <t>USE</t>
  </si>
  <si>
    <t>DATE</t>
  </si>
  <si>
    <t>Privacy Statement</t>
  </si>
  <si>
    <t>We handle your personal information confidentially, strictly following data protection laws, including GDPR. Rest assured, your data will be used only as stated and not shared without your consent, except as required by law. Rest assured, we employ strong security measures to protect against unauthorized access or misuse.</t>
  </si>
  <si>
    <t>Inclusivity Statememt</t>
  </si>
  <si>
    <t>DivergenCIE staff in the UK are from diverse nationalities all over the globe including India, Pakistan, Bangladesh, the US, Australia, etc. Thank you.</t>
  </si>
  <si>
    <t>DC Introduction</t>
  </si>
  <si>
    <t>DivergenCIE Coaching is a team of teachers, examiners and previous Cambridge A-Level Country &amp; World Toppers accepted at prestigious universities in the UK, including the University of Edinburgh, London School of Economics and Imperial College London.</t>
  </si>
  <si>
    <t>Welcome to DC ✨
DivergenCIE Coaching is a team of teachers, examiners and previous Cambridge A-Level Country &amp; World Toppers accepted at prestigious universities in the UK, including the University of Edinburgh, London School of Economics and Imperial College London.</t>
  </si>
  <si>
    <t>Services Offered</t>
  </si>
  <si>
    <t>We specialise in teaching for excellence and high achievement in all major CAIE IGCSE and A-Level subjects. We also have highly respected teachers for SAT, IB and IELTS.
DivergenCIE Study Resources include Yearly and Topical Past Papers Booklets, Detailed A* Notes Booklets for the Latest Syllabus and Cambridge Endorsed Books and Revision Guides.</t>
  </si>
  <si>
    <t>Staff Introduction - Subjects Not Known</t>
  </si>
  <si>
    <t>Good morning! This is Adam from DivergenCIE Coaching. Which subjects would you be open-minded about trying out with us before you fully commit?</t>
  </si>
  <si>
    <t>Staff Introduction - Subjects Known</t>
  </si>
  <si>
    <t>Good evening! This is Adam from DivergenCIE Coaching. We have got your back for acing your exams with flying colours and getting the A*.</t>
  </si>
  <si>
    <t xml:space="preserve">DC Staff Payment Receipt </t>
  </si>
  <si>
    <t>DC Staff Payment 2024 Jul 2nd Payment:
Aurneela Ghosh Riddhi, MYR 173/-
Date paid: Sep 12th, 2024</t>
  </si>
  <si>
    <t>DC Student Payment Acknowledgement</t>
  </si>
  <si>
    <t>We acknowledge the fee payment receipt by Nairah Noushad of INR 30,000/- for the months of 2024 Oct, Nov and Dec. Updated in the system. Timely fee payments help our teachers provide high-quality guidance and mentorship to your child. Thank you for choosing DivergenCIE Coaching! ✨</t>
  </si>
  <si>
    <t>DC Tutoring Format &amp; Rules to Follow</t>
  </si>
  <si>
    <t>DC Fee Reminder - Approaching</t>
  </si>
  <si>
    <t>DC Fee Reminder</t>
  </si>
  <si>
    <t>Good evening! This is a reminder to request for fee payment. Please notify us of the reasons for any delays ASAP! 😊</t>
  </si>
  <si>
    <t>DC Fee Reminder - Late</t>
  </si>
  <si>
    <t>DC Fee Reminder - Final Reminder and Class Cessation Notice</t>
  </si>
  <si>
    <t>📢 URGENT FOLLOW-UP REMINDER
Dear Parents and Students,
This is a FINAL REMINDER to clear all outstanding fees by TODAY, 16th SEPTEMBER or TOMORROW, 17th SEPTEMBER 2024 LATEST ❗
Failure to meet this deadline will result in a late fee penalty and suspension of classes and digital resources. Please ensure all payments are made promptly to avoid disruption.
Kindly email the payment receipt once paid. For any queries, please contact us IMMEDIATELY.
Thank you for your cooperation!
Regards,
DivergenCIE Coaching</t>
  </si>
  <si>
    <t>DC Interview Request</t>
  </si>
  <si>
    <t>Hey Tehreem!
We have an opening for a Cambridge Curriculum Tutor. Your job application looks promising!
Please book a time slot for an interview with us using the link below:
https://calendly.com/divergencie/interviewcall</t>
  </si>
  <si>
    <t>DC Interview What to Expect</t>
  </si>
  <si>
    <t>Please feel free to share your screen or showcase your teaching setup. We are interested in hearing about your experience tutoring students following the Cambridge curriculum, as well as the educational outcomes, including the grades your students have achieved.</t>
  </si>
  <si>
    <t>Invoice Summary</t>
  </si>
  <si>
    <t>DivergenCIE Student Details Export
Student Name: Tooba Naveed
Status: Active
Course: IGCSE
Months:
2024: September,October, November, December, January
Instructor: Mr Akhtar
Subject Rate: SAR 150/-
Total due: SAR 750/-
Due Since: 156 days❗</t>
  </si>
  <si>
    <t>DC Course Structure, AS-Level Chemistry</t>
  </si>
  <si>
    <t>🔬 Discover the World of Chemistry with DivergenCIE Coaching! 🔬
Are you ready to unlock the secrets of atoms, molecules, and chemical reactions? Join DivergenCIE Coaching in our comprehensive 9701 A-Level Chemistry course and explore the fascinating realm of physical, inorganic, and organic chemistry.
🌟 Course Highlights 🌟
Master AS-Level topics: Atomic structure, stoichiometry, chemical bonding, and more!
Dive deep into Physical Chemistry: States of matter, chemical energetics, and electrochemistry. Updated syllabus from 2022 onwards.
Unleash the power of Inorganic Chemistry: Explore the Periodic Table, Group 2, Group 17, and more!
Embrace the world of Organic Chemistry: Study hydrocarbons, halogen compounds, and organic synthesis.
Stay updated with syllabus changes in Polymers, Acids and Bases, and Chemical Energetics from 2022 onwards.
Develop essential analysis skills with analytical techniques.
Engage in hands-on practical skills to enhance your understanding.
🎓 Our Expert Team 🎓
Our experienced and dedicated instructors from prestigious UK universities were World &amp; Country Topperss, with a track record of exceptional results, and will guide you through the curriculum. Benefit from their expertise and receive personalized support to excel in your exams.
💡 Join Us Today! 💡
Don't miss out on this opportunity to build a strong foundation in Chemistry. Enrol now at DivergenCIE Coaching!
📞 Call us at +919650675507 or visit our website at bit.ly/divergencie to register and secure your spot. Limited seats are available!
🔬 DivergenCIE Coaching: Igniting Curiosity, Unleashing Potential! 🔬</t>
  </si>
  <si>
    <t>DC Email Signature</t>
  </si>
  <si>
    <t>Best regards,
DivergenCIE Coaching Team
The information included in this email is confidential and reserved for the named recipient only. You may not share this message or any of its attachments with anyone. Finally, the opinions disclosed by the sender do not have to reflect those of the company, therefore the company shall take no liability for the content of this email. Due to an increased number of support requests we are currently receiving; it may take up to 7 days to receive a response. Thank you for choosing DivergenCIE Coaching!</t>
  </si>
  <si>
    <t>Indian Payment Account Details</t>
  </si>
  <si>
    <t>Account Name - Mohammad Fahim Akhtar
Bank Name - State Bank of India
Account Number - 10137922754
IFSC CODE - SBIN0004652
Branch name - Kathara
DOB - 28/03/1975
Paytm ID - 9650675507@ptsbi</t>
  </si>
  <si>
    <t>DC Recruit Interest - Future Follow up</t>
  </si>
  <si>
    <t xml:space="preserve">
Dear xyz,
We appreciate your interest in the part-time programming tutor position at DivergenCIE. We appreciate your application and will keep it on file. We will contact you if any suitable opportunities arise.
Best Regards,
DivergenCIE
</t>
  </si>
  <si>
    <t>Counselling and University Applications Sessions</t>
  </si>
  <si>
    <t>The fee is GBP 15 / hour for comprehensive student counseling sessions covering academic, career, and personal/social development, individual and group counseling, mental health support, evidence-based assessments (MBTI, CTI, RIASEC, Kuder Career Interests Assessment, Values Scale), university application guidance, personal statement crafting, interview preparation, and tailored assistance to help students achieve their goals.</t>
  </si>
  <si>
    <t>Acknowledgement Message with service</t>
  </si>
  <si>
    <t>CONCATENATE(
  "We acknowledge the fee payment receipt by ", #REF!,  
  " of ", #REF!, " ", #REF!, "/- for ", TEXT(#REF!, "MMM YYYY"),  
  " on ", TEXT(A196,"D MMM YYYY"), " for ",  
  INDEX(SPLIT(#REF!, " "), 1), " ", INDEX(SPLIT(#REF!, " "), 2),  
  ". Updated in the system. Thank you for choosing DivergenCIE Coaching! 💫"
)</t>
  </si>
  <si>
    <t>All due invoices</t>
  </si>
  <si>
    <t>=ARRAYFORMULA(FILTER(INDIRECT("'Student Invoices 2025'!B:U"), (INDIRECT("'Student Invoices 2025'!O:O")=0) * (INDIRECT("'Student Invoices 2025'!O:O")&lt;&gt;"")))</t>
  </si>
  <si>
    <t>Acknowledgement Message without service</t>
  </si>
  <si>
    <t>CONCATENATE(
  "We acknowledge the fee payment receipt by ", #REF!,  
  " of ", #REF!, " ", #REF!, "/- for ", TEXT(#REF!, "MMM YYYY"),  
  " on ", TEXT(A196,"D MMM YYYY"),  
  ". Updated in the system. Thank you for choosing DivergenCIE Coaching! 💫"
)</t>
  </si>
  <si>
    <t>Payment Reminder Message</t>
  </si>
  <si>
    <t>if(OR(L8=0, L8=""),,"https://api.whatsapp.com/send/?phone="&amp; filter('Dropdowns 2025 Jan'!$G$143:$G$242,'Dropdowns 2025 Jan'!$B$143:$B$242=C8) &amp;"&amp;text=" &amp; ENCODEURL(
  "Good evening! Immediate fee payment is required. 😊 On-time fees, smoother studies!" &amp; CHAR(10) &amp; CHAR(10) &amp;
  "DivergenCIE Student Details Export" &amp; CHAR(10) &amp; CHAR(10) &amp;
  "Student Name: " &amp; C8 &amp; CHAR(10) &amp; 
  "Status: " &amp; D8 &amp; CHAR(10) &amp; 
  "Course: " &amp; LEFT(E8,FIND("*",SUBSTITUTE(E8," ","*",3))-1) &amp; CHAR(10) &amp; 
  "Month(s): " &amp; TEXT(M8,"MMM YYYY") &amp; CHAR(10) &amp; 
  "Instructor: Mr Akhtar" &amp; CHAR(10) &amp; CHAR(10) &amp;
  "Total due: " &amp; F8 &amp; " " &amp; L8 &amp; CHAR(10) &amp; CHAR(10) &amp;
  "Official Invoice PDF: " &amp; T8 &amp; CHAR(10) &amp; CHAR(10) &amp;
  "The following are the account details provided by your teacher:" &amp; CHAR(10) &amp; CHAR(10) &amp;
  "CHECK ACCOUNT DETAILS:" &amp; CHAR(10) &amp;
  filter('Dropdowns 2025 Jan'!$B$248:$B$274,'Dropdowns 2025 Jan'!$A$248:$A$274="Indian Payment Account Details") &amp; CHAR(10) &amp; CHAR(10) &amp;
  "Make sure to email the receipt to the team via the official address: DivergenCIE@outlook.com. Thank you! ✨"
) &amp; "&amp;type=phone_number&amp;app_absent=1")</t>
  </si>
  <si>
    <t>To</t>
  </si>
  <si>
    <t>Reverse</t>
  </si>
  <si>
    <t>BHD</t>
  </si>
  <si>
    <t>BDT</t>
  </si>
  <si>
    <t>S. No.</t>
  </si>
  <si>
    <t>Month</t>
  </si>
  <si>
    <t>1</t>
  </si>
  <si>
    <t>Aug_of_2022</t>
  </si>
  <si>
    <t>2</t>
  </si>
  <si>
    <t>Sep_of_2022</t>
  </si>
  <si>
    <t>3</t>
  </si>
  <si>
    <t>Oct_of_2022</t>
  </si>
  <si>
    <t>4</t>
  </si>
  <si>
    <t>Nov_of_2022</t>
  </si>
  <si>
    <t>5</t>
  </si>
  <si>
    <t>Dec_of_2022</t>
  </si>
  <si>
    <t>6</t>
  </si>
  <si>
    <t>Jan_of_2023</t>
  </si>
  <si>
    <t>7</t>
  </si>
  <si>
    <t>Feb_of_2023</t>
  </si>
  <si>
    <t>8</t>
  </si>
  <si>
    <t>Mar_of_2023</t>
  </si>
  <si>
    <t>9</t>
  </si>
  <si>
    <t>Apr_of_2023</t>
  </si>
  <si>
    <t>10</t>
  </si>
  <si>
    <t>May_of_2023</t>
  </si>
  <si>
    <t>11</t>
  </si>
  <si>
    <t>Jun_of_2023</t>
  </si>
  <si>
    <t>12</t>
  </si>
  <si>
    <t>Jul_of_2023</t>
  </si>
  <si>
    <t>13</t>
  </si>
  <si>
    <t>Aug_of_2023</t>
  </si>
  <si>
    <t>14</t>
  </si>
  <si>
    <t>Sep_of_2023</t>
  </si>
  <si>
    <t>15</t>
  </si>
  <si>
    <t>Oct_of_2023</t>
  </si>
  <si>
    <t>16</t>
  </si>
  <si>
    <t>Nov_of_2023</t>
  </si>
  <si>
    <t>17</t>
  </si>
  <si>
    <t>Dec_of_2023</t>
  </si>
  <si>
    <t>18</t>
  </si>
  <si>
    <t>Jan_of_2024</t>
  </si>
  <si>
    <t>19</t>
  </si>
  <si>
    <t>Feb_of_2024</t>
  </si>
  <si>
    <t>20</t>
  </si>
  <si>
    <t>Mar_of_2024</t>
  </si>
  <si>
    <t>21</t>
  </si>
  <si>
    <t>Apr_of_2024</t>
  </si>
  <si>
    <t>22</t>
  </si>
  <si>
    <t>May_of_2024</t>
  </si>
  <si>
    <t>23</t>
  </si>
  <si>
    <t>Jun_of_2024</t>
  </si>
  <si>
    <t>24</t>
  </si>
  <si>
    <t>Jul_of_2024</t>
  </si>
  <si>
    <t>25</t>
  </si>
  <si>
    <t>Aug_of_2024</t>
  </si>
  <si>
    <t>26</t>
  </si>
  <si>
    <t>Sep_of_2024</t>
  </si>
  <si>
    <t>27</t>
  </si>
  <si>
    <t>Oct_of_2024</t>
  </si>
  <si>
    <t>28</t>
  </si>
  <si>
    <t>Nov_of_2024</t>
  </si>
  <si>
    <t>29</t>
  </si>
  <si>
    <t>Dec_of_2024</t>
  </si>
  <si>
    <t>30</t>
  </si>
  <si>
    <t>Jan_of_2025</t>
  </si>
  <si>
    <t>31</t>
  </si>
  <si>
    <t>Feb_of_2025</t>
  </si>
  <si>
    <t>32</t>
  </si>
  <si>
    <t>Mar_of_2025</t>
  </si>
  <si>
    <t>33</t>
  </si>
  <si>
    <t>Apr_of_2025</t>
  </si>
  <si>
    <t>34</t>
  </si>
  <si>
    <t>May_of_2025</t>
  </si>
  <si>
    <t>35</t>
  </si>
  <si>
    <t>Jun_of_2025</t>
  </si>
  <si>
    <t>36</t>
  </si>
  <si>
    <t>Jul_of_2025</t>
  </si>
  <si>
    <t>37</t>
  </si>
  <si>
    <t>Aug_of_2025</t>
  </si>
  <si>
    <t>38</t>
  </si>
  <si>
    <t>Sep_of_2025</t>
  </si>
  <si>
    <t>39</t>
  </si>
  <si>
    <t>Oct_of_2025</t>
  </si>
  <si>
    <t>40</t>
  </si>
  <si>
    <t>Nov_of_2025</t>
  </si>
  <si>
    <t>41</t>
  </si>
  <si>
    <t>Dec_of_2025</t>
  </si>
  <si>
    <t>42</t>
  </si>
  <si>
    <t>Jan_of_2026</t>
  </si>
  <si>
    <t>43</t>
  </si>
  <si>
    <t>Feb_of_2026</t>
  </si>
  <si>
    <t>44</t>
  </si>
  <si>
    <t>Mar_of_2026</t>
  </si>
  <si>
    <t>45</t>
  </si>
  <si>
    <t>Apr_of_2026</t>
  </si>
  <si>
    <t>46</t>
  </si>
  <si>
    <t>May_of_2026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</si>
  <si>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</si>
  <si>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</si>
  <si>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</si>
  <si>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</si>
  <si>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</si>
  <si>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</si>
  <si>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</si>
  <si>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</si>
  <si>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</si>
  <si>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</si>
  <si>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</si>
  <si>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</si>
  <si>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</si>
  <si>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</si>
  <si>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</si>
  <si>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</si>
  <si>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</si>
  <si>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</si>
  <si>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</si>
  <si>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</si>
  <si>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</si>
  <si>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</si>
  <si>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</si>
  <si>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</si>
  <si>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</si>
  <si>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</si>
  <si>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</si>
  <si>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</si>
  <si>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</si>
  <si>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</si>
  <si>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</si>
  <si>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Name</t>
  </si>
  <si>
    <t>Definition</t>
  </si>
  <si>
    <t>Paused</t>
  </si>
  <si>
    <t>Cancelled</t>
  </si>
  <si>
    <t>Invoice made</t>
  </si>
  <si>
    <t>Invoice sent</t>
  </si>
  <si>
    <t>Warning sent</t>
  </si>
  <si>
    <t>Absent</t>
  </si>
  <si>
    <t>Issue</t>
  </si>
  <si>
    <t>Hourly</t>
  </si>
  <si>
    <t>Individual</t>
  </si>
  <si>
    <t>Trial</t>
  </si>
  <si>
    <t>Completed</t>
  </si>
  <si>
    <t>Not Confirmed</t>
  </si>
  <si>
    <t>Date</t>
  </si>
  <si>
    <t>Link</t>
  </si>
  <si>
    <t>DC Schedules 04/07/2025</t>
  </si>
  <si>
    <t>04/07/2025</t>
  </si>
  <si>
    <t>https://www.canva.com/design/DAGj9OE1cKA/77C-82xeGCjyXt_Spi7oew/edit</t>
  </si>
  <si>
    <t>A LEVEL BIOLOGY Paper 1 v1.0 Answers Book (SECURE).pdf</t>
  </si>
  <si>
    <t>https://drive.google.com/open?id=1RqodYI5XyO_euX9_cC38a0laasC6pdji&amp;usp=drive_copy</t>
  </si>
  <si>
    <t>A LEVEL BIOLOGY Paper 1 v1.0 Questions Book (SECURE).pdf</t>
  </si>
  <si>
    <t>https://drive.google.com/open?id=1CdT4ah7XbjXbOeMeYsus3_y5h-zR8h6A&amp;usp=drive_copy</t>
  </si>
  <si>
    <t>A LEVEL BIOLOGY Paper 2 v1.0 Answers Book (SECURE).pdf</t>
  </si>
  <si>
    <t>https://drive.google.com/open?id=1iMPGuONUm2OZbG6mrHAcJQCBFNFlaYEk&amp;usp=drive_copy</t>
  </si>
  <si>
    <t>A LEVEL BIOLOGY Paper 2 v1.0 Questions Book (SECURE).pdf</t>
  </si>
  <si>
    <t>https://drive.google.com/open?id=1sdsSnaFnGjkejvrJnTAE4KOgquRqVq5A&amp;usp=drive_copy</t>
  </si>
  <si>
    <t>A LEVEL CHEMISTRY Paper 1 v1.0 Answers Book (SECURE).pdf</t>
  </si>
  <si>
    <t>https://drive.google.com/open?id=1LNgkboFgc4d1qQwOst09p6wHPxUS1zTs&amp;usp=drive_copy</t>
  </si>
  <si>
    <t>A LEVEL CHEMISTRY Paper 1 v1.0 Questions Book (SECURE).pdf</t>
  </si>
  <si>
    <t>https://drive.google.com/open?id=1yNSrwNxBzZNbYrvAuE0xLxUH0Z1smZ-k&amp;usp=drive_copy</t>
  </si>
  <si>
    <t>A LEVEL CHEMISTRY Paper 2 v1.0 Answers Book (SECURE).pdf</t>
  </si>
  <si>
    <t>https://drive.google.com/open?id=1qpUy9DPTYPAhZgPbfVw7h1C8aRCUsnlk&amp;usp=drive_copy</t>
  </si>
  <si>
    <t>A LEVEL CHEMISTRY Paper 2 v1.0 Questions Book (SECURE).pdf</t>
  </si>
  <si>
    <t>https://drive.google.com/open?id=1VVOtElMiuDL4-b-x9Viv-7ORiwUEhTwu&amp;usp=drive_copy</t>
  </si>
  <si>
    <t>A LEVEL CHEMISTRY Paper 4 v1.0 Answers Book OCR (SECURE).pdf</t>
  </si>
  <si>
    <t>https://drive.google.com/open?id=1_KwiOtKxn57dV9r_oUVgwb33QLExILvr&amp;usp=drive_copy</t>
  </si>
  <si>
    <t>A LEVEL CHEMISTRY Paper 4 v1.0 Questions Book (SECURE).pdf</t>
  </si>
  <si>
    <t>https://drive.google.com/open?id=1Hi7AqeYphV8qTR9wdsS2CRYbS5I2ltLk&amp;usp=drive_copy</t>
  </si>
  <si>
    <t>A LEVEL CHEMISTRY Paper 5 v1.0 Solved Past Papers Book (SECURE).pdf</t>
  </si>
  <si>
    <t>https://drive.google.com/open?id=1_TjKHVYEIowe2hZzmqxxeXMAT6DfDYtd&amp;usp=drive_copy</t>
  </si>
  <si>
    <t>A LEVEL MATHEMATICS Mechanics 1 v1.0 Answers Book (SECURE).pdf</t>
  </si>
  <si>
    <t>https://drive.google.com/open?id=1IUsm6tjCQNiJxdC_lFYdh3S4bpnIxNGV&amp;usp=drive_copy</t>
  </si>
  <si>
    <t>A LEVEL MATHEMATICS Mechanics 1 v1.0 Questions Book (SECURE).pdf</t>
  </si>
  <si>
    <t>https://drive.google.com/open?id=1XZUjm225y7_n5Ls3eheWfLLWRK0jYP4w&amp;usp=drive_copy</t>
  </si>
  <si>
    <t>A LEVEL MATHEMATICS Pure Mathematics 1 v1.0 Answers Book (SECURE).pdf</t>
  </si>
  <si>
    <t>https://drive.google.com/open?id=1OjIFGjLQM7_J1pzyAOu-Q3B0VWGCkT-V&amp;usp=drive_copy</t>
  </si>
  <si>
    <t>A LEVEL MATHEMATICS Pure Mathematics 1 v1.0 Questions Book (SECURE).pdf</t>
  </si>
  <si>
    <t>https://drive.google.com/open?id=1ySSM0IxI7OaYqs6Xr6h_R4SUXciYko5t&amp;usp=drive_copy</t>
  </si>
  <si>
    <t>A LEVEL MATHEMATICS Pure Mathematics 3 v1.0 Answers Book OCR (SECURE).pdf</t>
  </si>
  <si>
    <t>https://drive.google.com/open?id=1HqHL3I3ZKxRpoazV9egjpvYKOE_bZ9TU&amp;usp=drive_copy</t>
  </si>
  <si>
    <t>A LEVEL MATHEMATICS Pure Mathematics 3 v1.0 Questions Book OCR (SECURE).pdf</t>
  </si>
  <si>
    <t>https://drive.google.com/open?id=15l7LgBluy-sI1ytIBWuxEN6_u1Zx-vjb&amp;usp=drive_copy</t>
  </si>
  <si>
    <t>A LEVEL MATHEMATICS Statistics 1 v1.0 Answers Book (SECURE).pdf</t>
  </si>
  <si>
    <t>https://drive.google.com/open?id=11EHi_WVCTTWJUbRX9oFe8keLqu8kvvDk&amp;usp=drive_copy</t>
  </si>
  <si>
    <t>A LEVEL MATHEMATICS Statistics 1 v1.0 Questions Book (SECURE).pdf</t>
  </si>
  <si>
    <t>https://drive.google.com/open?id=1fT9U1VP90NgDbRaRw49TZQWiWjIvXqY9&amp;usp=drive_copy</t>
  </si>
  <si>
    <t>A LEVEL PHYSICS Paper 1 v1.0 Answers Book (SECURE).pdf</t>
  </si>
  <si>
    <t>https://drive.google.com/open?id=11wBVFZ9exewG7hAIJHss65iBBykVSGbz&amp;usp=drive_copy</t>
  </si>
  <si>
    <t>A LEVEL PHYSICS Paper 1 v1.0 Questions Book (SECURE).pdf</t>
  </si>
  <si>
    <t>https://drive.google.com/open?id=1lDnbUr8tjovGzvmBDT4iZpGPMiUkaYHf&amp;usp=drive_copy</t>
  </si>
  <si>
    <t>A LEVEL PHYSICS Paper 2 v1.0 Answers Book (SECURE).pdf</t>
  </si>
  <si>
    <t>https://drive.google.com/open?id=1W6s5s3bvUzujESWIq45L-HhhBVyXYp0p&amp;usp=drive_copy</t>
  </si>
  <si>
    <t>A LEVEL PHYSICS Paper 2 v1.0 Questions Book (SECURE).pdf</t>
  </si>
  <si>
    <t>https://drive.google.com/open?id=17qbmaS27k1KW-gPr93JKg6_f1R1kBxXL&amp;usp=drive_copy</t>
  </si>
  <si>
    <t>A LEVEL PHYSICS Paper 4 v1.0 Answers Book OCR (SECURE).pdf</t>
  </si>
  <si>
    <t>https://drive.google.com/open?id=1PMGJNQwLWKZnfHoY7BYNu_YKI13qk29N&amp;usp=drive_copy</t>
  </si>
  <si>
    <t>A LEVEL PHYSICS Paper 4 v1.0 Questions Book OCR (SECURE).pdf</t>
  </si>
  <si>
    <t>https://drive.google.com/open?id=1jwZxx75YK0SUrq9wGOZXsOkO9jegW41Z&amp;usp=drive_copy</t>
  </si>
  <si>
    <t>A LEVEL PHYSICS Paper 5 v1.0 Solved Past Papers Book (SECURE).pdf</t>
  </si>
  <si>
    <t>https://drive.google.com/open?id=1KZNQilMR-AMyWZoqATND9pRJge_OJMQA&amp;usp=drive_copy</t>
  </si>
  <si>
    <t>AS Level Computer Science Paper 1 Topical Booklet MS.pdf</t>
  </si>
  <si>
    <t>https://drive.google.com/open?id=1kjLU5Sq1vQrYnt8NWTbcbqpvMIbnQlGB&amp;usp=drive_copy</t>
  </si>
  <si>
    <t>AS Level Computer Science Paper 1 Topical Booklet QP.pdf</t>
  </si>
  <si>
    <t>https://drive.google.com/open?id=1zBPvUXk_ZJRkWO8UprX-pfXoT7CMj3k7&amp;usp=drive_copy</t>
  </si>
  <si>
    <t>AS Level Computer Science Paper 2 Topical Booklet MS.pdf</t>
  </si>
  <si>
    <t>https://drive.google.com/open?id=1XIuSYPoo-ZfmRuPjCLOUXnw9mXrK1HAZ&amp;usp=drive_copy</t>
  </si>
  <si>
    <t>AS Level Computer Science Paper 2 Topical Booklet QP.pdf</t>
  </si>
  <si>
    <t>https://drive.google.com/open?id=18o3gkTq-uuxqS97XJTItN9iCHFhJZIe6&amp;usp=drive_copy</t>
  </si>
  <si>
    <t>AS Level Mathematics Mechanics Topical Booklet MS.pdf</t>
  </si>
  <si>
    <t>https://drive.google.com/open?id=1Cm1FQAzkPle2r1paMENXiupjpAnFVIWd&amp;usp=drive_copy</t>
  </si>
  <si>
    <t>AS Level Mathematics Mechanics Topical Booklet QP.pdf</t>
  </si>
  <si>
    <t>https://drive.google.com/open?id=1q4CzugBLFD5rshZCwDyuVtyODSxuW7qh&amp;usp=drive_copy</t>
  </si>
  <si>
    <t>AS Level Mathematics Pure Maths 1 Topical Booklet MS.pdf</t>
  </si>
  <si>
    <t>https://drive.google.com/open?id=1kF9J3--49s_F-skzpBsndCpepmy5IKaz&amp;usp=drive_copy</t>
  </si>
  <si>
    <t>AS Level Mathematics Pure Maths 1 Topical Booklet QP.pdf</t>
  </si>
  <si>
    <t>https://drive.google.com/open?id=1yk6HnArFVGHbpSlED1MzdwQ5HrILutwX&amp;usp=drive_copy</t>
  </si>
  <si>
    <t>DC_0620_Topical_P6 sample.pdf</t>
  </si>
  <si>
    <t>https://drive.google.com/open?id=1QbOR4hSZvxVHGUnwNibUYQ1Cm_gL7Fs5&amp;usp=drive_copy</t>
  </si>
  <si>
    <t>DC_0625_Topical_P4 sample.pdf</t>
  </si>
  <si>
    <t>https://drive.google.com/open?id=1EisK3kAwwQPbcyDXCO7rgY8DUjrRQkYO&amp;usp=drive_copy</t>
  </si>
  <si>
    <t>DC_Topical Booklet_IGCSE 0580 Mathematics Paper 2 v4.2.pdf</t>
  </si>
  <si>
    <t>https://drive.google.com/open?id=1XYe9k4oWKrt-20pHSuYi6HlQaGKlfi_Y&amp;usp=drive_copy</t>
  </si>
  <si>
    <t>DC_Topical Booklet_IGCSE 0580 Mathematics Paper 4 v4.2.pdf</t>
  </si>
  <si>
    <t>https://drive.google.com/open?id=1grRv5uivMh_SYosiSsTEbFvBbTDeNHhj&amp;usp=drive_copy</t>
  </si>
  <si>
    <t>IGCSE 0417 ICT Paper 1 v1.4 Answers Book (SECURE).pdf</t>
  </si>
  <si>
    <t>https://drive.google.com/open?id=1Lf29C2bFsyJUWDEn0akl4Ae5xp5as1qs&amp;usp=drive_copy</t>
  </si>
  <si>
    <t>IGCSE 0417 ICT Paper 1 v1.4 Questions Book (SECURE).pdf</t>
  </si>
  <si>
    <t>https://drive.google.com/open?id=1t86FjeJ2Mtc2W1fHNfKcu4a8dvu9OqwL&amp;usp=drive_copy</t>
  </si>
  <si>
    <t>IGCSE 0510 English as a Second Language Paper 2 v1.1 Answers Book (SECURE).pdf</t>
  </si>
  <si>
    <t>https://drive.google.com/open?id=1qGgxNoHvmOs2JuJVIq6uutNGOuL1Vzqa&amp;usp=drive_copy</t>
  </si>
  <si>
    <t>IGCSE 0510 English as a Second Language Paper 2 v1.1 Questions Book (SECURE).pdf</t>
  </si>
  <si>
    <t>https://drive.google.com/open?id=19XIYTT8FU1o8WW8-OWpAMr72RPgO_6GV&amp;usp=drive_copy</t>
  </si>
  <si>
    <t>IGCSE 0580 Mathematics Paper 2 v1.4 Answers Book (SECURE).pdf</t>
  </si>
  <si>
    <t>https://drive.google.com/open?id=11TRytdC6pgi703XwU9ajYW36JZeKbzRW&amp;usp=drive_copy</t>
  </si>
  <si>
    <t>IGCSE 0580 Mathematics Paper 2 v1.4 Questions Book (SECURE).pdf</t>
  </si>
  <si>
    <t>https://drive.google.com/open?id=1u9H4zsemgSz1s88ZySLxbcAfAUETdT1G&amp;usp=drive_copy</t>
  </si>
  <si>
    <t>IGCSE 0580 Mathematics Paper 4 v1.4 Answers Book (SECURE).pdf</t>
  </si>
  <si>
    <t>https://drive.google.com/open?id=1hPBv57SWsvxUfaZDyCuNjltJyPFuJtmO&amp;usp=drive_copy</t>
  </si>
  <si>
    <t>IGCSE 0580 Mathematics Paper 4 v1.4 Questions Book (SECURE).pdf</t>
  </si>
  <si>
    <t>https://drive.google.com/open?id=1qeZgPHvGx0U0uEQ1Ls39p6ITlshoSAEw&amp;usp=drive_copy</t>
  </si>
  <si>
    <t>IGCSE 0610 BIOLOGY Paper 2 v1.0 Answers Book (SECURE).pdf</t>
  </si>
  <si>
    <t>https://drive.google.com/open?id=1REcEQ_4izruILG7bAWuabMp1FQT0OCYJ&amp;usp=drive_copy</t>
  </si>
  <si>
    <t>IGCSE 0610 BIOLOGY Paper 2 v1.0 Questions Book (SECURE).pdf</t>
  </si>
  <si>
    <t>https://drive.google.com/open?id=1ep2vOpkgh1b0qnWN9wO1Jr5WusfcdD9k&amp;usp=drive_copy</t>
  </si>
  <si>
    <t>IGCSE 0610 BIOLOGY Paper 4 v1.0 Answers Book (SECURE).pdf</t>
  </si>
  <si>
    <t>https://drive.google.com/open?id=1cRfZGQCnnk2SBM_YC2Ate6_oCIGDwE83&amp;usp=drive_copy</t>
  </si>
  <si>
    <t>IGCSE 0610 BIOLOGY Paper 4 v1.0 Questions Book (SECURE).pdf</t>
  </si>
  <si>
    <t>https://drive.google.com/open?id=1DOBBEixhUvKRdgi8xk-t9X0Vga4DIOiI&amp;usp=drive_copy</t>
  </si>
  <si>
    <t>IGCSE 0620 Chemistry Paper 2 v1.0 Answers Book (SECURE).pdf</t>
  </si>
  <si>
    <t>https://drive.google.com/open?id=1bD8vEEBog0nW8r4NXjj3SPKPsRqAkuzP&amp;usp=drive_copy</t>
  </si>
  <si>
    <t>IGCSE 0620 Chemistry Paper 2 v1.0 Questions Book (SECURE).pdf</t>
  </si>
  <si>
    <t>https://drive.google.com/open?id=1uQcDn6gsbVoqaxMnHvDs-nMTAtom9W6g&amp;usp=drive_copy</t>
  </si>
  <si>
    <t>IGCSE 0620 Chemistry Paper 4 v1.0 Answers Book (SECURE).pdf</t>
  </si>
  <si>
    <t>https://drive.google.com/open?id=1k-wbvhMfQebJMTbf-ImdUUjoDg9YJnBK&amp;usp=drive_copy</t>
  </si>
  <si>
    <t>IGCSE 0620 Chemistry Paper 4 v1.0 Questions Book (SECURE).pdf</t>
  </si>
  <si>
    <t>https://drive.google.com/open?id=1MAhMqzoASPAPH7EuWvoFF3roM6USKvpu&amp;usp=drive_copy</t>
  </si>
  <si>
    <t>IGCSE 0625 Physics Paper 2 v1.0 Answers Book (SECURE).pdf</t>
  </si>
  <si>
    <t>https://drive.google.com/open?id=1SHzPn0Ubn2gz0biZpHHK0aIqfIt9U_43&amp;usp=drive_copy</t>
  </si>
  <si>
    <t>IGCSE 0625 Physics Paper 2 v1.0 Questions Book (SECURE).pdf</t>
  </si>
  <si>
    <t>https://drive.google.com/open?id=1jZSqWghJ_--3Jplk12kvfw-Q2Ul67Arx&amp;usp=drive_copy</t>
  </si>
  <si>
    <t>IGCSE 0625 Physics Paper 4 v1.0 Answers Book.pdf (SECURE).pdf</t>
  </si>
  <si>
    <t>https://drive.google.com/open?id=1S-HIPW61b_r556U2dy1HvVI3odepeSQk&amp;usp=drive_copy</t>
  </si>
  <si>
    <t>IGCSE 0625 Physics Paper 4 v1.0 Questions Book (SECURE).pdf</t>
  </si>
  <si>
    <t>https://drive.google.com/open?id=1FwxYTh-cKYlEpKwi3djVZ7bagpQNqCt_&amp;usp=drive_copy</t>
  </si>
  <si>
    <t>IGCSE ICT</t>
  </si>
  <si>
    <r>
      <rPr>
        <rFont val="&quot;Google Sans Text&quot;, sans-serif !important"/>
        <color rgb="FF1155CC"/>
        <sz val="11.0"/>
        <u/>
      </rPr>
      <t>https://classroom.google.com/c/NTQ0ODU4MDA4ODAx?cjc=clfiiv3</t>
    </r>
  </si>
  <si>
    <t>IGCSE Physics</t>
  </si>
  <si>
    <r>
      <rPr>
        <rFont val="&quot;Google Sans Text&quot;, sans-serif !important"/>
        <color rgb="FF1155CC"/>
        <sz val="11.0"/>
        <u/>
      </rPr>
      <t>https://classroom.google.com/c/NTA1NDkwOTAyNjUz?cjc=yevhdcd</t>
    </r>
  </si>
  <si>
    <t>IGCSE Mathematics</t>
  </si>
  <si>
    <r>
      <rPr>
        <rFont val="&quot;Google Sans Text&quot;, sans-serif !important"/>
        <color rgb="FF1155CC"/>
        <sz val="11.0"/>
        <u/>
      </rPr>
      <t>https://classroom.google.com/c/NDg1MjM1NzcxOTA3?cjc=eakxznf</t>
    </r>
  </si>
  <si>
    <t>IGCSE Chemistry</t>
  </si>
  <si>
    <r>
      <rPr>
        <rFont val="&quot;Google Sans Text&quot;, sans-serif !important"/>
        <color rgb="FF1155CC"/>
        <sz val="11.0"/>
        <u/>
      </rPr>
      <t>https://classroom.google.com/c/NDk5MTkwNDIzMzMx?cjc=oxidcmn</t>
    </r>
  </si>
  <si>
    <t>IGCSE Biology</t>
  </si>
  <si>
    <r>
      <rPr>
        <rFont val="&quot;Google Sans Text&quot;, sans-serif !important"/>
        <color rgb="FF1155CC"/>
        <sz val="11.0"/>
        <u/>
      </rPr>
      <t>https://classroom.google.com/c/NDg1MjM1NzcxNjc3?cjc=hllc5uf</t>
    </r>
  </si>
  <si>
    <t>IGCSE English as a Second Language</t>
  </si>
  <si>
    <r>
      <rPr>
        <rFont val="&quot;Google Sans Text&quot;, sans-serif !important"/>
        <color rgb="FF1155CC"/>
        <sz val="11.0"/>
        <u/>
      </rPr>
      <t>https://classroom.google.com/c/NDg1MjM1NzcxMjIz?cjc=hwc7zoa</t>
    </r>
  </si>
  <si>
    <t>IGCSE First Language English</t>
  </si>
  <si>
    <r>
      <rPr>
        <rFont val="&quot;Google Sans Text&quot;, sans-serif !important"/>
        <color rgb="FF1155CC"/>
        <sz val="11.0"/>
        <u/>
      </rPr>
      <t>https://classroom.google.com/c/NTM4OTc4NzI0OTUw?cjc=rmheb46</t>
    </r>
  </si>
  <si>
    <t>A Level Physics</t>
  </si>
  <si>
    <r>
      <rPr>
        <rFont val="&quot;Google Sans Text&quot;, sans-serif !important"/>
        <color rgb="FF1155CC"/>
        <sz val="11.0"/>
        <u/>
      </rPr>
      <t>https://classroom.google.com/c/NDg1MjM1ODA3ODE0?cjc=pc34vd7</t>
    </r>
  </si>
  <si>
    <t>A Level Computer Science</t>
  </si>
  <si>
    <r>
      <rPr>
        <rFont val="&quot;Google Sans Text&quot;, sans-serif !important"/>
        <color rgb="FF1155CC"/>
        <sz val="11.0"/>
        <u/>
      </rPr>
      <t>https://classroom.google.com/c/NDg0NDQ2MzQ5NTg4?cjc=afkzsgm</t>
    </r>
  </si>
  <si>
    <t>A Level Mathematics</t>
  </si>
  <si>
    <r>
      <rPr>
        <rFont val="&quot;Google Sans Text&quot;, sans-serif !important"/>
        <color rgb="FF1155CC"/>
        <sz val="11.0"/>
        <u/>
      </rPr>
      <t>https://classroom.google.com/c/NDk5ODk3NjcyNTE4?cjc=epmuvg3</t>
    </r>
  </si>
  <si>
    <t>A Level Chemistry</t>
  </si>
  <si>
    <r>
      <rPr>
        <rFont val="&quot;Google Sans Text&quot;, sans-serif !important"/>
        <color rgb="FF1155CC"/>
        <sz val="11.0"/>
        <u/>
      </rPr>
      <t>https://classroom.google.com/c/NDg1MjM1ODA3NzU2?cjc=cwwqk7s</t>
    </r>
  </si>
  <si>
    <t>A Level Biology</t>
  </si>
  <si>
    <r>
      <rPr>
        <rFont val="&quot;Google Sans Text&quot;, sans-serif !important"/>
        <color rgb="FF1155CC"/>
        <sz val="11.0"/>
        <u/>
      </rPr>
      <t>https://classroom.google.com/c/NDg1MjM1ODA3OTk3?cjc=ly7nqxb</t>
    </r>
  </si>
  <si>
    <t>IGCSE Sociology</t>
  </si>
  <si>
    <r>
      <rPr>
        <rFont val="&quot;Google Sans Text&quot;, sans-serif !important"/>
        <color rgb="FF1155CC"/>
        <sz val="11.0"/>
        <u/>
      </rPr>
      <t>https://classroom.google.com/c/NjA5MjAxMzYzODcz?cjc=phgpsbw</t>
    </r>
  </si>
  <si>
    <t>College Board SAT</t>
  </si>
  <si>
    <r>
      <rPr>
        <rFont val="&quot;Google Sans Text&quot;, sans-serif !important"/>
        <color rgb="FF1155CC"/>
        <sz val="11.0"/>
        <u/>
      </rPr>
      <t>https://classroom.google.com/c/NjA5MjAxNjk2MzIw?cjc=a4wkx5z</t>
    </r>
  </si>
  <si>
    <r>
      <rPr>
        <rFont val="&quot;Google Sans Text&quot;, sans-serif !important"/>
        <color rgb="FF1155CC"/>
        <sz val="11.0"/>
        <u/>
      </rPr>
      <t>https://classroom.google.com/c/NjA5MjAyNDc3NTc0?cjc=nlp7nio</t>
    </r>
  </si>
  <si>
    <t>IGCSE Computer Science</t>
  </si>
  <si>
    <r>
      <rPr>
        <rFont val="&quot;Google Sans Text&quot;, sans-serif !important"/>
        <color rgb="FF1155CC"/>
        <sz val="11.0"/>
        <u/>
      </rPr>
      <t>https://classroom.google.com/c/NDg1MjM1ODA3NjM5?cjc=yknmgdq</t>
    </r>
  </si>
  <si>
    <t>IGCSE International Mathematics</t>
  </si>
  <si>
    <r>
      <rPr>
        <rFont val="&quot;Google Sans Text&quot;, sans-serif !important"/>
        <color rgb="FF1155CC"/>
        <sz val="11.0"/>
        <u/>
      </rPr>
      <t>https://classroom.google.com/c/NjA5MjAyODUwMzE5?cjc=rc4tsjz</t>
    </r>
  </si>
  <si>
    <t>A Level Mathematics: Pure 1</t>
  </si>
  <si>
    <r>
      <rPr>
        <rFont val="&quot;Google Sans Text&quot;, sans-serif !important"/>
        <color rgb="FF1155CC"/>
        <sz val="11.0"/>
        <u/>
      </rPr>
      <t>https://classroom.google.com/c/NDk5ODk3NjcyNTE4?cjc=epmuvg3</t>
    </r>
  </si>
  <si>
    <t>A Level Mathematics: Pure 3</t>
  </si>
  <si>
    <r>
      <rPr>
        <rFont val="&quot;Google Sans Text&quot;, sans-serif !important"/>
        <color rgb="FF1155CC"/>
        <sz val="11.0"/>
        <u/>
      </rPr>
      <t>https://classroom.google.com/c/NTE3Nzg2ODY3MTQ5?cjc=nsvgvfx</t>
    </r>
  </si>
  <si>
    <t>A Level Mathematics: Statistics 1</t>
  </si>
  <si>
    <r>
      <rPr>
        <rFont val="&quot;Google Sans Text&quot;, sans-serif !important"/>
        <color rgb="FF1155CC"/>
        <sz val="11.0"/>
        <u/>
      </rPr>
      <t>https://classroom.google.com/c/NjAwNjc3MjQwMDEx?cjc=czl7gvx</t>
    </r>
  </si>
  <si>
    <t>A Level Mathematics: Statistics 2</t>
  </si>
  <si>
    <r>
      <rPr>
        <rFont val="&quot;Google Sans Text&quot;, sans-serif !important"/>
        <color rgb="FF1155CC"/>
        <sz val="11.0"/>
        <u/>
      </rPr>
      <t>https://classroom.google.com/c/NjAwNjc3NDE0MDgz?cjc=ohprv5x</t>
    </r>
  </si>
  <si>
    <t>A Level Mathematics: Mechanics 1</t>
  </si>
  <si>
    <r>
      <rPr>
        <rFont val="&quot;Google Sans Text&quot;, sans-serif !important"/>
        <color rgb="FF1155CC"/>
        <sz val="11.0"/>
        <u/>
      </rPr>
      <t>https://classroom.google.com/c/NjAwNjc3NzM0NjQ0?cjc=wsertwv</t>
    </r>
  </si>
  <si>
    <t>A Level Psychology</t>
  </si>
  <si>
    <r>
      <rPr>
        <rFont val="&quot;Google Sans Text&quot;, sans-serif !important"/>
        <color rgb="FF1155CC"/>
        <sz val="11.0"/>
        <u/>
      </rPr>
      <t>https://classroom.google.com/c/NTIzMDYwNjkwODAz?cjc=pwwe55y</t>
    </r>
  </si>
  <si>
    <t>Class 6 Science</t>
  </si>
  <si>
    <r>
      <rPr>
        <rFont val="&quot;Google Sans Text&quot;, sans-serif !important"/>
        <color rgb="FF1155CC"/>
        <sz val="11.0"/>
        <u/>
      </rPr>
      <t>https://classroom.google.com/c/NjAyMTA4NTk5MDMx?cjc=4begxe5</t>
    </r>
  </si>
  <si>
    <t>Class 6 Mathematics</t>
  </si>
  <si>
    <r>
      <rPr>
        <rFont val="&quot;Google Sans Text&quot;, sans-serif !important"/>
        <color rgb="FF1155CC"/>
        <sz val="11.0"/>
        <u/>
      </rPr>
      <t>https://classroom.google.com/c/NjAyMTA5NDg1MTcw?cjc=3ruggkk</t>
    </r>
  </si>
  <si>
    <t>Class 6 English</t>
  </si>
  <si>
    <r>
      <rPr>
        <rFont val="&quot;Google Sans Text&quot;, sans-serif !important"/>
        <color rgb="FF1155CC"/>
        <sz val="11.0"/>
        <u/>
      </rPr>
      <t>https://classroom.google.com/c/NjAyMTA4NTM5NDU3?cjc=wumuez7</t>
    </r>
  </si>
  <si>
    <t>Class 6 Social Studies</t>
  </si>
  <si>
    <r>
      <rPr>
        <rFont val="&quot;Google Sans Text&quot;, sans-serif !important"/>
        <color rgb="FF1155CC"/>
        <sz val="11.0"/>
        <u/>
      </rPr>
      <t>https://classroom.google.com/c/NTU0NDQ0Nzc5Mjk5?cjc=uoyptjr</t>
    </r>
  </si>
  <si>
    <t>Subject Names</t>
  </si>
  <si>
    <t>Subjects/Hours</t>
  </si>
  <si>
    <t>Discount</t>
  </si>
  <si>
    <t>Fees</t>
  </si>
  <si>
    <t>Due</t>
  </si>
  <si>
    <t>Start</t>
  </si>
  <si>
    <t>Finish</t>
  </si>
  <si>
    <t>Payment done</t>
  </si>
  <si>
    <t>Days left</t>
  </si>
  <si>
    <t>Days Due</t>
  </si>
  <si>
    <t>Payment Date</t>
  </si>
  <si>
    <t>Payment Acknowledgement Message</t>
  </si>
  <si>
    <t>Invoice</t>
  </si>
  <si>
    <t>- check how many subjects and attednace</t>
  </si>
  <si>
    <t>B14 Cambridge IGCSE 0625 Physics - SAR, B14 Cambridge IGCSE 0580 Mathematics - SAR</t>
  </si>
  <si>
    <t>We acknowledge the fee payment receipt by Brighty Bejoy of SAR 200/- for Apr 2026 on 30 Dec 1899. Updated in the system. Thank you for choosing DivergenCIE Coaching! 💫</t>
  </si>
  <si>
    <t>B14 Cambridge IGCSE 0580 Mathematics - INR, B14 Cambridge IGCSE 0610 Biology - INR, B14 Cambridge IGCSE 0625 Physics - INR</t>
  </si>
  <si>
    <t>We acknowledge the fee payment receipt by Aliya Wazir of INR 5000/- for Apr 2026 on 30 Dec 1899. Updated in the system. Thank you for choosing DivergenCIE Coaching! 💫</t>
  </si>
  <si>
    <t>B14 Cambridge IGCSE 0580 Mathematics - INR, B14 Cambridge IGCSE 0625 Physics - INR, B14 Cambridge IGCSE 0452 Accounting - INR</t>
  </si>
  <si>
    <t>We acknowledge the fee payment receipt by Manya Agarwal of INR 7500/- for Apr 2026 on 30 Dec 1899. Updated in the system. Thank you for choosing DivergenCIE Coaching! 💫</t>
  </si>
  <si>
    <t>https://drive.google.com/uc?export=download&amp;id=17qq9kEMiuR8-ertx5uE6htAr8LckFO73</t>
  </si>
  <si>
    <t>B14 Cambridge IGCSE 0478 Computer Science - GBP</t>
  </si>
  <si>
    <t>4,</t>
  </si>
  <si>
    <t>We acknowledge the fee payment receipt by Yajna Gopalan of GBP 40/- for Apr 2026 on 30 Dec 1899. Updated in the system. Thank you for choosing DivergenCIE Coaching! 💫</t>
  </si>
  <si>
    <t>https://drive.google.com/uc?export=download&amp;id=1fzMJIMb8LNeUDs7FAKV2AK5HafXma9pI</t>
  </si>
  <si>
    <t>C23 IMAT - GBP</t>
  </si>
  <si>
    <t>We acknowledge the fee payment receipt by Eric Lay of GBP 60/- for Apr 2026 on 30 Dec 1899. Updated in the system. Thank you for choosing DivergenCIE Coaching! 💫</t>
  </si>
  <si>
    <t>B18 Cambridge AS-Level 9709 Mathematics: Pure 1 - USD, B18 Cambridge AS-Level 9709 Mathematics: Statistics 1 - USD</t>
  </si>
  <si>
    <t>We acknowledge the fee payment receipt by Howard Lim of USD 80/- for Apr 2026 on 30 Dec 1899. Updated in the system. Thank you for choosing DivergenCIE Coaching! 💫</t>
  </si>
  <si>
    <t>B8 Cambridge A-Level 9702 Physics - INR, B8 Cambridge A-Level 9618 Computer Science - INR, B18 Cambridge AS-Level 9709 Mathematics: Pure 1 - INR</t>
  </si>
  <si>
    <t>We acknowledge the fee payment receipt by Asrar Ahmad Shah of INR 18000/- for Apr 2026 on 30 Dec 1899. Updated in the system. Thank you for choosing DivergenCIE Coaching! 💫</t>
  </si>
  <si>
    <t>B14 Cambridge IGCSE 0510 English as a Second Language - SAR, B14 Cambridge IGCSE 0625 Physics - SAR, B14 Cambridge IGCSE 0620 Chemistry - SAR, B14 Cambridge IGCSE 0610 Biology - SAR, B14 Cambridge IGCSE 0580 Mathematics - SAR, B14 Cambridge IGCSE 0417 Information &amp; Communication Technology - SAR</t>
  </si>
  <si>
    <t>We acknowledge the fee payment receipt by Abdurrahman of SAR 600/- for Apr 2026 on 30 Dec 1899. Updated in the system. Thank you for choosing DivergenCIE Coaching! 💫</t>
  </si>
  <si>
    <t>https://drive.google.com/uc?export=download&amp;id=1gO4_Z7KEtTbD7dVB5J-HOraGmBX8deIZ</t>
  </si>
  <si>
    <t>B14 Cambridge IGCSE 0620 Chemistry - SAR, B14 Cambridge IGCSE 0625 Physics - SAR, B14 Cambridge IGCSE 0580 Mathematics - SAR, B14 Cambridge IGCSE 0500 First Language English - SAR</t>
  </si>
  <si>
    <t>We acknowledge the fee payment receipt by Ibrahim Kamal Pasha of SAR 667.2/- for Apr 2026 on 30 Dec 1899. Updated in the system. Thank you for choosing DivergenCIE Coaching! 💫</t>
  </si>
  <si>
    <t>B8 Cambridge AS-Level 9618 Computer Science - INR, B8 Cambridge AS-Level 9709 Mathematics: Pure 3 - INR, B8 Cambridge AS-Level 9695 English Literature - INR</t>
  </si>
  <si>
    <t>We acknowledge the fee payment receipt by Noya Mahasin of INR 18240./- for Apr 2026 on 30 Dec 1899. Updated in the system. Thank you for choosing DivergenCIE Coaching! 💫</t>
  </si>
  <si>
    <t>B8 Cambridge A-Level 9618 Computer Science - GBP</t>
  </si>
  <si>
    <t>18,</t>
  </si>
  <si>
    <t>We acknowledge the fee payment receipt by Steve Rex of GBP 270/- for Apr 2026 on 30 Dec 1899. Updated in the system. Thank you for choosing DivergenCIE Coaching! 💫</t>
  </si>
  <si>
    <t>B14 Cambridge IGCSE 0510 English as a Second Language - SAR, B14 Cambridge IGCSE 0625 Physics - SAR, B14 Cambridge IGCSE 0620 Chemistry - SAR, B14 Cambridge IGCSE 0610 Biology - SAR, B14 Cambridge IGCSE 0580 Mathematics - SAR</t>
  </si>
  <si>
    <t>We acknowledge the fee payment receipt by Amakie Ematu of SAR 500/- for Apr 2026 on 30 Dec 1899. Updated in the system. Thank you for choosing DivergenCIE Coaching! 💫</t>
  </si>
  <si>
    <t>T5 Cambridge IGCSE 0500 First Language English - INR</t>
  </si>
  <si>
    <t>We acknowledge the fee payment receipt by Faraz of INR 2000/- for Apr 2026 on 30 Jan 2026. Updated in the system. Thank you for choosing DivergenCIE Coaching! 💫</t>
  </si>
  <si>
    <t>Shifa Adnan</t>
  </si>
  <si>
    <t>B14 Cambridge IGCSE 0620 Chemistry - INR, B14 Cambridge IGCSE 0580 Mathematics - INR, B14 Cambridge IGCSE 0625 Physics - INR</t>
  </si>
  <si>
    <t>3000+1500</t>
  </si>
  <si>
    <t>We acknowledge the fee payment receipt by Shifa Adnan  of INR 9000/- for Apr 2026 on 30 Dec 1899. Updated in the system. Thank you for choosing DivergenCIE Coaching! 💫</t>
  </si>
  <si>
    <t>C4 AP Computer Science Priniciples - SGD</t>
  </si>
  <si>
    <t>83.58,</t>
  </si>
  <si>
    <t>We acknowledge the fee payment receipt by Vaishak of SGD 2507.4/- for Apr 2026 on 30 Dec 1899. Updated in the system. Thank you for choosing DivergenCIE Coaching! 💫</t>
  </si>
  <si>
    <t>https://drive.google.com/uc?export=download&amp;id=1pM__mxsxLWk72C98iHrqIt7PGICEZvlK</t>
  </si>
  <si>
    <t>Student Count</t>
  </si>
  <si>
    <t>Total:</t>
  </si>
  <si>
    <t>Annual:</t>
  </si>
  <si>
    <t>Paid Ratio:</t>
  </si>
  <si>
    <t>1-Apr</t>
  </si>
  <si>
    <t>Due:</t>
  </si>
  <si>
    <t>?check when she stopped physics</t>
  </si>
  <si>
    <t>B14 Cambridge IGCSE 0417 Information &amp; Communication Technology - SAR</t>
  </si>
  <si>
    <t>We acknowledge the fee payment receipt by Brighty Bejoy of SAR 200/- for Mar 2026 on 30 Dec 1899. Updated in the system. Thank you for choosing DivergenCIE Coaching! 💫</t>
  </si>
  <si>
    <t>https://drive.google.com/uc?export=download&amp;id=1KGrlwPH5PlP4WFNMGbh0LejCEjn0S_o_</t>
  </si>
  <si>
    <t>We acknowledge the fee payment receipt by Aliya Wazir of INR 5000/- for Mar 2026 on 30 Dec 1899. Updated in the system. Thank you for choosing DivergenCIE Coaching! 💫</t>
  </si>
  <si>
    <t>We acknowledge the fee payment receipt by Manya Agarwal of INR 7500/- for Mar 2026 on 30 Dec 1899. Updated in the system. Thank you for choosing DivergenCIE Coaching! 💫</t>
  </si>
  <si>
    <t>https://drive.google.com/uc?export=download&amp;id=156jWy6oCRz-zBvvtS6L-g8jLnU0lR_Ys</t>
  </si>
  <si>
    <t>We acknowledge the fee payment receipt by Yajna Gopalan of GBP 40/- for Mar 2026 on 28 Feb 2026. Updated in the system. Thank you for choosing DivergenCIE Coaching! 💫</t>
  </si>
  <si>
    <t>https://drive.google.com/uc?export=download&amp;id=1nFWORDLYwAAsciJftWI7CS8EZR2LFOBa</t>
  </si>
  <si>
    <t>We acknowledge the fee payment receipt by Eric Lay of GBP 60/- for Mar 2026 on 30 Dec 1899. Updated in the system. Thank you for choosing DivergenCIE Coaching! 💫</t>
  </si>
  <si>
    <t>We acknowledge the fee payment receipt by Howard Lim of USD 80/- for Mar 2026 on 30 Dec 1899. Updated in the system. Thank you for choosing DivergenCIE Coaching! 💫</t>
  </si>
  <si>
    <t>https://drive.google.com/uc?export=download&amp;id=1equaoJIIS6tqH02umxrONRoDhPq_hJkc</t>
  </si>
  <si>
    <t>We acknowledge the fee payment receipt by Asrar Ahmad Shah of INR 18000/- for Mar 2026 on 30 Dec 1899. Updated in the system. Thank you for choosing DivergenCIE Coaching! 💫</t>
  </si>
  <si>
    <t>https://drive.google.com/uc?export=download&amp;id=165iyYUcFP-hTbewpV2QlmCM30m7eZqtP</t>
  </si>
  <si>
    <t>We acknowledge the fee payment receipt by Abdurrahman of SAR 600/- for Mar 2026 on 1 Mar 2026. Updated in the system. Thank you for choosing DivergenCIE Coaching! 💫</t>
  </si>
  <si>
    <t>https://drive.google.com/uc?export=download&amp;id=1YZ0-k8RWMS4VRd-OZlVesqaYrpF__AMs</t>
  </si>
  <si>
    <t>We acknowledge the fee payment receipt by Ibrahim Kamal Pasha of SAR 667.2/- for Mar 2026 on 30 Dec 1899. Updated in the system. Thank you for choosing DivergenCIE Coaching! 💫</t>
  </si>
  <si>
    <t>We acknowledge the fee payment receipt by Noya Mahasin of INR 18240./- for Mar 2026 on 30 Dec 1899. Updated in the system. Thank you for choosing DivergenCIE Coaching! 💫</t>
  </si>
  <si>
    <t>https://drive.google.com/uc?export=download&amp;id=1poWCyiQI1NAfgId8cHCAfFKh3aDctSur</t>
  </si>
  <si>
    <t>We acknowledge the fee payment receipt by Steve Rex of GBP 120/- for Mar 2026 on 30 Dec 1899. Updated in the system. Thank you for choosing DivergenCIE Coaching! 💫</t>
  </si>
  <si>
    <t>https://drive.google.com/uc?export=download&amp;id=1PZaSnN2_fAELgomwTZsUxWssnh5DMLP5</t>
  </si>
  <si>
    <t>We acknowledge the fee payment receipt by Amakie Ematu of SAR 500/- for Mar 2026 on 30 Dec 1899. Updated in the system. Thank you for choosing DivergenCIE Coaching! 💫</t>
  </si>
  <si>
    <t>https://drive.google.com/uc?export=download&amp;id=1bxHNrmDqsP5z2gq-vbxbwfRNR1Gn_GwR</t>
  </si>
  <si>
    <t>We acknowledge the fee payment receipt by Faraz of INR 2000/- for Mar 2026 on 30 Jan 2026. Updated in the system. Thank you for choosing DivergenCIE Coaching! 💫</t>
  </si>
  <si>
    <t>https://drive.google.com/uc?export=download&amp;id=1_7KmgK9PTWMjlbjshlo3wl0rhyOC2eOa</t>
  </si>
  <si>
    <t>We acknowledge the fee payment receipt by Shifa Adnan  of INR 9000/- for Mar 2026 on 30 Dec 1899. Updated in the system. Thank you for choosing DivergenCIE Coaching! 💫</t>
  </si>
  <si>
    <t>37.6,</t>
  </si>
  <si>
    <t>We acknowledge the fee payment receipt by Vaishak of SGD 1128/- for Mar 2026 on 30 Dec 1899. Updated in the system. Thank you for choosing DivergenCIE Coaching! 💫</t>
  </si>
  <si>
    <t>https://drive.google.com/uc?export=download&amp;id=1afWojJXX0LVQCLQcS0iSM6sFKgR6VrvP</t>
  </si>
  <si>
    <t>1-Mar</t>
  </si>
  <si>
    <t>We acknowledge the fee payment receipt by Brighty Bejoy of SAR 200/- for Feb 2026 on 28 Feb 2026. Updated in the system. Thank you for choosing DivergenCIE Coaching! 💫</t>
  </si>
  <si>
    <t>https://drive.google.com/uc?export=download&amp;id=16hjKv4-4aMy7uA_bC0wRVe4hqkHCLh0D</t>
  </si>
  <si>
    <t>We acknowledge the fee payment receipt by Aliya Wazir of INR 5000/- for Feb 2026 on 30 Dec 1899. Updated in the system. Thank you for choosing DivergenCIE Coaching! 💫</t>
  </si>
  <si>
    <t>We acknowledge the fee payment receipt by Manya Agarwal of INR 7500/- for Feb 2026 on 30 Dec 1899. Updated in the system. Thank you for choosing DivergenCIE Coaching! 💫</t>
  </si>
  <si>
    <t>https://drive.google.com/uc?export=download&amp;id=1Z7lZg30IvWH_XiQcv73uT-Ed2l3K6no7</t>
  </si>
  <si>
    <t>B14 Cambridge IGCSE 0500 First Language English - INR</t>
  </si>
  <si>
    <t>We acknowledge the fee payment receipt by Imtiaz of INR 4000/- for Feb 2026 on 30 Dec 1899. Updated in the system. Thank you for choosing DivergenCIE Coaching! 💫</t>
  </si>
  <si>
    <t>We acknowledge the fee payment receipt by Mudassir Dhanani of INR 7937.5/- for Feb 2026 on 30 Dec 1899. Updated in the system. Thank you for choosing DivergenCIE Coaching! 💫</t>
  </si>
  <si>
    <t>We acknowledge the fee payment receipt by Howard Lim of USD 80/- for Feb 2026 on 30 Dec 1899. Updated in the system. Thank you for choosing DivergenCIE Coaching! 💫</t>
  </si>
  <si>
    <t>https://drive.google.com/uc?export=download&amp;id=1XS9wlE17OiUBUJWcmvxaPOYdhvlK2I3S</t>
  </si>
  <si>
    <t>We acknowledge the fee payment receipt by Asrar Ahmad Shah of INR 18000/- for Feb 2026 on 24 Feb 2026. Updated in the system. Thank you for choosing DivergenCIE Coaching! 💫</t>
  </si>
  <si>
    <t>https://drive.google.com/uc?export=download&amp;id=1QRLXtX3ix_a3ypD4YGUV-3QrTQNhBmKv</t>
  </si>
  <si>
    <t>We acknowledge the fee payment receipt by Abdurrahman of SAR 500/- for Feb 2026 on 1 Mar 2026. Updated in the system. Thank you for choosing DivergenCIE Coaching! 💫</t>
  </si>
  <si>
    <t>last response on Feb 9</t>
  </si>
  <si>
    <t>We acknowledge the fee payment receipt by Ibrahim Kamal Pasha of SAR 667.2/- for Feb 2026 on 30 Dec 1899. Updated in the system. Thank you for choosing DivergenCIE Coaching! 💫</t>
  </si>
  <si>
    <t>https://drive.google.com/uc?export=download&amp;id=1JcG-eQdIgxmxuJiGCYlULj_jLsFMJpv6</t>
  </si>
  <si>
    <t>3 subjects: combined math</t>
  </si>
  <si>
    <t>We acknowledge the fee payment receipt by Noya Mahasin of INR 18240./- for Feb 2026 on 30 Dec 1899. Updated in the system. Thank you for choosing DivergenCIE Coaching! 💫</t>
  </si>
  <si>
    <t>https://drive.google.com/uc?export=download&amp;id=153z284Spb4wIU_OKNntVWyEaALsKxmwB</t>
  </si>
  <si>
    <t>14,</t>
  </si>
  <si>
    <t>We acknowledge the fee payment receipt by Steve Rex of GBP 210/- for Feb 2026 on 30 Dec 1899. Updated in the system. Thank you for choosing DivergenCIE Coaching! 💫</t>
  </si>
  <si>
    <t>https://drive.google.com/uc?export=download&amp;id=10D8LXybESj_6q5M28W0sxpb2W49n4igc</t>
  </si>
  <si>
    <t>We acknowledge the fee payment receipt by Amakie Ematu of SAR 250/- for Feb 2026 on 25 Feb 2026. Updated in the system. Thank you for choosing DivergenCIE Coaching! 💫</t>
  </si>
  <si>
    <t>https://drive.google.com/uc?export=download&amp;id=1pBup5Ji0DXKDU0M59j7sHhH8bZ2N8lZC</t>
  </si>
  <si>
    <t>We acknowledge the fee payment receipt by Faraz of INR 2000/- for Feb 2026 on 30 Jan 2026. Updated in the system. Thank you for choosing DivergenCIE Coaching! 💫</t>
  </si>
  <si>
    <t>https://drive.google.com/uc?export=download&amp;id=1ICmW1_YtZntzEAVbCf-jR68mD8U5l5um</t>
  </si>
  <si>
    <t>We acknowledge the fee payment receipt by Shifa Adnan  of INR 9000/- for Feb 2026 on 30 Dec 1899. Updated in the system. Thank you for choosing DivergenCIE Coaching! 💫</t>
  </si>
  <si>
    <t>32.8,</t>
  </si>
  <si>
    <t>We acknowledge the fee payment receipt by Vaishak of SGD 820./- for Feb 2026 on 24 Jan 2026. Updated in the system. Thank you for choosing DivergenCIE Coaching! 💫</t>
  </si>
  <si>
    <t>https://drive.google.com/uc?export=download&amp;id=1URNCHvESrUbbUL3jqKfZ2j0YvAkzwMNT</t>
  </si>
  <si>
    <t>1-Feb</t>
  </si>
  <si>
    <t>ict math and phys !paid 400</t>
  </si>
  <si>
    <t>B14 Cambridge IGCSE 0625 Physics - SAR, B14 Cambridge IGCSE 0580 Mathematics - SAR, B14 Cambridge IGCSE 0417 Information &amp; Communication Technology - SAR</t>
  </si>
  <si>
    <t>We acknowledge the fee payment receipt by Brighty Bejoy of SAR 600/- for Jan 2026 on 28 Jan 2026. Updated in the system. Thank you for choosing DivergenCIE Coaching! 💫</t>
  </si>
  <si>
    <t>https://drive.google.com/uc?export=download&amp;id=1sgIktUlDlJD1re_mMRzGT8zw7eRVcKFA</t>
  </si>
  <si>
    <t>We acknowledge the fee payment receipt by Aliya Wazir of INR 5000/- for Jan 2026 on 30 Dec 1899. Updated in the system. Thank you for choosing DivergenCIE Coaching! 💫</t>
  </si>
  <si>
    <t>We acknowledge the fee payment receipt by Manya Agarwal of INR 7500/- for Jan 2026 on 30 Dec 1899. Updated in the system. Thank you for choosing DivergenCIE Coaching! 💫</t>
  </si>
  <si>
    <t>https://drive.google.com/uc?export=download&amp;id=12mcDsQ5vB6Y4d9vbfbIE26MuNgs8Fzf2</t>
  </si>
  <si>
    <t>We acknowledge the fee payment receipt by Imtiaz of INR 4000/- for Jan 2026 on 30 Dec 1899. Updated in the system. Thank you for choosing DivergenCIE Coaching! 💫</t>
  </si>
  <si>
    <t>We acknowledge the fee payment receipt by Mudassir Dhanani of INR 7937.5/- for Jan 2026 on 30 Dec 1899. Updated in the system. Thank you for choosing DivergenCIE Coaching! 💫</t>
  </si>
  <si>
    <t>We acknowledge the fee payment receipt by Howard Lim of USD 80/- for Jan 2026 on 9 Feb 2026. Updated in the system. Thank you for choosing DivergenCIE Coaching! 💫</t>
  </si>
  <si>
    <t>https://drive.google.com/uc?export=download&amp;id=1YXjdcm6wJF3lXANKxnHqBZSLm0M-oBgS</t>
  </si>
  <si>
    <t>We acknowledge the fee payment receipt by Asrar Ahmad Shah of INR 18000/- for Jan 2026 on 16 Jan 2026. Updated in the system. Thank you for choosing DivergenCIE Coaching! 💫</t>
  </si>
  <si>
    <t>https://drive.google.com/uc?export=download&amp;id=112HEtIYx7o2kBGc8eMRLHNbYIEhlb_cJ</t>
  </si>
  <si>
    <t>Invoice made, Invoice sent, Paused</t>
  </si>
  <si>
    <t>C22 DTU BTech - INR</t>
  </si>
  <si>
    <t>We acknowledge the fee payment receipt by Abdullah Kamal Pasha of SAR 26000/- for Jan 2026 on 30 Dec 1899. Updated in the system. Thank you for choosing DivergenCIE Coaching! 💫</t>
  </si>
  <si>
    <t>We acknowledge the fee payment receipt by Ibrahim Kamal Pasha of SAR 667.2/- for Jan 2026 on 30 Dec 1899. Updated in the system. Thank you for choosing DivergenCIE Coaching! 💫</t>
  </si>
  <si>
    <t>https://drive.google.com/uc?export=download&amp;id=1_xIzQg-s43EcYBWwJ_LujZNQSXVsGOVl</t>
  </si>
  <si>
    <t>We acknowledge the fee payment receipt by Noya Mahasin of INR 18240./- for Jan 2026 on 30 Dec 1899. Updated in the system. Thank you for choosing DivergenCIE Coaching! 💫</t>
  </si>
  <si>
    <t>https://drive.google.com/uc?export=download&amp;id=10XDJQGE_aNASXkUENrSxXoM9c30zIheQ</t>
  </si>
  <si>
    <t>We acknowledge the fee payment receipt by Steve Rex of GBP 120/- for Jan 2026 on 30 Dec 1899. Updated in the system. Thank you for choosing DivergenCIE Coaching! 💫</t>
  </si>
  <si>
    <t>https://drive.google.com/uc?export=download&amp;id=1ffeiCrVbZmIFq0qZVGyPixHc2nnL9QFx</t>
  </si>
  <si>
    <t>B14 Cambridge IGCSE 0417 Information &amp; Communication Technology - AED, B14 Cambridge IGCSE 0620 Chemistry - AED</t>
  </si>
  <si>
    <t>We acknowledge the fee payment receipt by Coreen Estico of SCR 400/- for Jan 2026 on 30 Dec 1899. Updated in the system. Thank you for choosing DivergenCIE Coaching! 💫</t>
  </si>
  <si>
    <t>We acknowledge the fee payment receipt by Faraz of INR 2000/- for Jan 2026 on 30 Jan 2026. Updated in the system. Thank you for choosing DivergenCIE Coaching! 💫</t>
  </si>
  <si>
    <t>https://drive.google.com/uc?export=download&amp;id=1Xs9NHEcb3JNMlyTOSxbXpPRYcnyEpbGN</t>
  </si>
  <si>
    <t>We acknowledge the fee payment receipt by Shifa Adnan  of INR 9000/- for Jan 2026 on 30 Dec 1899. Updated in the system. Thank you for choosing DivergenCIE Coaching! 💫</t>
  </si>
  <si>
    <t>2.25,</t>
  </si>
  <si>
    <t>We acknowledge the fee payment receipt by Vaishak of SGD 56.25/- for Jan 2026 on 24 Jan 2026. Updated in the system. Thank you for choosing DivergenCIE Coaching! 💫</t>
  </si>
  <si>
    <t>https://drive.google.com/uc?export=download&amp;id=1dq0JDZCy6e_s3EnqfYt-Crd9NLyI_3kT</t>
  </si>
  <si>
    <t>1-Jan</t>
  </si>
  <si>
    <t>ict started</t>
  </si>
  <si>
    <t>We acknowledge the fee payment receipt by Brighty Bejoy of SAR 600/- for Dec 2025 on 29 Dec 2026. Updated in the system. Thank you for choosing DivergenCIE Coaching! 💫</t>
  </si>
  <si>
    <t>https://drive.google.com/uc?export=download&amp;id=1mEz71N459Rs9cvK8vdeBxkKsYX5bstSG</t>
  </si>
  <si>
    <t>!paused on nov 30</t>
  </si>
  <si>
    <t>We acknowledge the fee payment receipt by Aliya Wazir of INR 5000/- for Dec 2025 on 30 Dec 1899. Updated in the system. Thank you for choosing DivergenCIE Coaching! 💫</t>
  </si>
  <si>
    <t>We acknowledge the fee payment receipt by Manya Agarwal of INR 7500/- for Dec 2025 on 30 Dec 1899. Updated in the system. Thank you for choosing DivergenCIE Coaching! 💫</t>
  </si>
  <si>
    <t>https://drive.google.com/uc?export=download&amp;id=1EggZZpB7IuEuh0dPqf10AduCN5nUidH3</t>
  </si>
  <si>
    <t>We acknowledge the fee payment receipt by Imtiaz of INR 4000/- for Dec 2025 on 30 Dec 1899. Updated in the system. Thank you for choosing DivergenCIE Coaching! 💫</t>
  </si>
  <si>
    <t>We acknowledge the fee payment receipt by Mudassir Dhanani of INR 7937.5/- for Dec 2025 on 30 Dec 1899. Updated in the system. Thank you for choosing DivergenCIE Coaching! 💫</t>
  </si>
  <si>
    <t>C15 Cambridge A-Level 9702 Physics - GBP, C15 Cambridge A-Level 9701 Chemistry - GBP</t>
  </si>
  <si>
    <t>8.25,8.25,</t>
  </si>
  <si>
    <t>We acknowledge the fee payment receipt by Pritika Deb of GBP 247.5/- for Dec 2025 on 30 Dec 1899. Updated in the system. Thank you for choosing DivergenCIE Coaching! 💫</t>
  </si>
  <si>
    <t>We acknowledge the fee payment receipt by Howard Lim of USD 100/- for Dec 2025 on 12 Jan 2026. Updated in the system. Thank you for choosing DivergenCIE Coaching! 💫</t>
  </si>
  <si>
    <t>https://drive.google.com/uc?export=download&amp;id=1aJcFDzLYs716o-IFrgQGErWq3n0lE-aG</t>
  </si>
  <si>
    <t>We acknowledge the fee payment receipt by Abdullah Kamal Pasha of SAR 26000/- for Dec 2025 on 30 Dec 1899. Updated in the system. Thank you for choosing DivergenCIE Coaching! 💫</t>
  </si>
  <si>
    <t>We acknowledge the fee payment receipt by Ibrahim Kamal Pasha of SAR 667.2/- for Dec 2025 on 11 Dec 2025. Updated in the system. Thank you for choosing DivergenCIE Coaching! 💫</t>
  </si>
  <si>
    <t>https://drive.google.com/uc?export=download&amp;id=1BFJSV5MFK-4eXrSxOxoby-iIeo-2TMhw</t>
  </si>
  <si>
    <t>3 subjects: combined math - or add discounts</t>
  </si>
  <si>
    <t>We acknowledge the fee payment receipt by Noya Mahasin of INR 18240./- for Dec 2025 on 30 Dec 1899. Updated in the system. Thank you for choosing DivergenCIE Coaching! 💫</t>
  </si>
  <si>
    <t>https://drive.google.com/uc?export=download&amp;id=194OPNiqILOk3wRhL3AN0Vm0JqX7rPkAG</t>
  </si>
  <si>
    <t>We acknowledge the fee payment receipt by Steve Rex of GBP 120/- for Dec 2025 on 5 Mar 2026. Updated in the system. Thank you for choosing DivergenCIE Coaching! 💫</t>
  </si>
  <si>
    <t>https://drive.google.com/uc?export=download&amp;id=1eRfIc0bnamR3MzOIvE-QR1ViCHoVbPan</t>
  </si>
  <si>
    <t>We acknowledge the fee payment receipt by Coreen Estico of SCR 400/- for Dec 2025 on 30 Dec 1899. Updated in the system. Thank you for choosing DivergenCIE Coaching! 💫</t>
  </si>
  <si>
    <t>We acknowledge the fee payment receipt by Faraz of INR 2000/- for Dec 2025 on 30 Jan 2026. Updated in the system. Thank you for choosing DivergenCIE Coaching! 💫</t>
  </si>
  <si>
    <t>https://drive.google.com/uc?export=download&amp;id=1DSEjonLTx6_LZG5OZHXWAzPOQDJCqmHW</t>
  </si>
  <si>
    <t>!exams going on - dec 9</t>
  </si>
  <si>
    <t>We acknowledge the fee payment receipt by Shifa Adnan  of INR 9000/- for Dec 2025 on 30 Dec 1899. Updated in the system. Thank you for choosing DivergenCIE Coaching! 💫</t>
  </si>
  <si>
    <t>2,</t>
  </si>
  <si>
    <t>We acknowledge the fee payment receipt by Vaishak of SGD 50/- for Dec 2025 on 24 Jan 2026. Updated in the system. Thank you for choosing DivergenCIE Coaching! 💫</t>
  </si>
  <si>
    <t>1-Dec</t>
  </si>
  <si>
    <t>We acknowledge the fee payment receipt by Brighty Bejoy of SAR 400/- for Nov 2025 on 27 Nov 2026. Updated in the system. Thank you for choosing DivergenCIE Coaching! 💫</t>
  </si>
  <si>
    <t>https://drive.google.com/uc?export=download&amp;id=1tm7z6CP-06Y9FR6q7SJDrdKsovLpwZ7J</t>
  </si>
  <si>
    <t>tally payment</t>
  </si>
  <si>
    <t>We acknowledge the fee payment receipt by Aliya Wazir of INR 2000/- for Nov 2025 on 30 Dec 1899. Updated in the system. Thank you for choosing DivergenCIE Coaching! 💫</t>
  </si>
  <si>
    <t>https://drive.google.com/uc?export=download&amp;id=1kG4HcX3KCmHk3BzOqZxI3WIh9mmrgbEk</t>
  </si>
  <si>
    <t>We acknowledge the fee payment receipt by Manya Agarwal of INR 7500/- for Nov 2025 on 30 Dec 1899. Updated in the system. Thank you for choosing DivergenCIE Coaching! 💫</t>
  </si>
  <si>
    <t>https://drive.google.com/uc?export=download&amp;id=1vsvmHaqatPeR_ZtA1qZjUjlwxPZyQWiQ</t>
  </si>
  <si>
    <t>We acknowledge the fee payment receipt by Imtiaz of INR 4000/- for Nov 2025 on 30 Dec 1899. Updated in the system. Thank you for choosing DivergenCIE Coaching! 💫</t>
  </si>
  <si>
    <t>https://drive.google.com/uc?export=download&amp;id=1wFAJUiaI_raRpj6caY7vIKrjWp326KFq</t>
  </si>
  <si>
    <t>We acknowledge the fee payment receipt by Mudassir Dhanani of INR 7937.5/- for Nov 2025 on 30 Dec 1899. Updated in the system. Thank you for choosing DivergenCIE Coaching! 💫</t>
  </si>
  <si>
    <t>We acknowledge the fee payment receipt by Pritika Deb of GBP 247.5/- for Nov 2025 on 30 Dec 1899. Updated in the system. Thank you for choosing DivergenCIE Coaching! 💫</t>
  </si>
  <si>
    <t>We acknowledge the fee payment receipt by Howard Lim of USD 100/- for Nov 2025 on 11 Nov 2026. Updated in the system. Thank you for choosing DivergenCIE Coaching! 💫</t>
  </si>
  <si>
    <t>https://drive.google.com/uc?export=download&amp;id=18xRzww95Ev0Xju9KCjCVrCchYqO9PRTf</t>
  </si>
  <si>
    <t>We acknowledge the fee payment receipt by Abdullah Kamal Pasha of SAR 26000/- for Nov 2025 on 30 Dec 1899. Updated in the system. Thank you for choosing DivergenCIE Coaching! 💫</t>
  </si>
  <si>
    <t>Trial, Not Confirmed</t>
  </si>
  <si>
    <t>We acknowledge the fee payment receipt by Ibrahim Kamal Pasha of SAR 667.2/- for Nov 2025 on 30 Dec 1899. Updated in the system. Thank you for choosing DivergenCIE Coaching! 💫</t>
  </si>
  <si>
    <t>We acknowledge the fee payment receipt by Noya Mahasin of INR 18240./- for Nov 2025 on 30 Dec 1899. Updated in the system. Thank you for choosing DivergenCIE Coaching! 💫</t>
  </si>
  <si>
    <t>https://drive.google.com/uc?export=download&amp;id=1hPdFbNJ1rEOh3ithhFMbS3OU5G9wR43a</t>
  </si>
  <si>
    <t>We acknowledge the fee payment receipt by Steve Rex of GBP 120/- for Nov 2025 on 5 Feb 2026. Updated in the system. Thank you for choosing DivergenCIE Coaching! 💫</t>
  </si>
  <si>
    <t>https://drive.google.com/uc?export=download&amp;id=1VKhKPZe207jjGtlgMqZXDdmwHBV7V_mp</t>
  </si>
  <si>
    <t>We acknowledge the fee payment receipt by Coreen Estico of SCR 400/- for Nov 2025 on 30 Dec 1899. Updated in the system. Thank you for choosing DivergenCIE Coaching! 💫</t>
  </si>
  <si>
    <t>We acknowledge the fee payment receipt by Faraz of INR 2000/- for Nov 2025 on 30 Jan 2026. Updated in the system. Thank you for choosing DivergenCIE Coaching! 💫</t>
  </si>
  <si>
    <t>https://drive.google.com/uc?export=download&amp;id=1XAFx8ifGrsywzDafdzof5_t8L_5CE8qN</t>
  </si>
  <si>
    <t>Active, Invoice sent</t>
  </si>
  <si>
    <t>We acknowledge the fee payment receipt by Shifa Adnan  of INR 9000/- for Nov 2025 on 11 Feb 2026. Updated in the system. Thank you for choosing DivergenCIE Coaching! 💫</t>
  </si>
  <si>
    <t>https://drive.google.com/uc?export=download&amp;id=1vBZn9xlzBH8Nqd8wEkJQaG045ULRxsCu</t>
  </si>
  <si>
    <t>C22 College Board Mathematics - SGD, C22 DC IMO Mathematics - SGD, C22 College Board Physics - SGD</t>
  </si>
  <si>
    <t>8,8,8,</t>
  </si>
  <si>
    <t>We acknowledge the fee payment receipt by Vaishak of SGD 600/- for Nov 2025 on 30 Dec 1899. Updated in the system. Thank you for choosing DivergenCIE Coaching! 💫</t>
  </si>
  <si>
    <t>1-Nov</t>
  </si>
  <si>
    <t>?started bio when</t>
  </si>
  <si>
    <t>We acknowledge the fee payment receipt by Brighty Bejoy of SAR 600/- for Oct 2025 on 28 Oct 2026. Updated in the system. Thank you for choosing DivergenCIE Coaching! 💫</t>
  </si>
  <si>
    <t>https://drive.google.com/uc?export=download&amp;id=1HIQCD72_F3ALZzUZeKFIQH6OUbOo2tkS</t>
  </si>
  <si>
    <t>stopped bio+maths on 1-nov, paid INR 4K for nov igcse physics (check?) !adjusted fees based on missed classes</t>
  </si>
  <si>
    <t>We acknowledge the fee payment receipt by Aliya Wazir of INR 5000/- for Oct 2025 on 29 Nov 2025. Updated in the system. Thank you for choosing DivergenCIE Coaching! 💫</t>
  </si>
  <si>
    <t>https://drive.google.com/uc?export=download&amp;id=1polk47bfTacc4ambBQXWxrkTU6auWnXH</t>
  </si>
  <si>
    <t>?tally timesheet - done</t>
  </si>
  <si>
    <t>We acknowledge the fee payment receipt by Manya Agarwal of INR 7500/- for Oct 2025 on 30 Dec 1899. Updated in the system. Thank you for choosing DivergenCIE Coaching! 💫</t>
  </si>
  <si>
    <t>https://drive.google.com/uc?export=download&amp;id=1ihCBMg7iEHvpE7mFcM_acvV4iLRdQoj1</t>
  </si>
  <si>
    <t>tally payment histroy</t>
  </si>
  <si>
    <t>We acknowledge the fee payment receipt by Imtiaz of INR 4000/- for Oct 2025 on 30 Nov 2025. Updated in the system. Thank you for choosing DivergenCIE Coaching! 💫</t>
  </si>
  <si>
    <t>https://drive.google.com/uc?export=download&amp;id=1Ifgp1VieCQ-zgVvXUVraGfaRvcXVD4zL</t>
  </si>
  <si>
    <t>We acknowledge the fee payment receipt by Mudassir Dhanani of INR 7937.5/- for Oct 2025 on 30 Dec 1899. Updated in the system. Thank you for choosing DivergenCIE Coaching! 💫</t>
  </si>
  <si>
    <t>fees calculated+INR 4K for books (paper 5)</t>
  </si>
  <si>
    <t>7.66, 8.84,</t>
  </si>
  <si>
    <t>We acknowledge the fee payment receipt by Pritika Deb of GBP 222.75/- for Oct 2025 on 30 Jan 2026. Updated in the system. Thank you for choosing DivergenCIE Coaching! 💫</t>
  </si>
  <si>
    <t>https://drive.google.com/uc?export=download&amp;id=1CqrJsOINaEBD6J0WanLT9ZsE61FxgoH4</t>
  </si>
  <si>
    <t>B14 Cambridge IGCSE 0510 English as a Second language - MYR, B14 Cambridge IGCSE 0625 Physics - MYR</t>
  </si>
  <si>
    <t>2,2</t>
  </si>
  <si>
    <t>We acknowledge the fee payment receipt by Rania Sami of SAR 160/- for Oct 2025 on 30 Dec 1899. Updated in the system. Thank you for choosing DivergenCIE Coaching! 💫</t>
  </si>
  <si>
    <t>We acknowledge the fee payment receipt by Abdullah Kamal Pasha of SAR 26000/- for Oct 2025 on 30 Dec 1899. Updated in the system. Thank you for choosing DivergenCIE Coaching! 💫</t>
  </si>
  <si>
    <t>We acknowledge the fee payment receipt by Jotham of SAR 16000/- for Oct 2025 on 30 Dec 1899. Updated in the system. Thank you for choosing DivergenCIE Coaching! 💫</t>
  </si>
  <si>
    <t>6000 less</t>
  </si>
  <si>
    <t>We acknowledge the fee payment receipt by Noya Mahasin of INR 24000/- for Oct 2025 on 10 Dec 2026. Updated in the system. Thank you for choosing DivergenCIE Coaching! 💫</t>
  </si>
  <si>
    <t>https://drive.google.com/uc?export=download&amp;id=17hBeyjaOCaLD9iAUJmhWe3pcAQBqoPU8</t>
  </si>
  <si>
    <t>sent</t>
  </si>
  <si>
    <t>10.99,</t>
  </si>
  <si>
    <t>We acknowledge the fee payment receipt by Steve Rex of GBP 164.85/- for Oct 2025 on 17 Nov 2025. Updated in the system. Thank you for choosing DivergenCIE Coaching! 💫</t>
  </si>
  <si>
    <t>https://drive.google.com/uc?export=download&amp;id=1KfM_tTDQWLAMGNBpFfPQ9gc7Kcmx83ev</t>
  </si>
  <si>
    <t>We acknowledge the fee payment receipt by Coreen Estico of SCR 400/- for Oct 2025 on 30 Dec 1899. Updated in the system. Thank you for choosing DivergenCIE Coaching! 💫</t>
  </si>
  <si>
    <t>We acknowledge the fee payment receipt by Faraz of INR 2000/- for Oct 2025 on 17 Nov 2025. Updated in the system. Thank you for choosing DivergenCIE Coaching! 💫</t>
  </si>
  <si>
    <t>https://drive.google.com/uc?export=download&amp;id=1sjay79hIVcoFCgSjn84xWf8F-hkG3yA7</t>
  </si>
  <si>
    <t>We acknowledge the fee payment receipt by Shifa Adnan  of INR 9000/- for Oct 2025 on 11 Feb 2026. Updated in the system. Thank you for choosing DivergenCIE Coaching! 💫</t>
  </si>
  <si>
    <t>https://drive.google.com/uc?export=download&amp;id=1s5-HCNubcB2HqwCvlrXcrc443VITbJ9y</t>
  </si>
  <si>
    <t>We acknowledge the fee payment receipt by Vaishak of SGD 600/- for Oct 2025 on 30 Dec 1899. Updated in the system. Thank you for choosing DivergenCIE Coaching! 💫</t>
  </si>
  <si>
    <t>1-Oct</t>
  </si>
  <si>
    <t>p?</t>
  </si>
  <si>
    <t>We acknowledge the fee payment receipt by Brighty Bejoy of SAR 400/- for Sep 2025 on 28 Sep 2026. Updated in the system. Thank you for choosing DivergenCIE Coaching! 💫</t>
  </si>
  <si>
    <t>https://drive.google.com/uc?export=download&amp;id=1vV1601pWMRBB9JUzTQM6JHB-LDyISp-3</t>
  </si>
  <si>
    <t>tally payment? paid 9k (5K on sep 18 + 4K on sep 17)</t>
  </si>
  <si>
    <t>We acknowledge the fee payment receipt by Aliya Wazir of INR 9000/- for Sep 2025 on 18 Sep 2025. Updated in the system. Thank you for choosing DivergenCIE Coaching! 💫</t>
  </si>
  <si>
    <t>https://drive.google.com/uc?export=download&amp;id=1_Azw7EfQe-6Haf7Kqby2BvurpY3MrvIa</t>
  </si>
  <si>
    <t>np</t>
  </si>
  <si>
    <t>We acknowledge the fee payment receipt by Manya Agarwal of INR 7500/- for Sep 2025 on 20 Jan 2026. Updated in the system. Thank you for choosing DivergenCIE Coaching! 💫</t>
  </si>
  <si>
    <t>https://drive.google.com/uc?export=download&amp;id=1YqhF_WdyHtgITJ8tTgzOGS9FyTv9R3WE</t>
  </si>
  <si>
    <t>We acknowledge the fee payment receipt by Imtiaz of INR 4000/- for Sep 2025 on 21 Sep 2025. Updated in the system. Thank you for choosing DivergenCIE Coaching! 💫</t>
  </si>
  <si>
    <t>https://drive.google.com/uc?export=download&amp;id=1t-WvZJFHX9XZeRORYyV6dDi4dQOmuuFD</t>
  </si>
  <si>
    <t>We acknowledge the fee payment receipt by Mudassir Dhanani of INR 7937.5/- for Sep 2025 on 30 Dec 1899. Updated in the system. Thank you for choosing DivergenCIE Coaching! 💫</t>
  </si>
  <si>
    <t>p?check date</t>
  </si>
  <si>
    <t>Active, Invoice made, Invoice sent</t>
  </si>
  <si>
    <t>11.25, 11,</t>
  </si>
  <si>
    <t>check</t>
  </si>
  <si>
    <t>We acknowledge the fee payment receipt by Pritika Deb of GBP 333.75/- for Sep 2025 on check. Updated in the system. Thank you for choosing DivergenCIE Coaching! 💫</t>
  </si>
  <si>
    <t>https://drive.google.com/uc?export=download&amp;id=1i17NWRT4Xwggc1GasTEZsKjphp4DeJ3K</t>
  </si>
  <si>
    <t>We acknowledge the fee payment receipt by Rania Sami of SAR 160/- for Sep 2025 on 30 Dec 1899. Updated in the system. Thank you for choosing DivergenCIE Coaching! 💫</t>
  </si>
  <si>
    <t>end 28 sep,np - !calc how much is due</t>
  </si>
  <si>
    <t>We acknowledge the fee payment receipt by Sai Nikhita of INR 26000/- for Sep 2025 on 30 Dec 1899. Updated in the system. Thank you for choosing DivergenCIE Coaching! 💫</t>
  </si>
  <si>
    <t>https://drive.google.com/uc?export=download&amp;id=1wI8wuWOybMsFQh0nTrPUNpfdawE668o7</t>
  </si>
  <si>
    <t>follow up and ask to join bio</t>
  </si>
  <si>
    <t>B14 Cambridge IGCSE 0620 Chemistry - INR, B14 Cambridge IGCSE 0610 Biology - INR</t>
  </si>
  <si>
    <t>We acknowledge the fee payment receipt by Ananya T of INR 8000/- for Sep 2025 on 30 Dec 1899. Updated in the system. Thank you for choosing DivergenCIE Coaching! 💫</t>
  </si>
  <si>
    <t>Transition to 1st to month. started s1 !6000 less was paid</t>
  </si>
  <si>
    <t>We acknowledge the fee payment receipt by Noya Mahasin of INR 24000/- for Sep 2025 on 10 Dec 2026. Updated in the system. Thank you for choosing DivergenCIE Coaching! 💫</t>
  </si>
  <si>
    <t>https://drive.google.com/uc?export=download&amp;id=1rqHcFom77k1NK-xzdXSp3PH0pp8XMyDJ</t>
  </si>
  <si>
    <t>12,</t>
  </si>
  <si>
    <t>We acknowledge the fee payment receipt by Steve Rex of GBP 180/- for Sep 2025 on 7 Oct 2025. Updated in the system. Thank you for choosing DivergenCIE Coaching! 💫</t>
  </si>
  <si>
    <t>https://drive.google.com/uc?export=download&amp;id=1UECCn0y9oyxdWNZb8YABGCaAQEdb_5AJ</t>
  </si>
  <si>
    <t>We acknowledge the fee payment receipt by Coreen Estico of SCR 400/- for Sep 2025 on 30 Dec 1899. Updated in the system. Thank you for choosing DivergenCIE Coaching! 💫</t>
  </si>
  <si>
    <t>https://drive.google.com/uc?export=download&amp;id=14lVzcF6kKowmS-nXBHJsOYHX3l6Pn9al</t>
  </si>
  <si>
    <t>We acknowledge the fee payment receipt by Faraz of INR 2000/- for Sep 2025 on 17 Nov 2025. Updated in the system. Thank you for choosing DivergenCIE Coaching! 💫</t>
  </si>
  <si>
    <t>https://drive.google.com/uc?export=download&amp;id=1dzjvaW0hsEo6xiUSYpBdo_u1xuJvVO6m</t>
  </si>
  <si>
    <t>We acknowledge the fee payment receipt by Shifa Adnan  of INR 9000/- for Sep 2025 on 22 Sep 2026. Updated in the system. Thank you for choosing DivergenCIE Coaching! 💫</t>
  </si>
  <si>
    <t>https://drive.google.com/uc?export=download&amp;id=144eJ4P0Jcybqt9G_vC4A7lJ8jou0D7fK</t>
  </si>
  <si>
    <t>We acknowledge the fee payment receipt by Vaishak of SGD 600/- for Sep 2025 on 30 Dec 1899. Updated in the system. Thank you for choosing DivergenCIE Coaching! 💫</t>
  </si>
  <si>
    <t>1-Sep</t>
  </si>
  <si>
    <t>dropped eng when?</t>
  </si>
  <si>
    <t>B14 Cambridge IGCSE 0625 Physics - SAR, B14 Cambridge IGCSE 0580 Mathematics - SAR, B14 Cambridge IGCSE 0510 English as a Second Language - SAR</t>
  </si>
  <si>
    <t>We acknowledge the fee payment receipt by Brighty Bejoy of SAR 400/- for Aug 2025 on 31 Aug 2026. Updated in the system. Thank you for choosing DivergenCIE Coaching! 💫</t>
  </si>
  <si>
    <t>https://drive.google.com/uc?export=download&amp;id=1PkFRE6953ymxG4w5igPYu9GKhME_Y00X</t>
  </si>
  <si>
    <t>B14 Cambridge IGCSE 0580 Mathematics - INR, B14 Cambridge IGCSE 0610 Biology - INR, B14 Cambridge IGCSE 0620 Chemistry - INR</t>
  </si>
  <si>
    <t>We acknowledge the fee payment receipt by Juveria Dhanani of INR 9000/- for Aug 2025 on 30 Dec 1899. Updated in the system. Thank you for choosing DivergenCIE Coaching! 💫</t>
  </si>
  <si>
    <t>We acknowledge the fee payment receipt by Manya Agarwal of INR 7500/- for Aug 2025 on 20 Jan 2026. Updated in the system. Thank you for choosing DivergenCIE Coaching! 💫</t>
  </si>
  <si>
    <t>https://drive.google.com/uc?export=download&amp;id=17a_X6Sp2oltsPRhTBXgnPXeSheZ1A9IF</t>
  </si>
  <si>
    <t>Mehreen</t>
  </si>
  <si>
    <t>C19 ACT - GBP</t>
  </si>
  <si>
    <t>8,</t>
  </si>
  <si>
    <t>We acknowledge the fee payment receipt by Mehreen  of GBP 120/- for Aug 2025 on 30 Dec 1899. Updated in the system. Thank you for choosing DivergenCIE Coaching! 💫</t>
  </si>
  <si>
    <t>We acknowledge the fee payment receipt by Mudassir Dhanani of INR 7937.5/- for Aug 2025 on 19 Sep 2025. Updated in the system. Thank you for choosing DivergenCIE Coaching! 💫</t>
  </si>
  <si>
    <t>https://drive.google.com/uc?export=download&amp;id=1yrIWOqROOXvS4FrTb5j_HznRDiJwyyEk</t>
  </si>
  <si>
    <t>p? check date</t>
  </si>
  <si>
    <t>11, 11,</t>
  </si>
  <si>
    <t>We acknowledge the fee payment receipt by Pritika Deb of GBP 330/- for Aug 2025 on check. Updated in the system. Thank you for choosing DivergenCIE Coaching! 💫</t>
  </si>
  <si>
    <t>https://drive.google.com/uc?export=download&amp;id=1M5aTLw1jCx7dn9DoyHMxaKNjaPEZTKpJ</t>
  </si>
  <si>
    <t>We acknowledge the fee payment receipt by Sharmira Perkash of MYR 160/- for Aug 2025 on 30 Dec 1899. Updated in the system. Thank you for choosing DivergenCIE Coaching! 💫</t>
  </si>
  <si>
    <t>We acknowledge the fee payment receipt by Sai Nikhita of INR 9000/- for Aug 2025 on 30 Dec 1899. Updated in the system. Thank you for choosing DivergenCIE Coaching! 💫</t>
  </si>
  <si>
    <t>https://drive.google.com/uc?export=download&amp;id=1Gk9hCi5OWj22kl7fWjFYnHwIyoZ1skah</t>
  </si>
  <si>
    <t>We acknowledge the fee payment receipt by Ananya T of INR 8000/- for Aug 2025 on 30 Dec 1899. Updated in the system. Thank you for choosing DivergenCIE Coaching! 💫</t>
  </si>
  <si>
    <t>https://drive.google.com/uc?export=download&amp;id=1i7_ONqBXBszEFZ57aEP_QFe4J8f2lSyr</t>
  </si>
  <si>
    <t>We acknowledge the fee payment receipt by Noya Mahasin of INR 18000/- for Aug 2025 on 14 Oct 2025. Updated in the system. Thank you for choosing DivergenCIE Coaching! 💫</t>
  </si>
  <si>
    <t>https://drive.google.com/uc?export=download&amp;id=1fDQhPuNcgmOBQWzGrgxyOxE7MAQYLL4n</t>
  </si>
  <si>
    <t>We acknowledge the fee payment receipt by Steve Rex of GBP 180/- for Aug 2025 on 25 Sep 2025. Updated in the system. Thank you for choosing DivergenCIE Coaching! 💫</t>
  </si>
  <si>
    <t>https://drive.google.com/uc?export=download&amp;id=1I4mHFhV1mFuC7Zp1Ksnz24AC5lVfleKI</t>
  </si>
  <si>
    <t>We acknowledge the fee payment receipt by Hananah Khan of AED 400/- for Aug 2025 on 30 Dec 1899. Updated in the system. Thank you for choosing DivergenCIE Coaching! 💫</t>
  </si>
  <si>
    <t>https://drive.google.com/uc?export=download&amp;id=1SBjGzKUOuvoXwcfRGHTu8lU41bE2vrC1</t>
  </si>
  <si>
    <t>We acknowledge the fee payment receipt by Faraz of INR 2000/- for Aug 2025 on 17 Nov 2025. Updated in the system. Thank you for choosing DivergenCIE Coaching! 💫</t>
  </si>
  <si>
    <t>https://drive.google.com/uc?export=download&amp;id=1tpQnYDB450GuuG1h7CQVh6xVxfQUuEuv</t>
  </si>
  <si>
    <t>check total payment history</t>
  </si>
  <si>
    <t>We acknowledge the fee payment receipt by Shifa Adnan  of INR 9000/- for Aug 2025 on 22 Sep 2026. Updated in the system. Thank you for choosing DivergenCIE Coaching! 💫</t>
  </si>
  <si>
    <t>https://drive.google.com/uc?export=download&amp;id=1nFTL5KQhEx5Yt-4diAORqyH2y5f4TyhU</t>
  </si>
  <si>
    <t>check due</t>
  </si>
  <si>
    <t>We acknowledge the fee payment receipt by Vaishak of SGD 600/- for Aug 2025 on 30 Dec 1899. Updated in the system. Thank you for choosing DivergenCIE Coaching! 💫</t>
  </si>
  <si>
    <t>1-Aug</t>
  </si>
  <si>
    <t>We acknowledge the fee payment receipt by Brighty Bejoy of SAR 600/- for Jul 2025 on 31 Jul 2025. Updated in the system. Thank you for choosing DivergenCIE Coaching! 💫</t>
  </si>
  <si>
    <t>https://drive.google.com/uc?export=download&amp;id=1l74m_cvxykJDpkf7D10B0ghmtBgA_W0v</t>
  </si>
  <si>
    <t>We acknowledge the fee payment receipt by Juveria Dhanani of INR 9000/- for Jul 2025 on 30 Dec 1899. Updated in the system. Thank you for choosing DivergenCIE Coaching! 💫</t>
  </si>
  <si>
    <t>We acknowledge the fee payment receipt by Manya Agarwal of INR 5937.5/- for Jul 2025 on 29 Sep 2025. Updated in the system. Thank you for choosing DivergenCIE Coaching! 💫</t>
  </si>
  <si>
    <t>https://drive.google.com/uc?export=download&amp;id=1FBo5vG9dsr43MRJIoVCnEd9HpdN1m7yj</t>
  </si>
  <si>
    <t>We acknowledge the fee payment receipt by Mehreen  of GBP 120/- for Jul 2025 on 30 Dec 1899. Updated in the system. Thank you for choosing DivergenCIE Coaching! 💫</t>
  </si>
  <si>
    <t>B8 Cambridge A-Level 9702 Physics - INR, B8 Cambridge A-Level 9701 Chemistry - INR, B8 Cambridge A-Level 9700 Biology - INR</t>
  </si>
  <si>
    <t>6000+9000</t>
  </si>
  <si>
    <t>We acknowledge the fee payment receipt by Mudassir Dhanani of INR 21000/- for Jul 2025 on 30 Dec 1899. Updated in the system. Thank you for choosing DivergenCIE Coaching! 💫</t>
  </si>
  <si>
    <t>paid check date</t>
  </si>
  <si>
    <t>10, 10,</t>
  </si>
  <si>
    <t>We acknowledge the fee payment receipt by Pritika Deb of GBP 300/- for Jul 2025 on check. Updated in the system. Thank you for choosing DivergenCIE Coaching! 💫</t>
  </si>
  <si>
    <t>https://drive.google.com/uc?export=download&amp;id=1uMe-gFQ7KuD8kmnHjY3zlxNwoIpBoP66</t>
  </si>
  <si>
    <t>We acknowledge the fee payment receipt by Sharmira Perkash of MYR 160/- for Jul 2025 on 30 Dec 1899. Updated in the system. Thank you for choosing DivergenCIE Coaching! 💫</t>
  </si>
  <si>
    <t>B8 Cambridge A-Level 9609 Business - INR, B8 Cambridge A-Level 9709 Mathematics: Pure 3 - INR, B8 Cambridge A-Level 9709 Mathematics: Statistics 1 - INR, B8 Cambridge A-Level 9618 Computer Science - INR</t>
  </si>
  <si>
    <t>We acknowledge the fee payment receipt by Shubh Kalra of INR 27000/- for Jul 2025 on 30 Dec 1899. Updated in the system. Thank you for choosing DivergenCIE Coaching! 💫</t>
  </si>
  <si>
    <t>C21 Edexcel IGCSE ICT - GBP</t>
  </si>
  <si>
    <t>We acknowledge the fee payment receipt by Zahra Zahra of GBP 180/- for Jul 2025 on 30 Dec 1899. Updated in the system. Thank you for choosing DivergenCIE Coaching! 💫</t>
  </si>
  <si>
    <t>We acknowledge the fee payment receipt by Noya Mahasin of INR 18000/- for Jul 2025 on 28 Aug 2025. Updated in the system. Thank you for choosing DivergenCIE Coaching! 💫</t>
  </si>
  <si>
    <t>https://drive.google.com/uc?export=download&amp;id=1Tq3JDPKSPWJG2Yck2pN3ehOQb0sp9dtM</t>
  </si>
  <si>
    <t>We acknowledge the fee payment receipt by Steve Rex of GBP 180/- for Jul 2025 on 4 Aug 2025. Updated in the system. Thank you for choosing DivergenCIE Coaching! 💫</t>
  </si>
  <si>
    <t>https://drive.google.com/uc?export=download&amp;id=12dhZudqz_SzJySmIUqcQuSmTSbhkD7AS</t>
  </si>
  <si>
    <t>Individual, Cancelled</t>
  </si>
  <si>
    <t>C20 KSA Qudrat GAT - SAR</t>
  </si>
  <si>
    <t>We acknowledge the fee payment receipt by Wajd of SAR 250/- for Jul 2025 on 30 Dec 1899. Updated in the system. Thank you for choosing DivergenCIE Coaching! 💫</t>
  </si>
  <si>
    <t>We acknowledge the fee payment receipt by Faraz of INR 3000/- for Jul 2025 on 17 Nov 2025. Updated in the system. Thank you for choosing DivergenCIE Coaching! 💫</t>
  </si>
  <si>
    <t>https://drive.google.com/uc?export=download&amp;id=1PkSasPVJ-gT7CCjmTjvIEU19BRu6i2Qd</t>
  </si>
  <si>
    <t>extra 1500 for one extra math class on saturday. not actually taken</t>
  </si>
  <si>
    <t>https://drive.google.com/uc?export=download&amp;id=13whL7D9cw_HL5l7erwCktEWbAbonmtTS</t>
  </si>
  <si>
    <t>We acknowledge the fee payment receipt by Vaishak of SGD 600/- for Jul 2025 on 30 Dec 1899. Updated in the system. Thank you for choosing DivergenCIE Coaching! 💫</t>
  </si>
  <si>
    <t>https://drive.google.com/uc?export=download&amp;id=183z3HHSmRiZ05Xh5Xg5ZLuuKmEYabF9H</t>
  </si>
  <si>
    <t>1-Jul</t>
  </si>
  <si>
    <t>started english on Jun 30, SAR 50 extra since she started eng in w2 of jun session</t>
  </si>
  <si>
    <t>We acknowledge the fee payment receipt by Brighty Bejoy of SAR 550/- for Jun 2025 on 1 Jul 2025. Updated in the system. Thank you for choosing DivergenCIE Coaching! 💫</t>
  </si>
  <si>
    <t>https://drive.google.com/uc?export=download&amp;id=1odb_Tqv-c_9KOFb7fnJ9XOkA49zh76kK</t>
  </si>
  <si>
    <t>We acknowledge the fee payment receipt by Juveria Dhanani of INR 9000/- for Jun 2025 on 30 Dec 1899. Updated in the system. Thank you for choosing DivergenCIE Coaching! 💫</t>
  </si>
  <si>
    <t>started accounting on jun 23 -1w, started physics on Jun 17 - 2w, 1+.25+.5</t>
  </si>
  <si>
    <t>We acknowledge the fee payment receipt by Manya Agarwal of INR 5312.5/- for Jun 2025 on 14 Aug 2025. Updated in the system. Thank you for choosing DivergenCIE Coaching! 💫</t>
  </si>
  <si>
    <t>https://drive.google.com/uc?export=download&amp;id=19NuuUZIGeE-SfLh02BmzSRfj1Kqug9nx</t>
  </si>
  <si>
    <t>We acknowledge the fee payment receipt by Mehreen  of GBP 120/- for Jun 2025 on 30 Dec 1899. Updated in the system. Thank you for choosing DivergenCIE Coaching! 💫</t>
  </si>
  <si>
    <t>We acknowledge the fee payment receipt by Mudassir Dhanani of INR 21000/- for Jun 2025 on 30 Dec 1899. Updated in the system. Thank you for choosing DivergenCIE Coaching! 💫</t>
  </si>
  <si>
    <t>We acknowledge the fee payment receipt by Pritika Deb of GBP 330/- for Jun 2025 on 3 Jul 2025. Updated in the system. Thank you for choosing DivergenCIE Coaching! 💫</t>
  </si>
  <si>
    <t>https://drive.google.com/uc?export=download&amp;id=12jlxRlGA8FFr34vcDIrn1mtHQjHShM-9</t>
  </si>
  <si>
    <t>We acknowledge the fee payment receipt by Sharmira Perkash of MYR 160/- for Jun 2025 on 30 Dec 1899. Updated in the system. Thank you for choosing DivergenCIE Coaching! 💫</t>
  </si>
  <si>
    <t>We acknowledge the fee payment receipt by Shubh Kalra of INR 27000/- for Jun 2025 on 30 Dec 1899. Updated in the system. Thank you for choosing DivergenCIE Coaching! 💫</t>
  </si>
  <si>
    <t>We acknowledge the fee payment receipt by Zahra Zahra of GBP 180/- for Jun 2025 on 30 Dec 1899. Updated in the system. Thank you for choosing DivergenCIE Coaching! 💫</t>
  </si>
  <si>
    <t>?check payment date</t>
  </si>
  <si>
    <t>We acknowledge the fee payment receipt by Noya Mahasin of INR 18000/- for Jun 2025 on 15 Jul 2025. Updated in the system. Thank you for choosing DivergenCIE Coaching! 💫</t>
  </si>
  <si>
    <t>https://drive.google.com/uc?export=download&amp;id=1HR-2ZdRUpwbEkAjAE_KuilXwg0gPYVDu</t>
  </si>
  <si>
    <t>We acknowledge the fee payment receipt by Steve Rex of GBP 180/- for Jun 2025 on 2 Jul 2025. Updated in the system. Thank you for choosing DivergenCIE Coaching! 💫</t>
  </si>
  <si>
    <t>https://drive.google.com/uc?export=download&amp;id=1lm0qIkVetYWGGR4mljDb2RbHTvNz4yOg</t>
  </si>
  <si>
    <t>We acknowledge the fee payment receipt by Wajd of SAR 250/- for Jun 2025 on 30 Dec 1899. Updated in the system. Thank you for choosing DivergenCIE Coaching! 💫</t>
  </si>
  <si>
    <t>We acknowledge the fee payment receipt by Faraz of INR 2000/- for Jun 2025 on 30 Dec 1899. Updated in the system. Thank you for choosing DivergenCIE Coaching! 💫</t>
  </si>
  <si>
    <t>https://drive.google.com/uc?export=download&amp;id=1WvXojoC-Jt0NnaV7BUkX5eNda2mkD6W5</t>
  </si>
  <si>
    <t>B8 Cambridge A-Level 9701 Chemistry - SAR</t>
  </si>
  <si>
    <t>We acknowledge the fee payment receipt by Jerrin Jaison of SAR 0/- for Jun 2025 on 30 Dec 1899. Updated in the system. Thank you for choosing DivergenCIE Coaching! 💫</t>
  </si>
  <si>
    <t>https://drive.google.com/uc?export=download&amp;id=1gGf-bNutF1-6reInhELrYj6WfE4l90ju</t>
  </si>
  <si>
    <t>We acknowledge the fee payment receipt by Vaishak of SGD 676/- for Jun 2025 on 13 Jul 2026. Updated in the system. Thank you for choosing DivergenCIE Coaching! 💫</t>
  </si>
  <si>
    <t>https://drive.google.com/uc?export=download&amp;id=1urMUSaBDkyT3ulgpolk_YqVsrOGqcq_3</t>
  </si>
  <si>
    <t>1-Jun</t>
  </si>
  <si>
    <t>We acknowledge the fee payment receipt by Brighty Bejoy of SAR 400/- for May 2025 on 29 May 2025. Updated in the system. Thank you for choosing DivergenCIE Coaching! 💫</t>
  </si>
  <si>
    <t>https://drive.google.com/uc?export=download&amp;id=1GghWb2gPmVZfFDeqovIYXlc4efWPoBeM</t>
  </si>
  <si>
    <t>We acknowledge the fee payment receipt by Juveria Dhanani of INR 9000/- for May 2025 on 30 Dec 1899. Updated in the system. Thank you for choosing DivergenCIE Coaching! 💫</t>
  </si>
  <si>
    <t>We acknowledge the fee payment receipt by Manya Agarwal of INR 2500/- for May 2025 on check. Updated in the system. Thank you for choosing DivergenCIE Coaching! 💫</t>
  </si>
  <si>
    <t>We acknowledge the fee payment receipt by Mehreen  of GBP 120/- for May 2025 on 30 Dec 1899. Updated in the system. Thank you for choosing DivergenCIE Coaching! 💫</t>
  </si>
  <si>
    <t>? end when !I'm marking it as paid  most likel;y since records cleared</t>
  </si>
  <si>
    <t>We acknowledge the fee payment receipt by Mudassir Dhanani of INR 21000/- for May 2025 on 30 Dec 1899. Updated in the system. Thank you for choosing DivergenCIE Coaching! 💫</t>
  </si>
  <si>
    <t>https://drive.google.com/uc?export=download&amp;id=1Nfs7A7-fwErWop3EShM3lpbJ3nHZbcOA</t>
  </si>
  <si>
    <t>C15 Cambridge AS-Level 9702 Physics - GBP, C15 Cambridge AS-Level 9701 Chemistry - GBP</t>
  </si>
  <si>
    <t>4, 0,</t>
  </si>
  <si>
    <t>We acknowledge the fee payment receipt by Pritika Deb of GBP 60/- for May 2025 on 30 Dec 1899. Updated in the system. Thank you for choosing DivergenCIE Coaching! 💫</t>
  </si>
  <si>
    <t>https://drive.google.com/uc?export=download&amp;id=1xXCrSLUM6B0rSeva-QAOkH-r8NijBQ3T</t>
  </si>
  <si>
    <t>?How many classes and ask her to pay</t>
  </si>
  <si>
    <t>We acknowledge the fee payment receipt by Sharmira Perkash of MYR 160/- for May 2025 on 30 Dec 1899. Updated in the system. Thank you for choosing DivergenCIE Coaching! 💫</t>
  </si>
  <si>
    <t>https://drive.google.com/uc?export=download&amp;id=1ffhVD0Xu5Z-I8On2jDnc5bGRxJ9RxLKj</t>
  </si>
  <si>
    <t>We acknowledge the fee payment receipt by Shubh Kalra of INR 27000/- for May 2025 on 3 Jun 2025. Updated in the system. Thank you for choosing DivergenCIE Coaching! 💫</t>
  </si>
  <si>
    <t>https://drive.google.com/uc?export=download&amp;id=1fA50LIeTRoE8DHU8PIsk2V_VFc8grGwr</t>
  </si>
  <si>
    <t>We acknowledge the fee payment receipt by Zahra Zahra of GBP 180/- for May 2025 on 19 Jul 2026. Updated in the system. Thank you for choosing DivergenCIE Coaching! 💫</t>
  </si>
  <si>
    <t>https://drive.google.com/uc?export=download&amp;id=1p2nW-vvTuwe3BOeApzZ_-1S2Tun7GGal</t>
  </si>
  <si>
    <t>We acknowledge the fee payment receipt by Noya Mahasin of INR 18000/- for May 2025 on 28 May 2025. Updated in the system. Thank you for choosing DivergenCIE Coaching! 💫</t>
  </si>
  <si>
    <t>https://drive.google.com/uc?export=download&amp;id=1iLlW4ohMkHyUNZD8Zgmj2nk1gOUZku-n</t>
  </si>
  <si>
    <t>We acknowledge the fee payment receipt by Steve Rex of GBP 180/- for May 2025 on 28 May 2025. Updated in the system. Thank you for choosing DivergenCIE Coaching! 💫</t>
  </si>
  <si>
    <t>https://drive.google.com/uc?export=download&amp;id=1anvifhRuw7Gic3IGaVcTTK2fPXXaygpJ</t>
  </si>
  <si>
    <t>Individual, Absent</t>
  </si>
  <si>
    <t>We acknowledge the fee payment receipt by Wajd of SAR 250/- for May 2025 on 30 Dec 1899. Updated in the system. Thank you for choosing DivergenCIE Coaching! 💫</t>
  </si>
  <si>
    <t>1-May</t>
  </si>
  <si>
    <t>follow up and get payments</t>
  </si>
  <si>
    <t>B14 Cambridge IGCSE 0625 Physics - SAR, B14 Cambridge IGCSE 0620 Chemistry - SAR, B14 Cambridge IGCSE 0610 Biology - SAR, B14 Cambridge IGCSE 0580 Mathematics - SAR, B14 Cambridge IGCSE 0510 English as a Second Language - SAR</t>
  </si>
  <si>
    <t>We acknowledge the fee payment receipt by Abdurrahman of SAR 500/- for Apr 2025 on 30 Dec 1899. Updated in the system. Thank you for choosing DivergenCIE Coaching! 💫</t>
  </si>
  <si>
    <t>follow up and start classes</t>
  </si>
  <si>
    <t>C3 OCR GCSE J277 Computer Science - GBP</t>
  </si>
  <si>
    <t>We acknowledge the fee payment receipt by Adeeba of GBP 48/- for Apr 2025 on 30 Dec 1899. Updated in the system. Thank you for choosing DivergenCIE Coaching! 💫</t>
  </si>
  <si>
    <t>T4 Cambridge IGCSE English - SAR</t>
  </si>
  <si>
    <t>We acknowledge the fee payment receipt by Adithya Aji of SAR 0/- for Apr 2025 on 30 Dec 1899. Updated in the system. Thank you for choosing DivergenCIE Coaching! 💫</t>
  </si>
  <si>
    <t>B18 Cambridge AS-Level 9701 Chemistry - INR, B18 Cambridge AS-Level 9702 Physics - INR, B18 Cambridge AS-Level 9700 Biology - INR, B18 Cambridge AS-Level 9093 English Language - INR, B18 Cambridge AS-Level 9239 Global Perspectives &amp; Research - INR</t>
  </si>
  <si>
    <t>We acknowledge the fee payment receipt by Juveria Dhanani of INR 25500/- for Apr 2025 on 30 Dec 1899. Updated in the system. Thank you for choosing DivergenCIE Coaching! 💫</t>
  </si>
  <si>
    <t>Active, Invoice sent, Invoice made</t>
  </si>
  <si>
    <t>We acknowledge the fee payment receipt by Mudassir Dhanani of INR 21000/- for Apr 2025 on 7 May 2025. Updated in the system. Thank you for choosing DivergenCIE Coaching! 💫</t>
  </si>
  <si>
    <t>https://drive.google.com/uc?export=download&amp;id=1ziYIvWjiFW4EOb2pvr0mzpreawwfceQa</t>
  </si>
  <si>
    <t>We acknowledge the fee payment receipt by Pritika Deb of GBP 180/- for Apr 2025 on 2 May 2025. Updated in the system. Thank you for choosing DivergenCIE Coaching! 💫</t>
  </si>
  <si>
    <t>https://drive.google.com/uc?export=download&amp;id=1VrhoyHEnplN3hh2oayAU0vU91aIs8jjD</t>
  </si>
  <si>
    <t>B8 IB DP Economics - USD</t>
  </si>
  <si>
    <t>We acknowledge the fee payment receipt by Sarah of USD 0/- for Apr 2025 on 30 Dec 1899. Updated in the system. Thank you for choosing DivergenCIE Coaching! 💫</t>
  </si>
  <si>
    <t>https://drive.google.com/uc?export=download&amp;id=12StQIInkSsH3o0x8dZhykJNCVagq_bq-</t>
  </si>
  <si>
    <t>We acknowledge the fee payment receipt by Shubh Kalra of INR 27000/- for Apr 2025 on 30 Apr 2025. Updated in the system. Thank you for choosing DivergenCIE Coaching! 💫</t>
  </si>
  <si>
    <t>https://drive.google.com/uc?export=download&amp;id=1NtnXLNLqRIcGgjNf3hiCF0JrT36emqd6</t>
  </si>
  <si>
    <t>C4 DC Quantum AI - SGD</t>
  </si>
  <si>
    <t>We acknowledge the fee payment receipt by Vaishak of SGD 0/- for Apr 2025 on 30 Dec 1899. Updated in the system. Thank you for choosing DivergenCIE Coaching! 💫</t>
  </si>
  <si>
    <t>https://drive.google.com/uc?export=download&amp;id=1RoeUv5owCzCopaDPo3yyxi8fK1z7Zdqy</t>
  </si>
  <si>
    <t>send HX of invoices to parents</t>
  </si>
  <si>
    <t>C13 Cambridge IGCSE 0417 Information &amp; Communication Technology - GBP</t>
  </si>
  <si>
    <t>We acknowledge the fee payment receipt by Vatsal Abrols of GBP 10/- for Apr 2025 on 30 Dec 1899. Updated in the system. Thank you for choosing DivergenCIE Coaching! 💫</t>
  </si>
  <si>
    <t>Absent, Active</t>
  </si>
  <si>
    <t>We acknowledge the fee payment receipt by Zakir Osama of GBP 75/- for Apr 2025 on 30 Dec 1899. Updated in the system. Thank you for choosing DivergenCIE Coaching! 💫</t>
  </si>
  <si>
    <t>https://drive.google.com/uc?export=download&amp;id=1eI0IfmucWmNsx3Kbo3CnKF9i6QInVCHf</t>
  </si>
  <si>
    <t>Diniru</t>
  </si>
  <si>
    <t>C16 Cambridge IGCSE 0500 First Language English - GBP</t>
  </si>
  <si>
    <t>#N/A</t>
  </si>
  <si>
    <t>3,</t>
  </si>
  <si>
    <t>https://drive.google.com/uc?export=download&amp;id=19rPf0NTwN00JR6SrI-f0iD4wKEa-OMTI</t>
  </si>
  <si>
    <t>We acknowledge the fee payment receipt by Hafsah of GBP 0/- for Apr 2025 on 30 Dec 1899. Updated in the system. Thank you for choosing DivergenCIE Coaching! 💫</t>
  </si>
  <si>
    <t>?follow up and start classes</t>
  </si>
  <si>
    <t>We acknowledge the fee payment receipt by Al Aqmar Jamnagarwalla of GBP 15/- for Dec 1899 on 30 Dec 1899. Updated in the system. Thank you for choosing DivergenCIE Coaching! 💫</t>
  </si>
  <si>
    <t>T4 Cambridge IGCSE Science - SAR, T4 Cambridge IGCSE English - SAR, T4 Cambridge IGCSE Mathematics - SAR</t>
  </si>
  <si>
    <t>We acknowledge the fee payment receipt by Besly Bejoy of SAR 0/- for Apr 2025 on 30 Dec 1899. Updated in the system. Thank you for choosing DivergenCIE Coaching! 💫</t>
  </si>
  <si>
    <t>https://drive.google.com/uc?export=download&amp;id=1zJLflDpXA3xox41B7_VbRGPLQzl6xb_S</t>
  </si>
  <si>
    <t>B14 Cambridge IGCSE 0625 Physics - SAR, B14 Cambridge IGCSE 0580 Mathematics - SAR, B14 Cambridge IGCSE 0510 English as a Second Language - SAR, B14 Cambridge IGCSE 0610 Biology - SAR</t>
  </si>
  <si>
    <t>We acknowledge the fee payment receipt by Brighty Bejoy of SAR 400/- for Apr 2025 on 29 Apr 2025. Updated in the system. Thank you for choosing DivergenCIE Coaching! 💫</t>
  </si>
  <si>
    <t>https://drive.google.com/uc?export=download&amp;id=1Evuxditvi8A3nKBEcV27_ZWGjIU6oBTR</t>
  </si>
  <si>
    <t>B14 Cambridge IGCSE 0625 Physics - INR, B14 Cambridge IGCSE 0580 Mathematics - INR, B14 Cambridge IGCSE 0510 English as a Second Language - INR</t>
  </si>
  <si>
    <t>We acknowledge the fee payment receipt by Aakaash Nandakumar of INR 12000/- for Apr 2025 on 30 Dec 1899. Updated in the system. Thank you for choosing DivergenCIE Coaching! 💫</t>
  </si>
  <si>
    <t>https://drive.google.com/uc?export=download&amp;id=1vZEETvNrraN5oepNkInOlR_GeF4sRxV1</t>
  </si>
  <si>
    <t>C19 Edexcel A-Level 9701 Chemistry - GBP</t>
  </si>
  <si>
    <t>20,</t>
  </si>
  <si>
    <t>We acknowledge the fee payment receipt by Omar BIN ZARRAR of GBP 300/- for Apr 2025 on 30 Dec 1899. Updated in the system. Thank you for choosing DivergenCIE Coaching! 💫</t>
  </si>
  <si>
    <t>https://drive.google.com/uc?export=download&amp;id=10EeYRKI48IQpl2TVUTtSgwEPkAii0n0Z</t>
  </si>
  <si>
    <t>We acknowledge the fee payment receipt by Jerrin Jaison of SAR 250/- for Dec 1899 on 30 Dec 1899. Updated in the system. Thank you for choosing DivergenCIE Coaching! 💫</t>
  </si>
  <si>
    <t>We acknowledge the fee payment receipt by Sofiya Rawal of INR 15000/- for Dec 1899 on 30 Dec 1899. Updated in the system. Thank you for choosing DivergenCIE Coaching! 💫</t>
  </si>
  <si>
    <t>B14 Cambridge IGCSE 0580 Mathematics - INR</t>
  </si>
  <si>
    <t>We acknowledge the fee payment receipt by Manya Agarwal of INR 3000/- for Apr 2025 on 16 May 2025. Updated in the system. Thank you for choosing DivergenCIE Coaching! 💫</t>
  </si>
  <si>
    <t>https://drive.google.com/uc?export=download&amp;id=1VmkmAnup-6yXZR7DmxN7yWvEIuSzxuLi</t>
  </si>
  <si>
    <t>IGCSE PCMBE JOINED ESL ON 13-nov</t>
  </si>
  <si>
    <t>We acknowledge the fee payment receipt by Abdurrahman of SAR 500/- for Mar 2025 on 30 Dec 1899. Updated in the system. Thank you for choosing DivergenCIE Coaching! 💫</t>
  </si>
  <si>
    <t>?Paid something on Mar 6</t>
  </si>
  <si>
    <t>We acknowledge the fee payment receipt by Adeeba of GBP 48/- for Mar 2025 on 30 Dec 1899. Updated in the system. Thank you for choosing DivergenCIE Coaching! 💫</t>
  </si>
  <si>
    <t>https://drive.google.com/uc?export=download&amp;id=1PTw8rmpHkcnaeAp0kmsk4B-WbXQVcBlh</t>
  </si>
  <si>
    <t>B14 Cambridge IGCSE 0510 English as a Second Language - SAR</t>
  </si>
  <si>
    <t>We acknowledge the fee payment receipt by Adithya Aji of SAR 150/- for Mar 2025 on 30 Dec 1899. Updated in the system. Thank you for choosing DivergenCIE Coaching! 💫</t>
  </si>
  <si>
    <t>Cambridge A-Level Counseling Session - GBP</t>
  </si>
  <si>
    <t>We acknowledge the fee payment receipt by Juveria Dhanani of GBP 30/- for Mar 2025 on 9 Apr 2025. Updated in the system. Thank you for choosing DivergenCIE Coaching! 💫</t>
  </si>
  <si>
    <t>https://drive.google.com/uc?export=download&amp;id=1MrARLQ9o-rhJvSzqg1YwL757FXLOkMDA</t>
  </si>
  <si>
    <t>A2 PCEB</t>
  </si>
  <si>
    <t>We acknowledge the fee payment receipt by Mudassir Dhanani of INR 21000/- for Mar 2025 on 14 Mar 2025. Updated in the system. Thank you for choosing DivergenCIE Coaching! 💫</t>
  </si>
  <si>
    <t>https://drive.google.com/uc?export=download&amp;id=1CTKN7U1jZ1Lsgar6vj3GF6b2MjxjDSEK</t>
  </si>
  <si>
    <t>AS-PC GBP</t>
  </si>
  <si>
    <t>We acknowledge the fee payment receipt by Pritika Deb of GBP 300/- for Mar 2025 on 15 Mar 2025. Updated in the system. Thank you for choosing DivergenCIE Coaching! 💫</t>
  </si>
  <si>
    <t>https://drive.google.com/uc?export=download&amp;id=1Y7b-SI3ncOVqlcv9qt8QrUumU6hoHyv3</t>
  </si>
  <si>
    <t>x</t>
  </si>
  <si>
    <t>We acknowledge the fee payment receipt by Sarah of USD 0/- for Mar 2025 on 30 Dec 1899. Updated in the system. Thank you for choosing DivergenCIE Coaching! 💫</t>
  </si>
  <si>
    <t>We acknowledge the fee payment receipt by Shubh Kalra of INR 27000/- for Mar 2025 on 9 Apr 2025. Updated in the system. Thank you for choosing DivergenCIE Coaching! 💫</t>
  </si>
  <si>
    <t>https://drive.google.com/uc?export=download&amp;id=1NyqfCHeBBz4cJV7kpLcNC-mw2WMySTNI</t>
  </si>
  <si>
    <t>We acknowledge the fee payment receipt by Vaishak of SGD 0/- for Mar 2025 on 30 Dec 1899. Updated in the system. Thank you for choosing DivergenCIE Coaching! 💫</t>
  </si>
  <si>
    <t>3.67,</t>
  </si>
  <si>
    <t>We acknowledge the fee payment receipt by Vatsal Abrols of GBP 36.7/- for Mar 2025 on 14 Mar 2025. Updated in the system. Thank you for choosing DivergenCIE Coaching! 💫</t>
  </si>
  <si>
    <t>https://drive.google.com/uc?export=download&amp;id=1QEKXAGaHVEGK1yLFBWn3rFlEDRgVY8rg</t>
  </si>
  <si>
    <t>AL EGP</t>
  </si>
  <si>
    <t>We acknowledge the fee payment receipt by Zakir Osama of GBP 75/- for Mar 2025 on 30 Dec 1899. Updated in the system. Thank you for choosing DivergenCIE Coaching! 💫</t>
  </si>
  <si>
    <t>https://drive.google.com/uc?export=download&amp;id=1pJusIeLqujTI1CHJxRdx8lVl2Pn_ei6i</t>
  </si>
  <si>
    <t>C17 Edexcel A-Level 9701 Chemistry - GBP</t>
  </si>
  <si>
    <t>We acknowledge the fee payment receipt by Hafsah of GBP 120/- for Mar 2025 on 7 Apr 2025. Updated in the system. Thank you for choosing DivergenCIE Coaching! 💫</t>
  </si>
  <si>
    <t>https://drive.google.com/uc?export=download&amp;id=1TCzktAH8_c7A98bPdM-F5U8f1kzzaXZ7</t>
  </si>
  <si>
    <t>https://drive.google.com/uc?export=download&amp;id=1jAGtFEOIqVwzyL7a88NaiWnpCxkQID_K</t>
  </si>
  <si>
    <t>We acknowledge the fee payment receipt by Abdurrahman of SAR 363./- for Feb 2025 on 30 Dec 1899. Updated in the system. Thank you for choosing DivergenCIE Coaching! 💫</t>
  </si>
  <si>
    <t>We acknowledge the fee payment receipt by Adeeba of GBP 12/- for Feb 2025 on 30 Dec 1899. Updated in the system. Thank you for choosing DivergenCIE Coaching! 💫</t>
  </si>
  <si>
    <t>https://drive.google.com/uc?export=download&amp;id=1uyt-pInNj51w5HVjdNl_ws1uIcj4X8qZ</t>
  </si>
  <si>
    <t>We acknowledge the fee payment receipt by Adithya Aji of SAR 150/- for Feb 2025 on 30 Dec 1899. Updated in the system. Thank you for choosing DivergenCIE Coaching! 💫</t>
  </si>
  <si>
    <t>B14 Cambridge IGCSE 0625 Physics - INR, B14 Cambridge IGCSE 0610 Biology - INR, B14 Cambridge IGCSE 0580 Mathematics - INR</t>
  </si>
  <si>
    <t>We acknowledge the fee payment receipt by Ayra Shareef of INR 1020./- for Feb 2025 on 30 Dec 1899. Updated in the system. Thank you for choosing DivergenCIE Coaching! 💫</t>
  </si>
  <si>
    <t>We acknowledge the fee payment receipt by Juveria Dhanani of INR 9000/- for Feb 2025 on 14 Mar 2025. Updated in the system. Thank you for choosing DivergenCIE Coaching! 💫</t>
  </si>
  <si>
    <t>https://drive.google.com/uc?export=download&amp;id=1MJ3l_yKP-7LOsbNRZWR_C7a0xAaGkq-J</t>
  </si>
  <si>
    <t>We acknowledge the fee payment receipt by Mudassir Dhanani of INR 21000/- for Feb 2025 on 11 Mar 2025. Updated in the system. Thank you for choosing DivergenCIE Coaching! 💫</t>
  </si>
  <si>
    <t>https://drive.google.com/uc?export=download&amp;id=1qxUA2BOs-BJPXXB1hU0erIdBgd9RoYqo</t>
  </si>
  <si>
    <t>Active, Invoice made, Invoice sent, Active</t>
  </si>
  <si>
    <t>8.5, 8.5</t>
  </si>
  <si>
    <t>We acknowledge the fee payment receipt by Pritika Deb of GBP 255/- for Feb 2025 on 10 Mar 2025. Updated in the system. Thank you for choosing DivergenCIE Coaching! 💫</t>
  </si>
  <si>
    <t>https://drive.google.com/uc?export=download&amp;id=1ZTWpPF1zL-S09CDrmHTHKST9sIXmgZrE</t>
  </si>
  <si>
    <t>We acknowledge the fee payment receipt by Sarah of USD 0/- for Feb 2025 on 30 Dec 1899. Updated in the system. Thank you for choosing DivergenCIE Coaching! 💫</t>
  </si>
  <si>
    <t>We acknowledge the fee payment receipt by Shubh Kalra of INR 27000/- for Feb 2025 on 17 Mar 2025. Updated in the system. Thank you for choosing DivergenCIE Coaching! 💫</t>
  </si>
  <si>
    <t>https://drive.google.com/uc?export=download&amp;id=1PnoSKBrfxUYnW0z2aP7lS7cmO-J9uYsC</t>
  </si>
  <si>
    <t>We acknowledge the fee payment receipt by Vaishak of SGD 0/- for Feb 2025 on 30 Dec 1899. Updated in the system. Thank you for choosing DivergenCIE Coaching! 💫</t>
  </si>
  <si>
    <t>7.17,</t>
  </si>
  <si>
    <t>We acknowledge the fee payment receipt by Vatsal Abrols of GBP 71.7/- for Feb 2025 on 14 Mar 2025. Updated in the system. Thank you for choosing DivergenCIE Coaching! 💫</t>
  </si>
  <si>
    <t>https://drive.google.com/uc?export=download&amp;id=1mDnbfYqvnsgK6mlVcXwQc-VH4OOPhpav</t>
  </si>
  <si>
    <t>?what did he pay ?anything -!didnt attend no fee paid</t>
  </si>
  <si>
    <t>https://drive.google.com/uc?export=download&amp;id=1eze2MLSHsQ7HPp8EN0d_UON2fS6DRxfo</t>
  </si>
  <si>
    <t>iGCSE PM 150(16.7% DIS) x tally</t>
  </si>
  <si>
    <t>Aatif</t>
  </si>
  <si>
    <t>B14 Cambridge IGCSE 0625 Physics - INR</t>
  </si>
  <si>
    <t>0.125,</t>
  </si>
  <si>
    <t>We acknowledge the fee payment receipt by Aatif  of INR 375/- for Jan 2025 on 30 Dec 1899. Updated in the system. Thank you for choosing DivergenCIE Coaching! 💫</t>
  </si>
  <si>
    <t>https://drive.google.com/uc?export=download&amp;id=1vPLe_5nIyJ59226E7aC3Ckn5u1F7HmoH</t>
  </si>
  <si>
    <t>B14 Cambridge IGCSE 0625 Physics - SAR, B14 Cambridge IGCSE 0620 Chemistry - SAR, B14 Cambridge IGCSE 0610 Biology - SAR, B14 Cambridge IGCSE 0510 English as a Second Language - SAR, B14 Cambridge IGCSE 0580 Mathematics - SAR</t>
  </si>
  <si>
    <t>We acknowledge the fee payment receipt by Abdurrahman of SAR 500/- for Jan 2025 on 30 Dec 1899. Updated in the system. Thank you for choosing DivergenCIE Coaching! 💫</t>
  </si>
  <si>
    <t>https://drive.google.com/uc?export=download&amp;id=18oGejKc0R26LApZuFW5uVaQt_M3_wxWP</t>
  </si>
  <si>
    <t>We acknowledge the fee payment receipt by Adeeba of GBP 36/- for Jan 2025 on 30 Dec 1899. Updated in the system. Thank you for choosing DivergenCIE Coaching! 💫</t>
  </si>
  <si>
    <t>https://drive.google.com/uc?export=download&amp;id=17QyAwwwzDItXen7PjvQlh4i5r34y3H97</t>
  </si>
  <si>
    <t>We acknowledge the fee payment receipt by Adithya Aji of SAR 150/- for Jan 2025 on 30 Dec 1899. Updated in the system. Thank you for choosing DivergenCIE Coaching! 💫</t>
  </si>
  <si>
    <t>https://drive.google.com/uc?export=download&amp;id=1lpTQHWldeNrZk_Tkq6OIOdyDC5p8-CkK</t>
  </si>
  <si>
    <t>A2 Physics GBP x tally</t>
  </si>
  <si>
    <t>C14 Cambridge A-Level 9702 Physics - GBP</t>
  </si>
  <si>
    <t>We acknowledge the fee payment receipt by Alberto of GBP 240/- for Jan 2025 on 30 Dec 1899. Updated in the system. Thank you for choosing DivergenCIE Coaching! 💫</t>
  </si>
  <si>
    <t>We acknowledge the fee payment receipt by Ayra Shareef of INR 3000/- for Jan 2025 on 30 Dec 1899. Updated in the system. Thank you for choosing DivergenCIE Coaching! 💫</t>
  </si>
  <si>
    <t>https://drive.google.com/uc?export=download&amp;id=1UOhCJ1XWg3XgNNb_xKuKioIMTLP33yHU</t>
  </si>
  <si>
    <t>We acknowledge the fee payment receipt by Ayza Shareef of INR 3000/- for Jan 2025 on 30 Dec 1899. Updated in the system. Thank you for choosing DivergenCIE Coaching! 💫</t>
  </si>
  <si>
    <t>https://drive.google.com/uc?export=download&amp;id=1IH-qVp2UJYpZJTF6j8BiN-lPO-E8luk8</t>
  </si>
  <si>
    <t>Pause</t>
  </si>
  <si>
    <t>B8 Cambridge AS-Level 9701 Chemistry - INR, B8 Cambridge AS-Level 9702 Physics - INR</t>
  </si>
  <si>
    <t>We acknowledge the fee payment receipt by Geet Panjwani of INR 16000/- for Jan 2025 on 30 Dec 1899. Updated in the system. Thank you for choosing DivergenCIE Coaching! 💫</t>
  </si>
  <si>
    <t>We acknowledge the fee payment receipt by Juveria Dhanani of INR 9000/- for Jan 2025 on 30 Dec 1899. Updated in the system. Thank you for choosing DivergenCIE Coaching! 💫</t>
  </si>
  <si>
    <t>https://drive.google.com/uc?export=download&amp;id=1L_GRcuCkKDEqp9_3xYjkkM3pZuuwwTct</t>
  </si>
  <si>
    <t>We acknowledge the fee payment receipt by Mudassir Dhanani of INR 24000/- for Jan 2025 on 30 Dec 1899. Updated in the system. Thank you for choosing DivergenCIE Coaching! 💫</t>
  </si>
  <si>
    <t>https://drive.google.com/uc?export=download&amp;id=1d8jcJUSFAk18ey4WhABpy2WBLKxKqZVE</t>
  </si>
  <si>
    <t>AL-P,M(P3),CS Joined 7-Jan</t>
  </si>
  <si>
    <t>B8 Cambridge A-Level 9709 Mathematics: Pure 3 - INR</t>
  </si>
  <si>
    <t>We acknowledge the fee payment receipt by Ritvik P of INR 15000/- for Jan 2025 on 30 Dec 1899. Updated in the system. Thank you for choosing DivergenCIE Coaching! 💫</t>
  </si>
  <si>
    <t>https://drive.google.com/uc?export=download&amp;id=1lL-EUhnvAqyxLQTFlBfPdnR_I1gLCGzs</t>
  </si>
  <si>
    <t>x tally</t>
  </si>
  <si>
    <t>We acknowledge the fee payment receipt by Sarah of USD 96/- for Jan 2025 on 30 Dec 1899. Updated in the system. Thank you for choosing DivergenCIE Coaching! 💫</t>
  </si>
  <si>
    <t>We acknowledge the fee payment receipt by Shubh Kalra of INR 27000/- for Jan 2025 on 30 Dec 1899. Updated in the system. Thank you for choosing DivergenCIE Coaching! 💫</t>
  </si>
  <si>
    <t>https://drive.google.com/uc?export=download&amp;id=1f05QZvbIasfmMZGastnOGPaGQxdIfoPR</t>
  </si>
  <si>
    <t>IG CMB</t>
  </si>
  <si>
    <t>We acknowledge the fee payment receipt by Sofiya Rawal of INR 9000/- for Jan 2025 on 30 Dec 1899. Updated in the system. Thank you for choosing DivergenCIE Coaching! 💫</t>
  </si>
  <si>
    <t>https://drive.google.com/uc?export=download&amp;id=1RVektJ87bS43VyX2qCXVWl6m8pjIYOs1</t>
  </si>
  <si>
    <t>B14 Cambridge IGCSE 0610 Biology - SAR</t>
  </si>
  <si>
    <t>We acknowledge the fee payment receipt by Tooba Naveed of SAR 150/- for Jan 2025 on 30 Dec 1899. Updated in the system. Thank you for choosing DivergenCIE Coaching! 💫</t>
  </si>
  <si>
    <t>https://drive.google.com/uc?export=download&amp;id=18tV2PKxJMZEgkqRWabEomuNXnBA4Qkns</t>
  </si>
  <si>
    <t>Quantum AI x tally</t>
  </si>
  <si>
    <t>We acknowledge the fee payment receipt by Vaishak of SGD 25/- for Jan 2025 on 19 Jun 2026. Updated in the system. Thank you for choosing DivergenCIE Coaching! 💫</t>
  </si>
  <si>
    <t>https://drive.google.com/uc?export=download&amp;id=1EDcEnvClGO_3AINwCtBkRO_ZDag_dbKM</t>
  </si>
  <si>
    <t>IGCSE ICT  x tally</t>
  </si>
  <si>
    <t>We acknowledge the fee payment receipt by Vatsal Abrols of GBP 85.8/- for Jan 2025 on 14 Mar 2025. Updated in the system. Thank you for choosing DivergenCIE Coaching! 💫</t>
  </si>
  <si>
    <t>https://drive.google.com/uc?export=download&amp;id=1Uqo09FCLzcrViMOqK5eAiVQToAf7xUec</t>
  </si>
  <si>
    <t>We acknowledge the fee payment receipt by Zakir Osama of GBP 75/- for Jan 2025 on 30 Dec 1899. Updated in the system. Thank you for choosing DivergenCIE Coaching! 💫</t>
  </si>
  <si>
    <t>https://drive.google.com/uc?export=download&amp;id=1JgfQINk_tU-xy4gEAJt5coiBqmlwY73b</t>
  </si>
  <si>
    <t>We acknowledge the fee payment receipt by Abdurrahman of SAR 500/- for Dec 2024 on 30 Dec 1899. Updated in the system. Thank you for choosing DivergenCIE Coaching! 💫</t>
  </si>
  <si>
    <t>https://drive.google.com/uc?export=download&amp;id=1RWpWm16kjNtyXBALynM1ZSR8eO-ybhfi</t>
  </si>
  <si>
    <t>We acknowledge the fee payment receipt by Adeeba of GBP 36/- for Dec 2024 on 30 Dec 1899. Updated in the system. Thank you for choosing DivergenCIE Coaching! 💫</t>
  </si>
  <si>
    <t>https://drive.google.com/uc?export=download&amp;id=1YpM7zbBYroeDKj1REZIyMfzgHUwaIbKV</t>
  </si>
  <si>
    <t>We acknowledge the fee payment receipt by Adithya Aji of SAR 150/- for Dec 2024 on 30 Dec 1899. Updated in the system. Thank you for choosing DivergenCIE Coaching! 💫</t>
  </si>
  <si>
    <t>https://drive.google.com/uc?export=download&amp;id=1NnyiE0RQtAsaBn5sETQbiTeoI1dRLL6D</t>
  </si>
  <si>
    <t>A2 Physics GBP</t>
  </si>
  <si>
    <t>3.17,</t>
  </si>
  <si>
    <t>We acknowledge the fee payment receipt by Alberto of GBP 47.55/- for Dec 2024 on 30 Dec 1899. Updated in the system. Thank you for choosing DivergenCIE Coaching! 💫</t>
  </si>
  <si>
    <t>https://drive.google.com/uc?export=download&amp;id=1h-CAIx6CEeeAEMIUntP_K-FMJcO8KK21</t>
  </si>
  <si>
    <t>PCM</t>
  </si>
  <si>
    <t>We acknowledge the fee payment receipt by Ayra Shareef of INR 3000/- for Dec 2024 on 30 Dec 1899. Updated in the system. Thank you for choosing DivergenCIE Coaching! 💫</t>
  </si>
  <si>
    <t>https://drive.google.com/uc?export=download&amp;id=1_gv2PzxpEagII-RILY_ev_y45WogJ0lu</t>
  </si>
  <si>
    <t>PCB</t>
  </si>
  <si>
    <t>We acknowledge the fee payment receipt by Ayza Shareef of INR 3000/- for Dec 2024 on 30 Dec 1899. Updated in the system. Thank you for choosing DivergenCIE Coaching! 💫</t>
  </si>
  <si>
    <t>https://drive.google.com/uc?export=download&amp;id=1h3uTgpyZifb7ozwaiXhboLLgBZper01z</t>
  </si>
  <si>
    <t>IG BCM</t>
  </si>
  <si>
    <t>We acknowledge the fee payment receipt by Juveria Dhanani of INR 9000/- for Dec 2024 on 30 Dec 1899. Updated in the system. Thank you for choosing DivergenCIE Coaching! 💫</t>
  </si>
  <si>
    <t>https://drive.google.com/uc?export=download&amp;id=1FI3eEGa9SlC4qDf5xDpqOc3NnkHYC8aT</t>
  </si>
  <si>
    <t>We acknowledge the fee payment receipt by Mudassir Dhanani of INR 24000/- for Dec 2024 on 30 Dec 1899. Updated in the system. Thank you for choosing DivergenCIE Coaching! 💫</t>
  </si>
  <si>
    <t>https://drive.google.com/uc?export=download&amp;id=1cYTd2HhxAtEbUQ1dkUTL7AP9cLy_Ezt8</t>
  </si>
  <si>
    <t>left 1-jan AS CS GBP</t>
  </si>
  <si>
    <t>OCR AS-Level Computer Science</t>
  </si>
  <si>
    <t>3.5,</t>
  </si>
  <si>
    <t>We acknowledge the fee payment receipt by Nabeeha of GBP 35/- for Dec 2024 on 30 Dec 1899. Updated in the system. Thank you for choosing DivergenCIE Coaching! 💫</t>
  </si>
  <si>
    <t>https://drive.google.com/uc?export=download&amp;id=15VqnrehvkWm3P_JTAQrkmYsEw9PigTbb</t>
  </si>
  <si>
    <t>We acknowledge the fee payment receipt by Sarah of USD 96/- for Dec 2024 on 30 Dec 1899. Updated in the system. Thank you for choosing DivergenCIE Coaching! 💫</t>
  </si>
  <si>
    <t>https://drive.google.com/uc?export=download&amp;id=1rZNBih6Dd6sJXV3Kno-7BFFV67PWtK7E</t>
  </si>
  <si>
    <t>We acknowledge the fee payment receipt by Shubh Kalra of INR 27000/- for Dec 2024 on 30 Dec 1899. Updated in the system. Thank you for choosing DivergenCIE Coaching! 💫</t>
  </si>
  <si>
    <t>https://drive.google.com/uc?export=download&amp;id=1xOAwTpAEUgINDoAAzitOPSAf3nK-q8u_</t>
  </si>
  <si>
    <t>We acknowledge the fee payment receipt by Sofiya Rawal of INR 9000/- for Dec 2024 on 30 Dec 1899. Updated in the system. Thank you for choosing DivergenCIE Coaching! 💫</t>
  </si>
  <si>
    <t>https://drive.google.com/uc?export=download&amp;id=1bHPbB6vX3dvp0QSWKOn_SDHI9niyrbZz</t>
  </si>
  <si>
    <t>C6 Singapore A-Level Mathematics - SGD</t>
  </si>
  <si>
    <t>We acknowledge the fee payment receipt by Sree of SGD 307.5/- for Dec 2024 on 30 Dec 1899. Updated in the system. Thank you for choosing DivergenCIE Coaching! 💫</t>
  </si>
  <si>
    <t>Left 7-Dec</t>
  </si>
  <si>
    <t>B14 Cambridge IGCSE 0580 Mathematics - SAR</t>
  </si>
  <si>
    <t>We acknowledge the fee payment receipt by Taha Siddiqui of SAR 150/- for Dec 2024 on 30 Dec 1899. Updated in the system. Thank you for choosing DivergenCIE Coaching! 💫</t>
  </si>
  <si>
    <t>We acknowledge the fee payment receipt by Tooba Naveed of SAR 150/- for Dec 2024 on 30 Dec 1899. Updated in the system. Thank you for choosing DivergenCIE Coaching! 💫</t>
  </si>
  <si>
    <t>https://drive.google.com/uc?export=download&amp;id=10rRuDbo2Tn2stMmf67TZy9g8f-Jv11CD</t>
  </si>
  <si>
    <t>We acknowledge the fee payment receipt by Vaishak of SGD 75/- for Dec 2024 on 19 Jun 2026. Updated in the system. Thank you for choosing DivergenCIE Coaching! 💫</t>
  </si>
  <si>
    <t>https://drive.google.com/uc?export=download&amp;id=1isJdxa0ulxG8IQ-9KYlYs1hL_N_9jvFp</t>
  </si>
  <si>
    <t>IGCSE ICT+M</t>
  </si>
  <si>
    <t>We acknowledge the fee payment receipt by Vatsal Abrols of GBP 30/- for Dec 2024 on 14 Mar 2025. Updated in the system. Thank you for choosing DivergenCIE Coaching! 💫</t>
  </si>
  <si>
    <t>https://drive.google.com/uc?export=download&amp;id=1Y4WUlqJaTLU0hZW3OPEzYqPAupizto5B</t>
  </si>
  <si>
    <t>We acknowledge the fee payment receipt by Zakir Osama of GBP 75/- for Dec 2024 on 30 Dec 1899. Updated in the system. Thank you for choosing DivergenCIE Coaching! 💫</t>
  </si>
  <si>
    <t>https://drive.google.com/uc?export=download&amp;id=1JNQu9uW-RuIZZ7x9wLA4oCRDFZ1PHybg</t>
  </si>
  <si>
    <t>IGCSE PCMB</t>
  </si>
  <si>
    <t>We acknowledge the fee payment receipt by Abdurrahman of SAR 500/- for Nov 2024 on 30 Dec 1899. Updated in the system. Thank you for choosing DivergenCIE Coaching! 💫</t>
  </si>
  <si>
    <t>https://drive.google.com/uc?export=download&amp;id=1i06ea4yXoePzpGtXf2qc15Z7BR_qJbvm</t>
  </si>
  <si>
    <t>We acknowledge the fee payment receipt by Adeeba of GBP 36/- for Nov 2024 on 30 Dec 1899. Updated in the system. Thank you for choosing DivergenCIE Coaching! 💫</t>
  </si>
  <si>
    <t>https://drive.google.com/uc?export=download&amp;id=1MDHE_bhwc6ptn8omhZQumogs-tI8iQRL</t>
  </si>
  <si>
    <t>We acknowledge the fee payment receipt by Adithya Aji of SAR 150/- for Nov 2024 on 30 Dec 1899. Updated in the system. Thank you for choosing DivergenCIE Coaching! 💫</t>
  </si>
  <si>
    <t>https://drive.google.com/uc?export=download&amp;id=1Qmbk280JW3NihLcZ__rrHwoneYmwvPkE</t>
  </si>
  <si>
    <t>B14 Cambridge IGCSE 0625 Physics - INR, B14 Cambridge IGCSE 0620 Chemistry - INR, B14 Cambridge IGCSE 0580 Mathematics - INR</t>
  </si>
  <si>
    <t>We acknowledge the fee payment receipt by Agamjot of INR 7500/- for Nov 2024 on 30 Dec 1899. Updated in the system. Thank you for choosing DivergenCIE Coaching! 💫</t>
  </si>
  <si>
    <t>https://drive.google.com/uc?export=download&amp;id=18QvnCYV8k3U615GKYThS2e0Qe2HnRPjL</t>
  </si>
  <si>
    <t>We acknowledge the fee payment receipt by Ayra Shareef of INR 3000/- for Nov 2024 on 30 Dec 1899. Updated in the system. Thank you for choosing DivergenCIE Coaching! 💫</t>
  </si>
  <si>
    <t>https://drive.google.com/uc?export=download&amp;id=1P-HRaVIKpqXK27AuVfs6F6Q6OwOMMlX5</t>
  </si>
  <si>
    <t>IG PCB</t>
  </si>
  <si>
    <t>We acknowledge the fee payment receipt by Ayza Shareef of INR 3000/- for Nov 2024 on 30 Dec 1899. Updated in the system. Thank you for choosing DivergenCIE Coaching! 💫</t>
  </si>
  <si>
    <t>https://drive.google.com/uc?export=download&amp;id=1j1q1efDiX4uAQH86ofabm-uSz5UIozNm</t>
  </si>
  <si>
    <t>We acknowledge the fee payment receipt by Juveria Dhanani of INR 9000/- for Nov 2024 on 30 Dec 1899. Updated in the system. Thank you for choosing DivergenCIE Coaching! 💫</t>
  </si>
  <si>
    <t>https://drive.google.com/uc?export=download&amp;id=1MzuV0iGjGU8y5ir9b9M79j4RoaGHekc8</t>
  </si>
  <si>
    <t>B14 Cambridge IGCSE 0625 Physics - SAR, B14 Cambridge IGCSE 0620 Chemistry - SAR, B14 Cambridge IGCSE 0610 Biology - SAR, B14 Cambridge IGCSE 0580 Mathematics - SAR</t>
  </si>
  <si>
    <t>We acknowledge the fee payment receipt by Layan Abdelmonem of SAR 500/- for Nov 2024 on 30 Dec 1899. Updated in the system. Thank you for choosing DivergenCIE Coaching! 💫</t>
  </si>
  <si>
    <t>https://drive.google.com/uc?export=download&amp;id=1AlP9pEa1boFxkl-OVNdGDz7LAJNz0XUp</t>
  </si>
  <si>
    <t>A2 PCEB Start Bio:25-Nov        A2 PCEB Start Bio:25-Nov</t>
  </si>
  <si>
    <t>We acknowledge the fee payment receipt by Mudassir Dhanani of INR 18000/- for Nov 2024 on 30 Dec 1899. Updated in the system. Thank you for choosing DivergenCIE Coaching! 💫</t>
  </si>
  <si>
    <t>https://drive.google.com/uc?export=download&amp;id=1XqguQBOs92Zl9jA-Dt96G3JQ9glDNyoH</t>
  </si>
  <si>
    <t>IGCSE PCMESL</t>
  </si>
  <si>
    <t>We acknowledge the fee payment receipt by Muzzamil of SAR 529/- for Nov 2024 on 30 Dec 1899. Updated in the system. Thank you for choosing DivergenCIE Coaching! 💫</t>
  </si>
  <si>
    <t>https://drive.google.com/uc?export=download&amp;id=1h0abKsvSTO9D9EDANwEPJJhdBUlfxLIp</t>
  </si>
  <si>
    <t>We acknowledge the fee payment receipt by Sarah of USD 96/- for Nov 2024 on 30 Dec 1899. Updated in the system. Thank you for choosing DivergenCIE Coaching! 💫</t>
  </si>
  <si>
    <t>https://drive.google.com/uc?export=download&amp;id=1rPsmGu0lvKemoU5AhTB5z37gJprVID7w</t>
  </si>
  <si>
    <t>We acknowledge the fee payment receipt by Shubh Kalra of INR 27000/- for Nov 2024 on 30 Dec 1899. Updated in the system. Thank you for choosing DivergenCIE Coaching! 💫</t>
  </si>
  <si>
    <t>https://drive.google.com/uc?export=download&amp;id=1UFi3YAIF3x_IjS6q_NEKFhZiZJwNk0FQ</t>
  </si>
  <si>
    <t>We acknowledge the fee payment receipt by Sofiya Rawal of INR 9000/- for Nov 2024 on 30 Dec 1899. Updated in the system. Thank you for choosing DivergenCIE Coaching! 💫</t>
  </si>
  <si>
    <t>https://drive.google.com/uc?export=download&amp;id=10l1PHGc8cpGHZxUl0BsK7KY9oOmuhx5-</t>
  </si>
  <si>
    <t>We acknowledge the fee payment receipt by Sree of SGD 307.5/- for Nov 2024 on 30 Dec 1899. Updated in the system. Thank you for choosing DivergenCIE Coaching! 💫</t>
  </si>
  <si>
    <t>We acknowledge the fee payment receipt by Taha Siddiqui of SAR 150/- for Nov 2024 on 30 Dec 1899. Updated in the system. Thank you for choosing DivergenCIE Coaching! 💫</t>
  </si>
  <si>
    <t>https://drive.google.com/uc?export=download&amp;id=1i8qFt69pXuUPboANfemLFFCof1xFYq9w</t>
  </si>
  <si>
    <t>We acknowledge the fee payment receipt by Tooba Naveed of SAR 150/- for Nov 2024 on 30 Dec 1899. Updated in the system. Thank you for choosing DivergenCIE Coaching! 💫</t>
  </si>
  <si>
    <t>https://drive.google.com/uc?export=download&amp;id=1_vqRlSSRz-ynkd6Aq2MotH60mQlEl2Lq</t>
  </si>
  <si>
    <t>START 23-Nov Quantum AI</t>
  </si>
  <si>
    <t>We acknowledge the fee payment receipt by Vaishak of SGD 50/- for Nov 2024 on 19 Jun 2026. Updated in the system. Thank you for choosing DivergenCIE Coaching! 💫</t>
  </si>
  <si>
    <t>https://drive.google.com/uc?export=download&amp;id=1aVXDUGJlGb6eptenxhj2XyDMZ5T3CNQ3</t>
  </si>
  <si>
    <t>We acknowledge the fee payment receipt by Vatsal Abrols of GBP 50/- for Nov 2024 on 30 Dec 1899. Updated in the system. Thank you for choosing DivergenCIE Coaching! 💫</t>
  </si>
  <si>
    <t>https://drive.google.com/uc?export=download&amp;id=1GeYmLAXESG1YH-Fr5nJfkb9xkjgZDt3N</t>
  </si>
  <si>
    <t>We acknowledge the fee payment receipt by Zakir Osama of GBP 75/- for Nov 2024 on 30 Dec 1899. Updated in the system. Thank you for choosing DivergenCIE Coaching! 💫</t>
  </si>
  <si>
    <t>https://drive.google.com/uc?export=download&amp;id=1afj2uq_SdjiokTnRKmukWR8zNQ5UfGDQ</t>
  </si>
  <si>
    <t>We acknowledge the fee payment receipt by Abdurrahman of SAR 400/- for Oct 2024 on 30 Dec 1899. Updated in the system. Thank you for choosing DivergenCIE Coaching! 💫</t>
  </si>
  <si>
    <t>https://drive.google.com/uc?export=download&amp;id=14rTSC3IL4939JVyOOauo1XsRYyBGhexn</t>
  </si>
  <si>
    <t>We acknowledge the fee payment receipt by Adeeba of GBP 36/- for Oct 2024 on 30 Dec 1899. Updated in the system. Thank you for choosing DivergenCIE Coaching! 💫</t>
  </si>
  <si>
    <t>https://drive.google.com/uc?export=download&amp;id=1zSY19QhNh2awoS5lrF_1r53Iq4nIeetn</t>
  </si>
  <si>
    <t>We acknowledge the fee payment receipt by Adithya Aji of SAR 150/- for Oct 2024 on 30 Dec 1899. Updated in the system. Thank you for choosing DivergenCIE Coaching! 💫</t>
  </si>
  <si>
    <t>https://drive.google.com/uc?export=download&amp;id=1IdKqiKS7d1iwzNHDp8ZLJmAoKqnLeC1a</t>
  </si>
  <si>
    <t>We acknowledge the fee payment receipt by Agamjot of INR 7500/- for Oct 2024 on 30 Dec 1899. Updated in the system. Thank you for choosing DivergenCIE Coaching! 💫</t>
  </si>
  <si>
    <t>https://drive.google.com/uc?export=download&amp;id=1TBuUYe3M5HMY3Q2grdnf2EDGcRCie-K1</t>
  </si>
  <si>
    <t>We acknowledge the fee payment receipt by Ayra Shareef of INR 3000/- for Oct 2024 on 30 Dec 1899. Updated in the system. Thank you for choosing DivergenCIE Coaching! 💫</t>
  </si>
  <si>
    <t>https://drive.google.com/uc?export=download&amp;id=1kuEkURgQgJfEc7S14j0n4ZLHqLQD7uv9</t>
  </si>
  <si>
    <t>We acknowledge the fee payment receipt by Ayza Shareef of INR 3000/- for Oct 2024 on 30 Dec 1899. Updated in the system. Thank you for choosing DivergenCIE Coaching! 💫</t>
  </si>
  <si>
    <t>https://drive.google.com/uc?export=download&amp;id=1NTzalU4sEAWJ8A-CjgFmdLCjiODpYW_g</t>
  </si>
  <si>
    <t>We acknowledge the fee payment receipt by Juveria Dhanani of INR 9000/- for Oct 2024 on 30 Dec 1899. Updated in the system. Thank you for choosing DivergenCIE Coaching! 💫</t>
  </si>
  <si>
    <t>https://drive.google.com/uc?export=download&amp;id=1RZ_yRziZuseeNFdRaG25qmE7I84ixKBA</t>
  </si>
  <si>
    <t>We acknowledge the fee payment receipt by Layan Abdelmonem of SAR 500/- for Oct 2024 on 30 Dec 1899. Updated in the system. Thank you for choosing DivergenCIE Coaching! 💫</t>
  </si>
  <si>
    <t>https://drive.google.com/uc?export=download&amp;id=1ZeuSh37euTyGnDbm22yoSctyIRQ0RiZh</t>
  </si>
  <si>
    <t>A2 PCE</t>
  </si>
  <si>
    <t>We acknowledge the fee payment receipt by Mudassir Dhanani of INR 18000/- for Oct 2024 on 30 Dec 1899. Updated in the system. Thank you for choosing DivergenCIE Coaching! 💫</t>
  </si>
  <si>
    <t>https://drive.google.com/uc?export=download&amp;id=1RmZTHl9gj9-e-cQpYNOsNn_j7onE1JhU</t>
  </si>
  <si>
    <t>16 oct refund requested A2CP+B</t>
  </si>
  <si>
    <t>B8 Cambridge A-Level 9702 Physics - INR, B8 Cambridge A-Level 9701 Chemistry - INR</t>
  </si>
  <si>
    <t>We acknowledge the fee payment receipt by Sai Nikhita of INR 16000/- for Oct 2024 on 30 Dec 1899. Updated in the system. Thank you for choosing DivergenCIE Coaching! 💫</t>
  </si>
  <si>
    <t>https://drive.google.com/uc?export=download&amp;id=1ETEE--kbF4ANfCK0IMXPqdoTxasV6Un7</t>
  </si>
  <si>
    <t>We acknowledge the fee payment receipt by Sarah of USD 96/- for Oct 2024 on 30 Dec 1899. Updated in the system. Thank you for choosing DivergenCIE Coaching! 💫</t>
  </si>
  <si>
    <t>https://drive.google.com/uc?export=download&amp;id=1DqWtamb-HUDDoR_NFQ2f7VmyVN1ssmZG</t>
  </si>
  <si>
    <t>B8 Cambridge AS-Level 9618 Computer Science - INR, B8 Cambridge AS-Level 9708 Economics - INR</t>
  </si>
  <si>
    <t>We acknowledge the fee payment receipt by Shubh Kalra of INR 15000/- for Oct 2024 on 30 Dec 1899. Updated in the system. Thank you for choosing DivergenCIE Coaching! 💫</t>
  </si>
  <si>
    <t>https://drive.google.com/uc?export=download&amp;id=1OnJSFIYvb_Qf6AU9CIneVHqtSFux_kDE</t>
  </si>
  <si>
    <t>We acknowledge the fee payment receipt by Sofiya Rawal of INR 9000/- for Oct 2024 on 30 Dec 1899. Updated in the system. Thank you for choosing DivergenCIE Coaching! 💫</t>
  </si>
  <si>
    <t>https://drive.google.com/uc?export=download&amp;id=1ToulPvLSzjhOJyMpgSGARtSOYGJiZ-DS</t>
  </si>
  <si>
    <t>We acknowledge the fee payment receipt by Sree of SGD 307.5/- for Oct 2024 on 30 Dec 1899. Updated in the system. Thank you for choosing DivergenCIE Coaching! 💫</t>
  </si>
  <si>
    <t>We acknowledge the fee payment receipt by Taha Siddiqui of SAR 150/- for Oct 2024 on 30 Dec 1899. Updated in the system. Thank you for choosing DivergenCIE Coaching! 💫</t>
  </si>
  <si>
    <t>https://drive.google.com/uc?export=download&amp;id=1lpX7fTx-z-rAvRD1sK3mWpJw7VIOq7lF</t>
  </si>
  <si>
    <t>We acknowledge the fee payment receipt by Tooba Naveed of SAR 150/- for Oct 2024 on 30 Dec 1899. Updated in the system. Thank you for choosing DivergenCIE Coaching! 💫</t>
  </si>
  <si>
    <t>https://drive.google.com/uc?export=download&amp;id=1CxYfb-mQkuo6ZAinJKtyYdRJI74NfeYb</t>
  </si>
  <si>
    <t>We acknowledge the fee payment receipt by Vatsal Abrols of GBP 10/- for Oct 2024 on 30 Dec 1899. Updated in the system. Thank you for choosing DivergenCIE Coaching! 💫</t>
  </si>
  <si>
    <t>https://drive.google.com/uc?export=download&amp;id=1fUTOIB8fv80OMFHUPWJ9Ko41f1bBZWe_</t>
  </si>
  <si>
    <t>We acknowledge the fee payment receipt by Adeeba of GBP 40/- for Sep 2024 on 30 Dec 1899. Updated in the system. Thank you for choosing DivergenCIE Coaching! 💫</t>
  </si>
  <si>
    <t>https://drive.google.com/uc?export=download&amp;id=1LSA6ggUU7sf_6WnlNKSTY4HqVI7qCwgN</t>
  </si>
  <si>
    <t>We acknowledge the fee payment receipt by Adithya Aji of SAR 150/- for Sep 2024 on 30 Dec 1899. Updated in the system. Thank you for choosing DivergenCIE Coaching! 💫</t>
  </si>
  <si>
    <t>https://drive.google.com/uc?export=download&amp;id=1vQTxclsk06lCt5Jt92wgvttvAlVO5zBn</t>
  </si>
  <si>
    <t>We acknowledge the fee payment receipt by Ayra Shareef of INR 3000/- for Sep 2024 on 30 Dec 1899. Updated in the system. Thank you for choosing DivergenCIE Coaching! 💫</t>
  </si>
  <si>
    <t>https://drive.google.com/uc?export=download&amp;id=1ZOcfu1vDT1T5k0Uu_JqG3bEpoWn4GoXA</t>
  </si>
  <si>
    <t>We acknowledge the fee payment receipt by Ayza Shareef of INR 3000/- for Sep 2024 on 30 Dec 1899. Updated in the system. Thank you for choosing DivergenCIE Coaching! 💫</t>
  </si>
  <si>
    <t>https://drive.google.com/uc?export=download&amp;id=11XajQNSq7vkXbbiSQVC8g_UlXMjfyL7t</t>
  </si>
  <si>
    <t>PAUSE 6-OCT</t>
  </si>
  <si>
    <t>B8 Cambridge AS-Level 9701 Chemistry - INR</t>
  </si>
  <si>
    <t>We acknowledge the fee payment receipt by Geet Panjwani of INR 8000/- for Sep 2024 on 30 Dec 1899. Updated in the system. Thank you for choosing DivergenCIE Coaching! 💫</t>
  </si>
  <si>
    <t>We acknowledge the fee payment receipt by Juveria Dhanani of INR 9000/- for Sep 2024 on 30 Dec 1899. Updated in the system. Thank you for choosing DivergenCIE Coaching! 💫</t>
  </si>
  <si>
    <t>https://drive.google.com/uc?export=download&amp;id=17pZ0LsEDd6QchJiF0J3Lr4bIHvaZmIVc</t>
  </si>
  <si>
    <t>We acknowledge the fee payment receipt by Layan Abdelmonem of SAR 500/- for Sep 2024 on 30 Dec 1899. Updated in the system. Thank you for choosing DivergenCIE Coaching! 💫</t>
  </si>
  <si>
    <t>https://drive.google.com/uc?export=download&amp;id=1GpwJMgdIW9q9JCHSLKvQtOcqwF5OfDjg</t>
  </si>
  <si>
    <t>We acknowledge the fee payment receipt by Mudassir Dhanani of INR 18000/- for Sep 2024 on 30 Dec 1899. Updated in the system. Thank you for choosing DivergenCIE Coaching! 💫</t>
  </si>
  <si>
    <t>https://drive.google.com/uc?export=download&amp;id=1yozViHZmOTu7B5KjR9L4TUFmq9MCcmJh</t>
  </si>
  <si>
    <t>IG CB started 12-sep</t>
  </si>
  <si>
    <t>B14 Cambridge IGCSE 0620 Chemistry - SAR, B14 Cambridge IGCSE 0610 Biology - SAR</t>
  </si>
  <si>
    <t>We acknowledge the fee payment receipt by Safa Marwah of SAR 500/- for Sep 2024 on 30 Dec 1899. Updated in the system. Thank you for choosing DivergenCIE Coaching! 💫</t>
  </si>
  <si>
    <t>https://drive.google.com/uc?export=download&amp;id=1FPzbDVLZV5V6nhjSLUeaUFCqS-e9JABN</t>
  </si>
  <si>
    <t>A2 CP</t>
  </si>
  <si>
    <t>We acknowledge the fee payment receipt by Sai Nikhita of INR 16000/- for Sep 2024 on 30 Dec 1899. Updated in the system. Thank you for choosing DivergenCIE Coaching! 💫</t>
  </si>
  <si>
    <t>https://drive.google.com/uc?export=download&amp;id=1MuZJnTEneCbT2OE7zM4YMsZ12mLJapmk</t>
  </si>
  <si>
    <t>IB Economics - !fee paid or not</t>
  </si>
  <si>
    <t>We acknowledge the fee payment receipt by Sarah of USD 96/- for Sep 2024 on 30 Dec 1899. Updated in the system. Thank you for choosing DivergenCIE Coaching! 💫</t>
  </si>
  <si>
    <t>https://drive.google.com/uc?export=download&amp;id=1v3UBBeRn_Yu3n7fOhGuKAKplUygZuEXQ</t>
  </si>
  <si>
    <t>?start date, check total amount paid for no. of months</t>
  </si>
  <si>
    <t>We acknowledge the fee payment receipt by Shubh Kalra of INR 15000/- for Sep 2024 on 30 Dec 1899. Updated in the system. Thank you for choosing DivergenCIE Coaching! 💫</t>
  </si>
  <si>
    <t>https://drive.google.com/uc?export=download&amp;id=1XQxDfdhIwzXJPA5Wt_-5S9HCcwhXTbLm</t>
  </si>
  <si>
    <t>We acknowledge the fee payment receipt by Sofiya Rawal of INR 9000/- for Sep 2024 on 30 Dec 1899. Updated in the system. Thank you for choosing DivergenCIE Coaching! 💫</t>
  </si>
  <si>
    <t>https://drive.google.com/uc?export=download&amp;id=1iF9qtb6p63TigM-2kz2G74546bqK5M6c</t>
  </si>
  <si>
    <t>We acknowledge the fee payment receipt by Sree of SGD 307.5/- for Sep 2024 on 30 Dec 1899. Updated in the system. Thank you for choosing DivergenCIE Coaching! 💫</t>
  </si>
  <si>
    <t>https://drive.google.com/uc?export=download&amp;id=1ViebM5paT0n0VJrvPk3V6uxO-6GAk5R7</t>
  </si>
  <si>
    <t>We acknowledge the fee payment receipt by Taha Siddiqui of SAR 150/- for Sep 2024 on 30 Dec 1899. Updated in the system. Thank you for choosing DivergenCIE Coaching! 💫</t>
  </si>
  <si>
    <t>https://drive.google.com/uc?export=download&amp;id=1H2SKCirDFvndg_9oYIg00lDSYiGcM7AU</t>
  </si>
  <si>
    <t>We acknowledge the fee payment receipt by Tooba Naveed of SAR 150/- for Sep 2024 on 30 Dec 1899. Updated in the system. Thank you for choosing DivergenCIE Coaching! 💫</t>
  </si>
  <si>
    <t>https://drive.google.com/uc?export=download&amp;id=1c3__ZFm2rO1Lr8rkR9-3Bn9thHJwVlwg</t>
  </si>
  <si>
    <t>GBP 3 classes 2x1.5hr 2nd, 16th + 1hr 23rd as_of_29th march</t>
  </si>
  <si>
    <t>We acknowledge the fee payment receipt by Adeeba of GBP 10/- for Aug 2024 on 30 Dec 1899. Updated in the system. Thank you for choosing DivergenCIE Coaching! 💫</t>
  </si>
  <si>
    <t>IG EL</t>
  </si>
  <si>
    <t>We acknowledge the fee payment receipt by Adithya Aji of SAR 150/- for Aug 2024 on 30 Dec 1899. Updated in the system. Thank you for choosing DivergenCIE Coaching! 💫</t>
  </si>
  <si>
    <t>PCM 7500-66% dis</t>
  </si>
  <si>
    <t>We acknowledge the fee payment receipt by Ayra Shareef of INR 3000/- for Aug 2024 on 30 Dec 1899. Updated in the system. Thank you for choosing DivergenCIE Coaching! 💫</t>
  </si>
  <si>
    <t>STARTED 24-July, IG PCB</t>
  </si>
  <si>
    <t>We acknowledge the fee payment receipt by Ayza Shareef of INR 3000/- for Aug 2024 on 30 Dec 1899. Updated in the system. Thank you for choosing DivergenCIE Coaching! 💫</t>
  </si>
  <si>
    <t>Pause Aug 26</t>
  </si>
  <si>
    <t>We acknowledge the fee payment receipt by Heba Alomar of SAR 80/- for Aug 2024 on 30 Dec 1899. Updated in the system. Thank you for choosing DivergenCIE Coaching! 💫</t>
  </si>
  <si>
    <t>We acknowledge the fee payment receipt by Juveria Dhanani of INR 9000/- for Aug 2024 on 30 Dec 1899. Updated in the system. Thank you for choosing DivergenCIE Coaching! 💫</t>
  </si>
  <si>
    <t>We acknowledge the fee payment receipt by Mudassir Dhanani of INR 24000/- for Aug 2024 on 30 Dec 1899. Updated in the system. Thank you for choosing DivergenCIE Coaching! 💫</t>
  </si>
  <si>
    <t>left IB Maths on 6-july , started 2 june</t>
  </si>
  <si>
    <t>We acknowledge the fee payment receipt by Sarah of USD 96/- for Aug 2024 on 30 Dec 1899. Updated in the system. Thank you for choosing DivergenCIE Coaching! 💫</t>
  </si>
  <si>
    <t>We acknowledge the fee payment receipt by Shubh Kalra of INR 15000/- for Aug 2024 on 30 Dec 1899. Updated in the system. Thank you for choosing DivergenCIE Coaching! 💫</t>
  </si>
  <si>
    <t>started 20 may IG CMB</t>
  </si>
  <si>
    <t>We acknowledge the fee payment receipt by Sofiya Rawal of INR 9000/- for Aug 2024 on 30 Dec 1899. Updated in the system. Thank you for choosing DivergenCIE Coaching! 💫</t>
  </si>
  <si>
    <t>started 9 April</t>
  </si>
  <si>
    <t>We acknowledge the fee payment receipt by Sree of SGD 307.5/- for Aug 2024 on 30 Dec 1899. Updated in the system. Thank you for choosing DivergenCIE Coaching! 💫</t>
  </si>
  <si>
    <t>IG Math SAR 150, AS PCM SAR 250</t>
  </si>
  <si>
    <t>We acknowledge the fee payment receipt by Taha Siddiqui of SAR 150/- for Aug 2024 on 30 Dec 1899. Updated in the system. Thank you for choosing DivergenCIE Coaching! 💫</t>
  </si>
  <si>
    <t>IG BIO</t>
  </si>
  <si>
    <t>We acknowledge the fee payment receipt by Tooba Naveed of SAR 150/- for Aug 2024 on 30 Dec 1899. Updated in the system. Thank you for choosing DivergenCIE Coaching! 💫</t>
  </si>
  <si>
    <t>Active EL , paused PCM 5-july</t>
  </si>
  <si>
    <t>We acknowledge the fee payment receipt by Adithya Aji of SAR 150/- for Jul 2024 on 30 Dec 1899. Updated in the system. Thank you for choosing DivergenCIE Coaching! 💫</t>
  </si>
  <si>
    <t>We acknowledge the fee payment receipt by Ayra Shareef of INR 3000/- for Jul 2024 on 21 Aug 2022. Updated in the system. Thank you for choosing DivergenCIE Coaching! 💫</t>
  </si>
  <si>
    <t>IG PCE STARTED 24-July</t>
  </si>
  <si>
    <t>We acknowledge the fee payment receipt by Ayza Shareef of INR 3000/- for Jul 2024 on 30 Dec 1899. Updated in the system. Thank you for choosing DivergenCIE Coaching! 💫</t>
  </si>
  <si>
    <t>10GBP/HR taken 2,3 classes 30%</t>
  </si>
  <si>
    <t>We acknowledge the fee payment receipt by Diyana Abraham of SAR 80/- for Jul 2024 on 30 Dec 1899. Updated in the system. Thank you for choosing DivergenCIE Coaching! 💫</t>
  </si>
  <si>
    <t>We acknowledge the fee payment receipt by Heba Alomar of SAR 80/- for Jul 2024 on 30 Dec 1899. Updated in the system. Thank you for choosing DivergenCIE Coaching! 💫</t>
  </si>
  <si>
    <t>We acknowledge the fee payment receipt by Juveria Dhanani of INR 9000/- for Jul 2024 on 30 Dec 1899. Updated in the system. Thank you for choosing DivergenCIE Coaching! 💫</t>
  </si>
  <si>
    <t>PCEB</t>
  </si>
  <si>
    <t>We acknowledge the fee payment receipt by Mudassir Dhanani of INR 24000/- for Jul 2024 on 30 Dec 1899. Updated in the system. Thank you for choosing DivergenCIE Coaching! 💫</t>
  </si>
  <si>
    <t>started igCB 26 July</t>
  </si>
  <si>
    <t>B14 Cambridge IGCSE 0610 Biology - SAR, B14 Cambridge IGCSE 0620 Chemistry - SAR</t>
  </si>
  <si>
    <t>We acknowledge the fee payment receipt by Safa Marwah of SAR 500/- for Jul 2024 on 30 Dec 1899. Updated in the system. Thank you for choosing DivergenCIE Coaching! 💫</t>
  </si>
  <si>
    <t>We acknowledge the fee payment receipt by Sarah of USD 96/- for Jul 2024 on 30 Dec 1899. Updated in the system. Thank you for choosing DivergenCIE Coaching! 💫</t>
  </si>
  <si>
    <t>We acknowledge the fee payment receipt by Shubh Kalra of INR 15000/- for Jul 2024 on 30 Dec 1899. Updated in the system. Thank you for choosing DivergenCIE Coaching! 💫</t>
  </si>
  <si>
    <t>We acknowledge the fee payment receipt by Sofiya Rawal of INR 9000/- for Jul 2024 on 30 Dec 1899. Updated in the system. Thank you for choosing DivergenCIE Coaching! 💫</t>
  </si>
  <si>
    <t>started 9 April MYR</t>
  </si>
  <si>
    <t>We acknowledge the fee payment receipt by Sree of SGD 307.5/- for Jul 2024 on 30 Dec 1899. Updated in the system. Thank you for choosing DivergenCIE Coaching! 💫</t>
  </si>
  <si>
    <t>We acknowledge the fee payment receipt by Taha Siddiqui of SAR 150/- for Jul 2024 on 30 Dec 1899. Updated in the system. Thank you for choosing DivergenCIE Coaching! 💫</t>
  </si>
  <si>
    <t>ig bio student</t>
  </si>
  <si>
    <t>We acknowledge the fee payment receipt by Tooba Naveed of SAR 150/- for Jul 2024 on 30 Dec 1899. Updated in the system. Thank you for choosing DivergenCIE Coaching! 💫</t>
  </si>
  <si>
    <t>?check if paid and tally hours for jun,</t>
  </si>
  <si>
    <t>We acknowledge the fee payment receipt by Adeeba of GBP 0/- for Jun 2024 on 30 Dec 1899. Updated in the system. Thank you for choosing DivergenCIE Coaching! 💫</t>
  </si>
  <si>
    <t>IGCSE PCMEL</t>
  </si>
  <si>
    <t>T3 Cambridge IGCSE 0620 Chemistry - SAR, T3 Cambridge IGCSE 0510 English as a Second Language - SAR, T3 Cambridge IGCSE 0580 Mathematics - SAR, T3 Cambridge IGCSE 0625 Physics - SAR</t>
  </si>
  <si>
    <t>We acknowledge the fee payment receipt by Adithya Aji of SAR 600/- for Jun 2024 on 30 Dec 1899. Updated in the system. Thank you for choosing DivergenCIE Coaching! 💫</t>
  </si>
  <si>
    <t>We acknowledge the fee payment receipt by Ayra Shareef of INR 3000/- for Jun 2024 on 30 Dec 1899. Updated in the system. Thank you for choosing DivergenCIE Coaching! 💫</t>
  </si>
  <si>
    <t>Cambridge IGCSE</t>
  </si>
  <si>
    <t>5,</t>
  </si>
  <si>
    <t>We acknowledge the fee payment receipt by Geet Panjwani of INR 3500/- for Jun 2024 on 30 Dec 1899. Updated in the system. Thank you for choosing DivergenCIE Coaching! 💫</t>
  </si>
  <si>
    <t>JOIN BIO 3-june</t>
  </si>
  <si>
    <t>We acknowledge the fee payment receipt by Juveria Dhanani of INR 7500/- for Jun 2024 on 30 Dec 1899. Updated in the system. Thank you for choosing DivergenCIE Coaching! 💫</t>
  </si>
  <si>
    <t>IG PCM 20% Dis</t>
  </si>
  <si>
    <t>T2 Cambridge IGCSE 0580 Mathematics - PKR, T2 Cambridge IGCSE 0625 Physics - PKR, T2 Cambridge IGCSE 0620 Chemistry - PKR</t>
  </si>
  <si>
    <t>We acknowledge the fee payment receipt by Marium Rehman of PKR 36000/- for Jun 2024 on 30 Dec 1899. Updated in the system. Thank you for choosing DivergenCIE Coaching! 💫</t>
  </si>
  <si>
    <t>16.67% dis</t>
  </si>
  <si>
    <t>We acknowledge the fee payment receipt by Mudassir Dhanani of INR 15000/- for Jun 2024 on 30 Dec 1899. Updated in the system. Thank you for choosing DivergenCIE Coaching! 💫</t>
  </si>
  <si>
    <t>5.25(IB maths)+8(IB Eco)</t>
  </si>
  <si>
    <t>We acknowledge the fee payment receipt by Sarah of USD 159/- for Jun 2024 on 30 Dec 1899. Updated in the system. Thank you for choosing DivergenCIE Coaching! 💫</t>
  </si>
  <si>
    <t>We acknowledge the fee payment receipt by Shubh Kalra of INR 15000/- for Jun 2024 on 30 Dec 1899. Updated in the system. Thank you for choosing DivergenCIE Coaching! 💫</t>
  </si>
  <si>
    <t>We acknowledge the fee payment receipt by Sofiya Rawal of INR 9000/- for Jun 2024 on 30 Dec 1899. Updated in the system. Thank you for choosing DivergenCIE Coaching! 💫</t>
  </si>
  <si>
    <t>We acknowledge the fee payment receipt by Sree of SGD 307.5/- for Jun 2024 on 30 Dec 1899. Updated in the system. Thank you for choosing DivergenCIE Coaching! 💫</t>
  </si>
  <si>
    <t>We acknowledge the fee payment receipt by Taha Siddiqui of SAR 150/- for Jun 2024 on 30 Dec 1899. Updated in the system. Thank you for choosing DivergenCIE Coaching! 💫</t>
  </si>
  <si>
    <t>We acknowledge the fee payment receipt by Tooba Naveed of SAR 150/- for Jun 2024 on 30 Dec 1899. Updated in the system. Thank you for choosing DivergenCIE Coaching! 💫</t>
  </si>
  <si>
    <t>We acknowledge the fee payment receipt by Adeeba of GBP 0/- for May 2024 on 30 Dec 1899. Updated in the system. Thank you for choosing DivergenCIE Coaching! 💫</t>
  </si>
  <si>
    <t>STARTED 2-May</t>
  </si>
  <si>
    <t>We acknowledge the fee payment receipt by Adithya Aji of SAR 600/- for May 2024 on 28 Sep 2025. Updated in the system. Thank you for choosing DivergenCIE Coaching! 💫</t>
  </si>
  <si>
    <t>7500-66% dis  ???Paid or not</t>
  </si>
  <si>
    <t>We acknowledge the fee payment receipt by Ayra Shareef of INR 3000/- for May 2024 on 30 Dec 1899. Updated in the system. Thank you for choosing DivergenCIE Coaching! 💫</t>
  </si>
  <si>
    <t>We acknowledge the fee payment receipt by Geet Panjwani of INR 2100/- for May 2024 on 30 Dec 1899. Updated in the system. Thank you for choosing DivergenCIE Coaching! 💫</t>
  </si>
  <si>
    <t>B14 Cambridge IGCSE 0580 Mathematics - INR, B14 Cambridge IGCSE 0620 Chemistry - INR</t>
  </si>
  <si>
    <t>We acknowledge the fee payment receipt by Juveria Dhanani of INR 5000/- for May 2024 on 30 Dec 1899. Updated in the system. Thank you for choosing DivergenCIE Coaching! 💫</t>
  </si>
  <si>
    <t>B8 Cambridge AS-Level 9702 Physics - INR, B8 Cambridge AS-Level 9701 Chemistry - INR, B8 Cambridge AS-Level 9700 Biology - INR</t>
  </si>
  <si>
    <t>We acknowledge the fee payment receipt by Mudassir Dhanani of INR 15000/- for May 2024 on 30 Dec 1899. Updated in the system. Thank you for choosing DivergenCIE Coaching! 💫</t>
  </si>
  <si>
    <t>STOPPED 13-may  join7-may(1 p+1m class)</t>
  </si>
  <si>
    <t>We acknowledge the fee payment receipt by Safa Marwah of SAR 37.5/- for May 2024 on 30 Dec 1899. Updated in the system. Thank you for choosing DivergenCIE Coaching! 💫</t>
  </si>
  <si>
    <t>6000+9000(business)</t>
  </si>
  <si>
    <t>We acknowledge the fee payment receipt by Sai Nikhita of  21000/- for May 2024 on 30 Dec 1899. Updated in the system. Thank you for choosing DivergenCIE Coaching! 💫</t>
  </si>
  <si>
    <t>started on 23 may</t>
  </si>
  <si>
    <t>We acknowledge the fee payment receipt by Saksham of INR 8000/- for May 2024 on 30 Dec 1899. Updated in the system. Thank you for choosing DivergenCIE Coaching! 💫</t>
  </si>
  <si>
    <t>We acknowledge the fee payment receipt by Shubh Kalra of INR 15000/- for May 2024 on 30 Dec 1899. Updated in the system. Thank you for choosing DivergenCIE Coaching! 💫</t>
  </si>
  <si>
    <t>IG CMB Started 20-may</t>
  </si>
  <si>
    <t>We acknowledge the fee payment receipt by Sofiya Rawal of INR 9000/- for May 2024 on 30 Dec 1899. Updated in the system. Thank you for choosing DivergenCIE Coaching! 💫</t>
  </si>
  <si>
    <t>We acknowledge the fee payment receipt by Sree of SGD 307.5/- for May 2024 on 30 Dec 1899. Updated in the system. Thank you for choosing DivergenCIE Coaching! 💫</t>
  </si>
  <si>
    <t>We acknowledge the fee payment receipt by Taha Siddiqui of SAR 150/- for May 2024 on 30 Dec 1899. Updated in the system. Thank you for choosing DivergenCIE Coaching! 💫</t>
  </si>
  <si>
    <t>starts 20-may</t>
  </si>
  <si>
    <t>B14 Cambridge IGCSE 0620 Chemistry - INR, B14 Cambridge IGCSE 0625 Physics - SAR</t>
  </si>
  <si>
    <t>We acknowledge the fee payment receipt by Tala Hakami of SAR 360/- for May 2024 on 30 Dec 1899. Updated in the system. Thank you for choosing DivergenCIE Coaching! 💫</t>
  </si>
  <si>
    <t>joined igcse maths at 19-march(PCM)</t>
  </si>
  <si>
    <t>B14 Cambridge IGCSE 0625 Physics - SAR, B14 Cambridge IGCSE 0620 Chemistry - SAR, B14 Cambridge IGCSE 0580 Mathematics - SAR</t>
  </si>
  <si>
    <t>We acknowledge the fee payment receipt by Taleen Hakami of SAR 300/- for May 2024 on 30 Dec 1899. Updated in the system. Thank you for choosing DivergenCIE Coaching! 💫</t>
  </si>
  <si>
    <t>We acknowledge the fee payment receipt by Tooba Naveed of SAR 150/- for May 2024 on 30 Dec 1899. Updated in the system. Thank you for choosing DivergenCIE Coaching! 💫</t>
  </si>
  <si>
    <t>We acknowledge the fee payment receipt by Adeeba of GBP 0/- for Apr 2024 on 30 Dec 1899. Updated in the system. Thank you for choosing DivergenCIE Coaching! 💫</t>
  </si>
  <si>
    <t>started 9 April  ?paid</t>
  </si>
  <si>
    <t>C14 OCR AS-Level Computer Science - GBP</t>
  </si>
  <si>
    <t>We acknowledge the fee payment receipt by Arafat of AED 355.6/- for Apr 2024 on 30 Dec 1899. Updated in the system. Thank you for choosing DivergenCIE Coaching! 💫</t>
  </si>
  <si>
    <t>We acknowledge the fee payment receipt by Ayra Shareef of INR 3000/- for Apr 2024 on 30 Dec 1899. Updated in the system. Thank you for choosing DivergenCIE Coaching! 💫</t>
  </si>
  <si>
    <t>al math S1</t>
  </si>
  <si>
    <t>B8 Cambridge A-Level 9709 Mathematics: Statistics 1 - INR</t>
  </si>
  <si>
    <t>We acknowledge the fee payment receipt by Hamsini Upadhyayula of SAR 6000/- for Apr 2024 on 30 Dec 1899. Updated in the system. Thank you for choosing DivergenCIE Coaching! 💫</t>
  </si>
  <si>
    <t>We acknowledge the fee payment receipt by Juveria Dhanani of INR 5000/- for Apr 2024 on 30 Dec 1899. Updated in the system. Thank you for choosing DivergenCIE Coaching! 💫</t>
  </si>
  <si>
    <t>16.67% dis 16.67% dis</t>
  </si>
  <si>
    <t>B8 Cambridge AS-Level 9702 Physics - INR, B8 Cambridge AS-Level 9701 Chemistry - INR</t>
  </si>
  <si>
    <t>We acknowledge the fee payment receipt by Mudassir Dhanani of INR 10000/- for Apr 2024 on 30 Dec 1899. Updated in the system. Thank you for choosing DivergenCIE Coaching! 💫</t>
  </si>
  <si>
    <t>left chem</t>
  </si>
  <si>
    <t>B8 Cambridge AS-Level 9702 Physics - SAR</t>
  </si>
  <si>
    <t>We acknowledge the fee payment receipt by Rawan Naser of SAR 300/- for Apr 2024 on 30 Dec 1899. Updated in the system. Thank you for choosing DivergenCIE Coaching! 💫</t>
  </si>
  <si>
    <t>50% discount in april Paid 1250/- on 12-apr+paused 22/4/2024</t>
  </si>
  <si>
    <t>B8 Cambridge AS-Level 9618 Computer Science - INR</t>
  </si>
  <si>
    <t>We acknowledge the fee payment receipt by Ritvik P of INR 5000/- for Apr 2024 on 30 Dec 1899. Updated in the system. Thank you for choosing DivergenCIE Coaching! 💫</t>
  </si>
  <si>
    <t>didnt took classes from 13apr-1may</t>
  </si>
  <si>
    <t>B14 Cambridge IGCSE 0610 Biology - SAR, B14 Cambridge IGCSE 0620 Chemistry - SAR, B14 Cambridge IGCSE 0625 Physics - SAR</t>
  </si>
  <si>
    <t>We acknowledge the fee payment receipt by Safa Marwah of SAR 300/- for Apr 2024 on 30 Dec 1899. Updated in the system. Thank you for choosing DivergenCIE Coaching! 💫</t>
  </si>
  <si>
    <t>LAST TAKEN CLASSES ?Paid or not, check receipt</t>
  </si>
  <si>
    <t>750+1500</t>
  </si>
  <si>
    <t>We acknowledge the fee payment receipt by Sai Nikhita of  13875/- for Apr 2024 on 30 Dec 1899. Updated in the system. Thank you for choosing DivergenCIE Coaching! 💫</t>
  </si>
  <si>
    <t>paid 5000 INR extra ?check invoice</t>
  </si>
  <si>
    <t>We acknowledge the fee payment receipt by Shubh Kalra of INR 15000/- for Apr 2024 on 30 Dec 1899. Updated in the system. Thank you for choosing DivergenCIE Coaching! 💫</t>
  </si>
  <si>
    <t>We acknowledge the fee payment receipt by Sree of SGD 307.5/- for Apr 2024 on 21 Aug 2022. Updated in the system. Thank you for choosing DivergenCIE Coaching! 💫</t>
  </si>
  <si>
    <t>We acknowledge the fee payment receipt by Taha Siddiqui of SAR 150/- for Apr 2024 on 30 Dec 1899. Updated in the system. Thank you for choosing DivergenCIE Coaching! 💫</t>
  </si>
  <si>
    <t>We acknowledge the fee payment receipt by Taleen Hakami of SAR 300/- for Apr 2024 on 30 Dec 1899. Updated in the system. Thank you for choosing DivergenCIE Coaching! 💫</t>
  </si>
  <si>
    <t>We acknowledge the fee payment receipt by Tooba Naveed of SAR 150/- for Apr 2024 on 30 Dec 1899. Updated in the system. Thank you for choosing DivergenCIE Coaching! 💫</t>
  </si>
  <si>
    <t>We acknowledge the fee payment receipt by Vaishak of SGD 946/- for Apr 2024 on 30 Dec 1899. Updated in the system. Thank you for choosing DivergenCIE Coaching! 💫</t>
  </si>
  <si>
    <t>3 classes 2x1.5hr 2nd, 16th + 1hr 23rd as_of_29th march</t>
  </si>
  <si>
    <t>We acknowledge the fee payment receipt by Adeeba of GBP 40/- for Mar 2024 on 30 Dec 1899. Updated in the system. Thank you for choosing DivergenCIE Coaching! 💫</t>
  </si>
  <si>
    <t>IG PCM  7500-66% dis</t>
  </si>
  <si>
    <t>We acknowledge the fee payment receipt by Ayra Shareef of INR 3000/- for Mar 2024 on 30 Dec 1899. Updated in the system. Thank you for choosing DivergenCIE Coaching! 💫</t>
  </si>
  <si>
    <t>We acknowledge the fee payment receipt by Hamsini Upadhyayula of SAR 6000/- for Mar 2024 on 30 Dec 1899. Updated in the system. Thank you for choosing DivergenCIE Coaching! 💫</t>
  </si>
  <si>
    <t>We acknowledge the fee payment receipt by Juveria Dhanani of INR 5000/- for Mar 2024 on 30 Dec 1899. Updated in the system. Thank you for choosing DivergenCIE Coaching! 💫</t>
  </si>
  <si>
    <t>We acknowledge the fee payment receipt by Mudassir Dhanani of INR 10000/- for Mar 2024 on 30 Dec 1899. Updated in the system. Thank you for choosing DivergenCIE Coaching! 💫</t>
  </si>
  <si>
    <t>We acknowledge the fee payment receipt by Rawan Naser of  300/- for Mar 2024 on 30 Dec 1899. Updated in the system. Thank you for choosing DivergenCIE Coaching! 💫</t>
  </si>
  <si>
    <t>We acknowledge the fee payment receipt by Ritvik P of INR 5000/- for Mar 2024 on 30 Dec 1899. Updated in the system. Thank you for choosing DivergenCIE Coaching! 💫</t>
  </si>
  <si>
    <t>IG PCBE</t>
  </si>
  <si>
    <t>B14 Cambridge IGCSE 0625 Physics - SAR, B14 Cambridge IGCSE 0620 Chemistry - SAR, B14 Cambridge IGCSE 0610 Biology - SAR</t>
  </si>
  <si>
    <t>We acknowledge the fee payment receipt by Riza Shaheen of SAR 300/- for Mar 2024 on 30 Dec 1899. Updated in the system. Thank you for choosing DivergenCIE Coaching! 💫</t>
  </si>
  <si>
    <t>106.41  SAR remaining</t>
  </si>
  <si>
    <t>We acknowledge the fee payment receipt by Safa Marwah of SAR 300/- for Mar 2024 on 30 Dec 1899. Updated in the system. Thank you for choosing DivergenCIE Coaching! 💫</t>
  </si>
  <si>
    <t>We acknowledge the fee payment receipt by Shubh Kalra of INR 15000/- for Mar 2024 on 30 Dec 1899. Updated in the system. Thank you for choosing DivergenCIE Coaching! 💫</t>
  </si>
  <si>
    <t>We acknowledge the fee payment receipt by Taha Siddiqui of SAR 150/- for Mar 2024 on 30 Dec 1899. Updated in the system. Thank you for choosing DivergenCIE Coaching! 💫</t>
  </si>
  <si>
    <t>We acknowledge the fee payment receipt by Taleen Hakami of SAR 300/- for Mar 2024 on 30 Dec 1899. Updated in the system. Thank you for choosing DivergenCIE Coaching! 💫</t>
  </si>
  <si>
    <t>We acknowledge the fee payment receipt by Tooba Naveed of SAR 150/- for Mar 2024 on 30 Dec 1899. Updated in the system. Thank you for choosing DivergenCIE Coaching! 💫</t>
  </si>
  <si>
    <t>We acknowledge the fee payment receipt by Adeeba of GBP 15/- for Feb 2024 on 30 Dec 1899. Updated in the system. Thank you for choosing DivergenCIE Coaching! 💫</t>
  </si>
  <si>
    <t>paid on 4/21/2024</t>
  </si>
  <si>
    <t>We acknowledge the fee payment receipt by Adithya Aji of SAR 600/- for Feb 2024 on 30 Dec 1899. Updated in the system. Thank you for choosing DivergenCIE Coaching! 💫</t>
  </si>
  <si>
    <t>B14 Cambridge IGCSE 0417 Information &amp; Communication Technology - INR, B14 Cambridge IGCSE 0500 First Language English - INR</t>
  </si>
  <si>
    <t>625*16 / 5000</t>
  </si>
  <si>
    <t>We acknowledge the fee payment receipt by Daniel Peter of INR 10000/- for Feb 2024 on 30 Dec 1899. Updated in the system. Thank you for choosing DivergenCIE Coaching! 💫</t>
  </si>
  <si>
    <t>B14 Cambridge IGCSE 0625 Physics - INR, B14 Cambridge IGCSE 0620 Chemistry - INR, B14 Cambridge IGCSE 0580 Mathematics - INR, B14 Cambridge IGCSE 0500 First Language English - INR</t>
  </si>
  <si>
    <t>We acknowledge the fee payment receipt by Geet Panjwani of INR 10000/- for Feb 2024 on 30 Dec 1899. Updated in the system. Thank you for choosing DivergenCIE Coaching! 💫</t>
  </si>
  <si>
    <t>We acknowledge the fee payment receipt by Hamsini Upadhyayula of SAR 6000/- for Feb 2024 on 30 Dec 1899. Updated in the system. Thank you for choosing DivergenCIE Coaching! 💫</t>
  </si>
  <si>
    <t>We acknowledge the fee payment receipt by Juveria Dhanani of INR 5000/- for Feb 2024 on 30 Dec 1899. Updated in the system. Thank you for choosing DivergenCIE Coaching! 💫</t>
  </si>
  <si>
    <t>3/28/2024 16.67% missed classes</t>
  </si>
  <si>
    <t>We acknowledge the fee payment receipt by Mudassir Dhanani of INR 10000/- for Feb 2024 on 30 Dec 1899. Updated in the system. Thank you for choosing DivergenCIE Coaching! 💫</t>
  </si>
  <si>
    <t>We acknowledge the fee payment receipt by Rawan Naser of SAR 300/- for Feb 2024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</si>
  <si>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t>
  </si>
  <si>
    <t>We acknowledge the fee payment receipt by Ritaj Ahmed of SAR 500/- for Feb 2024 on 30 Dec 1899. Updated in the system. Thank you for choosing DivergenCIE Coaching! 💫</t>
  </si>
  <si>
    <t>B8 Cambridge AS-Level 9618 Computer Science - INR, B8 Cambridge AS-Level 9702 Physics - INR, B8 Cambridge AS-Level 9701 Chemistry - INR</t>
  </si>
  <si>
    <t>We acknowledge the fee payment receipt by Ritvik P of INR 7500/- for Feb 2024 on 30 Dec 1899. Updated in the system. Thank you for choosing DivergenCIE Coaching! 💫</t>
  </si>
  <si>
    <t>We acknowledge the fee payment receipt by Riza Shaheen of SAR 300/- for Feb 2024 on 30 Dec 1899. Updated in the system. Thank you for choosing DivergenCIE Coaching! 💫</t>
  </si>
  <si>
    <t>will not pay  ?discounts applied</t>
  </si>
  <si>
    <t>We acknowledge the fee payment receipt by Safa Marwah of SAR 300/- for Feb 2024 on 30 Dec 1899. Updated in the system. Thank you for choosing DivergenCIE Coaching! 💫</t>
  </si>
  <si>
    <t>We acknowledge the fee payment receipt by Safa Rasheed of SAR 500/- for Feb 2024 on 30 Dec 1899. Updated in the system. Thank you for choosing DivergenCIE Coaching! 💫</t>
  </si>
  <si>
    <t>?paid or not</t>
  </si>
  <si>
    <t>B8 Cambridge AS-Level 9609 Business - INR, B8 Cambridge AS-Level 9701 Chemistry - INR, B8 Cambridge A-Level 9702 Physics - INR, B8 Cambridge A-Level 9709 Mathematics: Mechanics 1 - INR, B8 Cambridge AS-Level 9709 Mathematics: Pure 1 - INR</t>
  </si>
  <si>
    <t>We acknowledge the fee payment receipt by Sai Nikhita of INR 21000/- for Feb 2024 on 30 Dec 1899. Updated in the system. Thank you for choosing DivergenCIE Coaching! 💫</t>
  </si>
  <si>
    <t>We acknowledge the fee payment receipt by Shubh Kalra of INR 12500/- for Feb 2024 on 30 Dec 1899. Updated in the system. Thank you for choosing DivergenCIE Coaching! 💫</t>
  </si>
  <si>
    <t>We acknowledge the fee payment receipt by Taha Siddiqui of SAR 150/- for Feb 2024 on 30 Dec 1899. Updated in the system. Thank you for choosing DivergenCIE Coaching! 💫</t>
  </si>
  <si>
    <t>pause</t>
  </si>
  <si>
    <t>We acknowledge the fee payment receipt by Yaseen Khalifa of  150/- for Dec 2024 on 30 Dec 1899. Updated in the system. Thank you for choosing DivergenCIE Coaching! 💫</t>
  </si>
  <si>
    <t>LEFT 4-MARCH</t>
  </si>
  <si>
    <t>We acknowledge the fee payment receipt by Taleen Hakami of SAR 300/- for Feb 2025 on 30 Dec 1899. Updated in the system. Thank you for choosing DivergenCIE Coaching! 💫</t>
  </si>
  <si>
    <t>4 classes + 1 hr trial</t>
  </si>
  <si>
    <t>We acknowledge the fee payment receipt by Adeeba of GBP 45/- for Jan 2024 on 30 Dec 1899. Updated in the system. Thank you for choosing DivergenCIE Coaching! 💫</t>
  </si>
  <si>
    <t>paid on 3/17/2024</t>
  </si>
  <si>
    <t>We acknowledge the fee payment receipt by Adithya Aji of SAR 600/- for Jan 2024 on 30 Dec 1899. Updated in the system. Thank you for choosing DivergenCIE Coaching! 💫</t>
  </si>
  <si>
    <t>We acknowledge the fee payment receipt by Daniel Peter of INR 10000/- for Jan 2024 on 30 Dec 1899. Updated in the system. Thank you for choosing DivergenCIE Coaching! 💫</t>
  </si>
  <si>
    <t>B14 Cambridge IGCSE 0620 Chemistry - SAR, B14 Cambridge IGCSE 0625 Physics - SAR, B14 Cambridge IGCSE 0580 Mathematics - SAR</t>
  </si>
  <si>
    <t>We acknowledge the fee payment receipt by Fajr of SAR 150/- for Jan 2024 on 30 Dec 1899. Updated in the system. Thank you for choosing DivergenCIE Coaching! 💫</t>
  </si>
  <si>
    <t>We acknowledge the fee payment receipt by Farah of SAR 150/- for Jan 2024 on 30 Dec 1899. Updated in the system. Thank you for choosing DivergenCIE Coaching! 💫</t>
  </si>
  <si>
    <t>al phys, al math S1</t>
  </si>
  <si>
    <t>We acknowledge the fee payment receipt by Hamsini Upadhyayula of SAR 12000/- for Jan 2024 on 30 Dec 1899. Updated in the system. Thank you for choosing DivergenCIE Coaching! 💫</t>
  </si>
  <si>
    <t>50% in Physics  , 25% whole</t>
  </si>
  <si>
    <t>B14 Cambridge IGCSE 0620 Chemistry - INR, B14 Cambridge IGCSE 0625 Physics - INR, B14 Cambridge IGCSE 0580 Mathematics - INR</t>
  </si>
  <si>
    <t>We acknowledge the fee payment receipt by Hryday Kedia of INR 6250/- for Jan 2024 on 30 Dec 1899. Updated in the system. Thank you for choosing DivergenCIE Coaching! 💫</t>
  </si>
  <si>
    <t>We acknowledge the fee payment receipt by Juveria Dhanani of INR 5000/- for Jan 2024 on 30 Dec 1899. Updated in the system. Thank you for choosing DivergenCIE Coaching! 💫</t>
  </si>
  <si>
    <t>16.67% missed classes 3/7/2024</t>
  </si>
  <si>
    <t>We acknowledge the fee payment receipt by Mudassir Dhanani of INR 10000/- for Jan 2024 on 30 Dec 1899. Updated in the system. Thank you for choosing DivergenCIE Coaching! 💫</t>
  </si>
  <si>
    <t>as phy,as chem</t>
  </si>
  <si>
    <t>We acknowledge the fee payment receipt by Rawan Naser of SAR 500/- for Jan 2024 on 30 Dec 1899. Updated in the system. Thank you for choosing DivergenCIE Coaching! 💫</t>
  </si>
  <si>
    <t>We acknowledge the fee payment receipt by Ritaj Ahmed of SAR 500/- for Jan 2024 on 30 Dec 1899. Updated in the system. Thank you for choosing DivergenCIE Coaching! 💫</t>
  </si>
  <si>
    <t>75% CS</t>
  </si>
  <si>
    <t>We acknowledge the fee payment receipt by Ritvik P of INR 5625/- for Jan 2024 on 30 Dec 1899. Updated in the system. Thank you for choosing DivergenCIE Coaching! 💫</t>
  </si>
  <si>
    <t>B14 Cambridge IGCSE 0625 Physics - SAR, B14 Cambridge IGCSE 0620 Chemistry - SAR, B14 Cambridge IGCSE 0610 Biology - SAR, B14 Cambridge IGCSE 0510 English as a Second Language - SAR</t>
  </si>
  <si>
    <t>We acknowledge the fee payment receipt by Riza Shaheen of SAR 300/- for Jan 2024 on 30 Dec 1899. Updated in the system. Thank you for choosing DivergenCIE Coaching! 💫</t>
  </si>
  <si>
    <t>We acknowledge the fee payment receipt by Safa Marwah of SAR 150/- for Jan 2024 on 30 Dec 1899. Updated in the system. Thank you for choosing DivergenCIE Coaching! 💫</t>
  </si>
  <si>
    <t>We acknowledge the fee payment receipt by Safa Rasheed of SAR 500/- for Jan 2024 on 30 Dec 1899. Updated in the system. Thank you for choosing DivergenCIE Coaching! 💫</t>
  </si>
  <si>
    <t>B8 Cambridge AS-Level 9609 Business - INR, B8 Cambridge AS-Level 9701 Chemistry - INR, B8 Cambridge A-Level 9702 Physics - INR</t>
  </si>
  <si>
    <t>We acknowledge the fee payment receipt by Sai Nikhita of INR 21000/- for Jan 2024 on 30 Dec 1899. Updated in the system. Thank you for choosing DivergenCIE Coaching! 💫</t>
  </si>
  <si>
    <t>75% dis</t>
  </si>
  <si>
    <t>We acknowledge the fee payment receipt by Taleen Hakami of SAR 225/- for Jan 2024 on 30 Dec 1899. Updated in the system. Thank you for choosing DivergenCIE Coaching! 💫</t>
  </si>
  <si>
    <t>NO classes and left 2-feb</t>
  </si>
  <si>
    <t>We acknowledge the fee payment receipt by Wajd of SAR 300/- for Jan 2024 on 30 Dec 1899. Updated in the system. Thank you for choosing DivergenCIE Coaching! 💫</t>
  </si>
  <si>
    <t>We acknowledge the fee payment receipt by Adithya Aji of SAR 450/- for Dec 2023 on 30 Dec 1899. Updated in the system. Thank you for choosing DivergenCIE Coaching! 💫</t>
  </si>
  <si>
    <t>We acknowledge the fee payment receipt by Daniel Peter of INR 10000/- for Dec 2023 on 30 Dec 1899. Updated in the system. Thank you for choosing DivergenCIE Coaching! 💫</t>
  </si>
  <si>
    <t>We acknowledge the fee payment receipt by Farah of SAR 300/- for Dec 2023 on 30 Dec 1899. Updated in the system. Thank you for choosing DivergenCIE Coaching! 💫</t>
  </si>
  <si>
    <t>We acknowledge the fee payment receipt by Hamsini Upadhyayula of SAR 12000/- for Dec 2023 on 30 Dec 1899. Updated in the system. Thank you for choosing DivergenCIE Coaching! 💫</t>
  </si>
  <si>
    <t>We acknowledge the fee payment receipt by Hryday Kedia of INR 5625/- for Dec 2023 on 30 Dec 1899. Updated in the system. Thank you for choosing DivergenCIE Coaching! 💫</t>
  </si>
  <si>
    <t>We acknowledge the fee payment receipt by Juveria Dhanani of INR 5000/- for Dec 2023 on 30 Dec 1899. Updated in the system. Thank you for choosing DivergenCIE Coaching! 💫</t>
  </si>
  <si>
    <t>16.67% missed classes</t>
  </si>
  <si>
    <t>We acknowledge the fee payment receipt by Mudassir Dhanani of INR 10000/- for Dec 2023 on 30 Dec 1899. Updated in the system. Thank you for choosing DivergenCIE Coaching! 💫</t>
  </si>
  <si>
    <t>B8 Cambridge AS-Level 9701 Chemistry - INR, B8 Cambridge A-Level 9702 Physics - INR</t>
  </si>
  <si>
    <t>We acknowledge the fee payment receipt by Nairah Noushad of SAR 10000/- for Dec 2023 on 30 Dec 1899. Updated in the system. Thank you for choosing DivergenCIE Coaching! 💫</t>
  </si>
  <si>
    <t>We acknowledge the fee payment receipt by Ritaj Ahmed of SAR 500/- for Dec 2023 on 30 Dec 1899. Updated in the system. Thank you for choosing DivergenCIE Coaching! 💫</t>
  </si>
  <si>
    <t>75%CS</t>
  </si>
  <si>
    <t>We acknowledge the fee payment receipt by Ritvik P of INR 5625/- for Dec 2023 on 30 Dec 1899. Updated in the system. Thank you for choosing DivergenCIE Coaching! 💫</t>
  </si>
  <si>
    <t>We acknowledge the fee payment receipt by Riza Shaheen of SAR 300/- for Dec 2023 on 30 Dec 1899. Updated in the system. Thank you for choosing DivergenCIE Coaching! 💫</t>
  </si>
  <si>
    <t>We acknowledge the fee payment receipt by Safa Marwah of SAR 300/- for Dec 2023 on 30 Dec 1899. Updated in the system. Thank you for choosing DivergenCIE Coaching! 💫</t>
  </si>
  <si>
    <t>?Paid extra 6500 39000 instead of 32500</t>
  </si>
  <si>
    <t>B8 Cambridge AS-Level 9609 Business - INR, B8 Cambridge AS-Level 9701 Chemistry - INR, B8 Cambridge A-Level 9702 Physics - INR, B8 Cambridge A-Level 9709 Mathematics: Mechanics 1 - INR, B8 Cambridge AS-Level 9709 Mathematics: Pure 1 - INR, B8 Cambridge A-Level 9709 Mathematics: Statistics 1 - INR</t>
  </si>
  <si>
    <t>6000+9000(Business)</t>
  </si>
  <si>
    <t>We acknowledge the fee payment receipt by Sai Nikhita of INR 39000/- for Dec 2023 on 30 Dec 1899. Updated in the system. Thank you for choosing DivergenCIE Coaching! 💫</t>
  </si>
  <si>
    <t>B14 Cambridge IGCSE 0625 Physics - SAR, B14 Cambridge IGCSE 0620 Chemistry - SAR, B14 Cambridge IGCSE 0580 Mathematics - SAR, B14 Cambridge IGCSE 0510 English as a Second Language - SAR</t>
  </si>
  <si>
    <t>We acknowledge the fee payment receipt by Taleen Hakami of SAR 400/- for Dec 2023 on 30 Dec 1899. Updated in the system. Thank you for choosing DivergenCIE Coaching! 💫</t>
  </si>
  <si>
    <t>We acknowledge the fee payment receipt by Wajd of SAR 300/- for Dec 2023 on 30 Dec 1899. Updated in the system. Thank you for choosing DivergenCIE Coaching! 💫</t>
  </si>
  <si>
    <t>Payse</t>
  </si>
  <si>
    <t>We acknowledge the fee payment receipt by Daniel Peter of INR 10000/- for Nov 2023 on 30 Dec 1899. Updated in the system. Thank you for choosing DivergenCIE Coaching! 💫</t>
  </si>
  <si>
    <t>50%(biology) + 20%(whole)</t>
  </si>
  <si>
    <t>We acknowledge the fee payment receipt by Geet Panjwani of INR 7000/- for Nov 2023 on 30 Dec 1899. Updated in the system. Thank you for choosing DivergenCIE Coaching! 💫</t>
  </si>
  <si>
    <t>We acknowledge the fee payment receipt by Hamsini Upadhyayula of SAR 9000/- for Nov 2023 on 30 Dec 1899. Updated in the system. Thank you for choosing DivergenCIE Coaching! 💫</t>
  </si>
  <si>
    <t>25% whole</t>
  </si>
  <si>
    <t>We acknowledge the fee payment receipt by Hryday Kedia of INR 7500/- for Nov 2023 on 30 Dec 1899. Updated in the system. Thank you for choosing DivergenCIE Coaching! 💫</t>
  </si>
  <si>
    <t>We acknowledge the fee payment receipt by Juveria Dhanani of INR 5000/- for Nov 2023 on 30 Dec 1899. Updated in the system. Thank you for choosing DivergenCIE Coaching! 💫</t>
  </si>
  <si>
    <t>We acknowledge the fee payment receipt by Mudassir Dhanani of INR 10000/- for Nov 2023 on 30 Dec 1899. Updated in the system. Thank you for choosing DivergenCIE Coaching! 💫</t>
  </si>
  <si>
    <t>We acknowledge the fee payment receipt by Nairah Noushad of SAR 10000/- for Nov 2023 on 30 Dec 1899. Updated in the system. Thank you for choosing DivergenCIE Coaching! 💫</t>
  </si>
  <si>
    <t>50% MC</t>
  </si>
  <si>
    <t>We acknowledge the fee payment receipt by Rachit Sonthalia of INR 3750/- for Nov 2023 on 30 Dec 1899. Updated in the system. Thank you for choosing DivergenCIE Coaching! 💫</t>
  </si>
  <si>
    <t>We acknowledge the fee payment receipt by Ritaj Ahmed of SAR 500/- for Nov 2023 on 30 Dec 1899. Updated in the system. Thank you for choosing DivergenCIE Coaching! 💫</t>
  </si>
  <si>
    <t>We acknowledge the fee payment receipt by Ritvik P of INR 5625/- for Nov 2023 on 30 Dec 1899. Updated in the system. Thank you for choosing DivergenCIE Coaching! 💫</t>
  </si>
  <si>
    <t>We acknowledge the fee payment receipt by Riza Shaheen of SAR 250/- for Nov 2023 on 30 Dec 1899. Updated in the system. Thank you for choosing DivergenCIE Coaching! 💫</t>
  </si>
  <si>
    <t>B14 Cambridge IGCSE 0610 Biology - SAR, B14 Cambridge IGCSE 0620 Chemistry - SAR, B14 Cambridge IGCSE 0625 Physics - SAR, B14 Cambridge IGCSE 0580 Mathematics - SAR</t>
  </si>
  <si>
    <t>We acknowledge the fee payment receipt by Safa Marwah of SAR 400/- for Nov 2023 on 30 Dec 1899. Updated in the system. Thank you for choosing DivergenCIE Coaching! 💫</t>
  </si>
  <si>
    <t>20.9% missed classes</t>
  </si>
  <si>
    <t>B8 Cambridge AS-Level 9701 Chemistry - INR, B8 Cambridge A-Level 9702 Physics - INR, B8 Cambridge A-Level 9709 Mathematics: Mechanics 1 - INR, B8 Cambridge AS-Level 9709 Mathematics: Pure 1 - INR, B8 Cambridge A-Level 9709 Mathematics: Statistics 1 - INR</t>
  </si>
  <si>
    <t>We acknowledge the fee payment receipt by Sai Nikhita of INR 23730/- for Nov 2023 on 30 Dec 1899. Updated in the system. Thank you for choosing DivergenCIE Coaching! 💫</t>
  </si>
  <si>
    <t>C11 College Board SAT - INR</t>
  </si>
  <si>
    <t>625x8</t>
  </si>
  <si>
    <t>We acknowledge the fee payment receipt by Shrey Agarwal of INR 5000/- for Nov 2023 on 30 Dec 1899. Updated in the system. Thank you for choosing DivergenCIE Coaching! 💫</t>
  </si>
  <si>
    <t>We acknowledge the fee payment receipt by Wajd of SAR 300/- for Nov 2023 on 30 Dec 1899. Updated in the system. Thank you for choosing DivergenCIE Coaching! 💫</t>
  </si>
  <si>
    <t>We acknowledge the fee payment receipt by Yaseen Khalifa of SAR 150/- for Sep 2023 on 30 Dec 1899. Updated in the system. Thank you for choosing DivergenCIE Coaching! 💫</t>
  </si>
  <si>
    <t>62.50% IG ESL + 33.3% IG ICT</t>
  </si>
  <si>
    <t>We acknowledge the fee payment receipt by Daniel Peter of INR 5210/- for Oct 2023 on 30 Dec 1899. Updated in the system. Thank you for choosing DivergenCIE Coaching! 💫</t>
  </si>
  <si>
    <t>B8 Cambridge AS-Level 9701 Chemistry - SAR</t>
  </si>
  <si>
    <t>We acknowledge the fee payment receipt by Dina Ali of SAR 256.13/- for Oct 2023 on 16 Jan 2025. Updated in the system. Thank you for choosing DivergenCIE Coaching! 💫</t>
  </si>
  <si>
    <t>20% whole</t>
  </si>
  <si>
    <t>We acknowledge the fee payment receipt by Geet Panjwani of INR 8000/- for Oct 2023 on 30 Dec 1899. Updated in the system. Thank you for choosing DivergenCIE Coaching! 💫</t>
  </si>
  <si>
    <t>al phys, al math S1 75%Missed classes</t>
  </si>
  <si>
    <t>We acknowledge the fee payment receipt by Hamsini Upadhyayula of SAR 7500/- for Oct 2023 on 30 Dec 1899. Updated in the system. Thank you for choosing DivergenCIE Coaching! 💫</t>
  </si>
  <si>
    <t>We acknowledge the fee payment receipt by Juveria Dhanani of INR 5000/- for Oct 2023 on 30 Dec 1899. Updated in the system. Thank you for choosing DivergenCIE Coaching! 💫</t>
  </si>
  <si>
    <t>16.67% missed classes left oct 16</t>
  </si>
  <si>
    <t>We acknowledge the fee payment receipt by Mudassir Dhanani of INR 10000/- for Oct 2023 on 30 Dec 1899. Updated in the system. Thank you for choosing DivergenCIE Coaching! 💫</t>
  </si>
  <si>
    <t>We acknowledge the fee payment receipt by Nairah Noushad of SAR 10000/- for Oct 2023 on 30 Dec 1899. Updated in the system. Thank you for choosing DivergenCIE Coaching! 💫</t>
  </si>
  <si>
    <t>We acknowledge the fee payment receipt by Rachit Sonthalia of INR 5000/- for Oct 2023 on 30 Dec 1899. Updated in the system. Thank you for choosing DivergenCIE Coaching! 💫</t>
  </si>
  <si>
    <t>We acknowledge the fee payment receipt by Ritaj Ahmed of SAR 500/- for Oct 2023 on 30 Dec 1899. Updated in the system. Thank you for choosing DivergenCIE Coaching! 💫</t>
  </si>
  <si>
    <t>100% CS</t>
  </si>
  <si>
    <t>We acknowledge the fee payment receipt by Ritvik P of INR 5000/- for Oct 2023 on 30 Dec 1899. Updated in the system. Thank you for choosing DivergenCIE Coaching! 💫</t>
  </si>
  <si>
    <t>We acknowledge the fee payment receipt by Riza Shaheen of SAR 400/- for Oct 2023 on 30 Dec 1899. Updated in the system. Thank you for choosing DivergenCIE Coaching! 💫</t>
  </si>
  <si>
    <t>We acknowledge the fee payment receipt by Safa Marwah of SAR 400/- for Oct 2023 on 30 Dec 1899. Updated in the system. Thank you for choosing DivergenCIE Coaching! 💫</t>
  </si>
  <si>
    <t>37% missed</t>
  </si>
  <si>
    <t>6000 + 5000(SAT)</t>
  </si>
  <si>
    <t>We acknowledge the fee payment receipt by Sai Nikhita of INR 21875/- for Oct 2023 on 30 Dec 1899. Updated in the system. Thank you for choosing DivergenCIE Coaching! 💫</t>
  </si>
  <si>
    <t>??</t>
  </si>
  <si>
    <t>We acknowledge the fee payment receipt by Shrey Agarwal of INR 5000/- for Oct 2023 on 30 Dec 1899. Updated in the system. Thank you for choosing DivergenCIE Coaching! 💫</t>
  </si>
  <si>
    <t>left</t>
  </si>
  <si>
    <t>We acknowledge the fee payment receipt by Aseel Aymen of SAR 150/- for Sep 2023 on 30 Dec 1899. Updated in the system. Thank you for choosing DivergenCIE Coaching! 💫</t>
  </si>
  <si>
    <t>We acknowledge the fee payment receipt by Ashragat Mohammadin of SAR 150/- for Sep 2023 on 30 Dec 1899. Updated in the system. Thank you for choosing DivergenCIE Coaching! 💫</t>
  </si>
  <si>
    <t>left oct 7</t>
  </si>
  <si>
    <t>We acknowledge the fee payment receipt by Ayesha Imran of SAR 150/- for Sep 2023 on 30 Dec 1899. Updated in the system. Thank you for choosing DivergenCIE Coaching! 💫</t>
  </si>
  <si>
    <t>B13 KSA Qudrat GAT - SAR</t>
  </si>
  <si>
    <t>We acknowledge the fee payment receipt by Basant Gohal of SAR 250/- for Sep 2023 on 30 Dec 1899. Updated in the system. Thank you for choosing DivergenCIE Coaching! 💫</t>
  </si>
  <si>
    <t>We acknowledge the fee payment receipt by Daniel Peter of INR 4500/- for Sep 2023 on 30 Dec 1899. Updated in the system. Thank you for choosing DivergenCIE Coaching! 💫</t>
  </si>
  <si>
    <t>B8 Cambridge A-Level 9093 English Language - INR, B8 Cambridge AS-Level 9618 Computer Science - INR</t>
  </si>
  <si>
    <t>625*8 / 5000 + 250*8 / 2000</t>
  </si>
  <si>
    <t>We acknowledge the fee payment receipt by Debjyoti Sikdar of INR 2000/- for Sep 2023 on 30 Dec 1899. Updated in the system. Thank you for choosing DivergenCIE Coaching! 💫</t>
  </si>
  <si>
    <t>62.50% Eng SL+20% Whole</t>
  </si>
  <si>
    <t>B14 Cambridge IGCSE 0625 Physics - INR, B14 Cambridge IGCSE 0620 Chemistry - INR, B14 Cambridge IGCSE 0580 Mathematics - INR, B14 Cambridge IGCSE 0500 First Language English - INR, B14 Cambridge IGCSE 0610 Biology - INR</t>
  </si>
  <si>
    <t>We acknowledge the fee payment receipt by Geet Panjwani of INR 8750/- for Sep 2023 on 30 Dec 1899. Updated in the system. Thank you for choosing DivergenCIE Coaching! 💫</t>
  </si>
  <si>
    <t>We acknowledge the fee payment receipt by Hamsini Upadhyayula of SAR 6000/- for Sep 2023 on 30 Dec 1899. Updated in the system. Thank you for choosing DivergenCIE Coaching! 💫</t>
  </si>
  <si>
    <t>We acknowledge the fee payment receipt by Juveria Dhanani of INR 5000/- for Sep 2023 on 30 Dec 1899. Updated in the system. Thank you for choosing DivergenCIE Coaching! 💫</t>
  </si>
  <si>
    <t>We acknowledge the fee payment receipt by Kavish Agarwal of INR 5250/- for Sep 2023 on 30 Dec 1899. Updated in the system. Thank you for choosing DivergenCIE Coaching! 💫</t>
  </si>
  <si>
    <t>We acknowledge the fee payment receipt by Mawaddah Haitham of  150/- for Sep 2023 on 30 Dec 1899. Updated in the system. Thank you for choosing DivergenCIE Coaching! 💫</t>
  </si>
  <si>
    <t>We acknowledge the fee payment receipt by Mohammed Abdulmonem of SAR 300/- for Sep 2023 on 30 Dec 1899. Updated in the system. Thank you for choosing DivergenCIE Coaching! 💫</t>
  </si>
  <si>
    <t>We acknowledge the fee payment receipt by Mudassir Dhanani of INR 10000/- for Sep 2023 on 30 Dec 1899. Updated in the system. Thank you for choosing DivergenCIE Coaching! 💫</t>
  </si>
  <si>
    <t>62.50%MC</t>
  </si>
  <si>
    <t>B14 Cambridge IGCSE 0580 Mathematics - INR, B14 Cambridge IGCSE 0620 Chemistry - INR, B14 Cambridge IGCSE 0500 First Language English - INR</t>
  </si>
  <si>
    <t>312.5*16  / 2500</t>
  </si>
  <si>
    <t>We acknowledge the fee payment receipt by Rachit Sonthalia of INR 2812.5/- for Sep 2023 on 30 Dec 1899. Updated in the system. Thank you for choosing DivergenCIE Coaching! 💫</t>
  </si>
  <si>
    <t>We acknowledge the fee payment receipt by Ritaj Ahmed of SAR 500/- for Sep 2023 on 30 Dec 1899. Updated in the system. Thank you for choosing DivergenCIE Coaching! 💫</t>
  </si>
  <si>
    <t>We acknowledge the fee payment receipt by Ritvik P of INR 5625/- for Sep 2023 on 30 Dec 1899. Updated in the system. Thank you for choosing DivergenCIE Coaching! 💫</t>
  </si>
  <si>
    <t>We acknowledge the fee payment receipt by Riza Shaheen of SAR 400/- for Sep 2023 on 30 Dec 1899. Updated in the system. Thank you for choosing DivergenCIE Coaching! 💫</t>
  </si>
  <si>
    <t>We acknowledge the fee payment receipt by Safa Marwah of SAR 500/- for Sep 2023 on 30 Dec 1899. Updated in the system. Thank you for choosing DivergenCIE Coaching! 💫</t>
  </si>
  <si>
    <t>33.3% missed classes</t>
  </si>
  <si>
    <t>We acknowledge the fee payment receipt by Sai Nikhita of INR 23345/- for Sep 2023 on 21 Aug 2022. Updated in the system. Thank you for choosing DivergenCIE Coaching! 💫</t>
  </si>
  <si>
    <t>? ?</t>
  </si>
  <si>
    <t>???</t>
  </si>
  <si>
    <t>We acknowledge the fee payment receipt by Shrey Agarwal of INR 5000/- for Sep 2023 on 30 Dec 1899. Updated in the system. Thank you for choosing DivergenCIE Coaching! 💫</t>
  </si>
  <si>
    <t>We acknowledge the fee payment receipt by Sumayyah Muhammad of SAR 150/- for Sep 2023 on 30 Dec 1899. Updated in the system. Thank you for choosing DivergenCIE Coaching! 💫</t>
  </si>
  <si>
    <t>B14 Cambridge IGCSE 0580 Mathematics - SAR, B14 Cambridge IGCSE 0620 Chemistry - SAR, B14 Cambridge IGCSE 0625 Physics - SAR</t>
  </si>
  <si>
    <t>We acknowledge the fee payment receipt by Taahaa Khalifa of SAR 450/- for Sep 2023 on 30 Dec 1899. Updated in the system. Thank you for choosing DivergenCIE Coaching! 💫</t>
  </si>
  <si>
    <t>? left oct 16</t>
  </si>
  <si>
    <t>We acknowledge the fee payment receipt by Yaseen Khalifa of SAR 85/- for Sep 2023 on 30 Dec 1899. Updated in the system. Thank you for choosing DivergenCIE Coaching! 💫</t>
  </si>
  <si>
    <t>We acknowledge the fee payment receipt by Aseel Aymen of SAR 150/- for Aug 2023 on 30 Dec 1899. Updated in the system. Thank you for choosing DivergenCIE Coaching! 💫</t>
  </si>
  <si>
    <t>We acknowledge the fee payment receipt by Ashragat Mohammadin of SAR 150/- for Aug 2023 on 30 Dec 1899. Updated in the system. Thank you for choosing DivergenCIE Coaching! 💫</t>
  </si>
  <si>
    <t>We acknowledge the fee payment receipt by Ayesha Imran of SAR 150/- for Aug 2023 on 30 Dec 1899. Updated in the system. Thank you for choosing DivergenCIE Coaching! 💫</t>
  </si>
  <si>
    <t>We acknowledge the fee payment receipt by Basant Gohal of SAR 250/- for Aug 2023 on 30 Dec 1899. Updated in the system. Thank you for choosing DivergenCIE Coaching! 💫</t>
  </si>
  <si>
    <t>1 0.1667</t>
  </si>
  <si>
    <t>We acknowledge the fee payment receipt by Daniel Peter of INR 10000/- for Aug 2023 on 30 Dec 1899. Updated in the system. Thank you for choosing DivergenCIE Coaching! 💫</t>
  </si>
  <si>
    <t>We acknowledge the fee payment receipt by Debjyoti Sikdar of INR 2000/- for Aug 2023 on 30 Dec 1899. Updated in the system. Thank you for choosing DivergenCIE Coaching! 💫</t>
  </si>
  <si>
    <t>We acknowledge the fee payment receipt by Geet Panjwani of INR 10000/- for Aug 2023 on 30 Dec 1899. Updated in the system. Thank you for choosing DivergenCIE Coaching! 💫</t>
  </si>
  <si>
    <t>We acknowledge the fee payment receipt by Hamsini Upadhyayula of SAR 6000/- for Aug 2023 on 30 Dec 1899. Updated in the system. Thank you for choosing DivergenCIE Coaching! 💫</t>
  </si>
  <si>
    <t>We acknowledge the fee payment receipt by Juveria Dhanani of INR 5000/- for Aug 2023 on 30 Dec 1899. Updated in the system. Thank you for choosing DivergenCIE Coaching! 💫</t>
  </si>
  <si>
    <t>We acknowledge the fee payment receipt by Kavish Agarwal of INR 5250/- for Aug 2023 on 30 Dec 1899. Updated in the system. Thank you for choosing DivergenCIE Coaching! 💫</t>
  </si>
  <si>
    <t>We acknowledge the fee payment receipt by Mawaddah Haitham of SAR 150/- for Aug 2023 on 30 Dec 1899. Updated in the system. Thank you for choosing DivergenCIE Coaching! 💫</t>
  </si>
  <si>
    <t>We acknowledge the fee payment receipt by Mohammed Abdulmonem of SAR 300/- for Aug 2023 on 30 Dec 1899. Updated in the system. Thank you for choosing DivergenCIE Coaching! 💫</t>
  </si>
  <si>
    <t>We acknowledge the fee payment receipt by Mudassir Dhanani of INR 10000/- for Aug 2023 on 30 Dec 1899. Updated in the system. Thank you for choosing DivergenCIE Coaching! 💫</t>
  </si>
  <si>
    <t>?</t>
  </si>
  <si>
    <t>We acknowledge the fee payment receipt by Niranjana Aji of SAR ?/- for Aug 2023 on 30 Dec 1899. Updated in the system. Thank you for choosing DivergenCIE Coaching! 💫</t>
  </si>
  <si>
    <t>We acknowledge the fee payment receipt by Noorseen Osman of SAR 150/- for Aug 2023 on 30 Dec 1899. Updated in the system. Thank you for choosing DivergenCIE Coaching! 💫</t>
  </si>
  <si>
    <t>We acknowledge the fee payment receipt by Rachit Sonthalia of INR 6000/- for Aug 2023 on 30 Dec 1899. Updated in the system. Thank you for choosing DivergenCIE Coaching! 💫</t>
  </si>
  <si>
    <t>We acknowledge the fee payment receipt by Ritaj Ahmed of SAR 500/- for Aug 2023 on 30 Dec 1899. Updated in the system. Thank you for choosing DivergenCIE Coaching! 💫</t>
  </si>
  <si>
    <t>B8 Cambridge AS-Level 9618 Computer Science - INR, B8 Cambridge AS-Level 9701 Chemistry - INR</t>
  </si>
  <si>
    <t>We acknowledge the fee payment receipt by Ritvik P of INR 5000/- for Aug 2023 on 30 Dec 1899. Updated in the system. Thank you for choosing DivergenCIE Coaching! 💫</t>
  </si>
  <si>
    <t>We acknowledge the fee payment receipt by Riza Shaheen of SAR 500/- for Aug 2023 on 30 Dec 1899. Updated in the system. Thank you for choosing DivergenCIE Coaching! 💫</t>
  </si>
  <si>
    <t>750*32 / 5000</t>
  </si>
  <si>
    <t>We acknowledge the fee payment receipt by Sai Nikhita of INR 30000/- for Aug 2023 on 30 Dec 1899. Updated in the system. Thank you for choosing DivergenCIE Coaching! 💫</t>
  </si>
  <si>
    <t>We acknowledge the fee payment receipt by Shrey Agarwal of INR 5000/- for Aug 2023 on 30 Dec 1899. Updated in the system. Thank you for choosing DivergenCIE Coaching! 💫</t>
  </si>
  <si>
    <t>We acknowledge the fee payment receipt by Sumayyah Muhammad of SAR 150/- for Aug 2023 on 30 Dec 1899. Updated in the system. Thank you for choosing DivergenCIE Coaching! 💫</t>
  </si>
  <si>
    <t>We acknowledge the fee payment receipt by Taahaa Khalifa of SAR 450/- for Aug 2023 on 30 Dec 1899. Updated in the system. Thank you for choosing DivergenCIE Coaching! 💫</t>
  </si>
  <si>
    <t>We acknowledge the fee payment receipt by Yaseen Khalifa of SAR 150/- for Aug 2023 on 21 Aug 2022. Updated in the system. Thank you for choosing DivergenCIE Coaching! 💫</t>
  </si>
  <si>
    <t>0</t>
  </si>
  <si>
    <t>We acknowledge the fee payment receipt by Aseel Aymen of SAR 400/- for Jul 2023 on 30 Dec 1899. Updated in the system. Thank you for choosing DivergenCIE Coaching! 💫</t>
  </si>
  <si>
    <t>We acknowledge the fee payment receipt by Ashragat Mohammadin of SAR 150/- for Jul 2023 on 30 Dec 1899. Updated in the system. Thank you for choosing DivergenCIE Coaching! 💫</t>
  </si>
  <si>
    <t>We acknowledge the fee payment receipt by Basant Gohal of SAR 250/- for Jul 2023 on 30 Dec 1899. Updated in the system. Thank you for choosing DivergenCIE Coaching! 💫</t>
  </si>
  <si>
    <t>800*12 / 10000</t>
  </si>
  <si>
    <t>We acknowledge the fee payment receipt by Bhawik of  9600/- for Jul 2023 on 30 Dec 1899. Updated in the system. Thank you for choosing DivergenCIE Coaching! 💫</t>
  </si>
  <si>
    <t>We acknowledge the fee payment receipt by Daniel Peter of INR 10000/- for Jul 2023 on 30 Dec 1899. Updated in the system. Thank you for choosing DivergenCIE Coaching! 💫</t>
  </si>
  <si>
    <t>We acknowledge the fee payment receipt by Debjyoti Sikdar of INR 2000/- for Jul 2023 on 30 Dec 1899. Updated in the system. Thank you for choosing DivergenCIE Coaching! 💫</t>
  </si>
  <si>
    <t>We acknowledge the fee payment receipt by Ikramuddin of SAR 3300/- for ??? on 30 Dec 1899. Updated in the system. Thank you for choosing DivergenCIE Coaching! 💫</t>
  </si>
  <si>
    <t>MIA</t>
  </si>
  <si>
    <t>We acknowledge the fee payment receipt by Kavish Agarwal of INR 5250/- for Jul 2023 on 30 Dec 1899. Updated in the system. Thank you for choosing DivergenCIE Coaching! 💫</t>
  </si>
  <si>
    <t>400(23072023)+250</t>
  </si>
  <si>
    <t>We acknowledge the fee payment receipt by Layan Sahli of SAR 650/- for Jul 2023 on 30 Dec 1899. Updated in the system. Thank you for choosing DivergenCIE Coaching! 💫</t>
  </si>
  <si>
    <t>We acknowledge the fee payment receipt by Mohammed Abdulmonem of SAR 300/- for Jul 2023 on 30 Dec 1899. Updated in the system. Thank you for choosing DivergenCIE Coaching! 💫</t>
  </si>
  <si>
    <t>We acknowledge the fee payment receipt by Mudassir Dhanani of INR 10000/- for Jul 2023 on 30 Dec 1899. Updated in the system. Thank you for choosing DivergenCIE Coaching! 💫</t>
  </si>
  <si>
    <t>We acknowledge the fee payment receipt by Noorseen Osman of SAR 300/- for Jul 2023 on 30 Dec 1899. Updated in the system. Thank you for choosing DivergenCIE Coaching! 💫</t>
  </si>
  <si>
    <t>We acknowledge the fee payment receipt by Rachit Sonthalia of INR 6000/- for Jul 2023 on 30 Dec 1899. Updated in the system. Thank you for choosing DivergenCIE Coaching! 💫</t>
  </si>
  <si>
    <t>We acknowledge the fee payment receipt by Ritaj Ahmed of SAR 500/- for Jul 2023 on 30 Dec 1899. Updated in the system. Thank you for choosing DivergenCIE Coaching! 💫</t>
  </si>
  <si>
    <t>We acknowledge the fee payment receipt by Riza Shaheen of SAR 500/- for Jul 2023 on 30 Dec 1899. Updated in the system. Thank you for choosing DivergenCIE Coaching! 💫</t>
  </si>
  <si>
    <t>???Paid or not and when</t>
  </si>
  <si>
    <t>We acknowledge the fee payment receipt by Safa Marwah of SAR 300/- for Jul 2023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</si>
  <si>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t>
  </si>
  <si>
    <t>We acknowledge the fee payment receipt by Safa Rasheed of SAR 600/- for Jul 2023 on 30 Dec 1899. Updated in the system. Thank you for choosing DivergenCIE Coaching! 💫</t>
  </si>
  <si>
    <t>We acknowledge the fee payment receipt by Sai Nikhita of INR 20000/- for Jul 2023 on 30 Dec 1899. Updated in the system. Thank you for choosing DivergenCIE Coaching! 💫</t>
  </si>
  <si>
    <t>We acknowledge the fee payment receipt by Shrey Agarwal of INR 5000/- for Jul 2023 on 30 Dec 1899. Updated in the system. Thank you for choosing DivergenCIE Coaching! 💫</t>
  </si>
  <si>
    <t>We acknowledge the fee payment receipt by Sumayyah Muhammad of SAR 150/- for Jul 2023 on 30 Dec 1899. Updated in the system. Thank you for choosing DivergenCIE Coaching! 💫</t>
  </si>
  <si>
    <t>We acknowledge the fee payment receipt by Aseel Aymen of SAR 400/- for Jun 2023 on 30 Dec 1899. Updated in the system. Thank you for choosing DivergenCIE Coaching! 💫</t>
  </si>
  <si>
    <t>We acknowledge the fee payment receipt by Ashragat Mohammadin of SAR 150/- for Jun 2023 on 30 Dec 1899. Updated in the system. Thank you for choosing DivergenCIE Coaching! 💫</t>
  </si>
  <si>
    <t>We acknowledge the fee payment receipt by Basant Gohal of SAR 250/- for Jun 2023 on 30 Dec 1899. Updated in the system. Thank you for choosing DivergenCIE Coaching! 💫</t>
  </si>
  <si>
    <t>We acknowledge the fee payment receipt by Kavish Agarwal of INR 5250/- for Jun 2023 on 30 Dec 1899. Updated in the system. Thank you for choosing DivergenCIE Coaching! 💫</t>
  </si>
  <si>
    <t>We acknowledge the fee payment receipt by Layan Sahli of SAR 250/- for Jun 2023 on 30 Dec 1899. Updated in the system. Thank you for choosing DivergenCIE Coaching! 💫</t>
  </si>
  <si>
    <t>We acknowledge the fee payment receipt by Niranjana Aji of SAR ?/- for Jun 2023 on 30 Dec 1899. Updated in the system. Thank you for choosing DivergenCIE Coaching! 💫</t>
  </si>
  <si>
    <t>We acknowledge the fee payment receipt by Noorseen Osman of SAR 300/- for Jun 2023 on 30 Dec 1899. Updated in the system. Thank you for choosing DivergenCIE Coaching! 💫</t>
  </si>
  <si>
    <t>B14 Cambridge IGCSE 0625 Physics - SAR</t>
  </si>
  <si>
    <t>We acknowledge the fee payment receipt by Riza Shaheen of SAR 500/- for Jun 2023 on 30 Dec 1899. Updated in the system. Thank you for choosing DivergenCIE Coaching! 💫</t>
  </si>
  <si>
    <t>We acknowledge the fee payment receipt by Safa Marwah of SAR 300/- for Jun 2023 on 30 Dec 1899. Updated in the system. Thank you for choosing DivergenCIE Coaching! 💫</t>
  </si>
  <si>
    <t>We acknowledge the fee payment receipt by Safa Rasheed of SAR 600/- for Jun 2023 on 30 Dec 1899. Updated in the system. Thank you for choosing DivergenCIE Coaching! 💫</t>
  </si>
  <si>
    <t>We acknowledge the fee payment receipt by Shrey Agarwal of INR 7500/- for Jun 2023 on 30 Dec 1899. Updated in the system. Thank you for choosing DivergenCIE Coaching! 💫</t>
  </si>
  <si>
    <t>We acknowledge the fee payment receipt by Yaqeen Idriss of SAR 300/- for Jun 2023 on 30 Dec 1899. Updated in the system. Thank you for choosing DivergenCIE Coaching! 💫</t>
  </si>
  <si>
    <t>B14 Cambridge IGCSE 0580 Mathematics - INR, B14 Cambridge IGCSE 0510 English as a Second Language - INR, B14 Cambridge IGCSE 0620 Chemistry - INR, B14 Cambridge IGCSE 0625 Physics - INR, B14 Cambridge IGCSE 0610 Biology - INR</t>
  </si>
  <si>
    <t>We acknowledge the fee payment receipt by Anas Shareef of INR 2700/- for May 2023 on 30 Dec 1899. Updated in the system. Thank you for choosing DivergenCIE Coaching! 💫</t>
  </si>
  <si>
    <t>We acknowledge the fee payment receipt by Aseel Aymen of SAR 400/- for May 2023 on 30 Dec 1899. Updated in the system. Thank you for choosing DivergenCIE Coaching! 💫</t>
  </si>
  <si>
    <t>We acknowledge the fee payment receipt by Ashragat Mohammadin of SAR 150/- for May 2023 on 30 Dec 1899. Updated in the system. Thank you for choosing DivergenCIE Coaching! 💫</t>
  </si>
  <si>
    <t>We acknowledge the fee payment receipt by Basant Gohal of SAR 250/- for May 2023 on 30 Dec 1899. Updated in the system. Thank you for choosing DivergenCIE Coaching! 💫</t>
  </si>
  <si>
    <t>B14 Cambridge IGCSE 0625 Physics - INR, B14 Cambridge IGCSE 0620 Chemistry - INR, B14 Cambridge IGCSE 0610 Biology - INR, B14 Cambridge IGCSE 0510 English as a Second Language - INR, B14 Cambridge IGCSE 0580 Mathematics - INR</t>
  </si>
  <si>
    <t>We acknowledge the fee payment receipt by Diya Ravipati of INR 10416.25/- for May 2023 on 30 Dec 1899. Updated in the system. Thank you for choosing DivergenCIE Coaching! 💫</t>
  </si>
  <si>
    <t>We acknowledge the fee payment receipt by Diyana Abraham of SAR 250/- for May 2023 on 30 Dec 1899. Updated in the system. Thank you for choosing DivergenCIE Coaching! 💫</t>
  </si>
  <si>
    <t>B14 Cambridge IGCSE 0620 Chemistry - SAR</t>
  </si>
  <si>
    <t>We acknowledge the fee payment receipt by Himani Chourasia of SAR 300/- for May 2023 on 30 Dec 1899. Updated in the system. Thank you for choosing DivergenCIE Coaching! 💫</t>
  </si>
  <si>
    <t>We acknowledge the fee payment receipt by Layan Sahli of SAR 250/- for May 2023 on 30 Dec 1899. Updated in the system. Thank you for choosing DivergenCIE Coaching! 💫</t>
  </si>
  <si>
    <t>We acknowledge the fee payment receipt by Lula Abraham of SAR 500/- for May 2023 on 30 Dec 1899. Updated in the system. Thank you for choosing DivergenCIE Coaching! 💫</t>
  </si>
  <si>
    <t>Trisha Agarwal</t>
  </si>
  <si>
    <t>We acknowledge the fee payment receipt by Menna Aymen of SAR 150/- for May 2023 on 30 Dec 1899. Updated in the system. Thank you for choosing DivergenCIE Coaching! 💫</t>
  </si>
  <si>
    <t>We acknowledge the fee payment receipt by Nairah Noushad of SAR 500/- for May 2023 on 21 Aug 2022. Updated in the system. Thank you for choosing DivergenCIE Coaching! 💫</t>
  </si>
  <si>
    <t>We acknowledge the fee payment receipt by Niranjana Aji of SAR 225/- for May 2023 on 30 Dec 1899. Updated in the system. Thank you for choosing DivergenCIE Coaching! 💫</t>
  </si>
  <si>
    <t>We acknowledge the fee payment receipt by Riza Shaheen of SAR 500/- for May 2023 on 30 Dec 1899. Updated in the system. Thank you for choosing DivergenCIE Coaching! 💫</t>
  </si>
  <si>
    <t>We acknowledge the fee payment receipt by Safa Marwah of SAR 300/- for May 2023 on 30 Dec 1899. Updated in the system. Thank you for choosing DivergenCIE Coaching! 💫</t>
  </si>
  <si>
    <t>We acknowledge the fee payment receipt by Safa Rasheed of SAR 600/- for May 2023 on 30 Dec 1899. Updated in the system. Thank you for choosing DivergenCIE Coaching! 💫</t>
  </si>
  <si>
    <t>? partial payment of may was done. how much and when did he stop? how much is due</t>
  </si>
  <si>
    <t>We acknowledge the fee payment receipt by Shrey Agarwal of INR 7500/- for May 2023 on 30 Dec 1899. Updated in the system. Thank you for choosing DivergenCIE Coaching! 💫</t>
  </si>
  <si>
    <t>We acknowledge the fee payment receipt by Zahra Rasheed of SAR 300/- for May 2023 on 30 Dec 1899. Updated in the system. Thank you for choosing DivergenCIE Coaching! 💫</t>
  </si>
  <si>
    <t>We acknowledge the fee payment receipt by Anas Shareef of INR 2700/- for Apr 2023 on 30 Dec 1899. Updated in the system. Thank you for choosing DivergenCIE Coaching! 💫</t>
  </si>
  <si>
    <t>We acknowledge the fee payment receipt by Dina Ali of SAR 750/- for Apr 2023 on 30 Dec 1899. Updated in the system. Thank you for choosing DivergenCIE Coaching! 💫</t>
  </si>
  <si>
    <t>We acknowledge the fee payment receipt by Diya Ravipati of INR 8333/- for Apr 2023 on 30 Dec 1899. Updated in the system. Thank you for choosing DivergenCIE Coaching! 💫</t>
  </si>
  <si>
    <t>We acknowledge the fee payment receipt by Diyana Abraham of SAR 250/- for Apr 2023 on 30 Dec 1899. Updated in the system. Thank you for choosing DivergenCIE Coaching! 💫</t>
  </si>
  <si>
    <t>We acknowledge the fee payment receipt by Kavish Agarwal of INR 4500/- for Apr 2023 on 30 Dec 1899. Updated in the system. Thank you for choosing DivergenCIE Coaching! 💫</t>
  </si>
  <si>
    <t>We acknowledge the fee payment receipt by Lula Abraham of SAR 500/- for Apr 2023 on 30 Dec 1899. Updated in the system. Thank you for choosing DivergenCIE Coaching! 💫</t>
  </si>
  <si>
    <t>We acknowledge the fee payment receipt by Maram of SAR 250/- for Apr 2023 on 21 Aug 2022. Updated in the system. Thank you for choosing DivergenCIE Coaching! 💫</t>
  </si>
  <si>
    <t>We acknowledge the fee payment receipt by Mawaddah Haitham of SAR 500/- for Apr 2023 on 30 Dec 1899. Updated in the system. Thank you for choosing DivergenCIE Coaching! 💫</t>
  </si>
  <si>
    <t>B8 Cambridge AS-Level 9702 Physics - SAR, B8 Cambridge AS-Level 9701 Chemistry - SAR, B8 Cambridge AS-Level 9709 Mathematics: Pure 1 - SAR</t>
  </si>
  <si>
    <t>We acknowledge the fee payment receipt by Mohammed Abdulmonem of SAR 750/- for Apr 2023 on 30 Dec 1899. Updated in the system. Thank you for choosing DivergenCIE Coaching! 💫</t>
  </si>
  <si>
    <t>We acknowledge the fee payment receipt by Nairah Noushad of SAR 500/- for Apr 2023 on 30 Dec 1899. Updated in the system. Thank you for choosing DivergenCIE Coaching! 💫</t>
  </si>
  <si>
    <t>We acknowledge the fee payment receipt by Niranjana Aji of SAR 300/- for Apr 2023 on 30 Dec 1899. Updated in the system. Thank you for choosing DivergenCIE Coaching! 💫</t>
  </si>
  <si>
    <t>We acknowledge the fee payment receipt by Rawan Naser of SAR 390/- for Apr 2023 on 30 Dec 1899. Updated in the system. Thank you for choosing DivergenCIE Coaching! 💫</t>
  </si>
  <si>
    <t>B14 Cambridge IGCSE 0620 Chemistry - SAR, B14 Cambridge IGCSE 0625 Physics - SAR, B14 Cambridge IGCSE 0580 Mathematics - SAR, B14 Cambridge IGCSE 0510 English as a Second Language - SAR</t>
  </si>
  <si>
    <t>We acknowledge the fee payment receipt by Ritaj Ahmed of SAR 400/- for Apr 2023 on 21 Aug 2022. Updated in the system. Thank you for choosing DivergenCIE Coaching! 💫</t>
  </si>
  <si>
    <t>We acknowledge the fee payment receipt by Ritvik Modani of INR 4500/- for Apr 2023 on 30 Dec 1899. Updated in the system. Thank you for choosing DivergenCIE Coaching! 💫</t>
  </si>
  <si>
    <t>class 9</t>
  </si>
  <si>
    <t>We acknowledge the fee payment receipt by Riza Shaheen of SAR 300/- for Apr 2023 on 30 Dec 1899. Updated in the system. Thank you for choosing DivergenCIE Coaching! 💫</t>
  </si>
  <si>
    <t>We acknowledge the fee payment receipt by Safa Rasheed of SAR 600/- for Apr 2023 on 30 Dec 1899. Updated in the system. Thank you for choosing DivergenCIE Coaching! 💫</t>
  </si>
  <si>
    <t>We acknowledge the fee payment receipt by Yaqeen Idriss of SAR 300/- for Apr 2023 on 30 Dec 1899. Updated in the system. Thank you for choosing DivergenCIE Coaching! 💫</t>
  </si>
  <si>
    <t>We acknowledge the fee payment receipt by Zahra Rasheed of SAR 400/- for Apr 2023 on 30 Dec 1899. Updated in the system. Thank you for choosing DivergenCIE Coaching! 💫</t>
  </si>
  <si>
    <t>Apr_of_2022</t>
  </si>
  <si>
    <t>Waiting to resume</t>
  </si>
  <si>
    <t>We acknowledge the fee payment receipt by Anas Shareef of INR 2700/- for Mar 2023 on 30 Dec 1899. Updated in the system. Thank you for choosing DivergenCIE Coaching! 💫</t>
  </si>
  <si>
    <t>We acknowledge the fee payment receipt by Ayisha Abdulaziz of SAR 300/- for Mar 2023 on 30 Dec 1899. Updated in the system. Thank you for choosing DivergenCIE Coaching! 💫</t>
  </si>
  <si>
    <t>Cambridge A-Level</t>
  </si>
  <si>
    <t>1000 SCR</t>
  </si>
  <si>
    <t>We acknowledge the fee payment receipt by Coreen Estico of SCR 2000/- for Mar 2023 on 21 Aug 2022. Updated in the system. Thank you for choosing DivergenCIE Coaching! 💫</t>
  </si>
  <si>
    <t>We acknowledge the fee payment receipt by Dina Ali of SAR 1000/- for Mar 2023 on 30 Dec 1899. Updated in the system. Thank you for choosing DivergenCIE Coaching! 💫</t>
  </si>
  <si>
    <t>We acknowledge the fee payment receipt by Diya Ravipati of INR 8333/- for Mar 2023 on 30 Dec 1899. Updated in the system. Thank you for choosing DivergenCIE Coaching! 💫</t>
  </si>
  <si>
    <t>B14 Cambridge IGCSE 0610 Biology - SAR, B14 Cambridge IGCSE 0620 Chemistry - SAR, B14 Cambridge IGCSE 0625 Physics - SAR, B14 Cambridge IGCSE 0580 Mathematics - SAR, B14 Cambridge IGCSE 0510 English as a Second Language - SAR, B14 Cambridge IGCSE 0417 Information &amp; Communication Technology - SAR, B14 Cambridge IGCSE 0417 Information &amp; Communication Technology - INR</t>
  </si>
  <si>
    <t>We acknowledge the fee payment receipt by Diyana Abraham of SAR 250/- for Mar 2023 on 30 Dec 1899. Updated in the system. Thank you for choosing DivergenCIE Coaching! 💫</t>
  </si>
  <si>
    <t>We acknowledge the fee payment receipt by Ellan of SAR 130/- for Mar 2023 on 30 Dec 1899. Updated in the system. Thank you for choosing DivergenCIE Coaching! 💫</t>
  </si>
  <si>
    <t>We acknowledge the fee payment receipt by Lula Abraham of SAR 500/- for Mar 2023 on 30 Dec 1899. Updated in the system. Thank you for choosing DivergenCIE Coaching! 💫</t>
  </si>
  <si>
    <t>???Paid or not, ask for receipt</t>
  </si>
  <si>
    <t>We acknowledge the fee payment receipt by Maram of SAR 250/- for Mar 2023 on 30 Dec 1899. Updated in the system. Thank you for choosing DivergenCIE Coaching! 💫</t>
  </si>
  <si>
    <t>We acknowledge the fee payment receipt by Mawaddah Haitham of SAR 500/- for Mar 2023 on 21 Aug 2022. Updated in the system. Thank you for choosing DivergenCIE Coaching! 💫</t>
  </si>
  <si>
    <t>We acknowledge the fee payment receipt by Mohammed Abdulmonem of SAR 500/- for Mar 2023 on 30 Dec 1899. Updated in the system. Thank you for choosing DivergenCIE Coaching! 💫</t>
  </si>
  <si>
    <t>We acknowledge the fee payment receipt by Nairah Noushad of SAR 500/- for Mar 2023 on 30 Dec 1899. Updated in the system. Thank you for choosing DivergenCIE Coaching! 💫</t>
  </si>
  <si>
    <t>We acknowledge the fee payment receipt by Najla Salih of SAR 500/- for Mar 2023 on 21 Aug 2022. Updated in the system. Thank you for choosing DivergenCIE Coaching! 💫</t>
  </si>
  <si>
    <t>We acknowledge the fee payment receipt by Niranjana Aji of SAR 300/- for Mar 2023 on 30 Dec 1899. Updated in the system. Thank you for choosing DivergenCIE Coaching! 💫</t>
  </si>
  <si>
    <t>We acknowledge the fee payment receipt by Rania Kamel of SAR 300/- for Mar 2023 on 30 Dec 1899. Updated in the system. Thank you for choosing DivergenCIE Coaching! 💫</t>
  </si>
  <si>
    <t>We acknowledge the fee payment receipt by Rawan Naser of SAR 390/- for Mar 2023 on 30 Dec 1899. Updated in the system. Thank you for choosing DivergenCIE Coaching! 💫</t>
  </si>
  <si>
    <t>B14 Cambridge IGCSE 0620 Chemistry - SAR, B14 Cambridge IGCSE 0625 Physics - SAR, B14 Cambridge IGCSE 0580 Mathematics - SAR, B14 Cambridge IGCSE 0610 Biology - SAR</t>
  </si>
  <si>
    <t>We acknowledge the fee payment receipt by Ritaj Ahmed of SAR 400/- for Mar 2023 on 30 Dec 1899. Updated in the system. Thank you for choosing DivergenCIE Coaching! 💫</t>
  </si>
  <si>
    <t>We acknowledge the fee payment receipt by Riza Shaheen of SAR 300/- for Mar 2023 on 30 Dec 1899. Updated in the system. Thank you for choosing DivergenCIE Coaching! 💫</t>
  </si>
  <si>
    <t>5 subs???</t>
  </si>
  <si>
    <t>We acknowledge the fee payment receipt by Safa Rasheed of SAR 600/- for Mar 2023 on 30 Dec 1899. Updated in the system. Thank you for choosing DivergenCIE Coaching! 💫</t>
  </si>
  <si>
    <t>We acknowledge the fee payment receipt by Yaqeen Idriss of SAR 500/- for Mar 2023 on 30 Dec 1899. Updated in the system. Thank you for choosing DivergenCIE Coaching! 💫</t>
  </si>
  <si>
    <t>We acknowledge the fee payment receipt by Zahra Rasheed of SAR 400/- for Mar 2023 on 30 Dec 1899. Updated in the system. Thank you for choosing DivergenCIE Coaching! 💫</t>
  </si>
  <si>
    <t>Mar_of_2022</t>
  </si>
  <si>
    <t>We acknowledge the fee payment receipt by Anas Shareef of INR 6750/- for Feb 2023 on 30 Dec 1899. Updated in the system. Thank you for choosing DivergenCIE Coaching! 💫</t>
  </si>
  <si>
    <t>We acknowledge the fee payment receipt by Ayisha Abdulaziz of SAR 300/- for Feb 2023 on 30 Dec 1899. Updated in the system. Thank you for choosing DivergenCIE Coaching! 💫</t>
  </si>
  <si>
    <t>We acknowledge the fee payment receipt by Coreen Estico of SCR 2000/- for Feb 2023 on 21 Aug 2022. Updated in the system. Thank you for choosing DivergenCIE Coaching! 💫</t>
  </si>
  <si>
    <t>We acknowledge the fee payment receipt by Dina Ali of SAR 250/- for Feb 2023 on 30 Dec 1899. Updated in the system. Thank you for choosing DivergenCIE Coaching! 💫</t>
  </si>
  <si>
    <t>We acknowledge the fee payment receipt by Diyana Abraham of SAR 250/- for Feb 2023 on 30 Dec 1899. Updated in the system. Thank you for choosing DivergenCIE Coaching! 💫</t>
  </si>
  <si>
    <t>We acknowledge the fee payment receipt by Ellan of SAR 130/- for Feb 2023 on 30 Dec 1899. Updated in the system. Thank you for choosing DivergenCIE Coaching! 💫</t>
  </si>
  <si>
    <t>We acknowledge the fee payment receipt by Jwan Mohammed of SAR 75/- for Feb 2023 on 30 Dec 1899. Updated in the system. Thank you for choosing DivergenCIE Coaching! 💫</t>
  </si>
  <si>
    <t>We acknowledge the fee payment receipt by Lula Abraham of SAR 500/- for Feb 2023 on 30 Dec 1899. Updated in the system. Thank you for choosing DivergenCIE Coaching! 💫</t>
  </si>
  <si>
    <t>We acknowledge the fee payment receipt by Mawaddah Haitham of SAR 500/- for Feb 2023 on 21 Aug 2022. Updated in the system. Thank you for choosing DivergenCIE Coaching! 💫</t>
  </si>
  <si>
    <t>We acknowledge the fee payment receipt by Nairah Noushad of SAR 500/- for Feb 2023 on 30 Dec 1899. Updated in the system. Thank you for choosing DivergenCIE Coaching! 💫</t>
  </si>
  <si>
    <t>We acknowledge the fee payment receipt by Najla Salih of SAR 500/- for Feb 2023 on 21 Aug 2022. Updated in the system. Thank you for choosing DivergenCIE Coaching! 💫</t>
  </si>
  <si>
    <t>We acknowledge the fee payment receipt by Niranjana Aji of SAR 300/- for Feb 2023 on 30 Dec 1899. Updated in the system. Thank you for choosing DivergenCIE Coaching! 💫</t>
  </si>
  <si>
    <t>We acknowledge the fee payment receipt by Rana of SAR 500/- for Feb 2023 on 30 Dec 1899. Updated in the system. Thank you for choosing DivergenCIE Coaching! 💫</t>
  </si>
  <si>
    <t>We acknowledge the fee payment receipt by Rania Kamel of SAR 300/- for Feb 2023 on 30 Dec 1899. Updated in the system. Thank you for choosing DivergenCIE Coaching! 💫</t>
  </si>
  <si>
    <t>We acknowledge the fee payment receipt by Rawan Naser of SAR 390/- for Feb 2023 on 30 Dec 1899. Updated in the system. Thank you for choosing DivergenCIE Coaching! 💫</t>
  </si>
  <si>
    <t>We acknowledge the fee payment receipt by Safa Marwah of SAR 130/- for Feb 2023 on 30 Dec 1899. Updated in the system. Thank you for choosing DivergenCIE Coaching! 💫</t>
  </si>
  <si>
    <t>We acknowledge the fee payment receipt by Safa Rasheed of SAR 500/- for Feb 2023 on 30 Dec 1899. Updated in the system. Thank you for choosing DivergenCIE Coaching! 💫</t>
  </si>
  <si>
    <t>We acknowledge the fee payment receipt by Sumayyah Muhammad of SAR 550/- for Mar 2023 on 30 Dec 1899. Updated in the system. Thank you for choosing DivergenCIE Coaching! 💫</t>
  </si>
  <si>
    <t>We acknowledge the fee payment receipt by Zahra Rasheed of SAR 300/- for Feb 2023 on 30 Dec 1899. Updated in the system. Thank you for choosing DivergenCIE Coaching! 💫</t>
  </si>
  <si>
    <t>We acknowledge the fee payment receipt by Amena Muskan of INR 9000/- for Jan 2023 on 30 Dec 1899. Updated in the system. Thank you for choosing DivergenCIE Coaching! 💫</t>
  </si>
  <si>
    <t>We acknowledge the fee payment receipt by Anas Shareef of INR 6750/- for Jan 2023 on 30 Dec 1899. Updated in the system. Thank you for choosing DivergenCIE Coaching! 💫</t>
  </si>
  <si>
    <t>B14 Cambridge IGCSE 0580 Mathematics - INR, B14 Cambridge IGCSE 0620 Chemistry - INR, B14 Cambridge IGCSE 0625 Physics - INR, B14 Cambridge IGCSE 0417 Information &amp; Communication Technology - INR</t>
  </si>
  <si>
    <t>We acknowledge the fee payment receipt by Ayaan Kanwar of INR 8000/- for Jan 2023 on 30 Dec 1899. Updated in the system. Thank you for choosing DivergenCIE Coaching! 💫</t>
  </si>
  <si>
    <t>We acknowledge the fee payment receipt by Ayisha Abdulaziz of SAR 300/- for Jan 2023 on 30 Dec 1899. Updated in the system. Thank you for choosing DivergenCIE Coaching! 💫</t>
  </si>
  <si>
    <t>We acknowledge the fee payment receipt by Coreen Estico of SCR 2000/- for Jan 2023 on 21 Aug 2022. Updated in the system. Thank you for choosing DivergenCIE Coaching! 💫</t>
  </si>
  <si>
    <t>We acknowledge the fee payment receipt by Dina Ali of SAR 250/- for Jan 2023 on 30 Dec 1899. Updated in the system. Thank you for choosing DivergenCIE Coaching! 💫</t>
  </si>
  <si>
    <t>We acknowledge the fee payment receipt by Diyana Abraham of SAR 250/- for Jan 2023 on 30 Dec 1899. Updated in the system. Thank you for choosing DivergenCIE Coaching! 💫</t>
  </si>
  <si>
    <t>We acknowledge the fee payment receipt by Ellan of SAR 130/- for Jan 2023 on 30 Dec 1899. Updated in the system. Thank you for choosing DivergenCIE Coaching! 💫</t>
  </si>
  <si>
    <t>monem</t>
  </si>
  <si>
    <t>B14 Cambridge IGCSE 0625 Physics - INR, B14 Cambridge IGCSE 0580 Mathematics - INR</t>
  </si>
  <si>
    <t>We acknowledge the fee payment receipt by Hamsini Upadhyayula of SAR 5000/- for Jan 2023 on 30 Dec 1899. Updated in the system. Thank you for choosing DivergenCIE Coaching! 💫</t>
  </si>
  <si>
    <t>We acknowledge the fee payment receipt by Jwan Mohammed of SAR 110/- for Jan 2023 on 30 Dec 1899. Updated in the system. Thank you for choosing DivergenCIE Coaching! 💫</t>
  </si>
  <si>
    <t>We acknowledge the fee payment receipt by Lula Abraham of SAR 500/- for Jan 2023 on 30 Dec 1899. Updated in the system. Thank you for choosing DivergenCIE Coaching! 💫</t>
  </si>
  <si>
    <t>We acknowledge the fee payment receipt by Maanvi Mittal of INR 4500/- for Jan 2023 on 30 Dec 1899. Updated in the system. Thank you for choosing DivergenCIE Coaching! 💫</t>
  </si>
  <si>
    <t>We acknowledge the fee payment receipt by Mawaddah Haitham of SAR 500/- for Jan 2023 on 21 Aug 2022. Updated in the system. Thank you for choosing DivergenCIE Coaching! 💫</t>
  </si>
  <si>
    <t>We acknowledge the fee payment receipt by Najla Salih of SAR 500/- for Jan 2023 on 21 Aug 2022. Updated in the system. Thank you for choosing DivergenCIE Coaching! 💫</t>
  </si>
  <si>
    <t>We acknowledge the fee payment receipt by Niranjana Aji of SAR 300/- for Jan 2023 on 30 Dec 1899. Updated in the system. Thank you for choosing DivergenCIE Coaching! 💫</t>
  </si>
  <si>
    <t>1 Neha Harkut</t>
  </si>
  <si>
    <t>We acknowledge the fee payment receipt by Rana of SAR 500/- for Jan 2023 on 30 Dec 1899. Updated in the system. Thank you for choosing DivergenCIE Coaching! 💫</t>
  </si>
  <si>
    <t>We acknowledge the fee payment receipt by Rania Kamel of SAR 300/- for Jan 2023 on 30 Dec 1899. Updated in the system. Thank you for choosing DivergenCIE Coaching! 💫</t>
  </si>
  <si>
    <t>We acknowledge the fee payment receipt by Rania Sami of SAR /- for Jan 2023 on 30 Dec 1899. Updated in the system. Thank you for choosing DivergenCIE Coaching! 💫</t>
  </si>
  <si>
    <t>We acknowledge the fee payment receipt by Rawan Naser of SAR 390/- for Jan 2023 on 30 Dec 1899. Updated in the system. Thank you for choosing DivergenCIE Coaching! 💫</t>
  </si>
  <si>
    <t>We acknowledge the fee payment receipt by Safa Marwah of SAR 130/- for Jan 2023 on 30 Dec 1899. Updated in the system. Thank you for choosing DivergenCIE Coaching! 💫</t>
  </si>
  <si>
    <t>B14 Cambridge IGCSE 0620 Chemistry - SAR, B14 Cambridge IGCSE 0625 Physics - SAR, B14 Cambridge IGCSE 0580 Mathematics - SAR, B14 Cambridge IGCSE 0417 Information &amp; Communication Technology - SAR</t>
  </si>
  <si>
    <t>We acknowledge the fee payment receipt by Safa Rasheed of SAR 400/- for Jan 2023 on 30 Dec 1899. Updated in the system. Thank you for choosing DivergenCIE Coaching! 💫</t>
  </si>
  <si>
    <t>B14 Cambridge IGCSE 0580 Mathematics - INR, B14 Cambridge IGCSE 0620 Chemistry - INR, B14 Cambridge IGCSE 0625 Physics - INR</t>
  </si>
  <si>
    <t>We acknowledge the fee payment receipt by Sai Hrithika of INR 7500/- for Jan 2023 on 30 Dec 1899. Updated in the system. Thank you for choosing DivergenCIE Coaching! 💫</t>
  </si>
  <si>
    <t>We acknowledge the fee payment receipt by Shrey Agarwal of INR 6000/- for Jan 2023 on 30 Dec 1899. Updated in the system. Thank you for choosing DivergenCIE Coaching! 💫</t>
  </si>
  <si>
    <t>inactive</t>
  </si>
  <si>
    <t>We acknowledge the fee payment receipt by Sumayyah Muhammad of SAR 550/- for Jan 2023 on 30 Dec 1899. Updated in the system. Thank you for choosing DivergenCIE Coaching! 💫</t>
  </si>
  <si>
    <t>We acknowledge the fee payment receipt by Zahra Rasheed of SAR 500/- for Jan 2023 on 30 Dec 1899. Updated in the system. Thank you for choosing DivergenCIE Coaching! 💫</t>
  </si>
  <si>
    <t>B14 Cambridge IGCSE 0580 Mathematics - INR, B14 Cambridge IGCSE 0610 Biology - INR</t>
  </si>
  <si>
    <t>We acknowledge the fee payment receipt by Amena Muskan of INR 5000/- for Dec 2022 on 30 Dec 1899. Updated in the system. Thank you for choosing DivergenCIE Coaching! 💫</t>
  </si>
  <si>
    <t>We acknowledge the fee payment receipt by Anas Shareef of INR 6750/- for Dec 2022 on 30 Dec 1899. Updated in the system. Thank you for choosing DivergenCIE Coaching! 💫</t>
  </si>
  <si>
    <t>We acknowledge the fee payment receipt by Ayaan Kanwar of INR 8000/- for Dec 2022 on 30 Dec 1899. Updated in the system. Thank you for choosing DivergenCIE Coaching! 💫</t>
  </si>
  <si>
    <t>We acknowledge the fee payment receipt by Coreen Estico of SCR 2000/- for Dec 2022 on 21 Aug 2022. Updated in the system. Thank you for choosing DivergenCIE Coaching! 💫</t>
  </si>
  <si>
    <t>We acknowledge the fee payment receipt by Dina Ali of SAR 250/- for Dec 2022 on 30 Dec 1899. Updated in the system. Thank you for choosing DivergenCIE Coaching! 💫</t>
  </si>
  <si>
    <t>We acknowledge the fee payment receipt by Diyana Abraham of SAR 250/- for Dec 2022 on 30 Dec 1899. Updated in the system. Thank you for choosing DivergenCIE Coaching! 💫</t>
  </si>
  <si>
    <t>Cancelled, Active</t>
  </si>
  <si>
    <t>We acknowledge the fee payment receipt by Ellan of  130/- for Dec 2022 on 30 Dec 1899. Updated in the system. Thank you for choosing DivergenCIE Coaching! 💫</t>
  </si>
  <si>
    <t>end 5 dec</t>
  </si>
  <si>
    <t>We acknowledge the fee payment receipt by Faizah of  16.25/- for Dec 2022 on 30 Dec 1899. Updated in the system. Thank you for choosing DivergenCIE Coaching! 💫</t>
  </si>
  <si>
    <t>We acknowledge the fee payment receipt by Fatima of  130/- for Dec 2022 on 30 Dec 1899. Updated in the system. Thank you for choosing DivergenCIE Coaching! 💫</t>
  </si>
  <si>
    <t>We acknowledge the fee payment receipt by Hamsini Upadhyayula of SAR 5000/- for Dec 2022 on 30 Dec 1899. Updated in the system. Thank you for choosing DivergenCIE Coaching! 💫</t>
  </si>
  <si>
    <t>We acknowledge the fee payment receipt by Jwan Mohammed of SAR 150/- for Dec 2022 on 30 Dec 1899. Updated in the system. Thank you for choosing DivergenCIE Coaching! 💫</t>
  </si>
  <si>
    <t>We acknowledge the fee payment receipt by Layan Alhothali of SAR 400/- for Dec 2022 on 30 Dec 1899. Updated in the system. Thank you for choosing DivergenCIE Coaching! 💫</t>
  </si>
  <si>
    <t>We acknowledge the fee payment receipt by Lula Abraham of SAR 500/- for Dec 2022 on 30 Dec 1899. Updated in the system. Thank you for choosing DivergenCIE Coaching! 💫</t>
  </si>
  <si>
    <t>We acknowledge the fee payment receipt by Maanvi Mittal of INR 4500/- for Dec 2022 on 30 Dec 1899. Updated in the system. Thank you for choosing DivergenCIE Coaching! 💫</t>
  </si>
  <si>
    <t>We acknowledge the fee payment receipt by Mawaddah Haitham of SAR 500/- for Dec 2022 on 30 Dec 1899. Updated in the system. Thank you for choosing DivergenCIE Coaching! 💫</t>
  </si>
  <si>
    <t>We acknowledge the fee payment receipt by Najla Salih of SAR 500/- for Dec 2022 on 30 Dec 1899. Updated in the system. Thank you for choosing DivergenCIE Coaching! 💫</t>
  </si>
  <si>
    <t>We acknowledge the fee payment receipt by Niranjana Aji of SAR 300/- for Dec 2022 on 30 Dec 1899. Updated in the system. Thank you for choosing DivergenCIE Coaching! 💫</t>
  </si>
  <si>
    <t>B14 Cambridge IGCSE 0580 Mathematics - INR, B14 Cambridge IGCSE 0620 Chemistry - INR, B14 Cambridge IGCSE 0625 Physics - INR, B14 Cambridge IGCSE 0500 First Language English - INR</t>
  </si>
  <si>
    <t>We acknowledge the fee payment receipt by Rachit Sonthalia of INR 8000/- for Dec 2022 on 30 Dec 1899. Updated in the system. Thank you for choosing DivergenCIE Coaching! 💫</t>
  </si>
  <si>
    <t>We acknowledge the fee payment receipt by Rana of SAR 500/- for Dec 2022 on 30 Dec 1899. Updated in the system. Thank you for choosing DivergenCIE Coaching! 💫</t>
  </si>
  <si>
    <t>We acknowledge the fee payment receipt by Rania Kamel of SAR 360/- for Dec 2022 on 30 Dec 1899. Updated in the system. Thank you for choosing DivergenCIE Coaching! 💫</t>
  </si>
  <si>
    <t>We acknowledge the fee payment receipt by Safa Rasheed of SAR 500/- for Dec 2022 on 30 Dec 1899. Updated in the system. Thank you for choosing DivergenCIE Coaching! 💫</t>
  </si>
  <si>
    <t>We acknowledge the fee payment receipt by Sai Hrithika of INR 7500/- for Dec 2022 on 30 Dec 1899. Updated in the system. Thank you for choosing DivergenCIE Coaching! 💫</t>
  </si>
  <si>
    <t>We acknowledge the fee payment receipt by Shrey Agarwal of INR 6000/- for Dec 2022 on 30 Dec 1899. Updated in the system. Thank you for choosing DivergenCIE Coaching! 💫</t>
  </si>
  <si>
    <t>khamruddin</t>
  </si>
  <si>
    <t>We acknowledge the fee payment receipt by Sumayyah Muhammad of SAR 500/- for Dec 2022 on 30 Dec 1899. Updated in the system. Thank you for choosing DivergenCIE Coaching! 💫</t>
  </si>
  <si>
    <t>We acknowledge the fee payment receipt by Zahra Rasheed of SAR 600/- for Dec 2022 on 30 Dec 1899. Updated in the system. Thank you for choosing DivergenCIE Coaching! 💫</t>
  </si>
  <si>
    <t>B14 Cambridge IGCSE 0478 Computer Science - SAR</t>
  </si>
  <si>
    <t>We acknowledge the fee payment receipt by Adithya Aji of SAR 150/- for Nov 2022 on 30 Dec 1899. Updated in the system. Thank you for choosing DivergenCIE Coaching! 💫</t>
  </si>
  <si>
    <t>We acknowledge the fee payment receipt by Amena Muskan of INR 5000/- for Nov 2022 on 30 Dec 1899. Updated in the system. Thank you for choosing DivergenCIE Coaching! 💫</t>
  </si>
  <si>
    <t>We acknowledge the fee payment receipt by Anas Shareef of INR 6750/- for Nov 2022 on 30 Dec 1899. Updated in the system. Thank you for choosing DivergenCIE Coaching! 💫</t>
  </si>
  <si>
    <t>We acknowledge the fee payment receipt by Ayaan Kanwar of INR 8000/- for Nov 2022 on 30 Dec 1899. Updated in the system. Thank you for choosing DivergenCIE Coaching! 💫</t>
  </si>
  <si>
    <t>We acknowledge the fee payment receipt by Dina Ali of SAR 250/- for Nov 2022 on 30 Dec 1899. Updated in the system. Thank you for choosing DivergenCIE Coaching! 💫</t>
  </si>
  <si>
    <t>We acknowledge the fee payment receipt by Diyana Abraham of SAR 250/- for Nov 2022 on 30 Dec 1899. Updated in the system. Thank you for choosing DivergenCIE Coaching! 💫</t>
  </si>
  <si>
    <t>We acknowledge the fee payment receipt by Jwan Mohammed of SAR 150/- for Nov 2022 on 30 Dec 1899. Updated in the system. Thank you for choosing DivergenCIE Coaching! 💫</t>
  </si>
  <si>
    <t>We acknowledge the fee payment receipt by Khadijah Bako of SAR 100/- for Nov 2022 on 30 Dec 1899. Updated in the system. Thank you for choosing DivergenCIE Coaching! 💫</t>
  </si>
  <si>
    <t>?proof of payment</t>
  </si>
  <si>
    <t>We acknowledge the fee payment receipt by Layan Alhothali of SAR 400/- for Nov 2022 on 30 Dec 1899. Updated in the system. Thank you for choosing DivergenCIE Coaching! 💫</t>
  </si>
  <si>
    <t>We acknowledge the fee payment receipt by Lula Abraham of SAR 500/- for Nov 2022 on 30 Dec 1899. Updated in the system. Thank you for choosing DivergenCIE Coaching! 💫</t>
  </si>
  <si>
    <t>We acknowledge the fee payment receipt by Maanvi Mittal of INR 4500/- for Nov 2022 on 30 Dec 1899. Updated in the system. Thank you for choosing DivergenCIE Coaching! 💫</t>
  </si>
  <si>
    <t>We acknowledge the fee payment receipt by Mawaddah Haitham of SAR 500/- for Nov 2022 on 21 Aug 2022. Updated in the system. Thank you for choosing DivergenCIE Coaching! 💫</t>
  </si>
  <si>
    <t>We acknowledge the fee payment receipt by Najla Salih of SAR 500/- for Nov 2022 on 21 Aug 2022. Updated in the system. Thank you for choosing DivergenCIE Coaching! 💫</t>
  </si>
  <si>
    <t>We acknowledge the fee payment receipt by Niranjana Aji of SAR 300/- for Nov 2022 on 30 Dec 1899. Updated in the system. Thank you for choosing DivergenCIE Coaching! 💫</t>
  </si>
  <si>
    <t>We acknowledge the fee payment receipt by Rachit Sonthalia of INR 6000/- for Nov 2022 on 30 Dec 1899. Updated in the system. Thank you for choosing DivergenCIE Coaching! 💫</t>
  </si>
  <si>
    <t>We acknowledge the fee payment receipt by Rana of SAR 500/- for Nov 2022 on 30 Dec 1899. Updated in the system. Thank you for choosing DivergenCIE Coaching! 💫</t>
  </si>
  <si>
    <t>We acknowledge the fee payment receipt by Rania Kamel of  /- for Nov 2022 on 30 Dec 1899. Updated in the system. Thank you for choosing DivergenCIE Coaching! 💫</t>
  </si>
  <si>
    <t>We acknowledge the fee payment receipt by Safa Rasheed of SAR 500/- for Nov 2022 on 30 Dec 1899. Updated in the system. Thank you for choosing DivergenCIE Coaching! 💫</t>
  </si>
  <si>
    <t>We acknowledge the fee payment receipt by Sai Hrithika of INR 7500/- for Nov 2022 on 30 Dec 1899. Updated in the system. Thank you for choosing DivergenCIE Coaching! 💫</t>
  </si>
  <si>
    <t>paid 5800</t>
  </si>
  <si>
    <t>We acknowledge the fee payment receipt by Shrey Agarwal of INR 6000/- for Nov 2022 on 30 Dec 1899. Updated in the system. Thank you for choosing DivergenCIE Coaching! 💫</t>
  </si>
  <si>
    <t>We acknowledge the fee payment receipt by Sumayyah Muhammad of SAR 500/- for Nov 2022 on 30 Dec 1899. Updated in the system. Thank you for choosing DivergenCIE Coaching! 💫</t>
  </si>
  <si>
    <t>We acknowledge the fee payment receipt by Zahra Rasheed of SAR 500/- for Nov 2022 on 30 Dec 1899. Updated in the system. Thank you for choosing DivergenCIE Coaching! 💫</t>
  </si>
  <si>
    <t>We acknowledge the fee payment receipt by Adithya Aji of SAR 150/- for Oct 2022 on 30 Dec 1899. Updated in the system. Thank you for choosing DivergenCIE Coaching! 💫</t>
  </si>
  <si>
    <t>We acknowledge the fee payment receipt by Amena Muskan of INR 5000/- for Oct 2022 on 30 Dec 1899. Updated in the system. Thank you for choosing DivergenCIE Coaching! 💫</t>
  </si>
  <si>
    <t>We acknowledge the fee payment receipt by Anas Shareef of INR 6750/- for Oct 2022 on 30 Dec 1899. Updated in the system. Thank you for choosing DivergenCIE Coaching! 💫</t>
  </si>
  <si>
    <t>We acknowledge the fee payment receipt by Ayaan Kanwar of INR 8000/- for Oct 2022 on 30 Dec 1899. Updated in the system. Thank you for choosing DivergenCIE Coaching! 💫</t>
  </si>
  <si>
    <t>paid 4000</t>
  </si>
  <si>
    <t>We acknowledge the fee payment receipt by Coreen Estico of SCR 2000/- for Oct 2022 on 21 Aug 2022. Updated in the system. Thank you for choosing DivergenCIE Coaching! 💫</t>
  </si>
  <si>
    <t>We acknowledge the fee payment receipt by Diyana Abraham of SAR 250/- for Oct 2022 on 30 Dec 1899. Updated in the system. Thank you for choosing DivergenCIE Coaching! 💫</t>
  </si>
  <si>
    <t>We acknowledge the fee payment receipt by Lula Abraham of SAR 500/- for Oct 2022 on 30 Dec 1899. Updated in the system. Thank you for choosing DivergenCIE Coaching! 💫</t>
  </si>
  <si>
    <t>We acknowledge the fee payment receipt by Maanvi Mittal of INR 4500/- for Oct 2022 on 30 Dec 1899. Updated in the system. Thank you for choosing DivergenCIE Coaching! 💫</t>
  </si>
  <si>
    <t>6 days 24-30 oct left</t>
  </si>
  <si>
    <t>4/5?</t>
  </si>
  <si>
    <t>2500?</t>
  </si>
  <si>
    <t>We acknowledge the fee payment receipt by Mawaddah Haitham of SAR 500/- for Oct 2022 on 21 Aug 2022. Updated in the system. Thank you for choosing DivergenCIE Coaching! 💫</t>
  </si>
  <si>
    <t>We acknowledge the fee payment receipt by Najla Salih of SAR 500/- for Oct 2022 on 21 Aug 2022. Updated in the system. Thank you for choosing DivergenCIE Coaching! 💫</t>
  </si>
  <si>
    <t>We acknowledge the fee payment receipt by Neha Harkut of INR 4500/- for Oct 2022 on 30 Dec 1899. Updated in the system. Thank you for choosing DivergenCIE Coaching! 💫</t>
  </si>
  <si>
    <t>B14 Cambridge IGCSE 0620 Chemistry - SAR, B14 Cambridge IGCSE 0625 Physics - SAR, B14 Cambridge IGCSE 0580 Mathematics - SAR, B14 Cambridge IGCSE 0510 English as a Second Language - SAR, B14 Cambridge IGCSE 0417 Information &amp; Communication Technology - SAR</t>
  </si>
  <si>
    <t>We acknowledge the fee payment receipt by Niranjana Aji of SAR 400/- for Oct 2022 on 30 Dec 1899. Updated in the system. Thank you for choosing DivergenCIE Coaching! 💫</t>
  </si>
  <si>
    <t>extra 500</t>
  </si>
  <si>
    <t>We acknowledge the fee payment receipt by Rachit Sonthalia of INR 6000/- for Oct 2022 on 30 Dec 1899. Updated in the system. Thank you for choosing DivergenCIE Coaching! 💫</t>
  </si>
  <si>
    <t>We acknowledge the fee payment receipt by Rana of SAR 500/- for Oct 2022 on 30 Dec 1899. Updated in the system. Thank you for choosing DivergenCIE Coaching! 💫</t>
  </si>
  <si>
    <t>We acknowledge the fee payment receipt by Rania Kamel of SAR 150/- for Oct 2022 on 30 Dec 1899. Updated in the system. Thank you for choosing DivergenCIE Coaching! 💫</t>
  </si>
  <si>
    <t>We acknowledge the fee payment receipt by Rania Sami of SAR 475/- for Oct 2022 on 30 Dec 1899. Updated in the system. Thank you for choosing DivergenCIE Coaching! 💫</t>
  </si>
  <si>
    <t>We acknowledge the fee payment receipt by Safa Rasheed of SAR 500/- for Oct 2022 on 30 Dec 1899. Updated in the system. Thank you for choosing DivergenCIE Coaching! 💫</t>
  </si>
  <si>
    <t>paid 5700</t>
  </si>
  <si>
    <t>We acknowledge the fee payment receipt by Shrey Agarwal of INR 6000/- for Oct 2022 on 30 Dec 1899. Updated in the system. Thank you for choosing DivergenCIE Coaching! 💫</t>
  </si>
  <si>
    <t>We acknowledge the fee payment receipt by Sumayyah Muhammad of SAR 500/- for Oct 2022 on 30 Dec 1899. Updated in the system. Thank you for choosing DivergenCIE Coaching! 💫</t>
  </si>
  <si>
    <t>We acknowledge the fee payment receipt by Zahra Rasheed of SAR 600/- for Oct 2022 on 30 Dec 1899. Updated in the system. Thank you for choosing DivergenCIE Coaching! 💫</t>
  </si>
  <si>
    <t>We acknowledge the fee payment receipt by Adithya Aji of SAR 150/- for Sep 2022 on 30 Dec 1899. Updated in the system. Thank you for choosing DivergenCIE Coaching! 💫</t>
  </si>
  <si>
    <t>We acknowledge the fee payment receipt by Anas Shareef of INR 6750/- for Sep 2022 on 30 Dec 1899. Updated in the system. Thank you for choosing DivergenCIE Coaching! 💫</t>
  </si>
  <si>
    <t>We acknowledge the fee payment receipt by Ayaan Kanwar of INR 8000/- for Sep 2022 on 30 Dec 1899. Updated in the system. Thank you for choosing DivergenCIE Coaching! 💫</t>
  </si>
  <si>
    <t>paid 1525</t>
  </si>
  <si>
    <t>We acknowledge the fee payment receipt by Coreen Estico of SCR 2000/- for Sep 2022 on 21 Aug 2022. Updated in the system. Thank you for choosing DivergenCIE Coaching! 💫</t>
  </si>
  <si>
    <t>B14 Cambridge IGCSE 0580 Mathematics - INR, B14 Cambridge IGCSE 0620 Chemistry - INR, B14 Cambridge IGCSE 0625 Physics - INR, B14 Cambridge IGCSE 0610 Biology - SAR</t>
  </si>
  <si>
    <t>We acknowledge the fee payment receipt by Maanvi Mittal of INR 6000/- for Sep 2022 on 30 Dec 1899. Updated in the system. Thank you for choosing DivergenCIE Coaching! 💫</t>
  </si>
  <si>
    <t>We acknowledge the fee payment receipt by Neha Harkut of INR 4000/- for Sep 2022 on 30 Dec 1899. Updated in the system. Thank you for choosing DivergenCIE Coaching! 💫</t>
  </si>
  <si>
    <t>We acknowledge the fee payment receipt by Niranjana Aji of SAR 400/- for Sep 2022 on 30 Dec 1899. Updated in the system. Thank you for choosing DivergenCIE Coaching! 💫</t>
  </si>
  <si>
    <t>(skipped to 10-Oct)</t>
  </si>
  <si>
    <t>We acknowledge the fee payment receipt by Rachit Sonthalia of INR 6000/- for Sep 2022 on 30 Dec 1899. Updated in the system. Thank you for choosing DivergenCIE Coaching! 💫</t>
  </si>
  <si>
    <t>We acknowledge the fee payment receipt by Shrey Agarwal of INR 6000/- for Sep 2022 on 30 Dec 1899. Updated in the system. Thank you for choosing DivergenCIE Coaching! 💫</t>
  </si>
  <si>
    <t>We acknowledge the fee payment receipt by Zahra Rasheed of SAR 598/- for Sep 2022 on 30 Dec 1899. Updated in the system. Thank you for choosing DivergenCIE Coaching! 💫</t>
  </si>
  <si>
    <t>B14 Cambridge IGCSE 0580 Mathematics - INR, B14 Cambridge IGCSE 0620 Chemistry - INR, B14 Cambridge IGCSE 0625 Physics - INR, B14 Cambridge IGCSE 0610 Biology - INR</t>
  </si>
  <si>
    <t>We acknowledge the fee payment receipt by Aditya Bansal of INR 9000/- for Aug 2022 on 30 Dec 1899. Updated in the system. Thank you for choosing DivergenCIE Coaching! 💫</t>
  </si>
  <si>
    <t>We acknowledge the fee payment receipt by Anas Shareef of INR 6750/- for Aug 2022 on 30 Dec 1899. Updated in the system. Thank you for choosing DivergenCIE Coaching! 💫</t>
  </si>
  <si>
    <t>We acknowledge the fee payment receipt by Ayaan Kanwar of INR 6000/- for Aug 2022 on 30 Dec 1899. Updated in the system. Thank you for choosing DivergenCIE Coaching! 💫</t>
  </si>
  <si>
    <t>We acknowledge the fee payment receipt by Coreen Estico of SCR 2000/- for Aug 2022 on 21 Aug 2022. Updated in the system. Thank you for choosing DivergenCIE Coaching! 💫</t>
  </si>
  <si>
    <t>EXTRA - LEFT</t>
  </si>
  <si>
    <t>We acknowledge the fee payment receipt by Dhruv Vamshi of INR 6300/- for Aug 2022 on 30 Dec 1899. Updated in the system. Thank you for choosing DivergenCIE Coaching! 💫</t>
  </si>
  <si>
    <t>We acknowledge the fee payment receipt by Maanvi Mittal of INR 6000/- for Aug 2022 on 30 Dec 1899. Updated in the system. Thank you for choosing DivergenCIE Coaching! 💫</t>
  </si>
  <si>
    <t>We acknowledge the fee payment receipt by Neha Harkut of INR 4500/- for Aug 2022 on 30 Dec 1899. Updated in the system. Thank you for choosing DivergenCIE Coaching! 💫</t>
  </si>
  <si>
    <t>We acknowledge the fee payment receipt by Niranjana Aji of SAR 375/- for Aug 2022 on 30 Dec 1899. Updated in the system. Thank you for choosing DivergenCIE Coaching! 💫</t>
  </si>
  <si>
    <t>We acknowledge the fee payment receipt by Rachit Sonthalia of INR 6000/- for Aug 2022 on 30 Dec 1899. Updated in the system. Thank you for choosing DivergenCIE Coaching! 💫</t>
  </si>
  <si>
    <t>We acknowledge the fee payment receipt by Shrey Agarwal of INR 4800/- for Aug 2022 on 30 Dec 1899. Updated in the system. Thank you for choosing DivergenCIE Coaching! 💫</t>
  </si>
  <si>
    <t>We acknowledge the fee payment receipt by Jotham of  /- for Dec 1899 on 30 Dec 1899. Updated in the system. Thank you for choosing DivergenCIE Coaching! 💫</t>
  </si>
  <si>
    <t>We acknowledge the fee payment receipt by Zahra Rasheed of SAR 498/- for Aug 2022 on 30 Dec 1899. Updated in the system. Thank you for choosing DivergenCIE Coaching! 💫</t>
  </si>
  <si>
    <t>Staff</t>
  </si>
  <si>
    <t>Subjects/hours</t>
  </si>
  <si>
    <t>Started</t>
  </si>
  <si>
    <t>Date done</t>
  </si>
  <si>
    <t>Notes 2</t>
  </si>
  <si>
    <t>Column 15</t>
  </si>
  <si>
    <t>Column 16</t>
  </si>
  <si>
    <t>Column 17</t>
  </si>
  <si>
    <t>Column 18</t>
  </si>
  <si>
    <t>Column 19</t>
  </si>
  <si>
    <t>Column 20</t>
  </si>
  <si>
    <t>Column 21</t>
  </si>
  <si>
    <t>Column 22</t>
  </si>
  <si>
    <t>Column 23</t>
  </si>
  <si>
    <t>Column 24</t>
  </si>
  <si>
    <t>Column 25</t>
  </si>
  <si>
    <t>Column 26</t>
  </si>
  <si>
    <t>Today</t>
  </si>
  <si>
    <t xml:space="preserve">(IGCSE Chemistry, IGCSE Physics, IGCSE Mathematics) 50% for igcse math which started on 3rd jan. </t>
  </si>
  <si>
    <t>Ahmar (SAR)  xx</t>
  </si>
  <si>
    <t/>
  </si>
  <si>
    <t>Rabia (USD) xx</t>
  </si>
  <si>
    <t>English FL</t>
  </si>
  <si>
    <t>Murtaza (USD) xx no updated info on ID or Bank</t>
  </si>
  <si>
    <t>Arqam (PKR)  xx?</t>
  </si>
  <si>
    <t>Chirag (INR) xx?</t>
  </si>
  <si>
    <t>Aurneela (MYR) xx</t>
  </si>
  <si>
    <t>Ayisha (MYR) x no ID</t>
  </si>
  <si>
    <t>Atiqa (PKR) xx</t>
  </si>
  <si>
    <t>Sarah(BHD)</t>
  </si>
  <si>
    <t>Count</t>
  </si>
  <si>
    <t>Total Due</t>
  </si>
  <si>
    <t>50% for igcse math started on 3rd jan</t>
  </si>
  <si>
    <t xml:space="preserve">Ahmar (SAR) </t>
  </si>
  <si>
    <t>IGCSE Biology:5hr  IGCSE Chemistry:7hr</t>
  </si>
  <si>
    <t>Rabia (USD)</t>
  </si>
  <si>
    <t>16764 (transferred 53,366.60)</t>
  </si>
  <si>
    <t>IGCSE English FL :7 hr</t>
  </si>
  <si>
    <t>Murtaza (USD)</t>
  </si>
  <si>
    <t>Arqam (PKR)</t>
  </si>
  <si>
    <t>Chirag (INR)</t>
  </si>
  <si>
    <t>Aurneela (MYR)</t>
  </si>
  <si>
    <t>Ayisha (MYR)</t>
  </si>
  <si>
    <t>Atiqa (PKR)</t>
  </si>
  <si>
    <t>IGCSE Pysics 4/8 , IGCSE Maths 3/8 , IGCSE Chem 3/9</t>
  </si>
  <si>
    <t>X</t>
  </si>
  <si>
    <t>15000 PKR</t>
  </si>
  <si>
    <t xml:space="preserve">Atiqa Surplus (PKR) </t>
  </si>
  <si>
    <t xml:space="preserve">6600 PKR </t>
  </si>
  <si>
    <t xml:space="preserve">Vaishak:1.5 hr remaining </t>
  </si>
  <si>
    <t>May 2 and Jun 15 (Remaining april:3hr )</t>
  </si>
  <si>
    <t>Saddique (MYR)</t>
  </si>
  <si>
    <t>?Add date</t>
  </si>
  <si>
    <t xml:space="preserve">Shubh:13.5hr SaiN past paper:5hr SaiN session:2.5hr SaiN </t>
  </si>
  <si>
    <t xml:space="preserve">Jun =25+75+37.5. June-2024
IGCSE Chemistry 
2/8 taken out of
IGCSE Mathematics 
6/8 taken out of 
IGCSE Physics 
3/8 taken out of    + Marium (21 classes conducted ) 210 SAR </t>
  </si>
  <si>
    <t>Aug 18 (300)</t>
  </si>
  <si>
    <t>Aug 29 (162)</t>
  </si>
  <si>
    <t xml:space="preserve">PKR 66200 (73800-7600) </t>
  </si>
  <si>
    <t>Atiqa (PKR) Surplus</t>
  </si>
  <si>
    <t xml:space="preserve">PKR 6640) </t>
  </si>
  <si>
    <t xml:space="preserve">Shubh:12hr Sarah:9.5hr </t>
  </si>
  <si>
    <t>Aug 29 (300), Sep 12 (173)</t>
  </si>
  <si>
    <t>4.5 hrs</t>
  </si>
  <si>
    <t>Maryam</t>
  </si>
  <si>
    <t>Shubh:15hr Sarah:10hr</t>
  </si>
  <si>
    <t>Oct 15 (225), Nov 8 (225)</t>
  </si>
  <si>
    <t>225(50%), 225 (50%)</t>
  </si>
  <si>
    <t>1st: Oct 29, 2024 (PKR 2472)</t>
  </si>
  <si>
    <t>2nd: Dec 10, 2024 (PKR 2498)</t>
  </si>
  <si>
    <t xml:space="preserve">shubh:13.5 hr , no sarah </t>
  </si>
  <si>
    <t>Dec 10, 2024 (PKR 9162)</t>
  </si>
  <si>
    <t>Shubh:14.5 hr , sarah:9.5 hr</t>
  </si>
  <si>
    <t xml:space="preserve">pause from 5-october </t>
  </si>
  <si>
    <t>Mahrukh Altaf (PKR)</t>
  </si>
  <si>
    <t>Probation</t>
  </si>
  <si>
    <t>Break 21 oct to 31 oct - 11 days - exam</t>
  </si>
  <si>
    <t>Aleena Usman (PKR)</t>
  </si>
  <si>
    <t>Adithya:7hr, B14: 2 hr</t>
  </si>
  <si>
    <t>Murtaza (USD) ?</t>
  </si>
  <si>
    <t xml:space="preserve">Sarah:9hr, Shubh:15hr </t>
  </si>
  <si>
    <t>Supposed to be apr 30</t>
  </si>
  <si>
    <t>Dec-11 6000/-</t>
  </si>
  <si>
    <t>Harem Mir</t>
  </si>
  <si>
    <t>Dec-10 PKR 19,674/-</t>
  </si>
  <si>
    <t>Aditya:15hr, B14:</t>
  </si>
  <si>
    <t xml:space="preserve">Sarah:9hr, Shubh:9hr </t>
  </si>
  <si>
    <t>DC Staff Pay: Atiqa Fatima 2024 Jan Surplus 
PKR 44,488 /-
29 Jan, 2025</t>
  </si>
  <si>
    <t>?check</t>
  </si>
  <si>
    <t>Shubh:9.5hr</t>
  </si>
  <si>
    <t>8-days leave detected(total PKR 4400/-)</t>
  </si>
  <si>
    <t>Aleena leave 3-day deetected (total PKR 5400/-)</t>
  </si>
  <si>
    <t>11-Mar(1st Pay: PKR 15,114/-) + 25-Mar(2nd pay: PKR 8410/-)</t>
  </si>
  <si>
    <t>Shubh7.5hr</t>
  </si>
  <si>
    <t xml:space="preserve">? check if payment done or not </t>
  </si>
  <si>
    <t>11-Mar(1st pay: PKR8395/-) + 16-Mar(2nd pay PKR8395/-)</t>
  </si>
  <si>
    <t>Shubh:10.5hr</t>
  </si>
  <si>
    <t>22-Apr (1st pay:PKR 2173/-) 27-Apr(2nd pay:PKR 3827/-)</t>
  </si>
  <si>
    <t>15-Apr (PKR 16,849/-)</t>
  </si>
  <si>
    <t>Harem(PKR 1279/-) + Aleena(PKR 3827/-)</t>
  </si>
  <si>
    <t>Atiqa Deficit Amount</t>
  </si>
  <si>
    <t>!cleared</t>
  </si>
  <si>
    <t>?not updated</t>
  </si>
  <si>
    <t xml:space="preserve">Shubh:15hr, </t>
  </si>
  <si>
    <t>apr 7-21, may1-4 total 19 days</t>
  </si>
  <si>
    <t>1st pay:6-jun (PKR 3,800/-)</t>
  </si>
  <si>
    <t>paid on 10/13/2025</t>
  </si>
  <si>
    <t>PAUSED</t>
  </si>
  <si>
    <t>June of 2025</t>
  </si>
  <si>
    <t>jun 23 scheduled sent, jun 24 started classes with faraz ESL</t>
  </si>
  <si>
    <t>started 2-june</t>
  </si>
  <si>
    <t xml:space="preserve">1-jul(/PKR 6000/-) </t>
  </si>
  <si>
    <t xml:space="preserve">jul 5 started classes with brighty ESL </t>
  </si>
  <si>
    <t xml:space="preserve">Atiqa Deficit (PKR) </t>
  </si>
  <si>
    <t>DC Staff Payment 2025 July:
Atiqa Fatima, Deposit, PKR 50,429/- 
Date paid: Jul 4, 2025</t>
  </si>
  <si>
    <t xml:space="preserve">resume on 8-july </t>
  </si>
  <si>
    <t xml:space="preserve"> Officially Resign on 25-Aug 2025</t>
  </si>
  <si>
    <t xml:space="preserve">8-Aug(PKR 6000/-) </t>
  </si>
  <si>
    <t xml:space="preserve">brighty stopped on 30-aug </t>
  </si>
  <si>
    <t xml:space="preserve">leave from 9-30 aug </t>
  </si>
  <si>
    <t xml:space="preserve">faraz stopped on 4-oct </t>
  </si>
  <si>
    <t xml:space="preserve">resign on 20-sep </t>
  </si>
  <si>
    <t>Resign on 25-Aug 2025</t>
  </si>
  <si>
    <t>From</t>
  </si>
  <si>
    <t>December of 2023</t>
  </si>
  <si>
    <t>January of 2024</t>
  </si>
  <si>
    <t>February of 2024</t>
  </si>
  <si>
    <t>March of 2024</t>
  </si>
  <si>
    <t>April of 2024</t>
  </si>
  <si>
    <t>May of 2024</t>
  </si>
  <si>
    <t>June of 2024</t>
  </si>
  <si>
    <t>July of 2024</t>
  </si>
  <si>
    <t>August of 2024</t>
  </si>
  <si>
    <t>September of 2024</t>
  </si>
  <si>
    <t>October of 2024</t>
  </si>
  <si>
    <t>November of 2024</t>
  </si>
  <si>
    <t>December of 2024</t>
  </si>
  <si>
    <t>January of 2025</t>
  </si>
  <si>
    <t>February of 2025</t>
  </si>
  <si>
    <t>March of 2025</t>
  </si>
  <si>
    <t>April of 2025</t>
  </si>
  <si>
    <t>May of 2025</t>
  </si>
  <si>
    <t>July of 2025</t>
  </si>
  <si>
    <t>Aug of 2025</t>
  </si>
  <si>
    <t>Sep of 2025</t>
  </si>
  <si>
    <t>Oct of 2025</t>
  </si>
  <si>
    <t>INTERVIEW POSITION</t>
  </si>
  <si>
    <t>TIME ZONE</t>
  </si>
  <si>
    <t>PHONE NO</t>
  </si>
  <si>
    <t>EMAIL</t>
  </si>
  <si>
    <t>INTERVIEW DATE</t>
  </si>
  <si>
    <t>INTERVIEW TIME</t>
  </si>
  <si>
    <t>STATUS</t>
  </si>
  <si>
    <t>NOTES</t>
  </si>
  <si>
    <t>SKILLS/SUBJECTS</t>
  </si>
  <si>
    <t>EXTRA SKILLS/SUBJECTS</t>
  </si>
  <si>
    <t xml:space="preserve">LINKS </t>
  </si>
  <si>
    <t>QUALIFICATIONS</t>
  </si>
  <si>
    <t>START DATE</t>
  </si>
  <si>
    <t>OFFER LETTER</t>
  </si>
  <si>
    <t>RATE</t>
  </si>
  <si>
    <t>GCR ACCESS</t>
  </si>
  <si>
    <t>CLASS SCHEDULE</t>
  </si>
  <si>
    <t>WORK FOLDER</t>
  </si>
  <si>
    <t>Kiran Saif</t>
  </si>
  <si>
    <t>AS Biology</t>
  </si>
  <si>
    <t>PAKISTAN</t>
  </si>
  <si>
    <t>+923116411685</t>
  </si>
  <si>
    <t>Unavailable</t>
  </si>
  <si>
    <t>Last 6 yrs govt teachers
Last 3 months A-level on zoom
Masters in zoology,B.ed
teaches while Camera on from physical books/notes 
Little knowledge about whiteboard
Questions/quiz at the end of the class as assessment 
Not fimiliar with Google classroom.
7-9 PM for teaching Fri,Sunday, 8-10$ / hr (expected)</t>
  </si>
  <si>
    <t>https://drive.google.com/file/d/1QPif0D9Wn-SEMO1OjEnuYzBIc8Ojw0Xt/view?usp=drivesdk</t>
  </si>
  <si>
    <t>Aisyah</t>
  </si>
  <si>
    <t xml:space="preserve">Social media manager </t>
  </si>
  <si>
    <t>MALAYSIA</t>
  </si>
  <si>
    <t>+60148787010</t>
  </si>
  <si>
    <t xml:space="preserve">International graduate student in university of malaya 
studying  bachelor of english as a secong language
has educational certifications/competitions in indonesian high school, taken workshops for posters but solely learned from university associations 
EXPERIENCE: doing project with university association(international student association,dormitory college as a graphic design team)
FUTURE: work for royal media college , working on university magzine which will out in januarary
PLATFORMS: canva,notion,newcut,google snap sync 
FIMIILIAR WITH: insta(litte about ad havent tried it),facebook,linkedin
TIME: 1-2 hr/daily , TUES/SATURDAY= afternoon , SUNDAY= whole day 
VIDEO EXPERIENCE: had been a part of a video podcast, little knowledge about video editing but have the potential to learn 
MORE INTERESTED: changing DC standards by the brand logo, adding asthetics, uniqueness </t>
  </si>
  <si>
    <t>https://drive.google.com/file/d/1QYkDOTTxEw818Zpxjj85vagthLxcQ4S5/view?usp=drivesdk</t>
  </si>
  <si>
    <t>100-150</t>
  </si>
  <si>
    <t>Rida Ashfaq</t>
  </si>
  <si>
    <t>+92 324 4478756</t>
  </si>
  <si>
    <t>3:30 PM IST</t>
  </si>
  <si>
    <t>Available</t>
  </si>
  <si>
    <t xml:space="preserve">Teaching Experience:  online: Since 2018 , online UK based students, Physical: O-Level Biology Availability: Mon+Tues+Thurs 5:30-9:30 PM IST </t>
  </si>
  <si>
    <t>AQA, O/A LEVEL BIOLOGY</t>
  </si>
  <si>
    <t>Research assistant(COVID+DIABETES FROM LUMS),cohort adviser(PIONEER ACADEMIC RESEARCH INSTITUTE)</t>
  </si>
  <si>
    <t>https://drive.google.com/file/d/1_L7kc2AVVpS2vpTlvsluBa9_J13t4-J_/view?usp=drive_link</t>
  </si>
  <si>
    <t>Bacherlors:Biochemistry Master:Molecular Biology</t>
  </si>
  <si>
    <t>Not Done</t>
  </si>
  <si>
    <t>Pakistan</t>
  </si>
  <si>
    <t>+92 316 5643643</t>
  </si>
  <si>
    <t>12:30 PM IST</t>
  </si>
  <si>
    <t>Teachng Experience: taught 100+ students online at abi dhabi based tutoring company (MTS-my tutor source)  Availability:5:30-10::30 PM IST (any weekdays) Expected rate:: 10-20$)</t>
  </si>
  <si>
    <t xml:space="preserve">Biology(IB,AP,O/A/IGCSE,OCE,AKU,edexcel)   ENGLISH(PRIMARY TO A-LEVEL) HISTORY </t>
  </si>
  <si>
    <t>none</t>
  </si>
  <si>
    <t>https://drive.google.com/file/d/1ajd20T1MSOpZMZyY3kPtYWfmnU-dtfrn/view?usp=drive_link</t>
  </si>
  <si>
    <t>Bachelors:Medicine (MBBS)</t>
  </si>
  <si>
    <t>Tehreem Fatima</t>
  </si>
  <si>
    <t>+92 334 1671378</t>
  </si>
  <si>
    <t>1:00 PM IST</t>
  </si>
  <si>
    <t xml:space="preserve">Teaching Experience: first time teaching online + have taught in person before to students  Availability:5:30-9:30 PM IST  Expected Rate:4$/hr </t>
  </si>
  <si>
    <t>Biology(A-level) Chemistry(lower grades)</t>
  </si>
  <si>
    <t xml:space="preserve">UTUBE channel(Doctor science lab) creating video lectures for 6 months </t>
  </si>
  <si>
    <t>https://drive.google.com/file/d/1anWcd4l2_YTpNcFgn_nj8eoE3u6btA2j/view?usp=drive_link</t>
  </si>
  <si>
    <t>Bachelors:Medicine (MBBS-2 year)</t>
  </si>
  <si>
    <t>Zain Ullah</t>
  </si>
  <si>
    <t>Sajida Begum</t>
  </si>
  <si>
    <t>+92 334 5118248</t>
  </si>
  <si>
    <t>1:30 PM IST</t>
  </si>
  <si>
    <t xml:space="preserve">Teaching Experience: more than 15 years physically and 6 months online Availability:4:30-11:30 PM IST everyday  Expected Rate: 10-20$ </t>
  </si>
  <si>
    <t>Biology(0/A - level) garde 6-7: English,chem,physics,</t>
  </si>
  <si>
    <t xml:space="preserve">Can do Research </t>
  </si>
  <si>
    <t>https://drive.google.com/file/d/1asC6hKFW6oML3j2xsuW6V4tbDK0JnZ7z/view?usp=drive_link</t>
  </si>
  <si>
    <t xml:space="preserve">PHD:Biological Sciences </t>
  </si>
  <si>
    <t>Areeb Usama</t>
  </si>
  <si>
    <t>+44 7961 629039</t>
  </si>
  <si>
    <t xml:space="preserve">2:00 PM IST </t>
  </si>
  <si>
    <t xml:space="preserve">Teachiung Experience: taught University students(6-semester) pharmacology physically, online not yet  Availabilty: anytime in the week </t>
  </si>
  <si>
    <t xml:space="preserve">Biology(A-Level) , medical subjects </t>
  </si>
  <si>
    <t>https://drive.google.com/file/d/1au6vkqRUd-wvBpQslKcjBIv-eI3uM25G/view?usp=drive_link</t>
  </si>
  <si>
    <t xml:space="preserve">Bachelors: Pharmacy  MPHIL: Pharmacology </t>
  </si>
  <si>
    <t>4?</t>
  </si>
  <si>
    <t>Emelisa P.</t>
  </si>
  <si>
    <t>IGCSE ESL</t>
  </si>
  <si>
    <t>Heidi A.</t>
  </si>
  <si>
    <t>Syed Arqam</t>
  </si>
  <si>
    <t>Cambridge Curriculum Tutor</t>
  </si>
  <si>
    <t>A-Level Biology, IGCSE Math, Chemistry, ICT, Physics, Biology</t>
  </si>
  <si>
    <t>PKR 1000</t>
  </si>
  <si>
    <t>Ahmar</t>
  </si>
  <si>
    <t>+62 813-9964-0785</t>
  </si>
  <si>
    <t>ahmareya@gmail.com</t>
  </si>
  <si>
    <t>IGCSE Physics, Math, Biology</t>
  </si>
  <si>
    <t>SAR 100</t>
  </si>
  <si>
    <t>Murtaza</t>
  </si>
  <si>
    <t>+92 300 1234567</t>
  </si>
  <si>
    <t>acca2003.murtaza@gmail.com</t>
  </si>
  <si>
    <t>IGCSE Physics, English, Math, Chemistry</t>
  </si>
  <si>
    <r>
      <rPr>
        <rFont val="Roboto"/>
        <color rgb="FF1155CC"/>
        <sz val="11.0"/>
        <u/>
      </rPr>
      <t>Google</t>
    </r>
    <r>
      <rPr>
        <rFont val="Roboto"/>
        <color rgb="FF1155CC"/>
        <sz val="11.0"/>
        <u/>
      </rPr>
      <t xml:space="preserve"> Meet</t>
    </r>
  </si>
  <si>
    <t>USD 3-5</t>
  </si>
  <si>
    <t>Chirag Kar</t>
  </si>
  <si>
    <t>+91 92050 21468</t>
  </si>
  <si>
    <t>A-Level Math</t>
  </si>
  <si>
    <t>IGCSE Physics, Chemistry</t>
  </si>
  <si>
    <t>Devin</t>
  </si>
  <si>
    <t>+1 (778) 583-4938</t>
  </si>
  <si>
    <t>Computer Science, Math</t>
  </si>
  <si>
    <t>Chemistry, Physics</t>
  </si>
  <si>
    <t>USD 15</t>
  </si>
  <si>
    <t>Kanza</t>
  </si>
  <si>
    <t>kanzaiqbal81@gmail.com</t>
  </si>
  <si>
    <t>Business, Economics</t>
  </si>
  <si>
    <r>
      <rPr>
        <rFont val="Roboto"/>
        <color rgb="FF1155CC"/>
        <sz val="11.0"/>
        <u/>
      </rPr>
      <t>Google</t>
    </r>
    <r>
      <rPr>
        <rFont val="Roboto"/>
        <color rgb="FF1155CC"/>
        <sz val="11.0"/>
        <u/>
      </rPr>
      <t xml:space="preserve"> Meet</t>
    </r>
  </si>
  <si>
    <t>Muhib Hussain</t>
  </si>
  <si>
    <t>muhibhussain77@gmail.com</t>
  </si>
  <si>
    <t>IGCSE Math, Physics, Chemistry, Biology</t>
  </si>
  <si>
    <r>
      <rPr>
        <rFont val="Roboto"/>
        <color rgb="FF1155CC"/>
        <sz val="11.0"/>
        <u/>
      </rPr>
      <t>Google</t>
    </r>
    <r>
      <rPr>
        <rFont val="Roboto"/>
        <color rgb="FF1155CC"/>
        <sz val="11.0"/>
        <u/>
      </rPr>
      <t xml:space="preserve"> Meet</t>
    </r>
  </si>
  <si>
    <t>Maryam S</t>
  </si>
  <si>
    <t>+923047450821</t>
  </si>
  <si>
    <t>maryamsaif7450821@gmail.com</t>
  </si>
  <si>
    <r>
      <rPr>
        <rFont val="Roboto"/>
        <color rgb="FF1155CC"/>
        <sz val="11.0"/>
        <u/>
      </rPr>
      <t>Google</t>
    </r>
    <r>
      <rPr>
        <rFont val="Roboto"/>
        <color rgb="FF1155CC"/>
        <sz val="11.0"/>
        <u/>
      </rPr>
      <t xml:space="preserve"> Meet</t>
    </r>
  </si>
  <si>
    <t>Carolina Franco Espinosa</t>
  </si>
  <si>
    <t>carolinaespinosa538@gmail.com</t>
  </si>
  <si>
    <t>Available, issue with offer letter</t>
  </si>
  <si>
    <t>Biology, Environmental Studies</t>
  </si>
  <si>
    <t>Physics, Chemistry</t>
  </si>
  <si>
    <r>
      <rPr>
        <rFont val="Roboto"/>
        <color rgb="FF1155CC"/>
        <sz val="11.0"/>
        <u/>
      </rPr>
      <t>Google</t>
    </r>
    <r>
      <rPr>
        <rFont val="Roboto"/>
        <color rgb="FF1155CC"/>
        <sz val="11.0"/>
        <u/>
      </rPr>
      <t xml:space="preserve"> Meet</t>
    </r>
  </si>
  <si>
    <t>Aurneela</t>
  </si>
  <si>
    <t>aurneelaghosh28@gmail.com</t>
  </si>
  <si>
    <t>AS Business</t>
  </si>
  <si>
    <t>Rabia N</t>
  </si>
  <si>
    <t>rabianmbutt@gmail.com</t>
  </si>
  <si>
    <t>IGCSE Biology, IGCSE Chemistry</t>
  </si>
  <si>
    <t>USD 5-10</t>
  </si>
  <si>
    <t>Muhammad Saddique</t>
  </si>
  <si>
    <t>+92 300 6344901</t>
  </si>
  <si>
    <t>siddiqueansari100@gmail.com</t>
  </si>
  <si>
    <t>Expensive</t>
  </si>
  <si>
    <t>Business Studies, Economics</t>
  </si>
  <si>
    <r>
      <rPr>
        <rFont val="Roboto"/>
        <color rgb="FF1155CC"/>
        <sz val="11.0"/>
        <u/>
      </rPr>
      <t>Google</t>
    </r>
    <r>
      <rPr>
        <rFont val="Roboto"/>
        <color rgb="FF1155CC"/>
        <sz val="11.0"/>
        <u/>
      </rPr>
      <t xml:space="preserve"> Meet</t>
    </r>
  </si>
  <si>
    <t>Mahrukh Altaf</t>
  </si>
  <si>
    <t>Seher Imtiaz</t>
  </si>
  <si>
    <t>Atiqa Fatima</t>
  </si>
  <si>
    <t>Munzir Elshareif</t>
  </si>
  <si>
    <t>HR Department (Intern)</t>
  </si>
  <si>
    <t>munzir.gilani@gmail.com</t>
  </si>
  <si>
    <t>https://drive.google.com/file/d/19njXo2baQcV-yZ5GpMAFsTrCrAWTYQnE/view?usp=drive_link</t>
  </si>
  <si>
    <t>Tahmina Sultana</t>
  </si>
  <si>
    <t>Teacher, Teaching Assistant</t>
  </si>
  <si>
    <t>tahminasultanariza@gmail.com</t>
  </si>
  <si>
    <t>8:30 PM IST</t>
  </si>
  <si>
    <t xml:space="preserve">shows more interest in teaching rather in teaching assistant , dedicate 2-3hr/ day and 4 days a week which is quite unrealistic as a university sudent  </t>
  </si>
  <si>
    <t xml:space="preserve">Biology,chem,general science and english </t>
  </si>
  <si>
    <t>research intern, tutor: experience of 3 years</t>
  </si>
  <si>
    <t>https://drive.google.com/file/d/1Jr3oYna3jkzinrUI6tTuBJktYPMz0zk2/view?usp=drive_link</t>
  </si>
  <si>
    <t>Student in Bachelors of biotechnology</t>
  </si>
  <si>
    <t>USD 3-8/hr</t>
  </si>
  <si>
    <t xml:space="preserve">Fairuz Anika Mysha </t>
  </si>
  <si>
    <t xml:space="preserve">Teacher , Assistant social media manager </t>
  </si>
  <si>
    <t>fairuzanikamysha19@gmail.com</t>
  </si>
  <si>
    <t xml:space="preserve">CS , AI computing </t>
  </si>
  <si>
    <t>https://drive.google.com/file/d/1qsbTKRd265ODS2PoAL1cJqxq3JzuesFS/view?usp=drive_link</t>
  </si>
  <si>
    <t xml:space="preserve">Bachelor in CS (AI) </t>
  </si>
  <si>
    <t xml:space="preserve">Khadija Amatullah </t>
  </si>
  <si>
    <t>Teacher</t>
  </si>
  <si>
    <t>Nigeria</t>
  </si>
  <si>
    <t>amatullahsaad22@gmail.com</t>
  </si>
  <si>
    <t>7:45 PM IST</t>
  </si>
  <si>
    <t xml:space="preserve">expcted salary $20/hr , available fri,sat,sun for 4 hrs each </t>
  </si>
  <si>
    <t>physics,maths,chem Cambridge</t>
  </si>
  <si>
    <t xml:space="preserve">https://drive.google.com/file/d/1EfK020TAvMZxP6SeSNffwwPSKxLB-x6f/view?usp=drive_link </t>
  </si>
  <si>
    <t>B.Sc. Energy Systems Engineering</t>
  </si>
  <si>
    <t>Importance</t>
  </si>
  <si>
    <t>Added to Calendar</t>
  </si>
  <si>
    <t>Date Added</t>
  </si>
  <si>
    <t>Added to Calendar 2</t>
  </si>
  <si>
    <t>Additional Task</t>
  </si>
  <si>
    <t>Event</t>
  </si>
  <si>
    <t>Desc</t>
  </si>
  <si>
    <t>Start Time</t>
  </si>
  <si>
    <t>End time</t>
  </si>
  <si>
    <t>Duration / Hours</t>
  </si>
  <si>
    <t>Tag</t>
  </si>
  <si>
    <t>Next Steps</t>
  </si>
  <si>
    <t>Weekday</t>
  </si>
  <si>
    <t>PIC</t>
  </si>
  <si>
    <t>Gant Chart</t>
  </si>
  <si>
    <t>Ticket No.</t>
  </si>
  <si>
    <t>Impact</t>
  </si>
  <si>
    <t>Confidence</t>
  </si>
  <si>
    <t>Ease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</si>
</sst>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mmm d"/>
    <numFmt numFmtId="165" formatCode="d&quot;-&quot;mmm"/>
    <numFmt numFmtId="166" formatCode="&quot;$&quot;#,##0.00"/>
    <numFmt numFmtId="167" formatCode="m, d"/>
    <numFmt numFmtId="168" formatCode="m d"/>
    <numFmt numFmtId="169" formatCode="mmm yyyy"/>
    <numFmt numFmtId="170" formatCode="h:mm:ss am/pm"/>
    <numFmt numFmtId="171" formatCode="mmmm yyyy"/>
    <numFmt numFmtId="172" formatCode="mmm&quot; &quot;d&quot;, &quot;yyyy"/>
    <numFmt numFmtId="173" formatCode="&quot;$&quot;#,##0"/>
    <numFmt numFmtId="174" formatCode="m-d"/>
    <numFmt numFmtId="175" formatCode="h&quot;:&quot;mm&quot; &quot;am/pm"/>
  </numFmts>
  <fonts count="44">
    <font>
      <sz val="10.0"/>
      <color rgb="FF000000"/>
      <name val="Arial"/>
      <scheme val="minor"/>
    </font>
    <font>
      <b/>
      <sz val="11.0"/>
      <color theme="1"/>
      <name val="Roboto"/>
    </font>
    <font>
      <sz val="11.0"/>
      <color theme="1"/>
      <name val="Roboto"/>
    </font>
    <font>
      <sz val="11.0"/>
      <color rgb="FF434343"/>
      <name val="Roboto"/>
    </font>
    <font>
      <sz val="11.0"/>
      <color rgb="FF2C481F"/>
      <name val="Roboto"/>
    </font>
    <font>
      <sz val="11.0"/>
      <color rgb="FF434343"/>
      <name val="Calibri"/>
    </font>
    <font>
      <sz val="11.0"/>
      <color rgb="FF11734B"/>
      <name val="Roboto"/>
    </font>
    <font>
      <sz val="11.0"/>
      <color rgb="FF2A3243"/>
      <name val="Roboto"/>
    </font>
    <font>
      <sz val="11.0"/>
      <color theme="1"/>
      <name val="Calibri"/>
    </font>
    <font>
      <sz val="11.0"/>
      <color rgb="FF133819"/>
      <name val="Roboto"/>
    </font>
    <font>
      <sz val="11.0"/>
      <color rgb="FF3F4170"/>
      <name val="Roboto"/>
    </font>
    <font>
      <u/>
      <sz val="11.0"/>
      <color rgb="FF434343"/>
      <name val="Roboto"/>
    </font>
    <font>
      <u/>
      <sz val="11.0"/>
      <color rgb="FF434343"/>
      <name val="Roboto"/>
    </font>
    <font>
      <u/>
      <sz val="11.0"/>
      <color rgb="FF434343"/>
      <name val="Roboto"/>
    </font>
    <font>
      <u/>
      <sz val="11.0"/>
      <color rgb="FF434343"/>
      <name val="Roboto"/>
    </font>
    <font>
      <b/>
      <u/>
      <sz val="11.0"/>
      <color rgb="FF434343"/>
      <name val="Roboto"/>
    </font>
    <font>
      <b/>
      <sz val="11.0"/>
      <color rgb="FF434343"/>
      <name val="Roboto"/>
    </font>
    <font>
      <sz val="12.0"/>
      <color rgb="FF333333"/>
      <name val="Helvetica"/>
    </font>
    <font>
      <sz val="11.0"/>
      <color rgb="FF1F1F1F"/>
      <name val="Google Sans Text"/>
    </font>
    <font>
      <i/>
      <sz val="11.0"/>
      <color rgb="FF1F1F1F"/>
      <name val="Google Sans Text"/>
    </font>
    <font>
      <sz val="8.0"/>
      <color theme="1"/>
      <name val="Roboto"/>
    </font>
    <font>
      <sz val="8.0"/>
      <color rgb="FF434343"/>
      <name val="Roboto"/>
    </font>
    <font>
      <u/>
      <sz val="11.0"/>
      <color rgb="FF434343"/>
      <name val="Roboto"/>
    </font>
    <font>
      <u/>
      <sz val="11.0"/>
      <color rgb="FF434343"/>
      <name val="Roboto"/>
    </font>
    <font>
      <u/>
      <sz val="11.0"/>
      <color rgb="FF434343"/>
      <name val="Roboto"/>
    </font>
    <font>
      <u/>
      <sz val="11.0"/>
      <color rgb="FF434343"/>
      <name val="Roboto"/>
    </font>
    <font>
      <u/>
      <sz val="11.0"/>
      <color rgb="FF434343"/>
      <name val="Roboto"/>
    </font>
    <font>
      <u/>
      <sz val="11.0"/>
      <color rgb="FF434343"/>
      <name val="Roboto"/>
    </font>
    <font>
      <u/>
      <sz val="11.0"/>
      <color rgb="FF434343"/>
      <name val="Roboto"/>
    </font>
    <font>
      <sz val="11.0"/>
      <color rgb="FF434343"/>
      <name val="Google Sans Text"/>
    </font>
    <font>
      <u/>
      <sz val="11.0"/>
      <color rgb="FF434343"/>
      <name val="Google Sans Text"/>
    </font>
    <font>
      <u/>
      <sz val="11.0"/>
      <color rgb="FF434343"/>
      <name val="Google Sans Text"/>
    </font>
    <font>
      <color theme="1"/>
      <name val="Calibri"/>
    </font>
    <font>
      <sz val="11.0"/>
      <color rgb="FF473821"/>
      <name val="Roboto"/>
    </font>
    <font>
      <u/>
      <sz val="11.0"/>
      <color rgb="FF434343"/>
      <name val="Roboto"/>
    </font>
    <font>
      <u/>
      <sz val="11.0"/>
      <color rgb="FF434343"/>
      <name val="Roboto"/>
    </font>
    <font>
      <sz val="11.0"/>
      <color rgb="FFB10202"/>
      <name val="Roboto"/>
    </font>
    <font>
      <color theme="1"/>
      <name val="Arial"/>
      <scheme val="minor"/>
    </font>
    <font>
      <b/>
      <sz val="13.0"/>
      <color theme="1"/>
      <name val="Calibri"/>
    </font>
    <font>
      <b/>
      <sz val="11.0"/>
      <color theme="1"/>
      <name val="Calibri"/>
    </font>
    <font>
      <sz val="11.0"/>
      <color rgb="FFFFCFC9"/>
      <name val="Roboto"/>
    </font>
    <font>
      <sz val="11.0"/>
      <color rgb="FFD4EDBC"/>
      <name val="Roboto"/>
    </font>
    <font>
      <sz val="11.0"/>
      <color rgb="FF0A53A8"/>
      <name val="Roboto"/>
    </font>
    <font>
      <b/>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6F8F9"/>
        <bgColor rgb="FFF6F8F9"/>
      </patternFill>
    </fill>
    <fill>
      <patternFill patternType="solid">
        <fgColor rgb="FFFFFF00"/>
        <bgColor rgb="FFFFFF00"/>
      </patternFill>
    </fill>
    <fill>
      <patternFill patternType="solid">
        <fgColor rgb="FFD6CFE0"/>
        <bgColor rgb="FFD6CFE0"/>
      </patternFill>
    </fill>
  </fills>
  <borders count="28">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
      <left style="thin">
        <color rgb="FFF8F9FA"/>
      </left>
      <right style="thin">
        <color rgb="FFF8F9FA"/>
      </right>
      <top style="thin">
        <color rgb="FFF8F9FA"/>
      </top>
      <bottom style="thin">
        <color rgb="FFEEEEEE"/>
      </bottom>
    </border>
    <border>
      <left style="thin">
        <color rgb="FFFFFFFF"/>
      </left>
      <right style="thin">
        <color rgb="FFFFFFFF"/>
      </right>
      <top style="thin">
        <color rgb="FFFFFFFF"/>
      </top>
      <bottom style="thin">
        <color rgb="FFEEEEEE"/>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442F65"/>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442F65"/>
      </left>
      <right style="thin">
        <color rgb="FFD6CFE0"/>
      </right>
      <top>
        <color rgb="FF442F65"/>
      </top>
      <bottom style="thin">
        <color rgb="FF442F65"/>
      </bottom>
    </border>
    <border>
      <left style="thin">
        <color rgb="FFD6CFE0"/>
      </left>
      <right style="thin">
        <color rgb="FFD6CFE0"/>
      </right>
      <top>
        <color rgb="FF442F65"/>
      </top>
      <bottom style="thin">
        <color rgb="FF442F65"/>
      </bottom>
    </border>
    <border>
      <left style="thin">
        <color rgb="FFD6CFE0"/>
      </left>
      <right style="thin">
        <color rgb="FF442F65"/>
      </right>
      <top>
        <color rgb="FF442F65"/>
      </top>
      <bottom style="thin">
        <color rgb="FF442F65"/>
      </bottom>
    </border>
  </borders>
  <cellStyleXfs count="1">
    <xf borderId="0" fillId="0" fontId="0" numFmtId="0" applyAlignment="1" applyFont="1"/>
  </cellStyleXfs>
  <cellXfs count="38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0"/>
    </xf>
    <xf borderId="1" fillId="2" fontId="3" numFmtId="0" xfId="0" applyAlignment="1" applyBorder="1" applyFill="1" applyFont="1">
      <alignment shrinkToFit="0" vertical="center" wrapText="0"/>
    </xf>
    <xf borderId="2" fillId="2" fontId="3" numFmtId="0" xfId="0" applyAlignment="1" applyBorder="1" applyFont="1">
      <alignment shrinkToFit="0" vertical="center" wrapText="0"/>
    </xf>
    <xf borderId="2" fillId="2" fontId="4" numFmtId="0" xfId="0" applyAlignment="1" applyBorder="1" applyFont="1">
      <alignment shrinkToFit="0" vertical="center" wrapText="0"/>
    </xf>
    <xf borderId="2" fillId="2" fontId="3" numFmtId="49" xfId="0" applyAlignment="1" applyBorder="1" applyFont="1" applyNumberFormat="1">
      <alignment shrinkToFit="0" vertical="center" wrapText="0"/>
    </xf>
    <xf borderId="2" fillId="2" fontId="3" numFmtId="0" xfId="0" applyAlignment="1" applyBorder="1" applyFont="1">
      <alignment shrinkToFit="0" vertical="center" wrapText="0"/>
    </xf>
    <xf borderId="3" fillId="2" fontId="3" numFmtId="0" xfId="0" applyAlignment="1" applyBorder="1" applyFont="1">
      <alignment shrinkToFit="0" vertical="center" wrapText="0"/>
    </xf>
    <xf borderId="4" fillId="2" fontId="3" numFmtId="0" xfId="0" applyAlignment="1" applyBorder="1" applyFont="1">
      <alignment horizontal="right" shrinkToFit="0" vertical="center" wrapText="0"/>
    </xf>
    <xf borderId="5" fillId="3" fontId="3" numFmtId="0" xfId="0" applyAlignment="1" applyBorder="1" applyFill="1" applyFont="1">
      <alignment shrinkToFit="0" vertical="center" wrapText="0"/>
    </xf>
    <xf borderId="3" fillId="3" fontId="3" numFmtId="0" xfId="0" applyAlignment="1" applyBorder="1" applyFont="1">
      <alignment shrinkToFit="0" vertical="center" wrapText="0"/>
    </xf>
    <xf borderId="3" fillId="3" fontId="4" numFmtId="0" xfId="0" applyAlignment="1" applyBorder="1" applyFont="1">
      <alignment shrinkToFit="0" vertical="center" wrapText="0"/>
    </xf>
    <xf borderId="3" fillId="3" fontId="3" numFmtId="49" xfId="0" applyAlignment="1" applyBorder="1" applyFont="1" applyNumberFormat="1">
      <alignment shrinkToFit="0" vertical="center" wrapText="0"/>
    </xf>
    <xf borderId="3" fillId="3" fontId="3" numFmtId="0" xfId="0" applyAlignment="1" applyBorder="1" applyFont="1">
      <alignment shrinkToFit="0" vertical="center" wrapText="0"/>
    </xf>
    <xf borderId="6" fillId="3" fontId="3" numFmtId="0" xfId="0" applyAlignment="1" applyBorder="1" applyFont="1">
      <alignment horizontal="right" shrinkToFit="0" vertical="center" wrapText="0"/>
    </xf>
    <xf borderId="5" fillId="3" fontId="5" numFmtId="0" xfId="0" applyAlignment="1" applyBorder="1" applyFont="1">
      <alignment shrinkToFit="0" vertical="center" wrapText="0"/>
    </xf>
    <xf borderId="3" fillId="3" fontId="5" numFmtId="0" xfId="0" applyAlignment="1" applyBorder="1" applyFont="1">
      <alignment shrinkToFit="0" vertical="center" wrapText="0"/>
    </xf>
    <xf borderId="6" fillId="3" fontId="5" numFmtId="0" xfId="0" applyAlignment="1" applyBorder="1" applyFont="1">
      <alignment horizontal="right" shrinkToFit="0" vertical="center" wrapText="0"/>
    </xf>
    <xf borderId="5" fillId="2" fontId="3" numFmtId="0" xfId="0" applyAlignment="1" applyBorder="1" applyFont="1">
      <alignment shrinkToFit="0" vertical="center" wrapText="0"/>
    </xf>
    <xf borderId="3" fillId="2" fontId="3" numFmtId="0" xfId="0" applyAlignment="1" applyBorder="1" applyFont="1">
      <alignment shrinkToFit="0" vertical="center" wrapText="0"/>
    </xf>
    <xf borderId="3" fillId="2" fontId="3" numFmtId="49" xfId="0" applyAlignment="1" applyBorder="1" applyFont="1" applyNumberFormat="1">
      <alignment shrinkToFit="0" vertical="center" wrapText="0"/>
    </xf>
    <xf borderId="1" fillId="3" fontId="3" numFmtId="0" xfId="0" applyAlignment="1" applyBorder="1" applyFont="1">
      <alignment shrinkToFit="0" vertical="center" wrapText="0"/>
    </xf>
    <xf borderId="2" fillId="3" fontId="3" numFmtId="0" xfId="0" applyAlignment="1" applyBorder="1" applyFont="1">
      <alignment shrinkToFit="0" vertical="center" wrapText="0"/>
    </xf>
    <xf borderId="2" fillId="3" fontId="4" numFmtId="0" xfId="0" applyAlignment="1" applyBorder="1" applyFont="1">
      <alignment shrinkToFit="0" vertical="center" wrapText="0"/>
    </xf>
    <xf borderId="2" fillId="3" fontId="3" numFmtId="49" xfId="0" applyAlignment="1" applyBorder="1" applyFont="1" applyNumberFormat="1">
      <alignment shrinkToFit="0" vertical="center" wrapText="0"/>
    </xf>
    <xf borderId="2" fillId="3" fontId="3" numFmtId="0" xfId="0" applyAlignment="1" applyBorder="1" applyFont="1">
      <alignment shrinkToFit="0" vertical="center" wrapText="0"/>
    </xf>
    <xf borderId="4" fillId="3" fontId="3" numFmtId="0" xfId="0" applyAlignment="1" applyBorder="1" applyFont="1">
      <alignment horizontal="right" shrinkToFit="0" vertical="center" wrapText="0"/>
    </xf>
    <xf borderId="3" fillId="3" fontId="6" numFmtId="0" xfId="0" applyAlignment="1" applyBorder="1" applyFont="1">
      <alignment shrinkToFit="0" vertical="center" wrapText="0"/>
    </xf>
    <xf borderId="3" fillId="2" fontId="6" numFmtId="0" xfId="0" applyAlignment="1" applyBorder="1" applyFont="1">
      <alignment shrinkToFit="0" vertical="center" wrapText="0"/>
    </xf>
    <xf borderId="2" fillId="2" fontId="6" numFmtId="0" xfId="0" applyAlignment="1" applyBorder="1" applyFont="1">
      <alignment shrinkToFit="0" vertical="center" wrapText="0"/>
    </xf>
    <xf borderId="3" fillId="3" fontId="7" numFmtId="0" xfId="0" applyAlignment="1" applyBorder="1" applyFont="1">
      <alignment shrinkToFit="0" vertical="center" wrapText="0"/>
    </xf>
    <xf borderId="2" fillId="2" fontId="7" numFmtId="0" xfId="0" applyAlignment="1" applyBorder="1" applyFont="1">
      <alignment shrinkToFit="0" vertical="center" wrapText="0"/>
    </xf>
    <xf borderId="6" fillId="2" fontId="3" numFmtId="0" xfId="0" applyAlignment="1" applyBorder="1" applyFont="1">
      <alignment horizontal="right" shrinkToFit="0" vertical="center" wrapText="0"/>
    </xf>
    <xf borderId="3" fillId="2" fontId="7" numFmtId="0" xfId="0" applyAlignment="1" applyBorder="1" applyFont="1">
      <alignment shrinkToFit="0" vertical="center" wrapText="0"/>
    </xf>
    <xf borderId="2" fillId="3" fontId="6" numFmtId="0" xfId="0" applyAlignment="1" applyBorder="1" applyFont="1">
      <alignment shrinkToFit="0" vertical="center" wrapText="0"/>
    </xf>
    <xf borderId="2" fillId="3" fontId="7" numFmtId="0" xfId="0" applyAlignment="1" applyBorder="1" applyFont="1">
      <alignment shrinkToFit="0" vertical="center" wrapText="0"/>
    </xf>
    <xf borderId="3" fillId="3" fontId="8" numFmtId="49" xfId="0" applyAlignment="1" applyBorder="1" applyFont="1" applyNumberFormat="1">
      <alignment shrinkToFit="0" vertical="center" wrapText="0"/>
    </xf>
    <xf borderId="3" fillId="2" fontId="8" numFmtId="49" xfId="0" applyAlignment="1" applyBorder="1" applyFont="1" applyNumberFormat="1">
      <alignment shrinkToFit="0" vertical="center" wrapText="0"/>
    </xf>
    <xf borderId="3" fillId="3" fontId="8" numFmtId="0" xfId="0" applyAlignment="1" applyBorder="1" applyFont="1">
      <alignment shrinkToFit="0" vertical="center" wrapText="0"/>
    </xf>
    <xf borderId="2" fillId="2" fontId="8" numFmtId="49" xfId="0" applyAlignment="1" applyBorder="1" applyFont="1" applyNumberFormat="1">
      <alignment shrinkToFit="0" vertical="center" wrapText="0"/>
    </xf>
    <xf borderId="3" fillId="3" fontId="9" numFmtId="0" xfId="0" applyAlignment="1" applyBorder="1" applyFont="1">
      <alignment shrinkToFit="0" vertical="center" wrapText="0"/>
    </xf>
    <xf borderId="2" fillId="2" fontId="9" numFmtId="0" xfId="0" applyAlignment="1" applyBorder="1" applyFont="1">
      <alignment shrinkToFit="0" vertical="center" wrapText="0"/>
    </xf>
    <xf borderId="2" fillId="2" fontId="8" numFmtId="0" xfId="0" applyAlignment="1" applyBorder="1" applyFont="1">
      <alignment shrinkToFit="0" vertical="center" wrapText="0"/>
    </xf>
    <xf borderId="2" fillId="2" fontId="5" numFmtId="0" xfId="0" applyAlignment="1" applyBorder="1" applyFont="1">
      <alignment shrinkToFit="0" vertical="center" wrapText="0"/>
    </xf>
    <xf borderId="2" fillId="2" fontId="8" numFmtId="0" xfId="0" applyAlignment="1" applyBorder="1" applyFont="1">
      <alignment shrinkToFit="0" vertical="center" wrapText="0"/>
    </xf>
    <xf borderId="2" fillId="3" fontId="8" numFmtId="49" xfId="0" applyAlignment="1" applyBorder="1" applyFont="1" applyNumberFormat="1">
      <alignment shrinkToFit="0" vertical="center" wrapText="0"/>
    </xf>
    <xf borderId="3" fillId="2" fontId="8" numFmtId="0" xfId="0" applyAlignment="1" applyBorder="1" applyFont="1">
      <alignment shrinkToFit="0" vertical="center" wrapText="0"/>
    </xf>
    <xf borderId="1" fillId="2" fontId="8" numFmtId="0" xfId="0" applyAlignment="1" applyBorder="1" applyFont="1">
      <alignment shrinkToFit="0" vertical="center" wrapText="0"/>
    </xf>
    <xf borderId="5" fillId="3" fontId="8" numFmtId="0" xfId="0" applyAlignment="1" applyBorder="1" applyFont="1">
      <alignment shrinkToFit="0" vertical="center" wrapText="0"/>
    </xf>
    <xf borderId="3" fillId="3" fontId="10" numFmtId="0" xfId="0" applyAlignment="1" applyBorder="1" applyFont="1">
      <alignment shrinkToFit="0" vertical="center" wrapText="0"/>
    </xf>
    <xf borderId="3" fillId="3" fontId="8" numFmtId="0" xfId="0" applyAlignment="1" applyBorder="1" applyFont="1">
      <alignment shrinkToFit="0" vertical="center" wrapText="0"/>
    </xf>
    <xf borderId="6" fillId="3" fontId="3" numFmtId="3" xfId="0" applyAlignment="1" applyBorder="1" applyFont="1" applyNumberFormat="1">
      <alignment horizontal="right" shrinkToFit="0" vertical="center" wrapText="0"/>
    </xf>
    <xf borderId="4" fillId="2" fontId="8" numFmtId="0" xfId="0" applyAlignment="1" applyBorder="1" applyFont="1">
      <alignment shrinkToFit="0" vertical="center" wrapText="0"/>
    </xf>
    <xf borderId="6" fillId="3" fontId="8" numFmtId="0" xfId="0" applyAlignment="1" applyBorder="1" applyFont="1">
      <alignment shrinkToFit="0" vertical="center" wrapText="0"/>
    </xf>
    <xf borderId="7" fillId="3" fontId="8" numFmtId="0" xfId="0" applyAlignment="1" applyBorder="1" applyFont="1">
      <alignment shrinkToFit="0" vertical="center" wrapText="0"/>
    </xf>
    <xf borderId="8" fillId="3" fontId="8" numFmtId="0" xfId="0" applyAlignment="1" applyBorder="1" applyFont="1">
      <alignment shrinkToFit="0" vertical="center" wrapText="0"/>
    </xf>
    <xf borderId="8" fillId="3" fontId="8" numFmtId="49" xfId="0" applyAlignment="1" applyBorder="1" applyFont="1" applyNumberFormat="1">
      <alignment shrinkToFit="0" vertical="center" wrapText="0"/>
    </xf>
    <xf borderId="8" fillId="3" fontId="8" numFmtId="0" xfId="0" applyAlignment="1" applyBorder="1" applyFont="1">
      <alignment shrinkToFit="0" vertical="center" wrapText="0"/>
    </xf>
    <xf borderId="9" fillId="3" fontId="8" numFmtId="0" xfId="0" applyAlignment="1" applyBorder="1" applyFont="1">
      <alignment shrinkToFit="0" vertical="center" wrapText="0"/>
    </xf>
    <xf borderId="1" fillId="2" fontId="8" numFmtId="0" xfId="0" applyAlignment="1" applyBorder="1" applyFont="1">
      <alignment shrinkToFit="0" vertical="center" wrapText="0"/>
    </xf>
    <xf borderId="2" fillId="2" fontId="3" numFmtId="49" xfId="0" applyAlignment="1" applyBorder="1" applyFont="1" applyNumberFormat="1">
      <alignment shrinkToFit="0" vertical="center" wrapText="1"/>
    </xf>
    <xf borderId="4" fillId="2" fontId="8" numFmtId="0" xfId="0" applyAlignment="1" applyBorder="1" applyFont="1">
      <alignment shrinkToFit="0" vertical="center" wrapText="0"/>
    </xf>
    <xf borderId="5" fillId="3" fontId="8" numFmtId="0" xfId="0" applyAlignment="1" applyBorder="1" applyFont="1">
      <alignment shrinkToFit="0" vertical="center" wrapText="0"/>
    </xf>
    <xf borderId="3" fillId="3" fontId="3" numFmtId="49" xfId="0" applyAlignment="1" applyBorder="1" applyFont="1" applyNumberFormat="1">
      <alignment shrinkToFit="0" vertical="center" wrapText="1"/>
    </xf>
    <xf borderId="6" fillId="3" fontId="8" numFmtId="0" xfId="0" applyAlignment="1" applyBorder="1" applyFont="1">
      <alignment shrinkToFit="0" vertical="center" wrapText="0"/>
    </xf>
    <xf borderId="1" fillId="2" fontId="3" numFmtId="0" xfId="0" applyAlignment="1" applyBorder="1" applyFont="1">
      <alignment shrinkToFit="0" vertical="center" wrapText="1"/>
    </xf>
    <xf borderId="2" fillId="2" fontId="4" numFmtId="0" xfId="0" applyAlignment="1" applyBorder="1" applyFont="1">
      <alignment shrinkToFit="0" vertical="center" wrapText="1"/>
    </xf>
    <xf borderId="4" fillId="2" fontId="3" numFmtId="0" xfId="0" applyAlignment="1" applyBorder="1" applyFont="1">
      <alignment shrinkToFit="0" vertical="center" wrapText="1"/>
    </xf>
    <xf borderId="5" fillId="3" fontId="3" numFmtId="0" xfId="0" applyAlignment="1" applyBorder="1" applyFont="1">
      <alignment shrinkToFit="0" vertical="center" wrapText="1"/>
    </xf>
    <xf borderId="3" fillId="3" fontId="7" numFmtId="0" xfId="0" applyAlignment="1" applyBorder="1" applyFont="1">
      <alignment shrinkToFit="0" vertical="center" wrapText="1"/>
    </xf>
    <xf borderId="4" fillId="2" fontId="5" numFmtId="0" xfId="0" applyAlignment="1" applyBorder="1" applyFont="1">
      <alignment shrinkToFit="0" vertical="bottom" wrapText="1"/>
    </xf>
    <xf borderId="6" fillId="3" fontId="3" numFmtId="0" xfId="0" applyAlignment="1" applyBorder="1" applyFont="1">
      <alignment shrinkToFit="0" vertical="center" wrapText="1"/>
    </xf>
    <xf borderId="7" fillId="3" fontId="8" numFmtId="0" xfId="0" applyAlignment="1" applyBorder="1" applyFont="1">
      <alignment shrinkToFit="0" vertical="center" wrapText="0"/>
    </xf>
    <xf borderId="8" fillId="3" fontId="3" numFmtId="49" xfId="0" applyAlignment="1" applyBorder="1" applyFont="1" applyNumberFormat="1">
      <alignment shrinkToFit="0" vertical="center" wrapText="1"/>
    </xf>
    <xf borderId="9" fillId="3" fontId="8" numFmtId="0" xfId="0" applyAlignment="1" applyBorder="1" applyFont="1">
      <alignment shrinkToFit="0" vertical="center" wrapText="0"/>
    </xf>
    <xf borderId="0" fillId="0" fontId="1" numFmtId="0" xfId="0" applyAlignment="1" applyFont="1">
      <alignment horizontal="left" readingOrder="0" shrinkToFit="0" vertical="center" wrapText="0"/>
    </xf>
    <xf borderId="1" fillId="2" fontId="3" numFmtId="0" xfId="0" applyAlignment="1" applyBorder="1" applyFont="1">
      <alignment horizontal="right" shrinkToFit="0" vertical="center" wrapText="0"/>
    </xf>
    <xf borderId="2" fillId="2" fontId="3" numFmtId="49" xfId="0" applyAlignment="1" applyBorder="1" applyFont="1" applyNumberFormat="1">
      <alignment shrinkToFit="0" vertical="center" wrapText="0"/>
    </xf>
    <xf borderId="2" fillId="2" fontId="11" numFmtId="49" xfId="0" applyAlignment="1" applyBorder="1" applyFont="1" applyNumberFormat="1">
      <alignment shrinkToFit="0" vertical="center" wrapText="0"/>
    </xf>
    <xf borderId="2" fillId="2" fontId="8" numFmtId="49" xfId="0" applyAlignment="1" applyBorder="1" applyFont="1" applyNumberFormat="1">
      <alignment shrinkToFit="0" vertical="center" wrapText="0"/>
    </xf>
    <xf borderId="2" fillId="2" fontId="3" numFmtId="0" xfId="0" applyAlignment="1" applyBorder="1" applyFont="1">
      <alignment horizontal="center" shrinkToFit="0" vertical="center" wrapText="0"/>
    </xf>
    <xf borderId="5" fillId="3" fontId="3" numFmtId="0" xfId="0" applyAlignment="1" applyBorder="1" applyFont="1">
      <alignment horizontal="right" shrinkToFit="0" vertical="center" wrapText="0"/>
    </xf>
    <xf borderId="3" fillId="3" fontId="3" numFmtId="49" xfId="0" applyAlignment="1" applyBorder="1" applyFont="1" applyNumberFormat="1">
      <alignment shrinkToFit="0" vertical="center" wrapText="0"/>
    </xf>
    <xf borderId="3" fillId="3" fontId="12" numFmtId="49" xfId="0" applyAlignment="1" applyBorder="1" applyFont="1" applyNumberFormat="1">
      <alignment shrinkToFit="0" vertical="center" wrapText="0"/>
    </xf>
    <xf borderId="3" fillId="3" fontId="8" numFmtId="49" xfId="0" applyAlignment="1" applyBorder="1" applyFont="1" applyNumberFormat="1">
      <alignment shrinkToFit="0" vertical="center" wrapText="0"/>
    </xf>
    <xf borderId="3" fillId="3" fontId="3" numFmtId="0" xfId="0" applyAlignment="1" applyBorder="1" applyFont="1">
      <alignment horizontal="center" shrinkToFit="0" vertical="center" wrapText="0"/>
    </xf>
    <xf borderId="2" fillId="2" fontId="3" numFmtId="0" xfId="0" applyAlignment="1" applyBorder="1" applyFont="1">
      <alignment horizontal="right" shrinkToFit="0" vertical="center" wrapText="0"/>
    </xf>
    <xf borderId="2" fillId="2" fontId="13" numFmtId="0" xfId="0" applyAlignment="1" applyBorder="1" applyFont="1">
      <alignment shrinkToFit="0" vertical="center" wrapText="0"/>
    </xf>
    <xf borderId="3" fillId="3" fontId="3" numFmtId="0" xfId="0" applyAlignment="1" applyBorder="1" applyFont="1">
      <alignment horizontal="right" shrinkToFit="0" vertical="center" wrapText="0"/>
    </xf>
    <xf borderId="3" fillId="3" fontId="14" numFmtId="0" xfId="0" applyAlignment="1" applyBorder="1" applyFont="1">
      <alignment shrinkToFit="0" vertical="center" wrapText="0"/>
    </xf>
    <xf borderId="3" fillId="3" fontId="3" numFmtId="49" xfId="0" applyAlignment="1" applyBorder="1" applyFont="1" applyNumberFormat="1">
      <alignment horizontal="center" shrinkToFit="0" vertical="center" wrapText="0"/>
    </xf>
    <xf borderId="3" fillId="3" fontId="15" numFmtId="49" xfId="0" applyAlignment="1" applyBorder="1" applyFont="1" applyNumberFormat="1">
      <alignment shrinkToFit="0" vertical="center" wrapText="0"/>
    </xf>
    <xf borderId="3" fillId="3" fontId="16" numFmtId="0" xfId="0" applyAlignment="1" applyBorder="1" applyFont="1">
      <alignment horizontal="center" shrinkToFit="0" vertical="center" wrapText="0"/>
    </xf>
    <xf quotePrefix="1" borderId="2" fillId="2" fontId="17" numFmtId="0" xfId="0" applyAlignment="1" applyBorder="1" applyFont="1">
      <alignment shrinkToFit="0" vertical="center" wrapText="0"/>
    </xf>
    <xf quotePrefix="1" borderId="2" fillId="2" fontId="3" numFmtId="0" xfId="0" applyAlignment="1" applyBorder="1" applyFont="1">
      <alignment shrinkToFit="0" vertical="center" wrapText="0"/>
    </xf>
    <xf quotePrefix="1" borderId="3" fillId="3" fontId="3" numFmtId="0" xfId="0" applyAlignment="1" applyBorder="1" applyFont="1">
      <alignment shrinkToFit="0" vertical="center" wrapText="0"/>
    </xf>
    <xf borderId="2" fillId="2" fontId="17" numFmtId="0" xfId="0" applyAlignment="1" applyBorder="1" applyFont="1">
      <alignment shrinkToFit="0" vertical="center" wrapText="0"/>
    </xf>
    <xf borderId="10" fillId="3" fontId="17" numFmtId="0" xfId="0" applyAlignment="1" applyBorder="1" applyFont="1">
      <alignment shrinkToFit="0" vertical="top" wrapText="0"/>
    </xf>
    <xf borderId="11" fillId="2" fontId="17" numFmtId="0" xfId="0" applyAlignment="1" applyBorder="1" applyFont="1">
      <alignment shrinkToFit="0" vertical="top" wrapText="0"/>
    </xf>
    <xf borderId="3" fillId="3" fontId="8" numFmtId="0" xfId="0" applyAlignment="1" applyBorder="1" applyFont="1">
      <alignment horizontal="center" shrinkToFit="0" vertical="center" wrapText="0"/>
    </xf>
    <xf borderId="2" fillId="2" fontId="17" numFmtId="49" xfId="0" applyAlignment="1" applyBorder="1" applyFont="1" applyNumberFormat="1">
      <alignment shrinkToFit="0" vertical="center" wrapText="0"/>
    </xf>
    <xf borderId="2" fillId="2" fontId="8" numFmtId="0" xfId="0" applyAlignment="1" applyBorder="1" applyFont="1">
      <alignment horizontal="center" shrinkToFit="0" vertical="center" wrapText="0"/>
    </xf>
    <xf borderId="3" fillId="3" fontId="18" numFmtId="49" xfId="0" applyAlignment="1" applyBorder="1" applyFont="1" applyNumberFormat="1">
      <alignment shrinkToFit="0" vertical="center" wrapText="0"/>
    </xf>
    <xf borderId="3" fillId="3" fontId="18" numFmtId="0" xfId="0" applyAlignment="1" applyBorder="1" applyFont="1">
      <alignment horizontal="right" shrinkToFit="0" vertical="center" wrapText="0"/>
    </xf>
    <xf borderId="3" fillId="3" fontId="18" numFmtId="0" xfId="0" applyAlignment="1" applyBorder="1" applyFont="1">
      <alignment shrinkToFit="0" vertical="center" wrapText="0"/>
    </xf>
    <xf borderId="6" fillId="3" fontId="18" numFmtId="0" xfId="0" applyAlignment="1" applyBorder="1" applyFont="1">
      <alignment shrinkToFit="0" vertical="center" wrapText="0"/>
    </xf>
    <xf borderId="2" fillId="2" fontId="19" numFmtId="49" xfId="0" applyAlignment="1" applyBorder="1" applyFont="1" applyNumberFormat="1">
      <alignment shrinkToFit="0" vertical="center" wrapText="0"/>
    </xf>
    <xf borderId="2" fillId="2" fontId="18" numFmtId="49" xfId="0" applyAlignment="1" applyBorder="1" applyFont="1" applyNumberFormat="1">
      <alignment shrinkToFit="0" vertical="center" wrapText="0"/>
    </xf>
    <xf borderId="2" fillId="2" fontId="18" numFmtId="0" xfId="0" applyAlignment="1" applyBorder="1" applyFont="1">
      <alignment horizontal="right" shrinkToFit="0" vertical="center" wrapText="0"/>
    </xf>
    <xf borderId="2" fillId="2" fontId="18" numFmtId="0" xfId="0" applyAlignment="1" applyBorder="1" applyFont="1">
      <alignment shrinkToFit="0" vertical="center" wrapText="0"/>
    </xf>
    <xf borderId="4" fillId="2" fontId="18" numFmtId="0" xfId="0" applyAlignment="1" applyBorder="1" applyFont="1">
      <alignment shrinkToFit="0" vertical="center" wrapText="0"/>
    </xf>
    <xf borderId="5" fillId="3" fontId="8" numFmtId="0" xfId="0" applyAlignment="1" applyBorder="1" applyFont="1">
      <alignment shrinkToFit="0" vertical="center" wrapText="0"/>
    </xf>
    <xf borderId="1" fillId="2" fontId="8" numFmtId="0" xfId="0" applyAlignment="1" applyBorder="1" applyFont="1">
      <alignment shrinkToFit="0" vertical="center" wrapText="0"/>
    </xf>
    <xf borderId="12" fillId="2" fontId="8" numFmtId="0" xfId="0" applyAlignment="1" applyBorder="1" applyFont="1">
      <alignment shrinkToFit="0" vertical="center" wrapText="0"/>
    </xf>
    <xf borderId="13" fillId="2" fontId="8" numFmtId="49" xfId="0" applyAlignment="1" applyBorder="1" applyFont="1" applyNumberFormat="1">
      <alignment shrinkToFit="0" vertical="center" wrapText="0"/>
    </xf>
    <xf borderId="13" fillId="2" fontId="8" numFmtId="0" xfId="0" applyAlignment="1" applyBorder="1" applyFont="1">
      <alignment shrinkToFit="0" vertical="center" wrapText="0"/>
    </xf>
    <xf borderId="13" fillId="2" fontId="3" numFmtId="0" xfId="0" applyAlignment="1" applyBorder="1" applyFont="1">
      <alignment horizontal="center" shrinkToFit="0" vertical="center" wrapText="0"/>
    </xf>
    <xf borderId="14" fillId="2" fontId="8" numFmtId="0" xfId="0" applyAlignment="1" applyBorder="1" applyFont="1">
      <alignment shrinkToFit="0" vertical="center" wrapText="0"/>
    </xf>
    <xf borderId="0" fillId="0" fontId="20" numFmtId="0" xfId="0" applyAlignment="1" applyFont="1">
      <alignment horizontal="center" readingOrder="0" shrinkToFit="0" vertical="center" wrapText="1"/>
    </xf>
    <xf borderId="0" fillId="0" fontId="20" numFmtId="0" xfId="0" applyAlignment="1" applyFont="1">
      <alignment horizontal="left" readingOrder="0" shrinkToFit="0" vertical="center" wrapText="1"/>
    </xf>
    <xf borderId="0" fillId="0" fontId="20" numFmtId="0" xfId="0" applyAlignment="1" applyFont="1">
      <alignment horizontal="left" readingOrder="0" shrinkToFit="0" vertical="center" wrapText="0"/>
    </xf>
    <xf borderId="1" fillId="2" fontId="3" numFmtId="0" xfId="0" applyAlignment="1" applyBorder="1" applyFont="1">
      <alignment horizontal="center" shrinkToFit="0" vertical="center" wrapText="1"/>
    </xf>
    <xf borderId="2" fillId="2" fontId="3" numFmtId="0" xfId="0" applyAlignment="1" applyBorder="1" applyFont="1">
      <alignment shrinkToFit="0" vertical="center" wrapText="1"/>
    </xf>
    <xf borderId="5" fillId="3" fontId="3" numFmtId="0" xfId="0" applyAlignment="1" applyBorder="1" applyFont="1">
      <alignment horizontal="center" shrinkToFit="0" vertical="center" wrapText="1"/>
    </xf>
    <xf borderId="3" fillId="3" fontId="3" numFmtId="0" xfId="0" applyAlignment="1" applyBorder="1" applyFont="1">
      <alignment shrinkToFit="0" vertical="center" wrapText="1"/>
    </xf>
    <xf borderId="1" fillId="2" fontId="8" numFmtId="0" xfId="0" applyAlignment="1" applyBorder="1" applyFont="1">
      <alignment shrinkToFit="0" vertical="center" wrapText="0"/>
    </xf>
    <xf borderId="5" fillId="3" fontId="8" numFmtId="0" xfId="0" applyAlignment="1" applyBorder="1" applyFont="1">
      <alignment shrinkToFit="0" vertical="center" wrapText="0"/>
    </xf>
    <xf borderId="5" fillId="3" fontId="3" numFmtId="0" xfId="0" applyAlignment="1" applyBorder="1" applyFont="1">
      <alignment shrinkToFit="0" vertical="center" wrapText="0"/>
    </xf>
    <xf borderId="3" fillId="3" fontId="21" numFmtId="0" xfId="0" applyAlignment="1" applyBorder="1" applyFont="1">
      <alignment shrinkToFit="0" vertical="bottom" wrapText="0"/>
    </xf>
    <xf borderId="1" fillId="2" fontId="3" numFmtId="0" xfId="0" applyAlignment="1" applyBorder="1" applyFont="1">
      <alignment shrinkToFit="0" vertical="center" wrapText="0"/>
    </xf>
    <xf borderId="2" fillId="2" fontId="21" numFmtId="0" xfId="0" applyAlignment="1" applyBorder="1" applyFont="1">
      <alignment shrinkToFit="0" vertical="bottom" wrapText="0"/>
    </xf>
    <xf borderId="7" fillId="3" fontId="3" numFmtId="0" xfId="0" applyAlignment="1" applyBorder="1" applyFont="1">
      <alignment shrinkToFit="0" vertical="center" wrapText="0"/>
    </xf>
    <xf borderId="8" fillId="3" fontId="3" numFmtId="0" xfId="0" applyAlignment="1" applyBorder="1" applyFont="1">
      <alignment shrinkToFit="0" vertical="center" wrapText="0"/>
    </xf>
    <xf borderId="9" fillId="3" fontId="3" numFmtId="164" xfId="0" applyAlignment="1" applyBorder="1" applyFont="1" applyNumberFormat="1">
      <alignment horizontal="right" shrinkToFit="0" vertical="center" wrapText="0"/>
    </xf>
    <xf borderId="0" fillId="0" fontId="2" numFmtId="3" xfId="0" applyAlignment="1" applyFont="1" applyNumberFormat="1">
      <alignment horizontal="left" readingOrder="0" shrinkToFit="0" vertical="center" wrapText="0"/>
    </xf>
    <xf borderId="1" fillId="2" fontId="3" numFmtId="49" xfId="0" applyAlignment="1" applyBorder="1" applyFont="1" applyNumberFormat="1">
      <alignment shrinkToFit="0" vertical="center" wrapText="0"/>
    </xf>
    <xf borderId="2" fillId="2" fontId="3" numFmtId="0" xfId="0" applyAlignment="1" applyBorder="1" applyFont="1">
      <alignment horizontal="right" shrinkToFit="0" vertical="center" wrapText="0"/>
    </xf>
    <xf borderId="4" fillId="2" fontId="3" numFmtId="0" xfId="0" applyAlignment="1" applyBorder="1" applyFont="1">
      <alignment horizontal="right" shrinkToFit="0" vertical="center" wrapText="0"/>
    </xf>
    <xf borderId="15" fillId="4" fontId="3" numFmtId="49" xfId="0" applyAlignment="1" applyBorder="1" applyFill="1" applyFont="1" applyNumberFormat="1">
      <alignment shrinkToFit="0" vertical="center" wrapText="0"/>
    </xf>
    <xf borderId="16" fillId="4" fontId="3" numFmtId="49" xfId="0" applyAlignment="1" applyBorder="1" applyFont="1" applyNumberFormat="1">
      <alignment shrinkToFit="0" vertical="center" wrapText="0"/>
    </xf>
    <xf borderId="16" fillId="4" fontId="3" numFmtId="0" xfId="0" applyAlignment="1" applyBorder="1" applyFont="1">
      <alignment horizontal="right" shrinkToFit="0" vertical="center" wrapText="0"/>
    </xf>
    <xf borderId="17" fillId="4" fontId="3" numFmtId="0" xfId="0" applyAlignment="1" applyBorder="1" applyFont="1">
      <alignment horizontal="right" shrinkToFit="0" vertical="center" wrapText="0"/>
    </xf>
    <xf borderId="15" fillId="4" fontId="8" numFmtId="49" xfId="0" applyAlignment="1" applyBorder="1" applyFont="1" applyNumberFormat="1">
      <alignment shrinkToFit="0" vertical="center" wrapText="0"/>
    </xf>
    <xf borderId="16" fillId="4" fontId="8" numFmtId="49" xfId="0" applyAlignment="1" applyBorder="1" applyFont="1" applyNumberFormat="1">
      <alignment shrinkToFit="0" vertical="center" wrapText="0"/>
    </xf>
    <xf borderId="16" fillId="4" fontId="8" numFmtId="0" xfId="0" applyAlignment="1" applyBorder="1" applyFont="1">
      <alignment shrinkToFit="0" vertical="center" wrapText="0"/>
    </xf>
    <xf borderId="17" fillId="4" fontId="8" numFmtId="0" xfId="0" applyAlignment="1" applyBorder="1" applyFont="1">
      <alignment shrinkToFit="0" vertical="center" wrapText="0"/>
    </xf>
    <xf borderId="1" fillId="2" fontId="8" numFmtId="49" xfId="0" applyAlignment="1" applyBorder="1" applyFont="1" applyNumberFormat="1">
      <alignment shrinkToFit="0" vertical="center" wrapText="0"/>
    </xf>
    <xf borderId="2" fillId="2" fontId="8" numFmtId="0" xfId="0" applyAlignment="1" applyBorder="1" applyFont="1">
      <alignment shrinkToFit="0" vertical="center" wrapText="0"/>
    </xf>
    <xf borderId="4" fillId="2" fontId="8" numFmtId="0" xfId="0" applyAlignment="1" applyBorder="1" applyFont="1">
      <alignment shrinkToFit="0" vertical="center" wrapText="0"/>
    </xf>
    <xf borderId="18" fillId="4" fontId="8" numFmtId="49" xfId="0" applyAlignment="1" applyBorder="1" applyFont="1" applyNumberFormat="1">
      <alignment shrinkToFit="0" vertical="center" wrapText="0"/>
    </xf>
    <xf borderId="19" fillId="4" fontId="8" numFmtId="49" xfId="0" applyAlignment="1" applyBorder="1" applyFont="1" applyNumberFormat="1">
      <alignment shrinkToFit="0" vertical="center" wrapText="0"/>
    </xf>
    <xf borderId="19" fillId="4" fontId="8" numFmtId="0" xfId="0" applyAlignment="1" applyBorder="1" applyFont="1">
      <alignment shrinkToFit="0" vertical="center" wrapText="0"/>
    </xf>
    <xf borderId="20" fillId="4" fontId="8" numFmtId="0" xfId="0" applyAlignment="1" applyBorder="1" applyFont="1">
      <alignment shrinkToFit="0" vertical="center" wrapText="0"/>
    </xf>
    <xf borderId="4" fillId="2" fontId="3" numFmtId="49" xfId="0" applyAlignment="1" applyBorder="1" applyFont="1" applyNumberFormat="1">
      <alignment shrinkToFit="0" vertical="center" wrapText="0"/>
    </xf>
    <xf borderId="17" fillId="4" fontId="3" numFmtId="49" xfId="0" applyAlignment="1" applyBorder="1" applyFont="1" applyNumberFormat="1">
      <alignment shrinkToFit="0" vertical="center" wrapText="0"/>
    </xf>
    <xf borderId="4" fillId="2" fontId="8" numFmtId="49" xfId="0" applyAlignment="1" applyBorder="1" applyFont="1" applyNumberFormat="1">
      <alignment shrinkToFit="0" vertical="center" wrapText="0"/>
    </xf>
    <xf borderId="17" fillId="4" fontId="8" numFmtId="49" xfId="0" applyAlignment="1" applyBorder="1" applyFont="1" applyNumberFormat="1">
      <alignment shrinkToFit="0" vertical="center" wrapText="0"/>
    </xf>
    <xf borderId="12" fillId="2" fontId="3" numFmtId="49" xfId="0" applyAlignment="1" applyBorder="1" applyFont="1" applyNumberFormat="1">
      <alignment shrinkToFit="0" vertical="center" wrapText="0"/>
    </xf>
    <xf borderId="14" fillId="2" fontId="8" numFmtId="49" xfId="0" applyAlignment="1" applyBorder="1" applyFont="1" applyNumberFormat="1">
      <alignment shrinkToFit="0" vertical="center" wrapText="0"/>
    </xf>
    <xf borderId="20" fillId="4" fontId="8" numFmtId="49" xfId="0" applyAlignment="1" applyBorder="1" applyFont="1" applyNumberFormat="1">
      <alignment shrinkToFit="0" vertical="center" wrapText="0"/>
    </xf>
    <xf borderId="0" fillId="0" fontId="2" numFmtId="49" xfId="0" applyAlignment="1" applyFont="1" applyNumberFormat="1">
      <alignment horizontal="left" readingOrder="0" shrinkToFit="0" vertical="center" wrapText="0"/>
    </xf>
    <xf borderId="2" fillId="2" fontId="3" numFmtId="3" xfId="0" applyAlignment="1" applyBorder="1" applyFont="1" applyNumberFormat="1">
      <alignment shrinkToFit="0" vertical="center" wrapText="0"/>
    </xf>
    <xf borderId="4" fillId="2" fontId="22" numFmtId="49" xfId="0" applyAlignment="1" applyBorder="1" applyFont="1" applyNumberFormat="1">
      <alignment shrinkToFit="0" vertical="center" wrapText="0"/>
    </xf>
    <xf borderId="17" fillId="4" fontId="8" numFmtId="49" xfId="0" applyAlignment="1" applyBorder="1" applyFont="1" applyNumberFormat="1">
      <alignment shrinkToFit="0" vertical="center" wrapText="0"/>
    </xf>
    <xf borderId="4" fillId="2" fontId="8" numFmtId="49" xfId="0" applyAlignment="1" applyBorder="1" applyFont="1" applyNumberFormat="1">
      <alignment shrinkToFit="0" vertical="center" wrapText="0"/>
    </xf>
    <xf borderId="20" fillId="4" fontId="8" numFmtId="49" xfId="0" applyAlignment="1" applyBorder="1" applyFont="1" applyNumberFormat="1">
      <alignment shrinkToFit="0" vertical="center" wrapText="0"/>
    </xf>
    <xf borderId="4" fillId="2" fontId="23" numFmtId="3" xfId="0" applyAlignment="1" applyBorder="1" applyFont="1" applyNumberFormat="1">
      <alignment shrinkToFit="0" vertical="center" wrapText="0"/>
    </xf>
    <xf borderId="16" fillId="4" fontId="3" numFmtId="49" xfId="0" applyAlignment="1" applyBorder="1" applyFont="1" applyNumberFormat="1">
      <alignment shrinkToFit="0" vertical="center" wrapText="0"/>
    </xf>
    <xf borderId="17" fillId="4" fontId="24" numFmtId="49" xfId="0" applyAlignment="1" applyBorder="1" applyFont="1" applyNumberFormat="1">
      <alignment shrinkToFit="0" vertical="center" wrapText="0"/>
    </xf>
    <xf borderId="4" fillId="2" fontId="25" numFmtId="49" xfId="0" applyAlignment="1" applyBorder="1" applyFont="1" applyNumberFormat="1">
      <alignment shrinkToFit="0" vertical="center" wrapText="0"/>
    </xf>
    <xf borderId="16" fillId="5" fontId="3" numFmtId="49" xfId="0" applyAlignment="1" applyBorder="1" applyFill="1" applyFont="1" applyNumberFormat="1">
      <alignment shrinkToFit="0" vertical="center" wrapText="0"/>
    </xf>
    <xf borderId="17" fillId="5" fontId="26" numFmtId="49" xfId="0" applyAlignment="1" applyBorder="1" applyFont="1" applyNumberFormat="1">
      <alignment shrinkToFit="0" vertical="center" wrapText="0"/>
    </xf>
    <xf borderId="2" fillId="5" fontId="3" numFmtId="49" xfId="0" applyAlignment="1" applyBorder="1" applyFont="1" applyNumberFormat="1">
      <alignment shrinkToFit="0" vertical="center" wrapText="0"/>
    </xf>
    <xf borderId="4" fillId="5" fontId="27" numFmtId="49" xfId="0" applyAlignment="1" applyBorder="1" applyFont="1" applyNumberFormat="1">
      <alignment shrinkToFit="0" vertical="center" wrapText="0"/>
    </xf>
    <xf borderId="19" fillId="4" fontId="3" numFmtId="49" xfId="0" applyAlignment="1" applyBorder="1" applyFont="1" applyNumberFormat="1">
      <alignment shrinkToFit="0" vertical="center" wrapText="0"/>
    </xf>
    <xf borderId="20" fillId="4" fontId="28" numFmtId="49" xfId="0" applyAlignment="1" applyBorder="1" applyFont="1" applyNumberFormat="1">
      <alignment shrinkToFit="0" vertical="center" wrapText="0"/>
    </xf>
    <xf borderId="0" fillId="0" fontId="1" numFmtId="49" xfId="0" applyAlignment="1" applyFont="1" applyNumberFormat="1">
      <alignment horizontal="left" readingOrder="0" shrinkToFit="0" vertical="center" wrapText="0"/>
    </xf>
    <xf borderId="1" fillId="2" fontId="29" numFmtId="49" xfId="0" applyAlignment="1" applyBorder="1" applyFont="1" applyNumberFormat="1">
      <alignment shrinkToFit="0" vertical="center" wrapText="0"/>
    </xf>
    <xf borderId="2" fillId="2" fontId="30" numFmtId="49" xfId="0" applyAlignment="1" applyBorder="1" applyFont="1" applyNumberFormat="1">
      <alignment shrinkToFit="0" vertical="center" wrapText="0"/>
    </xf>
    <xf borderId="15" fillId="4" fontId="29" numFmtId="49" xfId="0" applyAlignment="1" applyBorder="1" applyFont="1" applyNumberFormat="1">
      <alignment shrinkToFit="0" vertical="center" wrapText="0"/>
    </xf>
    <xf borderId="16" fillId="4" fontId="31" numFmtId="49" xfId="0" applyAlignment="1" applyBorder="1" applyFont="1" applyNumberFormat="1">
      <alignment shrinkToFit="0" vertical="center" wrapText="0"/>
    </xf>
    <xf borderId="16" fillId="4" fontId="8" numFmtId="49" xfId="0" applyAlignment="1" applyBorder="1" applyFont="1" applyNumberFormat="1">
      <alignment shrinkToFit="0" vertical="center" wrapText="0"/>
    </xf>
    <xf borderId="17" fillId="4" fontId="3" numFmtId="0" xfId="0" applyAlignment="1" applyBorder="1" applyFont="1">
      <alignment horizontal="right" shrinkToFit="0" vertical="center" wrapText="0"/>
    </xf>
    <xf borderId="16" fillId="4" fontId="8" numFmtId="0" xfId="0" applyAlignment="1" applyBorder="1" applyFont="1">
      <alignment shrinkToFit="0" vertical="center" wrapText="0"/>
    </xf>
    <xf borderId="17" fillId="4" fontId="8" numFmtId="0" xfId="0" applyAlignment="1" applyBorder="1" applyFont="1">
      <alignment shrinkToFit="0" vertical="center" wrapText="0"/>
    </xf>
    <xf borderId="12" fillId="2" fontId="8" numFmtId="49" xfId="0" applyAlignment="1" applyBorder="1" applyFont="1" applyNumberFormat="1">
      <alignment shrinkToFit="0" vertical="center" wrapText="0"/>
    </xf>
    <xf borderId="13" fillId="2" fontId="8" numFmtId="49" xfId="0" applyAlignment="1" applyBorder="1" applyFont="1" applyNumberFormat="1">
      <alignment shrinkToFit="0" vertical="center" wrapText="0"/>
    </xf>
    <xf borderId="0" fillId="0" fontId="2" numFmtId="49" xfId="0" applyAlignment="1" applyFont="1" applyNumberFormat="1">
      <alignment horizontal="left" readingOrder="0" shrinkToFit="0" vertical="center" wrapText="0"/>
    </xf>
    <xf borderId="0" fillId="0" fontId="32" numFmtId="0" xfId="0" applyAlignment="1" applyFont="1">
      <alignment horizontal="left" readingOrder="0" shrinkToFit="0" vertical="center" wrapText="0"/>
    </xf>
    <xf borderId="21" fillId="2" fontId="3" numFmtId="0" xfId="0" applyAlignment="1" applyBorder="1" applyFont="1">
      <alignment readingOrder="0" shrinkToFit="0" vertical="center" wrapText="0"/>
    </xf>
    <xf borderId="2" fillId="2" fontId="3" numFmtId="49" xfId="0" applyAlignment="1" applyBorder="1" applyFont="1" applyNumberFormat="1">
      <alignment readingOrder="0"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readingOrder="0" shrinkToFit="0" vertical="center" wrapText="0"/>
    </xf>
    <xf borderId="2" fillId="2" fontId="3" numFmtId="0" xfId="0" applyAlignment="1" applyBorder="1" applyFont="1">
      <alignment readingOrder="0" shrinkToFit="0" vertical="center" wrapText="0"/>
    </xf>
    <xf borderId="22" fillId="2" fontId="8" numFmtId="0" xfId="0" applyAlignment="1" applyBorder="1" applyFont="1">
      <alignment shrinkToFit="0" vertical="center" wrapText="0"/>
    </xf>
    <xf borderId="23" fillId="4" fontId="8" numFmtId="0" xfId="0" applyAlignment="1" applyBorder="1" applyFont="1">
      <alignment shrinkToFit="0" vertical="center" wrapText="0"/>
    </xf>
    <xf borderId="16" fillId="4" fontId="8" numFmtId="0" xfId="0" applyAlignment="1" applyBorder="1" applyFont="1">
      <alignment shrinkToFit="0" vertical="center" wrapText="0"/>
    </xf>
    <xf borderId="16" fillId="4" fontId="8" numFmtId="0" xfId="0" applyAlignment="1" applyBorder="1" applyFont="1">
      <alignment shrinkToFit="0" vertical="center" wrapText="0"/>
    </xf>
    <xf borderId="16" fillId="4" fontId="8" numFmtId="16" xfId="0" applyAlignment="1" applyBorder="1" applyFont="1" applyNumberFormat="1">
      <alignment shrinkToFit="0" vertical="center" wrapText="0"/>
    </xf>
    <xf borderId="16" fillId="4" fontId="8" numFmtId="165" xfId="0" applyAlignment="1" applyBorder="1" applyFont="1" applyNumberFormat="1">
      <alignment shrinkToFit="0" vertical="center" wrapText="0"/>
    </xf>
    <xf borderId="24" fillId="4" fontId="8" numFmtId="0" xfId="0" applyAlignment="1" applyBorder="1" applyFont="1">
      <alignment shrinkToFit="0" vertical="center" wrapText="0"/>
    </xf>
    <xf borderId="21" fillId="2" fontId="8" numFmtId="0" xfId="0" applyAlignment="1" applyBorder="1" applyFont="1">
      <alignment shrinkToFit="0" vertical="center" wrapText="0"/>
    </xf>
    <xf borderId="2" fillId="2" fontId="8" numFmtId="0" xfId="0" applyAlignment="1" applyBorder="1" applyFont="1">
      <alignment shrinkToFit="0" vertical="center" wrapText="0"/>
    </xf>
    <xf borderId="2" fillId="2" fontId="8" numFmtId="0" xfId="0" applyAlignment="1" applyBorder="1" applyFont="1">
      <alignment shrinkToFit="0" vertical="center" wrapText="0"/>
    </xf>
    <xf borderId="2" fillId="2" fontId="8" numFmtId="16" xfId="0" applyAlignment="1" applyBorder="1" applyFont="1" applyNumberFormat="1">
      <alignment shrinkToFit="0" vertical="center" wrapText="0"/>
    </xf>
    <xf borderId="2" fillId="2" fontId="8" numFmtId="165" xfId="0" applyAlignment="1" applyBorder="1" applyFont="1" applyNumberFormat="1">
      <alignment shrinkToFit="0" vertical="center" wrapText="0"/>
    </xf>
    <xf borderId="16" fillId="4" fontId="8" numFmtId="9" xfId="0" applyAlignment="1" applyBorder="1" applyFont="1" applyNumberFormat="1">
      <alignment shrinkToFit="0" vertical="center" wrapText="0"/>
    </xf>
    <xf borderId="23" fillId="4" fontId="3" numFmtId="0" xfId="0" applyAlignment="1" applyBorder="1" applyFont="1">
      <alignment readingOrder="0" shrinkToFit="0" vertical="center" wrapText="0"/>
    </xf>
    <xf borderId="16" fillId="4" fontId="3" numFmtId="49" xfId="0" applyAlignment="1" applyBorder="1" applyFont="1" applyNumberFormat="1">
      <alignment readingOrder="0" shrinkToFit="0" vertical="center" wrapText="0"/>
    </xf>
    <xf borderId="16" fillId="4" fontId="6" numFmtId="0" xfId="0" applyAlignment="1" applyBorder="1" applyFont="1">
      <alignment readingOrder="0" shrinkToFit="0" vertical="center" wrapText="0"/>
    </xf>
    <xf borderId="16" fillId="4" fontId="3" numFmtId="0" xfId="0" applyAlignment="1" applyBorder="1" applyFont="1">
      <alignment readingOrder="0" shrinkToFit="0" vertical="center" wrapText="0"/>
    </xf>
    <xf borderId="16" fillId="4" fontId="3" numFmtId="0" xfId="0" applyAlignment="1" applyBorder="1" applyFont="1">
      <alignment horizontal="right" readingOrder="0" shrinkToFit="0" vertical="center" wrapText="0"/>
    </xf>
    <xf borderId="16" fillId="4" fontId="3" numFmtId="0" xfId="0" applyAlignment="1" applyBorder="1" applyFont="1">
      <alignment horizontal="right" readingOrder="0" shrinkToFit="0" vertical="center" wrapText="0"/>
    </xf>
    <xf borderId="16" fillId="4" fontId="3" numFmtId="16" xfId="0" applyAlignment="1" applyBorder="1" applyFont="1" applyNumberFormat="1">
      <alignment horizontal="right" readingOrder="0" shrinkToFit="0" vertical="center" wrapText="0"/>
    </xf>
    <xf borderId="16" fillId="4" fontId="3" numFmtId="0" xfId="0" applyAlignment="1" applyBorder="1" applyFont="1">
      <alignment readingOrder="0" shrinkToFit="0" vertical="center" wrapText="0"/>
    </xf>
    <xf borderId="2" fillId="2" fontId="33" numFmtId="0" xfId="0" applyAlignment="1" applyBorder="1" applyFont="1">
      <alignment readingOrder="0" shrinkToFit="0" vertical="center" wrapText="0"/>
    </xf>
    <xf borderId="2" fillId="2" fontId="3" numFmtId="0" xfId="0" applyAlignment="1" applyBorder="1" applyFont="1">
      <alignment horizontal="right" readingOrder="0" shrinkToFit="0" vertical="center" wrapText="0"/>
    </xf>
    <xf borderId="2" fillId="2" fontId="8" numFmtId="9" xfId="0" applyAlignment="1" applyBorder="1" applyFont="1" applyNumberFormat="1">
      <alignment shrinkToFit="0" vertical="center" wrapText="0"/>
    </xf>
    <xf borderId="2" fillId="2" fontId="3" numFmtId="0" xfId="0" applyAlignment="1" applyBorder="1" applyFont="1">
      <alignment horizontal="right" readingOrder="0" shrinkToFit="0" vertical="center" wrapText="0"/>
    </xf>
    <xf borderId="2" fillId="2" fontId="3" numFmtId="16" xfId="0" applyAlignment="1" applyBorder="1" applyFont="1" applyNumberFormat="1">
      <alignment horizontal="right" readingOrder="0" shrinkToFit="0" vertical="center" wrapText="0"/>
    </xf>
    <xf borderId="16" fillId="4" fontId="3" numFmtId="9" xfId="0" applyAlignment="1" applyBorder="1" applyFont="1" applyNumberFormat="1">
      <alignment horizontal="right" readingOrder="0" shrinkToFit="0" vertical="center" wrapText="0"/>
    </xf>
    <xf borderId="16" fillId="4" fontId="34" numFmtId="0" xfId="0" applyAlignment="1" applyBorder="1" applyFont="1">
      <alignment readingOrder="0" shrinkToFit="0" vertical="center" wrapText="0"/>
    </xf>
    <xf borderId="2" fillId="2" fontId="6" numFmtId="0" xfId="0" applyAlignment="1" applyBorder="1" applyFont="1">
      <alignment readingOrder="0" shrinkToFit="0" vertical="center" wrapText="0"/>
    </xf>
    <xf borderId="2" fillId="2" fontId="35" numFmtId="0" xfId="0" applyAlignment="1" applyBorder="1" applyFont="1">
      <alignment readingOrder="0" shrinkToFit="0" vertical="center" wrapText="0"/>
    </xf>
    <xf borderId="16" fillId="4" fontId="3" numFmtId="0" xfId="0" applyAlignment="1" applyBorder="1" applyFont="1">
      <alignment readingOrder="0" shrinkToFit="0" vertical="center" wrapText="0"/>
    </xf>
    <xf borderId="16" fillId="4" fontId="36" numFmtId="0" xfId="0" applyAlignment="1" applyBorder="1" applyFont="1">
      <alignment readingOrder="0" shrinkToFit="0" vertical="center" wrapText="0"/>
    </xf>
    <xf borderId="2" fillId="2" fontId="3" numFmtId="9" xfId="0" applyAlignment="1" applyBorder="1" applyFont="1" applyNumberFormat="1">
      <alignment horizontal="right" readingOrder="0" shrinkToFit="0" vertical="center" wrapText="0"/>
    </xf>
    <xf borderId="16" fillId="4" fontId="33" numFmtId="0" xfId="0" applyAlignment="1" applyBorder="1" applyFont="1">
      <alignment readingOrder="0" shrinkToFit="0" vertical="center" wrapText="0"/>
    </xf>
    <xf borderId="16" fillId="4" fontId="3" numFmtId="165" xfId="0" applyAlignment="1" applyBorder="1" applyFont="1" applyNumberFormat="1">
      <alignment horizontal="right" readingOrder="0" shrinkToFit="0" vertical="center" wrapText="0"/>
    </xf>
    <xf borderId="2" fillId="2" fontId="3" numFmtId="0" xfId="0" applyAlignment="1" applyBorder="1" applyFont="1">
      <alignment horizontal="right" readingOrder="0" shrinkToFit="0" vertical="center" wrapText="0"/>
    </xf>
    <xf borderId="2" fillId="2" fontId="8" numFmtId="166" xfId="0" applyAlignment="1" applyBorder="1" applyFont="1" applyNumberFormat="1">
      <alignment shrinkToFit="0" vertical="center" wrapText="0"/>
    </xf>
    <xf borderId="16" fillId="4" fontId="3" numFmtId="166" xfId="0" applyAlignment="1" applyBorder="1" applyFont="1" applyNumberFormat="1">
      <alignment readingOrder="0" shrinkToFit="0" vertical="center" wrapText="0"/>
    </xf>
    <xf borderId="16" fillId="4" fontId="8" numFmtId="166" xfId="0" applyAlignment="1" applyBorder="1" applyFont="1" applyNumberFormat="1">
      <alignment shrinkToFit="0" vertical="center" wrapText="0"/>
    </xf>
    <xf borderId="16" fillId="4" fontId="3" numFmtId="0" xfId="0" applyAlignment="1" applyBorder="1" applyFont="1">
      <alignment readingOrder="0" shrinkToFit="0" vertical="center" wrapText="0"/>
    </xf>
    <xf borderId="2" fillId="2" fontId="3" numFmtId="165" xfId="0" applyAlignment="1" applyBorder="1" applyFont="1" applyNumberFormat="1">
      <alignment horizontal="right" readingOrder="0" shrinkToFit="0" vertical="center" wrapText="0"/>
    </xf>
    <xf borderId="2" fillId="2" fontId="8" numFmtId="10" xfId="0" applyAlignment="1" applyBorder="1" applyFont="1" applyNumberFormat="1">
      <alignment shrinkToFit="0" vertical="center" wrapText="0"/>
    </xf>
    <xf borderId="16" fillId="4" fontId="3" numFmtId="0" xfId="0" applyAlignment="1" applyBorder="1" applyFont="1">
      <alignment horizontal="right" readingOrder="0" shrinkToFit="0" vertical="center" wrapText="0"/>
    </xf>
    <xf borderId="2" fillId="2" fontId="3" numFmtId="166" xfId="0" applyAlignment="1" applyBorder="1" applyFont="1" applyNumberFormat="1">
      <alignment readingOrder="0" shrinkToFit="0" vertical="center" wrapText="0"/>
    </xf>
    <xf borderId="2" fillId="2" fontId="36" numFmtId="0" xfId="0" applyAlignment="1" applyBorder="1" applyFont="1">
      <alignment readingOrder="0" shrinkToFit="0" vertical="center" wrapText="0"/>
    </xf>
    <xf borderId="16" fillId="4" fontId="3" numFmtId="0" xfId="0" applyAlignment="1" applyBorder="1" applyFont="1">
      <alignment horizontal="center" readingOrder="0" shrinkToFit="0" vertical="center" wrapText="0"/>
    </xf>
    <xf borderId="16" fillId="4" fontId="3" numFmtId="167" xfId="0" applyAlignment="1" applyBorder="1" applyFont="1" applyNumberFormat="1">
      <alignment readingOrder="0" shrinkToFit="0" vertical="center" wrapText="0"/>
    </xf>
    <xf borderId="16" fillId="4" fontId="3" numFmtId="0" xfId="0" applyAlignment="1" applyBorder="1" applyFont="1">
      <alignment horizontal="center" readingOrder="0" shrinkToFit="0" vertical="center" wrapText="0"/>
    </xf>
    <xf borderId="2" fillId="2" fontId="3" numFmtId="0" xfId="0" applyAlignment="1" applyBorder="1" applyFont="1">
      <alignment horizontal="center" readingOrder="0" shrinkToFit="0" vertical="center" wrapText="0"/>
    </xf>
    <xf borderId="2" fillId="2" fontId="3" numFmtId="0" xfId="0" applyAlignment="1" applyBorder="1" applyFont="1">
      <alignment horizontal="center" readingOrder="0" shrinkToFit="0" vertical="center" wrapText="0"/>
    </xf>
    <xf borderId="16" fillId="4" fontId="8" numFmtId="10" xfId="0" applyAlignment="1" applyBorder="1" applyFont="1" applyNumberFormat="1">
      <alignment shrinkToFit="0" vertical="center" wrapText="0"/>
    </xf>
    <xf borderId="2" fillId="2" fontId="3" numFmtId="0" xfId="0" applyAlignment="1" applyBorder="1" applyFont="1">
      <alignment horizontal="center" readingOrder="0" shrinkToFit="0" vertical="center" wrapText="0"/>
    </xf>
    <xf borderId="23" fillId="4" fontId="3" numFmtId="0" xfId="0" applyAlignment="1" applyBorder="1" applyFont="1">
      <alignment readingOrder="0" shrinkToFit="0" vertical="center" wrapText="0"/>
    </xf>
    <xf borderId="23" fillId="4" fontId="3" numFmtId="168" xfId="0" applyAlignment="1" applyBorder="1" applyFont="1" applyNumberFormat="1">
      <alignment readingOrder="0" shrinkToFit="0" vertical="center" wrapText="0"/>
    </xf>
    <xf borderId="21" fillId="2" fontId="3" numFmtId="168" xfId="0" applyAlignment="1" applyBorder="1" applyFont="1" applyNumberFormat="1">
      <alignment readingOrder="0" shrinkToFit="0" vertical="center" wrapText="0"/>
    </xf>
    <xf borderId="16" fillId="4" fontId="3" numFmtId="169" xfId="0" applyAlignment="1" applyBorder="1" applyFont="1" applyNumberFormat="1">
      <alignment readingOrder="0" shrinkToFit="0" vertical="center" wrapText="0"/>
    </xf>
    <xf borderId="16" fillId="4" fontId="3" numFmtId="0" xfId="0" applyAlignment="1" applyBorder="1" applyFont="1">
      <alignment horizontal="center" readingOrder="0" shrinkToFit="0" vertical="center" wrapText="0"/>
    </xf>
    <xf borderId="2" fillId="2" fontId="8" numFmtId="170" xfId="0" applyAlignment="1" applyBorder="1" applyFont="1" applyNumberFormat="1">
      <alignment shrinkToFit="0" vertical="center" wrapText="0"/>
    </xf>
    <xf borderId="2" fillId="2" fontId="3" numFmtId="169" xfId="0" applyAlignment="1" applyBorder="1" applyFont="1" applyNumberFormat="1">
      <alignment readingOrder="0" shrinkToFit="0" vertical="center" wrapText="0"/>
    </xf>
    <xf borderId="2" fillId="2" fontId="3" numFmtId="171" xfId="0" applyAlignment="1" applyBorder="1" applyFont="1" applyNumberFormat="1">
      <alignment readingOrder="0" shrinkToFit="0" vertical="center" wrapText="0"/>
    </xf>
    <xf borderId="16" fillId="4" fontId="8" numFmtId="170" xfId="0" applyAlignment="1" applyBorder="1" applyFont="1" applyNumberFormat="1">
      <alignment shrinkToFit="0" vertical="center" wrapText="0"/>
    </xf>
    <xf borderId="25" fillId="6" fontId="8" numFmtId="0" xfId="0" applyAlignment="1" applyBorder="1" applyFill="1" applyFont="1">
      <alignment shrinkToFit="0" vertical="center" wrapText="0"/>
    </xf>
    <xf borderId="26" fillId="6" fontId="3" numFmtId="0" xfId="0" applyAlignment="1" applyBorder="1" applyFont="1">
      <alignment horizontal="right" shrinkToFit="0" vertical="center" wrapText="0"/>
    </xf>
    <xf borderId="26" fillId="6" fontId="8" numFmtId="0" xfId="0" applyAlignment="1" applyBorder="1" applyFont="1">
      <alignment shrinkToFit="0" vertical="center" wrapText="0"/>
    </xf>
    <xf borderId="26" fillId="6" fontId="3" numFmtId="0" xfId="0" applyAlignment="1" applyBorder="1" applyFont="1">
      <alignment horizontal="right" shrinkToFit="0" vertical="center" wrapText="0"/>
    </xf>
    <xf borderId="27" fillId="6" fontId="8" numFmtId="0" xfId="0" applyAlignment="1" applyBorder="1" applyFont="1">
      <alignment shrinkToFit="0" vertical="center" wrapText="0"/>
    </xf>
    <xf borderId="26" fillId="6" fontId="3" numFmtId="0" xfId="0" applyAlignment="1" applyBorder="1" applyFont="1">
      <alignment horizontal="right" readingOrder="0" shrinkToFit="0" vertical="center" wrapText="0"/>
    </xf>
    <xf borderId="26" fillId="6" fontId="3" numFmtId="0" xfId="0" applyAlignment="1" applyBorder="1" applyFont="1">
      <alignment horizontal="right" readingOrder="0" shrinkToFit="0" vertical="center" wrapText="0"/>
    </xf>
    <xf borderId="0" fillId="0" fontId="37" numFmtId="0" xfId="0" applyAlignment="1" applyFont="1">
      <alignment horizontal="left" readingOrder="0" shrinkToFit="0" vertical="center" wrapText="0"/>
    </xf>
    <xf borderId="0" fillId="0" fontId="37" numFmtId="4" xfId="0" applyAlignment="1" applyFont="1" applyNumberFormat="1">
      <alignment horizontal="left" readingOrder="0" shrinkToFit="0" vertical="center" wrapText="0"/>
    </xf>
    <xf borderId="0" fillId="0" fontId="37" numFmtId="172" xfId="0" applyAlignment="1" applyFont="1" applyNumberFormat="1">
      <alignment horizontal="left" readingOrder="0" shrinkToFit="0" vertical="center" wrapText="0"/>
    </xf>
    <xf borderId="0" fillId="0" fontId="37" numFmtId="165" xfId="0" applyAlignment="1" applyFont="1" applyNumberFormat="1">
      <alignment horizontal="left" readingOrder="0" shrinkToFit="0" vertical="center" wrapText="0"/>
    </xf>
    <xf borderId="0" fillId="0" fontId="37" numFmtId="4" xfId="0" applyAlignment="1" applyFont="1" applyNumberFormat="1">
      <alignment shrinkToFit="0" vertical="center" wrapText="0"/>
    </xf>
    <xf borderId="0" fillId="0" fontId="37" numFmtId="172" xfId="0" applyAlignment="1" applyFont="1" applyNumberFormat="1">
      <alignment shrinkToFit="0" vertical="center" wrapText="0"/>
    </xf>
    <xf borderId="0" fillId="0" fontId="37" numFmtId="165" xfId="0" applyAlignment="1" applyFont="1" applyNumberFormat="1">
      <alignment shrinkToFit="0" vertical="center" wrapText="0"/>
    </xf>
    <xf borderId="0" fillId="0" fontId="37" numFmtId="14" xfId="0" applyAlignment="1" applyFont="1" applyNumberFormat="1">
      <alignment shrinkToFit="0" vertical="center" wrapText="0"/>
    </xf>
    <xf borderId="0" fillId="0" fontId="37" numFmtId="0" xfId="0" applyAlignment="1" applyFont="1">
      <alignment shrinkToFit="0" vertical="center" wrapText="0"/>
    </xf>
    <xf borderId="0" fillId="0" fontId="37" numFmtId="3" xfId="0" applyAlignment="1" applyFont="1" applyNumberFormat="1">
      <alignment shrinkToFit="0" vertical="center" wrapText="0"/>
    </xf>
    <xf borderId="0" fillId="0" fontId="37" numFmtId="164" xfId="0" applyAlignment="1" applyFont="1" applyNumberFormat="1">
      <alignment shrinkToFit="0" vertical="center" wrapText="0"/>
    </xf>
    <xf borderId="0" fillId="0" fontId="37" numFmtId="0" xfId="0" applyAlignment="1" applyFont="1">
      <alignment readingOrder="0" shrinkToFit="0" vertical="center" wrapText="0"/>
    </xf>
    <xf borderId="0" fillId="0" fontId="37" numFmtId="4" xfId="0" applyAlignment="1" applyFont="1" applyNumberFormat="1">
      <alignment readingOrder="0" shrinkToFit="0" vertical="center" wrapText="0"/>
    </xf>
    <xf borderId="0" fillId="0" fontId="37" numFmtId="172" xfId="0" applyAlignment="1" applyFont="1" applyNumberFormat="1">
      <alignment readingOrder="0" shrinkToFit="0" vertical="center" wrapText="0"/>
    </xf>
    <xf borderId="0" fillId="0" fontId="37" numFmtId="165" xfId="0" applyAlignment="1" applyFont="1" applyNumberFormat="1">
      <alignment readingOrder="0" shrinkToFit="0" vertical="center" wrapText="0"/>
    </xf>
    <xf borderId="0" fillId="0" fontId="37" numFmtId="0" xfId="0" applyAlignment="1" applyFont="1">
      <alignment shrinkToFit="0" vertical="center" wrapText="0"/>
    </xf>
    <xf borderId="0" fillId="0" fontId="37" numFmtId="49" xfId="0" applyAlignment="1" applyFont="1" applyNumberFormat="1">
      <alignment readingOrder="0" shrinkToFit="0" vertical="center" wrapText="0"/>
    </xf>
    <xf borderId="0" fillId="0" fontId="37" numFmtId="173" xfId="0" applyAlignment="1" applyFont="1" applyNumberFormat="1">
      <alignment shrinkToFit="0" vertical="center" wrapText="0"/>
    </xf>
    <xf borderId="0" fillId="0" fontId="8" numFmtId="0" xfId="0" applyAlignment="1" applyFont="1">
      <alignment vertical="bottom"/>
    </xf>
    <xf borderId="0" fillId="0" fontId="8" numFmtId="4" xfId="0" applyAlignment="1" applyFont="1" applyNumberFormat="1">
      <alignment vertical="bottom"/>
    </xf>
    <xf borderId="0" fillId="0" fontId="8" numFmtId="172" xfId="0" applyAlignment="1" applyFont="1" applyNumberFormat="1">
      <alignment vertical="bottom"/>
    </xf>
    <xf borderId="0" fillId="0" fontId="8" numFmtId="165" xfId="0" applyAlignment="1" applyFont="1" applyNumberFormat="1">
      <alignment vertical="bottom"/>
    </xf>
    <xf borderId="0" fillId="0" fontId="8" numFmtId="172" xfId="0" applyAlignment="1" applyFont="1" applyNumberFormat="1">
      <alignment horizontal="right" vertical="bottom"/>
    </xf>
    <xf borderId="0" fillId="0" fontId="8" numFmtId="0" xfId="0" applyAlignment="1" applyFont="1">
      <alignment horizontal="right" vertical="bottom"/>
    </xf>
    <xf borderId="0" fillId="5" fontId="38" numFmtId="0" xfId="0" applyAlignment="1" applyFont="1">
      <alignment vertical="bottom"/>
    </xf>
    <xf borderId="0" fillId="0" fontId="8" numFmtId="14" xfId="0" applyAlignment="1" applyFont="1" applyNumberFormat="1">
      <alignment horizontal="right" vertical="bottom"/>
    </xf>
    <xf borderId="16" fillId="4" fontId="3" numFmtId="0" xfId="0" applyAlignment="1" applyBorder="1" applyFont="1">
      <alignment horizontal="right" shrinkToFit="0" vertical="center" wrapText="0"/>
    </xf>
    <xf borderId="0" fillId="0" fontId="39" numFmtId="0" xfId="0" applyAlignment="1" applyFont="1">
      <alignment vertical="bottom"/>
    </xf>
    <xf borderId="0" fillId="0" fontId="39" numFmtId="4" xfId="0" applyAlignment="1" applyFont="1" applyNumberFormat="1">
      <alignment vertical="bottom"/>
    </xf>
    <xf borderId="0" fillId="0" fontId="39" numFmtId="172" xfId="0" applyAlignment="1" applyFont="1" applyNumberFormat="1">
      <alignment vertical="bottom"/>
    </xf>
    <xf borderId="0" fillId="0" fontId="39" numFmtId="165" xfId="0" applyAlignment="1" applyFont="1" applyNumberFormat="1">
      <alignment vertical="bottom"/>
    </xf>
    <xf borderId="0" fillId="0" fontId="8" numFmtId="4" xfId="0" applyAlignment="1" applyFont="1" applyNumberFormat="1">
      <alignment horizontal="right" vertical="bottom"/>
    </xf>
    <xf borderId="0" fillId="0" fontId="8" numFmtId="165" xfId="0" applyAlignment="1" applyFont="1" applyNumberFormat="1">
      <alignment horizontal="right" vertical="bottom"/>
    </xf>
    <xf borderId="19" fillId="4" fontId="8" numFmtId="0" xfId="0" applyAlignment="1" applyBorder="1" applyFont="1">
      <alignment shrinkToFit="0" vertical="center" wrapText="0"/>
    </xf>
    <xf borderId="20" fillId="4" fontId="8" numFmtId="0" xfId="0" applyAlignment="1" applyBorder="1" applyFont="1">
      <alignment shrinkToFit="0" vertical="center" wrapText="0"/>
    </xf>
    <xf borderId="0" fillId="0" fontId="8" numFmtId="0" xfId="0" applyAlignment="1" applyFont="1">
      <alignment shrinkToFit="0" vertical="bottom" wrapText="1"/>
    </xf>
    <xf borderId="0" fillId="0" fontId="8" numFmtId="3" xfId="0" applyAlignment="1" applyFont="1" applyNumberFormat="1">
      <alignment vertical="bottom"/>
    </xf>
    <xf borderId="0" fillId="2" fontId="8" numFmtId="4" xfId="0" applyAlignment="1" applyFont="1" applyNumberFormat="1">
      <alignment vertical="bottom"/>
    </xf>
    <xf borderId="0" fillId="2" fontId="39" numFmtId="4" xfId="0" applyAlignment="1" applyFont="1" applyNumberFormat="1">
      <alignment vertical="bottom"/>
    </xf>
    <xf borderId="0" fillId="2" fontId="8" numFmtId="4" xfId="0" applyAlignment="1" applyFont="1" applyNumberFormat="1">
      <alignment horizontal="right" vertical="bottom"/>
    </xf>
    <xf borderId="0" fillId="0" fontId="8" numFmtId="164" xfId="0" applyAlignment="1" applyFont="1" applyNumberFormat="1">
      <alignment vertical="bottom"/>
    </xf>
    <xf borderId="0" fillId="0" fontId="1" numFmtId="4" xfId="0" applyAlignment="1" applyFont="1" applyNumberFormat="1">
      <alignment horizontal="left" readingOrder="0" shrinkToFit="0" vertical="center" wrapText="0"/>
    </xf>
    <xf borderId="0" fillId="0" fontId="1" numFmtId="172"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0"/>
    </xf>
    <xf borderId="2" fillId="2" fontId="8" numFmtId="4" xfId="0" applyAlignment="1" applyBorder="1" applyFont="1" applyNumberFormat="1">
      <alignment shrinkToFit="0" vertical="center" wrapText="0"/>
    </xf>
    <xf borderId="2" fillId="2" fontId="3" numFmtId="4" xfId="0" applyAlignment="1" applyBorder="1" applyFont="1" applyNumberFormat="1">
      <alignment horizontal="right" shrinkToFit="0" vertical="center" wrapText="0"/>
    </xf>
    <xf borderId="2" fillId="2" fontId="3" numFmtId="172" xfId="0" applyAlignment="1" applyBorder="1" applyFont="1" applyNumberFormat="1">
      <alignment horizontal="right" shrinkToFit="0" vertical="center" wrapText="0"/>
    </xf>
    <xf borderId="2" fillId="2" fontId="8" numFmtId="165" xfId="0" applyAlignment="1" applyBorder="1" applyFont="1" applyNumberFormat="1">
      <alignment shrinkToFit="0" vertical="center" wrapText="0"/>
    </xf>
    <xf borderId="15" fillId="4" fontId="8" numFmtId="0" xfId="0" applyAlignment="1" applyBorder="1" applyFont="1">
      <alignment shrinkToFit="0" vertical="center" wrapText="0"/>
    </xf>
    <xf borderId="16" fillId="4" fontId="3" numFmtId="0" xfId="0" applyAlignment="1" applyBorder="1" applyFont="1">
      <alignment shrinkToFit="0" vertical="center" wrapText="0"/>
    </xf>
    <xf borderId="16" fillId="4" fontId="8" numFmtId="4" xfId="0" applyAlignment="1" applyBorder="1" applyFont="1" applyNumberFormat="1">
      <alignment shrinkToFit="0" vertical="center" wrapText="0"/>
    </xf>
    <xf borderId="16" fillId="4" fontId="3" numFmtId="4" xfId="0" applyAlignment="1" applyBorder="1" applyFont="1" applyNumberFormat="1">
      <alignment horizontal="right" shrinkToFit="0" vertical="center" wrapText="0"/>
    </xf>
    <xf borderId="16" fillId="4" fontId="3" numFmtId="172" xfId="0" applyAlignment="1" applyBorder="1" applyFont="1" applyNumberFormat="1">
      <alignment horizontal="right" shrinkToFit="0" vertical="center" wrapText="0"/>
    </xf>
    <xf borderId="16" fillId="4" fontId="8" numFmtId="165" xfId="0" applyAlignment="1" applyBorder="1" applyFont="1" applyNumberFormat="1">
      <alignment shrinkToFit="0" vertical="center" wrapText="0"/>
    </xf>
    <xf borderId="2" fillId="2" fontId="3" numFmtId="4" xfId="0" applyAlignment="1" applyBorder="1" applyFont="1" applyNumberFormat="1">
      <alignment shrinkToFit="0" vertical="center" wrapText="0"/>
    </xf>
    <xf borderId="16" fillId="4" fontId="8" numFmtId="172" xfId="0" applyAlignment="1" applyBorder="1" applyFont="1" applyNumberFormat="1">
      <alignment shrinkToFit="0" vertical="center" wrapText="0"/>
    </xf>
    <xf borderId="2" fillId="2" fontId="8" numFmtId="172" xfId="0" applyAlignment="1" applyBorder="1" applyFont="1" applyNumberFormat="1">
      <alignment shrinkToFit="0" vertical="center" wrapText="0"/>
    </xf>
    <xf borderId="15" fillId="4" fontId="3" numFmtId="0" xfId="0" applyAlignment="1" applyBorder="1" applyFont="1">
      <alignment shrinkToFit="0" vertical="center" wrapText="0"/>
    </xf>
    <xf borderId="16" fillId="4" fontId="3" numFmtId="4" xfId="0" applyAlignment="1" applyBorder="1" applyFont="1" applyNumberFormat="1">
      <alignment shrinkToFit="0" vertical="center" wrapText="0"/>
    </xf>
    <xf borderId="16" fillId="4" fontId="3" numFmtId="165" xfId="0" applyAlignment="1" applyBorder="1" applyFont="1" applyNumberFormat="1">
      <alignment horizontal="right" shrinkToFit="0" vertical="center" wrapText="0"/>
    </xf>
    <xf borderId="17" fillId="4" fontId="3" numFmtId="0" xfId="0" applyAlignment="1" applyBorder="1" applyFont="1">
      <alignment shrinkToFit="0" vertical="center" wrapText="0"/>
    </xf>
    <xf borderId="2" fillId="2" fontId="3" numFmtId="165" xfId="0" applyAlignment="1" applyBorder="1" applyFont="1" applyNumberFormat="1">
      <alignment horizontal="right" shrinkToFit="0" vertical="center" wrapText="0"/>
    </xf>
    <xf borderId="4" fillId="2" fontId="3" numFmtId="0" xfId="0" applyAlignment="1" applyBorder="1" applyFont="1">
      <alignment shrinkToFit="0" vertical="center" wrapText="0"/>
    </xf>
    <xf borderId="18" fillId="4" fontId="8" numFmtId="0" xfId="0" applyAlignment="1" applyBorder="1" applyFont="1">
      <alignment shrinkToFit="0" vertical="center" wrapText="0"/>
    </xf>
    <xf borderId="19" fillId="4" fontId="3" numFmtId="0" xfId="0" applyAlignment="1" applyBorder="1" applyFont="1">
      <alignment shrinkToFit="0" vertical="center" wrapText="0"/>
    </xf>
    <xf borderId="19" fillId="4" fontId="3" numFmtId="4" xfId="0" applyAlignment="1" applyBorder="1" applyFont="1" applyNumberFormat="1">
      <alignment shrinkToFit="0" vertical="center" wrapText="0"/>
    </xf>
    <xf borderId="19" fillId="4" fontId="3" numFmtId="4" xfId="0" applyAlignment="1" applyBorder="1" applyFont="1" applyNumberFormat="1">
      <alignment horizontal="right" shrinkToFit="0" vertical="center" wrapText="0"/>
    </xf>
    <xf borderId="19" fillId="4" fontId="3" numFmtId="172" xfId="0" applyAlignment="1" applyBorder="1" applyFont="1" applyNumberFormat="1">
      <alignment horizontal="right" shrinkToFit="0" vertical="center" wrapText="0"/>
    </xf>
    <xf borderId="19" fillId="4" fontId="3" numFmtId="0" xfId="0" applyAlignment="1" applyBorder="1" applyFont="1">
      <alignment horizontal="right" shrinkToFit="0" vertical="center" wrapText="0"/>
    </xf>
    <xf borderId="19" fillId="4" fontId="8" numFmtId="4" xfId="0" applyAlignment="1" applyBorder="1" applyFont="1" applyNumberFormat="1">
      <alignment shrinkToFit="0" vertical="center" wrapText="0"/>
    </xf>
    <xf borderId="19" fillId="4" fontId="8" numFmtId="172" xfId="0" applyAlignment="1" applyBorder="1" applyFont="1" applyNumberFormat="1">
      <alignment shrinkToFit="0" vertical="center" wrapText="0"/>
    </xf>
    <xf borderId="19" fillId="4" fontId="8" numFmtId="165" xfId="0" applyAlignment="1" applyBorder="1" applyFont="1" applyNumberFormat="1">
      <alignment shrinkToFit="0" vertical="center" wrapText="0"/>
    </xf>
    <xf borderId="12" fillId="2" fontId="8" numFmtId="0" xfId="0" applyAlignment="1" applyBorder="1" applyFont="1">
      <alignment shrinkToFit="0" vertical="center" wrapText="0"/>
    </xf>
    <xf borderId="13" fillId="2" fontId="3" numFmtId="0" xfId="0" applyAlignment="1" applyBorder="1" applyFont="1">
      <alignment shrinkToFit="0" vertical="center" wrapText="0"/>
    </xf>
    <xf borderId="13" fillId="2" fontId="8" numFmtId="4" xfId="0" applyAlignment="1" applyBorder="1" applyFont="1" applyNumberFormat="1">
      <alignment shrinkToFit="0" vertical="center" wrapText="0"/>
    </xf>
    <xf borderId="13" fillId="2" fontId="3" numFmtId="4" xfId="0" applyAlignment="1" applyBorder="1" applyFont="1" applyNumberFormat="1">
      <alignment horizontal="right" shrinkToFit="0" vertical="center" wrapText="0"/>
    </xf>
    <xf borderId="13" fillId="2" fontId="3" numFmtId="172" xfId="0" applyAlignment="1" applyBorder="1" applyFont="1" applyNumberFormat="1">
      <alignment horizontal="right" shrinkToFit="0" vertical="center" wrapText="0"/>
    </xf>
    <xf borderId="13" fillId="2" fontId="3" numFmtId="0" xfId="0" applyAlignment="1" applyBorder="1" applyFont="1">
      <alignment horizontal="right" shrinkToFit="0" vertical="center" wrapText="0"/>
    </xf>
    <xf borderId="13" fillId="2" fontId="8" numFmtId="165" xfId="0" applyAlignment="1" applyBorder="1" applyFont="1" applyNumberFormat="1">
      <alignment shrinkToFit="0" vertical="center" wrapText="0"/>
    </xf>
    <xf borderId="0" fillId="0" fontId="2" numFmtId="4" xfId="0" applyAlignment="1" applyFont="1" applyNumberFormat="1">
      <alignment horizontal="left" readingOrder="0" shrinkToFit="0" vertical="center" wrapText="0"/>
    </xf>
    <xf borderId="0" fillId="0" fontId="2" numFmtId="172" xfId="0" applyAlignment="1" applyFont="1" applyNumberFormat="1">
      <alignment horizontal="left" readingOrder="0" shrinkToFit="0" vertical="center" wrapText="0"/>
    </xf>
    <xf borderId="0" fillId="0" fontId="2" numFmtId="165" xfId="0" applyAlignment="1" applyFont="1" applyNumberFormat="1">
      <alignment horizontal="left" readingOrder="0" shrinkToFit="0" vertical="center" wrapText="0"/>
    </xf>
    <xf borderId="16" fillId="4" fontId="3" numFmtId="165" xfId="0" applyAlignment="1" applyBorder="1" applyFont="1" applyNumberFormat="1">
      <alignment shrinkToFit="0" vertical="center" wrapText="0"/>
    </xf>
    <xf borderId="0" fillId="0" fontId="8" numFmtId="173" xfId="0" applyAlignment="1" applyFont="1" applyNumberFormat="1">
      <alignment vertical="bottom"/>
    </xf>
    <xf quotePrefix="1" borderId="2" fillId="2" fontId="3" numFmtId="49" xfId="0" applyAlignment="1" applyBorder="1" applyFont="1" applyNumberFormat="1">
      <alignment shrinkToFit="0" vertical="center" wrapText="0"/>
    </xf>
    <xf borderId="2" fillId="2" fontId="40" numFmtId="0" xfId="0" applyAlignment="1" applyBorder="1" applyFont="1">
      <alignment shrinkToFit="0" vertical="center" wrapText="0"/>
    </xf>
    <xf borderId="2" fillId="0" fontId="8" numFmtId="0" xfId="0" applyAlignment="1" applyBorder="1" applyFont="1">
      <alignment shrinkToFit="0" vertical="center" wrapText="0"/>
    </xf>
    <xf quotePrefix="1" borderId="3" fillId="3" fontId="3" numFmtId="49" xfId="0" applyAlignment="1" applyBorder="1" applyFont="1" applyNumberFormat="1">
      <alignment shrinkToFit="0" vertical="center" wrapText="0"/>
    </xf>
    <xf borderId="3" fillId="3" fontId="3" numFmtId="172" xfId="0" applyAlignment="1" applyBorder="1" applyFont="1" applyNumberFormat="1">
      <alignment horizontal="right" shrinkToFit="0" vertical="center" wrapText="0"/>
    </xf>
    <xf borderId="3" fillId="3" fontId="40" numFmtId="0" xfId="0" applyAlignment="1" applyBorder="1" applyFont="1">
      <alignment shrinkToFit="0" vertical="center" wrapText="0"/>
    </xf>
    <xf borderId="3" fillId="0" fontId="8" numFmtId="0" xfId="0" applyAlignment="1" applyBorder="1" applyFont="1">
      <alignment shrinkToFit="0" vertical="center" wrapText="0"/>
    </xf>
    <xf borderId="2" fillId="2" fontId="6" numFmtId="0" xfId="0" applyAlignment="1" applyBorder="1" applyFont="1">
      <alignment shrinkToFit="0" vertical="center" wrapText="0"/>
    </xf>
    <xf borderId="2" fillId="2" fontId="33" numFmtId="0" xfId="0" applyAlignment="1" applyBorder="1" applyFont="1">
      <alignment shrinkToFit="0" vertical="center" wrapText="0"/>
    </xf>
    <xf borderId="3" fillId="3" fontId="6" numFmtId="0" xfId="0" applyAlignment="1" applyBorder="1" applyFont="1">
      <alignment shrinkToFit="0" vertical="center" wrapText="0"/>
    </xf>
    <xf borderId="3" fillId="3" fontId="33" numFmtId="0" xfId="0" applyAlignment="1" applyBorder="1" applyFont="1">
      <alignment shrinkToFit="0" vertical="center" wrapText="0"/>
    </xf>
    <xf borderId="3" fillId="3" fontId="3" numFmtId="174" xfId="0" applyAlignment="1" applyBorder="1" applyFont="1" applyNumberFormat="1">
      <alignment horizontal="right" shrinkToFit="0" vertical="center" wrapText="0"/>
    </xf>
    <xf borderId="3" fillId="3" fontId="8" numFmtId="172" xfId="0" applyAlignment="1" applyBorder="1" applyFont="1" applyNumberFormat="1">
      <alignment shrinkToFit="0" vertical="center" wrapText="0"/>
    </xf>
    <xf borderId="3" fillId="3" fontId="8" numFmtId="0" xfId="0" applyAlignment="1" applyBorder="1" applyFont="1">
      <alignment shrinkToFit="0" vertical="center" wrapText="0"/>
    </xf>
    <xf borderId="2" fillId="2" fontId="3" numFmtId="174" xfId="0" applyAlignment="1" applyBorder="1" applyFont="1" applyNumberFormat="1">
      <alignment horizontal="right" shrinkToFit="0" vertical="center" wrapText="0"/>
    </xf>
    <xf borderId="3" fillId="3" fontId="41" numFmtId="0" xfId="0" applyAlignment="1" applyBorder="1" applyFont="1">
      <alignment shrinkToFit="0" vertical="center" wrapText="0"/>
    </xf>
    <xf borderId="2" fillId="2" fontId="3" numFmtId="20" xfId="0" applyAlignment="1" applyBorder="1" applyFont="1" applyNumberFormat="1">
      <alignment horizontal="right" shrinkToFit="0" vertical="center" wrapText="0"/>
    </xf>
    <xf borderId="2" fillId="2" fontId="41" numFmtId="0" xfId="0" applyAlignment="1" applyBorder="1" applyFont="1">
      <alignment shrinkToFit="0" vertical="center" wrapText="0"/>
    </xf>
    <xf borderId="3" fillId="3" fontId="3" numFmtId="20" xfId="0" applyAlignment="1" applyBorder="1" applyFont="1" applyNumberFormat="1">
      <alignment horizontal="right" shrinkToFit="0" vertical="center" wrapText="0"/>
    </xf>
    <xf borderId="3" fillId="3" fontId="42" numFmtId="0" xfId="0" applyAlignment="1" applyBorder="1" applyFont="1">
      <alignment shrinkToFit="0" vertical="center" wrapText="0"/>
    </xf>
    <xf borderId="2" fillId="2" fontId="8" numFmtId="20" xfId="0" applyAlignment="1" applyBorder="1" applyFont="1" applyNumberFormat="1">
      <alignment shrinkToFit="0" vertical="center" wrapText="0"/>
    </xf>
    <xf borderId="13" fillId="2" fontId="8" numFmtId="172" xfId="0" applyAlignment="1" applyBorder="1" applyFont="1" applyNumberFormat="1">
      <alignment shrinkToFit="0" vertical="center" wrapText="0"/>
    </xf>
    <xf borderId="13" fillId="2" fontId="8" numFmtId="0" xfId="0" applyAlignment="1" applyBorder="1" applyFont="1">
      <alignment shrinkToFit="0" vertical="center" wrapText="0"/>
    </xf>
    <xf borderId="13" fillId="2" fontId="8" numFmtId="0" xfId="0" applyAlignment="1" applyBorder="1" applyFont="1">
      <alignment shrinkToFit="0" vertical="center" wrapText="0"/>
    </xf>
    <xf borderId="13" fillId="0" fontId="8" numFmtId="0" xfId="0" applyAlignment="1" applyBorder="1" applyFont="1">
      <alignment shrinkToFit="0" vertical="center" wrapText="0"/>
    </xf>
    <xf borderId="0" fillId="0" fontId="39" numFmtId="0" xfId="0" applyAlignment="1" applyFont="1">
      <alignment readingOrder="0" vertical="bottom"/>
    </xf>
    <xf borderId="0" fillId="0" fontId="39" numFmtId="0" xfId="0" applyAlignment="1" applyFont="1">
      <alignment readingOrder="0" vertical="bottom"/>
    </xf>
    <xf borderId="0" fillId="0" fontId="43" numFmtId="0" xfId="0" applyAlignment="1" applyFont="1">
      <alignment readingOrder="0"/>
    </xf>
    <xf borderId="0" fillId="0" fontId="43" numFmtId="175" xfId="0" applyAlignment="1" applyFont="1" applyNumberFormat="1">
      <alignment readingOrder="0"/>
    </xf>
    <xf borderId="0" fillId="0" fontId="39" numFmtId="0" xfId="0" applyAlignment="1" applyFont="1">
      <alignment horizontal="left" readingOrder="0" shrinkToFit="0" vertical="bottom" wrapText="0"/>
    </xf>
    <xf borderId="0" fillId="0" fontId="39" numFmtId="0" xfId="0" applyAlignment="1" applyFont="1">
      <alignment horizontal="left" readingOrder="0" shrinkToFit="0" vertical="bottom" wrapText="0"/>
    </xf>
    <xf borderId="0" fillId="0" fontId="43" numFmtId="0" xfId="0" applyAlignment="1" applyFont="1">
      <alignment horizontal="left" readingOrder="0" shrinkToFit="0" vertical="center" wrapText="0"/>
    </xf>
    <xf borderId="0" fillId="0" fontId="43" numFmtId="175" xfId="0" applyAlignment="1" applyFont="1" applyNumberFormat="1">
      <alignment horizontal="left" readingOrder="0" shrinkToFit="0" vertical="center" wrapText="0"/>
    </xf>
    <xf borderId="0" fillId="0" fontId="39" numFmtId="0" xfId="0" applyAlignment="1" applyFont="1">
      <alignment readingOrder="0" shrinkToFit="0" vertical="bottom" wrapText="0"/>
    </xf>
    <xf borderId="0" fillId="0" fontId="39" numFmtId="0" xfId="0" applyAlignment="1" applyFont="1">
      <alignment readingOrder="0" shrinkToFit="0" vertical="bottom" wrapText="0"/>
    </xf>
    <xf borderId="0" fillId="0" fontId="39" numFmtId="175" xfId="0" applyAlignment="1" applyFont="1" applyNumberFormat="1">
      <alignment readingOrder="0" shrinkToFit="0" vertical="bottom"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fill>
        <patternFill patternType="solid">
          <fgColor rgb="FF5B3F86"/>
          <bgColor rgb="FF5B3F86"/>
        </patternFill>
      </fill>
      <border/>
    </dxf>
    <dxf>
      <font/>
      <fill>
        <patternFill patternType="solid">
          <fgColor rgb="FFD6CFE0"/>
          <bgColor rgb="FFD6CFE0"/>
        </patternFill>
      </fill>
      <border/>
    </dxf>
  </dxfs>
  <tableStyles count="27">
    <tableStyle count="4" pivot="0" name="Services-style">
      <tableStyleElement dxfId="1" type="headerRow"/>
      <tableStyleElement dxfId="2" type="firstRowStripe"/>
      <tableStyleElement dxfId="3" type="secondRowStripe"/>
      <tableStyleElement dxfId="4" size="0" type="wholeTable"/>
    </tableStyle>
    <tableStyle count="4" pivot="0" name="Batches-style">
      <tableStyleElement dxfId="1" type="headerRow"/>
      <tableStyleElement dxfId="2" type="firstRowStripe"/>
      <tableStyleElement dxfId="3" type="secondRowStripe"/>
      <tableStyleElement dxfId="4" size="0" type="wholeTable"/>
    </tableStyle>
    <tableStyle count="4" pivot="0" name="Students-style">
      <tableStyleElement dxfId="1" type="headerRow"/>
      <tableStyleElement dxfId="2" type="firstRowStripe"/>
      <tableStyleElement dxfId="3" type="secondRowStripe"/>
      <tableStyleElement dxfId="4" size="0" type="wholeTable"/>
    </tableStyle>
    <tableStyle count="4" pivot="0" name="Text_Formats-style">
      <tableStyleElement dxfId="1" type="headerRow"/>
      <tableStyleElement dxfId="2" type="firstRowStripe"/>
      <tableStyleElement dxfId="3" type="secondRowStripe"/>
      <tableStyleElement dxfId="4" size="0" type="wholeTable"/>
    </tableStyle>
    <tableStyle count="4" pivot="0" name="Currencies-style">
      <tableStyleElement dxfId="1" type="headerRow"/>
      <tableStyleElement dxfId="2" type="firstRowStripe"/>
      <tableStyleElement dxfId="5" type="secondRowStripe"/>
      <tableStyleElement dxfId="4" size="0" type="wholeTable"/>
    </tableStyle>
    <tableStyle count="4" pivot="0" name="Invoice_Months-style">
      <tableStyleElement dxfId="1" type="headerRow"/>
      <tableStyleElement dxfId="2" type="firstRowStripe"/>
      <tableStyleElement dxfId="5" type="secondRowStripe"/>
      <tableStyleElement dxfId="4" size="0" type="wholeTable"/>
    </tableStyle>
    <tableStyle count="4" pivot="0" name="Student_Statuses-style">
      <tableStyleElement dxfId="1" type="headerRow"/>
      <tableStyleElement dxfId="2" type="firstRowStripe"/>
      <tableStyleElement dxfId="5" type="secondRowStripe"/>
      <tableStyleElement dxfId="4" size="0" type="wholeTable"/>
    </tableStyle>
    <tableStyle count="4" pivot="0" name="Canva-style">
      <tableStyleElement dxfId="1" type="headerRow"/>
      <tableStyleElement dxfId="2" type="firstRowStripe"/>
      <tableStyleElement dxfId="5" type="secondRowStripe"/>
      <tableStyleElement dxfId="4" size="0" type="wholeTable"/>
    </tableStyle>
    <tableStyle count="4" pivot="0" name="Booklets-style">
      <tableStyleElement dxfId="1" type="headerRow"/>
      <tableStyleElement dxfId="2" type="firstRowStripe"/>
      <tableStyleElement dxfId="5" type="secondRowStripe"/>
      <tableStyleElement dxfId="4" size="0" type="wholeTable"/>
    </tableStyle>
    <tableStyle count="4" pivot="0" name="GCR-style">
      <tableStyleElement dxfId="1" type="headerRow"/>
      <tableStyleElement dxfId="2" type="firstRowStripe"/>
      <tableStyleElement dxfId="5" type="secondRowStripe"/>
      <tableStyleElement dxfId="4" size="0" type="wholeTable"/>
    </tableStyle>
    <tableStyle count="5" pivot="0" name="Student_Invoices1-style">
      <tableStyleElement dxfId="6" type="headerRow"/>
      <tableStyleElement dxfId="2" type="firstRowStripe"/>
      <tableStyleElement dxfId="5" type="secondRowStripe"/>
      <tableStyleElement dxfId="7" type="totalRow"/>
      <tableStyleElement dxfId="4" size="0" type="wholeTable"/>
    </tableStyle>
    <tableStyle count="5" pivot="0" name="Student_Invoices-style">
      <tableStyleElement dxfId="6" type="headerRow"/>
      <tableStyleElement dxfId="2" type="firstRowStripe"/>
      <tableStyleElement dxfId="5" type="secondRowStripe"/>
      <tableStyleElement dxfId="7" type="totalRow"/>
      <tableStyleElement dxfId="4" size="0" type="wholeTable"/>
    </tableStyle>
    <tableStyle count="4" pivot="0" name="Staff_Payments-style">
      <tableStyleElement dxfId="1" type="headerRow"/>
      <tableStyleElement dxfId="2" type="firstRowStripe"/>
      <tableStyleElement dxfId="5" type="secondRowStripe"/>
      <tableStyleElement dxfId="4" size="0" type="wholeTable"/>
    </tableStyle>
    <tableStyle count="4" pivot="0" name="Copy of Staff_Payments-style">
      <tableStyleElement dxfId="1" type="headerRow"/>
      <tableStyleElement dxfId="2" type="firstRowStripe"/>
      <tableStyleElement dxfId="5" type="secondRowStripe"/>
      <tableStyleElement dxfId="4" size="0" type="wholeTable"/>
    </tableStyle>
    <tableStyle count="4" pivot="0" name="Copy of Staff_Payments-style 2">
      <tableStyleElement dxfId="1" type="headerRow"/>
      <tableStyleElement dxfId="2" type="firstRowStripe"/>
      <tableStyleElement dxfId="5" type="secondRowStripe"/>
      <tableStyleElement dxfId="4" size="0" type="wholeTable"/>
    </tableStyle>
    <tableStyle count="4" pivot="0" name="Copy of Staff_Payments-style 3">
      <tableStyleElement dxfId="1" type="headerRow"/>
      <tableStyleElement dxfId="2" type="firstRowStripe"/>
      <tableStyleElement dxfId="5" type="secondRowStripe"/>
      <tableStyleElement dxfId="4" size="0" type="wholeTable"/>
    </tableStyle>
    <tableStyle count="4" pivot="0" name="Copy of Staff_Payments-style 4">
      <tableStyleElement dxfId="1" type="headerRow"/>
      <tableStyleElement dxfId="2" type="firstRowStripe"/>
      <tableStyleElement dxfId="5" type="secondRowStripe"/>
      <tableStyleElement dxfId="4" size="0" type="wholeTable"/>
    </tableStyle>
    <tableStyle count="4" pivot="0" name="Copy of Staff_Payments-style 5">
      <tableStyleElement dxfId="1" type="headerRow"/>
      <tableStyleElement dxfId="2" type="firstRowStripe"/>
      <tableStyleElement dxfId="5" type="secondRowStripe"/>
      <tableStyleElement dxfId="4" size="0" type="wholeTable"/>
    </tableStyle>
    <tableStyle count="4" pivot="0" name="Copy of Staff_Payments-style 6">
      <tableStyleElement dxfId="1" type="headerRow"/>
      <tableStyleElement dxfId="2" type="firstRowStripe"/>
      <tableStyleElement dxfId="5" type="secondRowStripe"/>
      <tableStyleElement dxfId="4" size="0" type="wholeTable"/>
    </tableStyle>
    <tableStyle count="4" pivot="0" name="Copy of Staff_Payments-style 7">
      <tableStyleElement dxfId="1" type="headerRow"/>
      <tableStyleElement dxfId="2" type="firstRowStripe"/>
      <tableStyleElement dxfId="5" type="secondRowStripe"/>
      <tableStyleElement dxfId="4" size="0" type="wholeTable"/>
    </tableStyle>
    <tableStyle count="4" pivot="0" name="Copy of Staff_Payments-style 8">
      <tableStyleElement dxfId="1" type="headerRow"/>
      <tableStyleElement dxfId="2" type="firstRowStripe"/>
      <tableStyleElement dxfId="5" type="secondRowStripe"/>
      <tableStyleElement dxfId="4" size="0" type="wholeTable"/>
    </tableStyle>
    <tableStyle count="4" pivot="0" name="Copy of Staff_Payments-style 9">
      <tableStyleElement dxfId="1" type="headerRow"/>
      <tableStyleElement dxfId="2" type="firstRowStripe"/>
      <tableStyleElement dxfId="5" type="secondRowStripe"/>
      <tableStyleElement dxfId="4" size="0" type="wholeTable"/>
    </tableStyle>
    <tableStyle count="4" pivot="0" name="Copy of Staff_Payments-style 10">
      <tableStyleElement dxfId="1" type="headerRow"/>
      <tableStyleElement dxfId="2" type="firstRowStripe"/>
      <tableStyleElement dxfId="5" type="secondRowStripe"/>
      <tableStyleElement dxfId="4" size="0" type="wholeTable"/>
    </tableStyle>
    <tableStyle count="4" pivot="0" name="Copy of Staff_Payments-style 11">
      <tableStyleElement dxfId="1" type="headerRow"/>
      <tableStyleElement dxfId="2" type="firstRowStripe"/>
      <tableStyleElement dxfId="5" type="secondRowStripe"/>
      <tableStyleElement dxfId="4" size="0" type="wholeTable"/>
    </tableStyle>
    <tableStyle count="4" pivot="0" name="Recruits-style">
      <tableStyleElement dxfId="1" type="headerRow"/>
      <tableStyleElement dxfId="2" type="firstRowStripe"/>
      <tableStyleElement dxfId="3" type="secondRowStripe"/>
      <tableStyleElement dxfId="4" size="0" type="wholeTable"/>
    </tableStyle>
    <tableStyle count="4" pivot="0" name="Backlog-style">
      <tableStyleElement dxfId="1" type="headerRow"/>
      <tableStyleElement dxfId="2" type="firstRowStripe"/>
      <tableStyleElement dxfId="5" type="secondRowStripe"/>
      <tableStyleElement dxfId="4" size="0" type="wholeTable"/>
    </tableStyle>
    <tableStyle count="4" pivot="0" name="Sprints-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77" displayName="Services" name="Services" id="1">
  <tableColumns count="9">
    <tableColumn name="Batch" id="1"/>
    <tableColumn name="Board" id="2"/>
    <tableColumn name="Course/Class" id="3"/>
    <tableColumn name="Subject Code" id="4"/>
    <tableColumn name="Subject Name" id="5"/>
    <tableColumn name="Full Subject Name" id="6"/>
    <tableColumn name="Instructor" id="7"/>
    <tableColumn name="Currency" id="8"/>
    <tableColumn name="Rate" id="9"/>
  </tableColumns>
  <tableStyleInfo name="Services-style" showColumnStripes="0" showFirstColumn="1" showLastColumn="1" showRowStripes="1"/>
</table>
</file>

<file path=xl/tables/table2.xml><?xml version="1.0" encoding="utf-8"?>
<table xmlns="http://schemas.openxmlformats.org/spreadsheetml/2006/main" ref="A1:D49" displayName="Batches" name="Batches" id="2">
  <tableColumns count="4">
    <tableColumn name="Status" id="1"/>
    <tableColumn name="Course/Class" id="2"/>
    <tableColumn name="Batch" id="3"/>
    <tableColumn name="Students" id="4"/>
  </tableColumns>
  <tableStyleInfo name="Batches-style" showColumnStripes="0" showFirstColumn="1" showLastColumn="1" showRowStripes="1"/>
</table>
</file>

<file path=xl/tables/table3.xml><?xml version="1.0" encoding="utf-8"?>
<table xmlns="http://schemas.openxmlformats.org/spreadsheetml/2006/main" ref="A1:P166" displayName="Students" name="Students" id="3">
  <tableColumns count="16">
    <tableColumn name="Student ID" id="1"/>
    <tableColumn name="Student Name" id="2"/>
    <tableColumn name="Batch" id="3"/>
    <tableColumn name="Currency" id="4"/>
    <tableColumn name="Timesheet" id="5"/>
    <tableColumn name="Time Zone" id="6"/>
    <tableColumn name="WhatsApp Number" id="7"/>
    <tableColumn name="Parent WhatsApp Number" id="8"/>
    <tableColumn name="Email" id="9"/>
    <tableColumn name="School" id="10"/>
    <tableColumn name="Group" id="11"/>
    <tableColumn name="GCR" id="12"/>
    <tableColumn name="Schedule" id="13"/>
    <tableColumn name="Notes" id="14"/>
    <tableColumn name="Progress Tracker" id="15"/>
    <tableColumn name="Location" id="16"/>
  </tableColumns>
  <tableStyleInfo name="Students-style" showColumnStripes="0" showFirstColumn="1" showLastColumn="1" showRowStripes="1"/>
</table>
</file>

<file path=xl/tables/table4.xml><?xml version="1.0" encoding="utf-8"?>
<table xmlns="http://schemas.openxmlformats.org/spreadsheetml/2006/main" ref="A1:E29" displayName="TEXT_FORMATS" name="TEXT_FORMATS" id="4">
  <tableColumns count="5">
    <tableColumn name="NAME" id="1"/>
    <tableColumn name="TEXT" id="2"/>
    <tableColumn name="ALTERNATE TEXT #1" id="3"/>
    <tableColumn name="USE" id="4"/>
    <tableColumn name="DATE" id="5"/>
  </tableColumns>
  <tableStyleInfo name="Text_Formats-style" showColumnStripes="0" showFirstColumn="1" showLastColumn="1" showRowStripes="1"/>
</table>
</file>

<file path=xl/tables/table5.xml><?xml version="1.0" encoding="utf-8"?>
<table xmlns="http://schemas.openxmlformats.org/spreadsheetml/2006/main" ref="A1:D17" displayName="Currencies" name="Currencies" id="5">
  <tableColumns count="4">
    <tableColumn name="Currency" id="1"/>
    <tableColumn name="To" id="2"/>
    <tableColumn name="Rate" id="3"/>
    <tableColumn name="Reverse" id="4"/>
  </tableColumns>
  <tableStyleInfo name="Currencies-style" showColumnStripes="0" showFirstColumn="1" showLastColumn="1" showRowStripes="1"/>
</table>
</file>

<file path=xl/tables/table6.xml><?xml version="1.0" encoding="utf-8"?>
<table xmlns="http://schemas.openxmlformats.org/spreadsheetml/2006/main" ref="A1:B78" displayName="Invoice_Months" name="Invoice_Months" id="6">
  <tableColumns count="2">
    <tableColumn name="S. No." id="1"/>
    <tableColumn name="Month" id="2"/>
  </tableColumns>
  <tableStyleInfo name="Invoice_Months-style" showColumnStripes="0" showFirstColumn="1" showLastColumn="1" showRowStripes="1"/>
</table>
</file>

<file path=xl/tables/table7.xml><?xml version="1.0" encoding="utf-8"?>
<table xmlns="http://schemas.openxmlformats.org/spreadsheetml/2006/main" ref="A1:B17" displayName="Student_Statuses" name="Student_Statuses" id="7">
  <tableColumns count="2">
    <tableColumn name="Name" id="1"/>
    <tableColumn name="Definition" id="2"/>
  </tableColumns>
  <tableStyleInfo name="Student_Statuses-style" showColumnStripes="0" showFirstColumn="1" showLastColumn="1" showRowStripes="1"/>
</table>
</file>

<file path=xl/tables/table8.xml><?xml version="1.0" encoding="utf-8"?>
<table xmlns="http://schemas.openxmlformats.org/spreadsheetml/2006/main" ref="A1:C13" displayName="Canva" name="Canva" id="8">
  <tableColumns count="3">
    <tableColumn name="Name" id="1"/>
    <tableColumn name="Date" id="2"/>
    <tableColumn name="Link" id="3"/>
  </tableColumns>
  <tableStyleInfo name="Canva-style" showColumnStripes="0" showFirstColumn="1" showLastColumn="1" showRowStripes="1"/>
</table>
</file>

<file path=xl/tables/table9.xml><?xml version="1.0" encoding="utf-8"?>
<table xmlns="http://schemas.openxmlformats.org/spreadsheetml/2006/main" ref="A1:C59" displayName="Booklets" name="Booklets" id="9">
  <tableColumns count="3">
    <tableColumn name="Name" id="1"/>
    <tableColumn name="Date" id="2"/>
    <tableColumn name="Link" id="3"/>
  </tableColumns>
  <tableStyleInfo name="Booklets-style" showColumnStripes="0" showFirstColumn="1" showLastColumn="1" showRowStripes="1"/>
</table>
</file>

<file path=xl/tables/table10.xml><?xml version="1.0" encoding="utf-8"?>
<table xmlns="http://schemas.openxmlformats.org/spreadsheetml/2006/main" ref="A1:D38" displayName="GCR" name="GCR" id="10">
  <tableColumns count="4">
    <tableColumn name="Name" id="1"/>
    <tableColumn name="Link" id="2"/>
    <tableColumn name="Date" id="3"/>
    <tableColumn name="S. No." id="4"/>
  </tableColumns>
  <tableStyleInfo name="GCR-style" showColumnStripes="0" showFirstColumn="1" showLastColumn="1" showRowStripes="1"/>
</table>
</file>

<file path=xl/tables/table11.xml><?xml version="1.0" encoding="utf-8"?>
<table xmlns="http://schemas.openxmlformats.org/spreadsheetml/2006/main" totalsRowCount="1" ref="A1:U1370" displayName="Table1" name="Table1" id="11">
  <autoFilter ref="$A$1:$U$1370">
    <filterColumn colId="0">
      <filters blank="1">
        <filter val="dropped eng when?"/>
        <filter val="started 20 may IG CMB"/>
        <filter val="45358"/>
        <filter val="1 1"/>
        <filter val="fees calculated+INR 4K for books (paper 5)"/>
        <filter val="started accounting on jun 23 -1w, started physics on Jun 17 - 2w, 1+.25+.5"/>
        <filter val="6000 less"/>
        <filter val="20.9% missed classes"/>
        <filter val="PCM 7500-66% dis"/>
        <filter val="33.3% missed classes"/>
        <filter val="left chem"/>
        <filter val="100% CS"/>
        <filter val="inactive"/>
        <filter val="IG Math SAR 150, AS PCM SAR 250"/>
        <filter val="50%(biology) + 20%(whole)"/>
        <filter val="1 0.1667"/>
        <filter val="IG PCM  7500-66% dis"/>
        <filter val="will not pay  ?discounts applied"/>
        <filter val="tally payment? paid 9k (5K on sep 18 + 4K on sep 17)"/>
        <filter val="0.1667"/>
        <filter val="IG PCM 20% Dis"/>
        <filter val="LAST TAKEN CLASSES ?Paid or not, check receipt"/>
        <filter val="MIA"/>
        <filter val="STARTED 24-July, IG PCB"/>
        <filter val="started on 23 may"/>
        <filter val="IG PCB"/>
        <filter val="al phys, al math S1"/>
        <filter val="50% in Physics  , 25% whole"/>
        <filter val="1"/>
        <filter val="left oct 7"/>
        <filter val="left"/>
        <filter val="5.25(IB maths)+8(IB Eco)"/>
        <filter val="16 oct refund requested A2CP+B"/>
        <filter val="Quantum AI"/>
        <filter val="AS-PC GBP"/>
        <filter val="iGCSE PM 150(16.7% DIS) x tally"/>
        <filter val="16.67% missed classes left oct 16"/>
        <filter val="?"/>
        <filter val="ig bio student"/>
        <filter val="A2 Physics GBP x tally"/>
        <filter val="Pause"/>
        <filter val="Waiting to resume"/>
        <filter val="Quantum AI x tally"/>
        <filter val="p?check date"/>
        <filter val="extra 1500 for one extra math class on saturday. not actually taken"/>
        <filter val="? end when !I'm marking it as paid  most likel;y since records cleared"/>
        <filter val="Payse"/>
        <filter val="Transition to 1st to month. started s1 !6000 less was paid"/>
        <filter val="AL EGP"/>
        <filter val="IG CB started 12-sep"/>
        <filter val="16.67% dis"/>
        <filter val="?proof of payment"/>
        <filter val="end 5 dec"/>
        <filter val="IGCSE PCMBE JOINED ESL ON 13-nov"/>
        <filter val="paid on 4/21/2024"/>
        <filter val="AL-P,M(P3),CS Joined 7-Jan"/>
        <filter val="IGCSE ICT+M"/>
        <filter val="Paused"/>
        <filter val="EXTRA - LEFT"/>
        <filter val="?paid or not"/>
        <filter val="A2 Physics GBP"/>
        <filter val="4 classes + 1 hr trial"/>
        <filter val="16.67% missed classes"/>
        <filter val="IGCSE ICT"/>
        <filter val="7500-66% dis  ???Paid or not"/>
        <filter val="IG BIO"/>
        <filter val="?started bio when"/>
        <filter val="class 9"/>
        <filter val="!paused on nov 30"/>
        <filter val="106.41  SAR remaining"/>
        <filter val="6 days 24-30 oct left"/>
        <filter val="3 subjects: combined math - or add discounts"/>
        <filter val="joined igcse maths at 19-march(PCM)"/>
        <filter val="check due"/>
        <filter val="send HX of invoices to parents"/>
        <filter val="? partial payment of may was done. how much and when did he stop? how much is due"/>
        <filter val="IGCSE PCMB"/>
        <filter val="A2 CP"/>
        <filter val="x"/>
        <filter val="STOPPED 13-may  join7-may(1 p+1m class)"/>
        <filter val="?tally timesheet - done"/>
        <filter val="GBP 3 classes 2x1.5hr 2nd, 16th + 1hr 23rd as_of_29th march"/>
        <filter val="IG PCE STARTED 24-July"/>
        <filter val="stopped bio+maths on 1-nov, paid INR 4K for nov igcse physics (check?) !adjusted fees based on missed classes"/>
        <filter val="monem"/>
        <filter val="0.625"/>
        <filter val="3 subjects: combined math"/>
        <filter val="IGCSE ICT  x tally"/>
        <filter val="follow up and get payments"/>
        <filter val="p? check date"/>
        <filter val="16.67% dis 16.67% dis"/>
        <filter val="IG PCBE"/>
        <filter val="PAUSE 6-OCT"/>
        <filter val="tally payment"/>
        <filter val="???Paid or not and when"/>
        <filter val="1 Neha Harkut"/>
        <filter val="!exams going on - dec 9"/>
        <filter val="as phy,as chem"/>
        <filter val="A2 PCE"/>
        <filter val="?what did he pay ?anything -!didnt attend no fee paid"/>
        <filter val="al math S1"/>
        <filter val="Left 7-Dec"/>
        <filter val="follow up and ask to join bio"/>
        <filter val="? ?"/>
        <filter val="IG CMB"/>
        <filter val="5 subs???"/>
        <filter val="al phys, al math S1 75%Missed classes"/>
        <filter val="IG BCM"/>
        <filter val="left 1-jan AS CS GBP"/>
        <filter val="IG CMB Started 20-may"/>
        <filter val="?check payment date"/>
        <filter val="75%CS"/>
        <filter val="50% MC"/>
        <filter val="sent"/>
        <filter val="PCB"/>
        <filter val="pause"/>
        <filter val="START 23-Nov Quantum AI"/>
        <filter val="- check how many subjects and attednace"/>
        <filter val="STARTED 2-May"/>
        <filter val="3/28/2024 16.67% missed classes"/>
        <filter val="starts 20-may"/>
        <filter val="started 9 April  ?paid"/>
        <filter val="16.67% missed classes 3/7/2024"/>
        <filter val="???Paid or not, ask for receipt"/>
        <filter val="Active EL , paused PCM 5-july"/>
        <filter val="62.50%MC"/>
        <filter val="PCM"/>
        <filter val="NO classes and left 2-feb"/>
        <filter val="ict started"/>
        <filter val="np"/>
        <filter val="25% whole"/>
        <filter val="paid check date"/>
        <filter val="?follow up and start classes"/>
        <filter val="ict math and phys !paid 400"/>
        <filter val="Trisha Agarwal"/>
        <filter val="LEFT 4-MARCH"/>
        <filter val="20% whole"/>
        <filter val="IG EL"/>
        <filter val="3 classes 2x1.5hr 2nd, 16th + 1hr 23rd as_of_29th march"/>
        <filter val="p?"/>
        <filter val="A2 PCEB"/>
        <filter val="JOIN BIO 3-june"/>
        <filter val="x tally"/>
        <filter val="started 9 April"/>
        <filter val="started english on Jun 30, SAR 50 extra since she started eng in w2 of jun session"/>
        <filter val="started igCB 26 July"/>
        <filter val="IGCSE PCMEL"/>
        <filter val="0.25"/>
        <filter val="Pause Aug 26"/>
        <filter val="last response on Feb 9"/>
        <filter val="?check when she stopped physics"/>
        <filter val="started 9 April MYR"/>
        <filter val="check total payment history"/>
        <filter val="IGCSE PCMESL"/>
        <filter val="?check if paid and tally hours for jun,"/>
        <filter val="didnt took classes from 13apr-1may"/>
        <filter val="paid on 3/17/2024"/>
        <filter val="IB Economics - !fee paid or not"/>
        <filter val="62.50% Eng SL+20% Whole"/>
        <filter val="left IB Maths on 6-july , started 2 june"/>
        <filter val="50% discount in april Paid 1250/- on 12-apr+paused 22/4/2024"/>
        <filter val="(skipped to 10-Oct)"/>
        <filter val="A2 PCEB Start Bio:25-Nov        A2 PCEB Start Bio:25-Nov"/>
        <filter val="end 28 sep,np - !calc how much is due"/>
        <filter val="?How many classes and ask her to pay"/>
        <filter val="khamruddin"/>
        <filter val="tally payment histroy"/>
        <filter val="paid 5000 INR extra ?check invoice"/>
        <filter val="62.50% IG ESL + 33.3% IG ICT"/>
        <filter val="? left oct 16"/>
        <filter val="75% dis"/>
        <filter val="PCEB"/>
        <filter val="?start date, check total amount paid for no. of months"/>
        <filter val="0.5"/>
        <filter val="follow up and start classes"/>
        <filter val="?Paid something on Mar 6"/>
        <filter val="?Paid extra 6500 39000 instead of 32500"/>
        <filter val="10GBP/HR taken 2,3 classes 30%"/>
        <filter val="37% missed"/>
        <filter val="Riza Shaheen"/>
        <filter val="75% CS"/>
      </filters>
    </filterColumn>
    <filterColumn colId="1">
      <filters>
        <filter val="Ritaj Ahmed"/>
        <filter val="Aliya Wazir"/>
        <filter val="Rachit Sonthalia"/>
        <filter val="Abdullah Kamal Pasha"/>
        <filter val="Ayesha Imran"/>
        <filter val="Ayza Shareef"/>
        <filter val="Tooba Naveed"/>
        <filter val="Coreen Estico"/>
        <filter val="Students"/>
        <filter val="Tala Hakami"/>
        <filter val="Mohammed Abdulmonem"/>
        <filter val="Menna Aymen"/>
        <filter val="Jotham"/>
        <filter val="Debjyoti Sikdar"/>
        <filter val="Sai Nikhita"/>
        <filter val="Omar BIN ZARRAR"/>
        <filter val="Layan Sahli"/>
        <filter val="Fatima"/>
        <filter val="Diyana Abraham"/>
        <filter val="Kavish Agarwal"/>
        <filter val="Hafsah"/>
        <filter val="Dina Ali"/>
        <filter val="1"/>
        <filter val="Aakaash Nandakumar"/>
        <filter val="Adeeba"/>
        <filter val="Saksham"/>
        <filter val="Rawan Naser"/>
        <filter val="Yaseen Khalifa"/>
        <filter val="Fajr"/>
        <filter val="Mehreen"/>
        <filter val="Besly Bejoy"/>
        <filter val="Nabeeha"/>
        <filter val="Shubh Kalra"/>
        <filter val="Afeez Abduljaleel"/>
        <filter val="Muzzamil"/>
        <filter val="Sarah"/>
        <filter val="Lula Abraham"/>
        <filter val="Noya Mahasin"/>
        <filter val="Hananah Khan"/>
        <filter val="Farah"/>
        <filter val="Sofiya Rawal"/>
        <filter val="Hamsini Upadhyayula"/>
        <filter val="Noorseen Osman"/>
        <filter val="Ritvik P"/>
        <filter val="Agamjot"/>
        <filter val="Layan Abdelmonem"/>
        <filter val="Diya Ravipati"/>
        <filter val="Rana"/>
        <filter val="Adithya Aji"/>
        <filter val="Diniru"/>
        <filter val="Rania Kamel"/>
        <filter val="Layan Alhothali"/>
        <filter val="Eric Lay"/>
        <filter val="Khadijah Bako"/>
        <filter val="Sharmira Perkash"/>
        <filter val="Heba Alomar"/>
        <filter val="Aseel Aymen"/>
        <filter val="Faraz"/>
        <filter val="Mudassir Dhanani"/>
        <filter val="Sree"/>
        <filter val="Imtiaz"/>
        <filter val="Geet Panjwani"/>
        <filter val="Himani Chourasia"/>
        <filter val="Safa Marwah"/>
        <filter val="Anas Shareef"/>
        <filter val="Maram"/>
        <filter val="Brighty Bejoy"/>
        <filter val="Ayisha Abdulaziz"/>
        <filter val="Zahra Zahra"/>
        <filter val="Najla Salih"/>
        <filter val="Safa Rasheed"/>
        <filter val="Ritvik Modani"/>
        <filter val="Faizah"/>
        <filter val="Marium Rehman"/>
        <filter val="Alberto"/>
        <filter val="Wajd"/>
        <filter val="Ellan"/>
        <filter val="Steve Rex"/>
        <filter val="Ananya T"/>
        <filter val="Aatif"/>
        <filter val="Taha Siddiqui"/>
        <filter val="Mawaddah Haitham"/>
        <filter val="Yajna Gopalan"/>
        <filter val="Zakir Osama"/>
        <filter val="Ayaan Kanwar"/>
        <filter val="Manya Agarwal"/>
        <filter val="Ayra Shareef"/>
        <filter val="Howard Lim"/>
        <filter val="Rania Sami"/>
        <filter val="Abdurrahman"/>
        <filter val="Jerrin Jaison"/>
        <filter val="Asrar Ahmad Shah"/>
        <filter val="Maanvi Mittal"/>
        <filter val="Dhruv Vamshi"/>
        <filter val="Basant Gohal"/>
        <filter val="Arafat"/>
        <filter val="Neha Harkut"/>
        <filter val="Yaqeen Idriss"/>
        <filter val="Shifa Adnan"/>
        <filter val="Bhawik"/>
        <filter val="Sai Hrithika"/>
        <filter val="Vatsal Abrols"/>
        <filter val="Hryday Kedia"/>
        <filter val="Juveria Dhanani"/>
        <filter val="Nairah Noushad"/>
        <filter val="Shrey Agarwal"/>
        <filter val="Jwan Mohammed"/>
        <filter val="Al Aqmar Jamnagarwalla"/>
        <filter val="Ibrahim Kamal Pasha"/>
        <filter val="Ikramuddin"/>
        <filter val="Niranjana Aji"/>
        <filter val="Amena Muskan"/>
        <filter val="Pritika Deb"/>
        <filter val="Aditya Bansal"/>
        <filter val="Vaishak"/>
        <filter val="Daniel Peter"/>
        <filter val="Ashragat Mohammadin"/>
        <filter val="Zahra Rasheed"/>
        <filter val="Taleen Hakami"/>
        <filter val="Taahaa Khalifa"/>
        <filter val="Amakie Ematu"/>
        <filter val="Riza Shaheen"/>
        <filter val="Sumayyah Muhammad"/>
      </filters>
    </filterColumn>
  </autoFilter>
  <tableColumns count="21">
    <tableColumn name="Notes" id="1"/>
    <tableColumn totalsRowFunction="custom" name="Students" id="2"/>
    <tableColumn name="Status" id="3"/>
    <tableColumn name="Subject Names" id="4"/>
    <tableColumn name="Currency" id="5"/>
    <tableColumn name="Subjects/Hours" id="6"/>
    <tableColumn name="Discount" id="7"/>
    <tableColumn name="Rate" id="8"/>
    <tableColumn name="Fees" id="9"/>
    <tableColumn totalsRowFunction="custom" name="INR" id="10"/>
    <tableColumn totalsRowFunction="custom" name="Due" id="11"/>
    <tableColumn name="Start" id="12"/>
    <tableColumn name="Finish" id="13"/>
    <tableColumn name="Payment done" id="14"/>
    <tableColumn name="Days left" id="15"/>
    <tableColumn name="Days Due" id="16"/>
    <tableColumn name="Payment Date" id="17"/>
    <tableColumn name="Payment Acknowledgement Message" id="18"/>
    <tableColumn name="Invoice" id="19"/>
    <tableColumn name="S. No." id="20"/>
    <tableColumn name="Payment Reminder Message" id="21"/>
  </tableColumns>
  <tableStyleInfo name="Student_Invoices1-style" showColumnStripes="0" showFirstColumn="1" showLastColumn="1" showRowStripes="1"/>
</table>
</file>

<file path=xl/tables/table12.xml><?xml version="1.0" encoding="utf-8"?>
<table xmlns="http://schemas.openxmlformats.org/spreadsheetml/2006/main" totalsRowCount="1" ref="A1:U752" displayName="Student_Invoices" name="Student_Invoices" id="12">
  <autoFilter ref="$A$1:$U$752"/>
  <tableColumns count="21">
    <tableColumn name="Notes" id="1"/>
    <tableColumn totalsRowFunction="custom" name="Students" id="2"/>
    <tableColumn name="Status" id="3"/>
    <tableColumn name="Subject Names" id="4"/>
    <tableColumn name="Currency" id="5"/>
    <tableColumn name="Subjects/Hours" id="6"/>
    <tableColumn name="Discount" id="7"/>
    <tableColumn name="Rate" id="8"/>
    <tableColumn name="Fees" id="9"/>
    <tableColumn totalsRowFunction="custom" name="INR" id="10"/>
    <tableColumn totalsRowFunction="custom" name="Due" id="11"/>
    <tableColumn name="Start" id="12"/>
    <tableColumn name="Finish" id="13"/>
    <tableColumn name="Payment done" id="14"/>
    <tableColumn name="Days left" id="15"/>
    <tableColumn name="Days Due" id="16"/>
    <tableColumn name="Payment Date" id="17"/>
    <tableColumn name="Payment Acknowledgement Message" id="18"/>
    <tableColumn name="Invoice" id="19"/>
    <tableColumn name="S. No." id="20"/>
    <tableColumn name="Payment Reminder Message" id="21"/>
  </tableColumns>
  <tableStyleInfo name="Student_Invoices-style" showColumnStripes="0" showFirstColumn="1" showLastColumn="1" showRowStripes="1"/>
</table>
</file>

<file path=xl/tables/table13.xml><?xml version="1.0" encoding="utf-8"?>
<table xmlns="http://schemas.openxmlformats.org/spreadsheetml/2006/main" ref="A1:Z1062" displayName="Staff_Payments" name="Staff_Payments" id="13">
  <autoFilter ref="$A$1:$Z$1062">
    <filterColumn colId="3">
      <filters blank="1">
        <filter val="2.50"/>
        <filter val="5.00"/>
        <filter val="15.00"/>
        <filter val="10.50"/>
        <filter val="10.52"/>
        <filter val="13.00"/>
        <filter val="11.00"/>
        <filter val="1.00"/>
        <filter val="3.00"/>
        <filter val="7.00"/>
        <filter val="16.50"/>
        <filter val="9.00"/>
        <filter val="25.00"/>
        <filter val="21.00"/>
        <filter val="6.00"/>
        <filter val="4.00"/>
        <filter val="16.00"/>
        <filter val="8.25"/>
        <filter val="12.00"/>
        <filter val="10.00"/>
        <filter val="0.00"/>
        <filter val="2.25"/>
        <filter val="9.50"/>
        <filter val="18.00"/>
        <filter val="7.50"/>
        <filter val="8.00"/>
        <filter val="13.50"/>
        <filter val="0.63"/>
        <filter val="24.00"/>
        <filter val="21.50"/>
      </filters>
    </filterColumn>
    <filterColumn colId="1">
      <filters>
        <filter val="Rabia (USD)"/>
        <filter val="Sarah(BHD)"/>
        <filter val="Mahrukh Altaf (PKR)"/>
        <filter val="Staff"/>
        <filter val="Aleena Usman (PKR)"/>
        <filter val="Aurneela (MYR)"/>
        <filter val="Murtaza (USD) ?"/>
        <filter val="Arqam (PKR)"/>
        <filter val="Atiqa (PKR) xx"/>
        <filter val="Maryam"/>
        <filter val="Arqam (PKR)  xx?"/>
        <filter val="Chirag (INR) xx?"/>
        <filter val="Atiqa Surplus (PKR)"/>
        <filter val="Atiqa (PKR)"/>
        <filter val="Murtaza (USD)"/>
        <filter val="June of 2025"/>
        <filter val="Atiqa (PKR) Surplus"/>
        <filter val="Aurneela (MYR) xx"/>
        <filter val="Ayisha (MYR) x no ID"/>
        <filter val="Atiqa Deficit Amount"/>
        <filter val="Atiqa Deficit (PKR)"/>
        <filter val="Ahmar (SAR)  xx"/>
        <filter val="Murtaza (USD) xx no updated info on ID or Bank"/>
        <filter val="Harem Mir"/>
        <filter val="Ahmar (SAR)"/>
        <filter val="Chirag (INR)"/>
        <filter val="Ayisha (MYR)"/>
        <filter val="Rabia (USD) xx"/>
        <filter val="Saddique (MYR)"/>
      </filters>
    </filterColumn>
    <filterColumn colId="5">
      <filters blank="1">
        <filter val="5,000.00"/>
        <filter val="6,000.00"/>
        <filter val="209.00"/>
        <filter val="44,488.00"/>
        <filter val="9,000.00"/>
        <filter val="3.00"/>
        <filter val="78.00"/>
        <filter val="36.00"/>
        <filter val="6.75"/>
        <filter val="250.00"/>
        <filter val="-11,477.00"/>
        <filter val="27.00"/>
        <filter val="220.00"/>
        <filter val="352.00"/>
        <filter val="300.00"/>
        <filter val="3,860.00"/>
        <filter val="-1,379.00"/>
        <filter val="12.00"/>
        <filter val="5,106.00"/>
        <filter val="33.00"/>
        <filter val="231.00"/>
        <filter val="6,660.00"/>
        <filter val="330.00"/>
        <filter val="-16,426.00"/>
        <filter val="60.00"/>
        <filter val="5.00"/>
        <filter val="15.00"/>
        <filter val="473.00"/>
        <filter val="297.00"/>
        <filter val="165.00"/>
        <filter val="24.75"/>
        <filter val="31.56"/>
        <filter val="Due"/>
        <filter val="-21,477.00"/>
        <filter val="5,015.00"/>
        <filter val="21.00"/>
        <filter val="528.00"/>
        <filter val="132.00"/>
        <filter val="396.00"/>
        <filter val="0.00"/>
        <filter val="363.00"/>
        <filter val="15,000.00"/>
        <filter val="35.00"/>
        <filter val="18.00"/>
        <filter val="Fees"/>
        <filter val="550.00"/>
        <filter val="72.00"/>
        <filter val="347.50"/>
        <filter val="462.00"/>
        <filter val="24.00"/>
        <filter val="-13,340.00"/>
        <filter val="3,798.00"/>
        <filter val="110.00"/>
        <filter val="-16,462.00"/>
        <filter val="45.00"/>
        <filter val="66.00"/>
      </filters>
    </filterColumn>
  </autoFilter>
  <tableColumns count="26">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 name="Column 15" id="15"/>
    <tableColumn name="Column 16" id="16"/>
    <tableColumn name="Column 17"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s>
  <tableStyleInfo name="Staff_Payments-style" showColumnStripes="0" showFirstColumn="1" showLastColumn="1" showRowStripes="1"/>
</table>
</file>

<file path=xl/tables/table14.xml><?xml version="1.0" encoding="utf-8"?>
<table xmlns="http://schemas.openxmlformats.org/spreadsheetml/2006/main" ref="S4:V20" displayName="Table4_2" name="Table4_2" id="14">
  <tableColumns count="4">
    <tableColumn name="From" id="1"/>
    <tableColumn name="To" id="2"/>
    <tableColumn name="Rate" id="3"/>
    <tableColumn name="Reverse" id="4"/>
  </tableColumns>
  <tableStyleInfo name="Copy of Staff_Payments-style" showColumnStripes="0" showFirstColumn="1" showLastColumn="1" showRowStripes="1"/>
</table>
</file>

<file path=xl/tables/table15.xml><?xml version="1.0" encoding="utf-8"?>
<table xmlns="http://schemas.openxmlformats.org/spreadsheetml/2006/main" ref="A303:N317" displayName="Table3_2" name="Table3_2" id="15">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2" showColumnStripes="0" showFirstColumn="1" showLastColumn="1" showRowStripes="1"/>
</table>
</file>

<file path=xl/tables/table16.xml><?xml version="1.0" encoding="utf-8"?>
<table xmlns="http://schemas.openxmlformats.org/spreadsheetml/2006/main" ref="A328:N342" displayName="Table5_2" name="Table5_2" id="16">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3" showColumnStripes="0" showFirstColumn="1" showLastColumn="1" showRowStripes="1"/>
</table>
</file>

<file path=xl/tables/table17.xml><?xml version="1.0" encoding="utf-8"?>
<table xmlns="http://schemas.openxmlformats.org/spreadsheetml/2006/main" ref="A353:N369" displayName="Table2_2" name="Table2_2" id="17">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4" showColumnStripes="0" showFirstColumn="1" showLastColumn="1" showRowStripes="1"/>
</table>
</file>

<file path=xl/tables/table18.xml><?xml version="1.0" encoding="utf-8"?>
<table xmlns="http://schemas.openxmlformats.org/spreadsheetml/2006/main" ref="A379:N393" displayName="Table10_2" name="Table10_2" id="18">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5" showColumnStripes="0" showFirstColumn="1" showLastColumn="1" showRowStripes="1"/>
</table>
</file>

<file path=xl/tables/table19.xml><?xml version="1.0" encoding="utf-8"?>
<table xmlns="http://schemas.openxmlformats.org/spreadsheetml/2006/main" ref="A404:N418" displayName="Table9_2" name="Table9_2" id="19">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6" showColumnStripes="0" showFirstColumn="1" showLastColumn="1" showRowStripes="1"/>
</table>
</file>

<file path=xl/tables/table20.xml><?xml version="1.0" encoding="utf-8"?>
<table xmlns="http://schemas.openxmlformats.org/spreadsheetml/2006/main" ref="A429:N443" displayName="Table6_2" name="Table6_2" id="20">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7" showColumnStripes="0" showFirstColumn="1" showLastColumn="1" showRowStripes="1"/>
</table>
</file>

<file path=xl/tables/table21.xml><?xml version="1.0" encoding="utf-8"?>
<table xmlns="http://schemas.openxmlformats.org/spreadsheetml/2006/main" ref="A454:N469" displayName="Table7_2" name="Table7_2" id="21">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8" showColumnStripes="0" showFirstColumn="1" showLastColumn="1" showRowStripes="1"/>
</table>
</file>

<file path=xl/tables/table22.xml><?xml version="1.0" encoding="utf-8"?>
<table xmlns="http://schemas.openxmlformats.org/spreadsheetml/2006/main" ref="A480:N495" displayName="Table8_2" name="Table8_2" id="22">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9" showColumnStripes="0" showFirstColumn="1" showLastColumn="1" showRowStripes="1"/>
</table>
</file>

<file path=xl/tables/table23.xml><?xml version="1.0" encoding="utf-8"?>
<table xmlns="http://schemas.openxmlformats.org/spreadsheetml/2006/main" ref="A505:N520" displayName="Table11_2" name="Table11_2" id="23">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10" showColumnStripes="0" showFirstColumn="1" showLastColumn="1" showRowStripes="1"/>
</table>
</file>

<file path=xl/tables/table24.xml><?xml version="1.0" encoding="utf-8"?>
<table xmlns="http://schemas.openxmlformats.org/spreadsheetml/2006/main" ref="A530:N545" displayName="Table12_2" name="Table12_2" id="24">
  <tableColumns count="14">
    <tableColumn name="Notes" id="1"/>
    <tableColumn name="Staff" id="2"/>
    <tableColumn name="Status" id="3"/>
    <tableColumn name="Subjects/hours" id="4"/>
    <tableColumn name="Rate" id="5"/>
    <tableColumn name="Fees" id="6"/>
    <tableColumn name="INR" id="7"/>
    <tableColumn name="Due" id="8"/>
    <tableColumn name="Started" id="9"/>
    <tableColumn name="Finish" id="10"/>
    <tableColumn name="Payment done" id="11"/>
    <tableColumn name="Days left" id="12"/>
    <tableColumn name="Date done" id="13"/>
    <tableColumn name="Notes 2" id="14"/>
  </tableColumns>
  <tableStyleInfo name="Copy of Staff_Payments-style 11" showColumnStripes="0" showFirstColumn="1" showLastColumn="1" showRowStripes="1"/>
</table>
</file>

<file path=xl/tables/table25.xml><?xml version="1.0" encoding="utf-8"?>
<table xmlns="http://schemas.openxmlformats.org/spreadsheetml/2006/main" ref="A1:T152" displayName="Table13" name="Table13" id="25">
  <tableColumns count="20">
    <tableColumn name="NAME" id="1"/>
    <tableColumn name="INTERVIEW POSITION" id="2"/>
    <tableColumn name="TIME ZONE" id="3"/>
    <tableColumn name="PHONE NO" id="4"/>
    <tableColumn name="EMAIL" id="5"/>
    <tableColumn name="INTERVIEW DATE" id="6"/>
    <tableColumn name="INTERVIEW TIME" id="7"/>
    <tableColumn name="STATUS" id="8"/>
    <tableColumn name="NOTES" id="9"/>
    <tableColumn name="SKILLS/SUBJECTS" id="10"/>
    <tableColumn name="EXTRA SKILLS/SUBJECTS" id="11"/>
    <tableColumn name="LINKS " id="12"/>
    <tableColumn name="QUALIFICATIONS" id="13"/>
    <tableColumn name="START DATE" id="14"/>
    <tableColumn name="OFFER LETTER" id="15"/>
    <tableColumn name="RATE" id="16"/>
    <tableColumn name="GCR ACCESS" id="17"/>
    <tableColumn name="CLASS SCHEDULE" id="18"/>
    <tableColumn name="WORK FOLDER" id="19"/>
    <tableColumn name="Column 18" id="20"/>
  </tableColumns>
  <tableStyleInfo name="Recruits-style" showColumnStripes="0" showFirstColumn="1" showLastColumn="1" showRowStripes="1"/>
</table>
</file>

<file path=xl/tables/table26.xml><?xml version="1.0" encoding="utf-8"?>
<table xmlns="http://schemas.openxmlformats.org/spreadsheetml/2006/main" ref="A2:W4" displayName="Backlog" name="Backlog" id="26">
  <tableColumns count="23">
    <tableColumn name="S. No." id="1"/>
    <tableColumn name="Importance" id="2"/>
    <tableColumn name="Added to Calendar" id="3"/>
    <tableColumn name="Date Added" id="4"/>
    <tableColumn name="Added to Calendar 2" id="5"/>
    <tableColumn name="Date" id="6"/>
    <tableColumn name="Additional Task" id="7"/>
    <tableColumn name="Event" id="8"/>
    <tableColumn name="Desc" id="9"/>
    <tableColumn name="Start Time" id="10"/>
    <tableColumn name="End time" id="11"/>
    <tableColumn name="Duration / Hours" id="12"/>
    <tableColumn name="Location" id="13"/>
    <tableColumn name="Tag" id="14"/>
    <tableColumn name="Next Steps" id="15"/>
    <tableColumn name="Weekday" id="16"/>
    <tableColumn name="Time Zone" id="17"/>
    <tableColumn name="PIC" id="18"/>
    <tableColumn name="Gant Chart" id="19"/>
    <tableColumn name="Ticket No." id="20"/>
    <tableColumn name="Impact" id="21"/>
    <tableColumn name="Confidence" id="22"/>
    <tableColumn name="Ease" id="23"/>
  </tableColumns>
  <tableStyleInfo name="Backlog-style" showColumnStripes="0" showFirstColumn="1" showLastColumn="1" showRowStripes="1"/>
</table>
</file>

<file path=xl/tables/table27.xml><?xml version="1.0" encoding="utf-8"?>
<table xmlns="http://schemas.openxmlformats.org/spreadsheetml/2006/main" ref="A2:W4" displayName="Sprints" name="Sprints" id="27">
  <tableColumns count="23">
    <tableColumn name="S. No." id="1"/>
    <tableColumn name="Importance" id="2"/>
    <tableColumn name="Added to Calendar" id="3"/>
    <tableColumn name="Date Added" id="4"/>
    <tableColumn name="Added to Calendar 2" id="5"/>
    <tableColumn name="Date" id="6"/>
    <tableColumn name="Additional Task" id="7"/>
    <tableColumn name="Event" id="8"/>
    <tableColumn name="Desc" id="9"/>
    <tableColumn name="Start Time" id="10"/>
    <tableColumn name="End time" id="11"/>
    <tableColumn name="Duration / Hours" id="12"/>
    <tableColumn name="Location" id="13"/>
    <tableColumn name="Tag" id="14"/>
    <tableColumn name="Next Steps" id="15"/>
    <tableColumn name="Weekday" id="16"/>
    <tableColumn name="Time Zone" id="17"/>
    <tableColumn name="PIC" id="18"/>
    <tableColumn name="Gant Chart" id="19"/>
    <tableColumn name="Ticket No." id="20"/>
    <tableColumn name="Impact" id="21"/>
    <tableColumn name="Confidence" id="22"/>
    <tableColumn name="Ease" id="23"/>
  </tableColumns>
  <tableStyleInfo name="Spri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q9f6t3Hp6J7hEWlU9wsi3qJRV0rhkSH4vWY7la78dWI/edit?usp=drivesdk" TargetMode="External"/><Relationship Id="rId42" Type="http://schemas.openxmlformats.org/officeDocument/2006/relationships/hyperlink" Target="https://docs.google.com/spreadsheets/d/1yYGyNsw5Pmr4mIL4ssOzhmq99LPPyiPfnq4p2fCs2N0/edit?usp=drivesdk" TargetMode="External"/><Relationship Id="rId41" Type="http://schemas.openxmlformats.org/officeDocument/2006/relationships/hyperlink" Target="https://docs.google.com/spreadsheets/d/1yOYQbvB140S1sodATPZ8pkk7X2Qp6no5ugBZnOInak0/edit?usp=drivesdk" TargetMode="External"/><Relationship Id="rId44" Type="http://schemas.openxmlformats.org/officeDocument/2006/relationships/hyperlink" Target="https://docs.google.com/spreadsheets/d/11l0rmocQ6ecOJtGE4B7OBoKBS4Zlx3CvMh729nHJ-V8/edit?usp=drivesdk" TargetMode="External"/><Relationship Id="rId43" Type="http://schemas.openxmlformats.org/officeDocument/2006/relationships/hyperlink" Target="https://docs.google.com/spreadsheets/d/1K7KUMKAgcoFUeEkpyFI8me0gvPtLG90ClwV_a8rfeHE/edit?usp=drivesdk" TargetMode="External"/><Relationship Id="rId46" Type="http://schemas.openxmlformats.org/officeDocument/2006/relationships/hyperlink" Target="https://docs.google.com/spreadsheets/d/1u-Q_ezGjSTRKa0Z3Vq4rDzaL_AkzAvYyVIdGmfEJmE8/edit?usp=drivesdk" TargetMode="External"/><Relationship Id="rId45" Type="http://schemas.openxmlformats.org/officeDocument/2006/relationships/hyperlink" Target="https://docs.google.com/spreadsheets/d/1Gvqi81bUlLcT-VFNqAC7FKo3Cyx8n1uShDnyt23bNK0/edit?usp=drivesdk" TargetMode="External"/><Relationship Id="rId107" Type="http://schemas.openxmlformats.org/officeDocument/2006/relationships/hyperlink" Target="https://docs.google.com/spreadsheets/d/1NfNK43VThOAPRY86vXL1fFDDG1Ya325H0o5ghvvIyc0/edit?usp=drivesdk" TargetMode="External"/><Relationship Id="rId106" Type="http://schemas.openxmlformats.org/officeDocument/2006/relationships/hyperlink" Target="https://docs.google.com/spreadsheets/d/11hOs-5HHbgUIdxzaTcZbS8gqadtfzouvKYXPfs3io5Y/edit?usp=drivesdk" TargetMode="External"/><Relationship Id="rId105" Type="http://schemas.openxmlformats.org/officeDocument/2006/relationships/hyperlink" Target="https://docs.google.com/spreadsheets/d/1qEIxE1-XuwdnpHzLHoCnr6wBVymn_22mjFNs8HPPq3o/edit?usp=drivesdk" TargetMode="External"/><Relationship Id="rId104" Type="http://schemas.openxmlformats.org/officeDocument/2006/relationships/hyperlink" Target="https://docs.google.com/spreadsheets/d/1dqp5-2Txaznqzg8S3i-M5KtK0-GumZEHYOlhoM9dO9Y/edit?usp=drivesdk" TargetMode="External"/><Relationship Id="rId109" Type="http://schemas.openxmlformats.org/officeDocument/2006/relationships/hyperlink" Target="https://docs.google.com/spreadsheets/d/1fGOCS2u9GKnuriTyDlsKWa5QvsAUpqsH4tZaW1ZIdIk/edit?usp=drivesdk" TargetMode="External"/><Relationship Id="rId108" Type="http://schemas.openxmlformats.org/officeDocument/2006/relationships/hyperlink" Target="https://docs.google.com/spreadsheets/d/1b4aoFP4q9nXBSj11hF0LgLTDFuihtQp6Maj7Je-AQCo/edit?usp=drivesdk" TargetMode="External"/><Relationship Id="rId48" Type="http://schemas.openxmlformats.org/officeDocument/2006/relationships/hyperlink" Target="https://docs.google.com/spreadsheets/d/1iS-85FKqXAky01xMHoHZJOhb18zVgd55Avyu89y0Ibo/edit?usp=drivesdk" TargetMode="External"/><Relationship Id="rId47" Type="http://schemas.openxmlformats.org/officeDocument/2006/relationships/hyperlink" Target="https://docs.google.com/spreadsheets/d/17busmjXSeTjqj3GBv842VhORlC8vqaA3I0f6KyQzYnA/edit?usp=drivesdk" TargetMode="External"/><Relationship Id="rId49" Type="http://schemas.openxmlformats.org/officeDocument/2006/relationships/hyperlink" Target="https://docs.google.com/spreadsheets/d/10wMcNsnUNCYNATIY4khLvhuow6WqyM7MWcQloGd_Xv4/edit?usp=drivesdk" TargetMode="External"/><Relationship Id="rId103" Type="http://schemas.openxmlformats.org/officeDocument/2006/relationships/hyperlink" Target="mailto:sa_dissanayake@yahoo.com" TargetMode="External"/><Relationship Id="rId102" Type="http://schemas.openxmlformats.org/officeDocument/2006/relationships/hyperlink" Target="https://docs.google.com/spreadsheets/d/18fWl5DSpNOvB3Cj142m_mJJQtsqBupm7qnTDCIX-CUc/edit?usp=drivesdk" TargetMode="External"/><Relationship Id="rId101" Type="http://schemas.openxmlformats.org/officeDocument/2006/relationships/hyperlink" Target="https://docs.google.com/spreadsheets/d/1DjM5X2doRmUvWHdtDlMYFtIO3-seoyCPuNTJ2vskrrw/edit?usp=drivesdk" TargetMode="External"/><Relationship Id="rId100" Type="http://schemas.openxmlformats.org/officeDocument/2006/relationships/hyperlink" Target="https://docs.google.com/spreadsheets/d/1xZY6oP8Tq_En3Aq_Ba1YlRIqU74e7WXNpe4X4LmL4qc/edit?usp=drivesdk" TargetMode="External"/><Relationship Id="rId31" Type="http://schemas.openxmlformats.org/officeDocument/2006/relationships/hyperlink" Target="https://docs.google.com/spreadsheets/d/1hFGinuDo7_fec-ilkCDSbAAh4yFHUrBU9Nobrvxj0kw/edit?usp=drivesdk" TargetMode="External"/><Relationship Id="rId30" Type="http://schemas.openxmlformats.org/officeDocument/2006/relationships/hyperlink" Target="https://docs.google.com/spreadsheets/d/1qoNs5wGgkQ0zGHkg_BSzWr_qm0HACR96cxppL2Em4XE/edit?usp=drivesdk" TargetMode="External"/><Relationship Id="rId33" Type="http://schemas.openxmlformats.org/officeDocument/2006/relationships/hyperlink" Target="https://docs.google.com/spreadsheets/d/1KSj3MyMlBkItT-eXU1GMXNrXvp8rxn16WtW764Lw8UE/edit?usp=drivesdk" TargetMode="External"/><Relationship Id="rId32" Type="http://schemas.openxmlformats.org/officeDocument/2006/relationships/hyperlink" Target="https://docs.google.com/spreadsheets/d/1CfYjuK8Ptup8VjgcX4J__BsUNEpkLGq7Ek2cwYADOmc/edit?usp=drivesdk" TargetMode="External"/><Relationship Id="rId35" Type="http://schemas.openxmlformats.org/officeDocument/2006/relationships/hyperlink" Target="https://docs.google.com/spreadsheets/d/1QNhTVKz2iK0TxluRdDC3e7V7PJugAudODITzdDh3LL8/edit?usp=drivesdk" TargetMode="External"/><Relationship Id="rId34" Type="http://schemas.openxmlformats.org/officeDocument/2006/relationships/hyperlink" Target="https://docs.google.com/spreadsheets/d/1ChRP93hH_n9q-IcfbcoFIaCCNovzvuwsiSzQaJQaiWo/edit?usp=drivesdk" TargetMode="External"/><Relationship Id="rId37" Type="http://schemas.openxmlformats.org/officeDocument/2006/relationships/hyperlink" Target="https://docs.google.com/spreadsheets/d/1VCiipQtR7a0qJcVGq5HD8FJfnXsYHU1wL0ajHhnCwIs/edit?usp=drivesdk" TargetMode="External"/><Relationship Id="rId36" Type="http://schemas.openxmlformats.org/officeDocument/2006/relationships/hyperlink" Target="https://docs.google.com/spreadsheets/d/1-7lgoxRNUEfVI3aJmG2jD8ypn8ArwBfsmdcgTmCA3e4/edit?usp=drivesdk" TargetMode="External"/><Relationship Id="rId39" Type="http://schemas.openxmlformats.org/officeDocument/2006/relationships/hyperlink" Target="https://docs.google.com/spreadsheets/d/12Yr2-qPLdKeGjhTBJi_zqFLNClsn3VzBQdBlouMeGpg/edit?usp=drivesdk" TargetMode="External"/><Relationship Id="rId38" Type="http://schemas.openxmlformats.org/officeDocument/2006/relationships/hyperlink" Target="https://docs.google.com/spreadsheets/d/1L4xnVoQk2YtWNXjQscksiHXbBFg9QfbmXNueKFYlROE/edit?usp=drivesdk" TargetMode="External"/><Relationship Id="rId20" Type="http://schemas.openxmlformats.org/officeDocument/2006/relationships/hyperlink" Target="https://docs.google.com/spreadsheets/d/1QUU3GfWrtndX6SNo4udbbmaQlIGEdy9wdNLomC7Jqw8/edit?usp=drivesdk" TargetMode="External"/><Relationship Id="rId22" Type="http://schemas.openxmlformats.org/officeDocument/2006/relationships/hyperlink" Target="https://docs.google.com/spreadsheets/d/1SEaKQUHr3-Vn4yUMQMO3-XuXxwlfupfWiwufbp3hIPg/edit?usp=drivesdk" TargetMode="External"/><Relationship Id="rId21" Type="http://schemas.openxmlformats.org/officeDocument/2006/relationships/hyperlink" Target="https://docs.google.com/spreadsheets/d/1y4KEVOpvwF1yMsK-Ed-JOdp00qz6sHUc5ZzrlpehPkE/edit?usp=drivesdk" TargetMode="External"/><Relationship Id="rId24" Type="http://schemas.openxmlformats.org/officeDocument/2006/relationships/hyperlink" Target="https://docs.google.com/spreadsheets/d/19G-sndFnVeLWXfLRbtDrIctzB12iRtCrOdZNSlnuYMg/edit?usp=drivesdk" TargetMode="External"/><Relationship Id="rId23" Type="http://schemas.openxmlformats.org/officeDocument/2006/relationships/hyperlink" Target="https://docs.google.com/spreadsheets/d/1gduTQ4Ifb4bBbMTskEcbw9ikXxYJ8WWy6mI6VMgX2pM/edit?usp=drivesdk" TargetMode="External"/><Relationship Id="rId129" Type="http://schemas.openxmlformats.org/officeDocument/2006/relationships/hyperlink" Target="https://docs.google.com/spreadsheets/d/1x9d0ljye2OouK7jQWxWkdU_ZcP9j_FEoEutvd9rMi2g/edit?usp=drivesdk" TargetMode="External"/><Relationship Id="rId128" Type="http://schemas.openxmlformats.org/officeDocument/2006/relationships/hyperlink" Target="https://docs.google.com/spreadsheets/d/1O_EewbwPl6zpShmtwmZgN53TR1gUDkbb10JBK6gUQNk/edit?usp=drivesdk" TargetMode="External"/><Relationship Id="rId127" Type="http://schemas.openxmlformats.org/officeDocument/2006/relationships/hyperlink" Target="https://docs.google.com/spreadsheets/d/1VtH5AbLzzfH0wvHOk0f_sWXGVfNET_rGZNjR32SYp3M/edit?usp=drivesdk" TargetMode="External"/><Relationship Id="rId126" Type="http://schemas.openxmlformats.org/officeDocument/2006/relationships/hyperlink" Target="https://docs.google.com/spreadsheets/d/1zO_qMdYJFtbTtcba_aA4EafHeb0CSJKlyem2wzGcbxE/edit?usp=drivesdk" TargetMode="External"/><Relationship Id="rId26" Type="http://schemas.openxmlformats.org/officeDocument/2006/relationships/hyperlink" Target="https://docs.google.com/spreadsheets/d/1DCNDnuNFOdmhskI79IpKpLMxMsj0FBeEU4EGOmMWB2k/edit?usp=drivesdk" TargetMode="External"/><Relationship Id="rId121" Type="http://schemas.openxmlformats.org/officeDocument/2006/relationships/hyperlink" Target="https://docs.google.com/spreadsheets/d/1AYdWptw8Th5KBkwrrYQzc4maswXLsd_NRrCIshh9Y2Q/edit?usp=drivesdk" TargetMode="External"/><Relationship Id="rId25" Type="http://schemas.openxmlformats.org/officeDocument/2006/relationships/hyperlink" Target="https://docs.google.com/spreadsheets/d/1pkA1WzUFsIbjbXRRstnqxCf0IOZZKKwX8lUMcfkVrJ0/edit?usp=drivesdk" TargetMode="External"/><Relationship Id="rId120" Type="http://schemas.openxmlformats.org/officeDocument/2006/relationships/hyperlink" Target="https://docs.google.com/spreadsheets/d/1gkngIjNKKHnMHYnQF_yveZd_JykrlOqtfWZgeNlKtZE/edit?usp=drivesdk" TargetMode="External"/><Relationship Id="rId28" Type="http://schemas.openxmlformats.org/officeDocument/2006/relationships/hyperlink" Target="https://docs.google.com/spreadsheets/d/1AiIVBRVjWW-OdlziE1693QrqA3Qm5rld5-n9rgk0j9s/edit?usp=drivesdk" TargetMode="External"/><Relationship Id="rId27" Type="http://schemas.openxmlformats.org/officeDocument/2006/relationships/hyperlink" Target="https://docs.google.com/spreadsheets/d/1blDJgQyrlCXKQd5dmIRdyd4Bzru8AWDJzbqaMaGK_HM/edit?usp=drivesdk" TargetMode="External"/><Relationship Id="rId125" Type="http://schemas.openxmlformats.org/officeDocument/2006/relationships/hyperlink" Target="https://docs.google.com/spreadsheets/d/15qVa9V-rMyhNao5oMFUMKBAozRIBTSsR4CEOaWRMwXs/edit?usp=drivesdk" TargetMode="External"/><Relationship Id="rId29" Type="http://schemas.openxmlformats.org/officeDocument/2006/relationships/hyperlink" Target="https://docs.google.com/spreadsheets/d/1wa-PIeFaqPbhyxFkIxFLrVJinqwEy2lsM3iE-Iaunk0/edit?usp=drivesdk" TargetMode="External"/><Relationship Id="rId124" Type="http://schemas.openxmlformats.org/officeDocument/2006/relationships/hyperlink" Target="https://docs.google.com/spreadsheets/d/1Oxg8zo2eqK0k9kUPKqT4XDhKEjtKJJLDClpEbpmHPTc/edit?usp=drivesdk" TargetMode="External"/><Relationship Id="rId123" Type="http://schemas.openxmlformats.org/officeDocument/2006/relationships/hyperlink" Target="https://docs.google.com/spreadsheets/d/1wsgxcOMhU6iNHLq7KHLpUgDtyOxlS_8Nnl-wVIKI3os/edit?usp=drivesdk" TargetMode="External"/><Relationship Id="rId122" Type="http://schemas.openxmlformats.org/officeDocument/2006/relationships/hyperlink" Target="https://docs.google.com/spreadsheets/d/1fFSVASXkk4tBraP04s_pzbRRkm2EDQ3mXD-Mi1BOks8/edit?usp=drivesdk" TargetMode="External"/><Relationship Id="rId95" Type="http://schemas.openxmlformats.org/officeDocument/2006/relationships/hyperlink" Target="https://docs.google.com/spreadsheets/d/1hMbJHEOVrEiSfNnD0U3qCnJ0r_w8jR-TBhphadXaBE4/edit?usp=drive_link" TargetMode="External"/><Relationship Id="rId94" Type="http://schemas.openxmlformats.org/officeDocument/2006/relationships/hyperlink" Target="https://docs.google.com/spreadsheets/d/1xcMjmZq4QtdwMJ1nZWVm88e_YNLX1uWOI6BzvpXXfag/edit?usp=drivesdk" TargetMode="External"/><Relationship Id="rId97" Type="http://schemas.openxmlformats.org/officeDocument/2006/relationships/hyperlink" Target="https://docs.google.com/spreadsheets/d/1EcerOxpV2Na3WyJrFgqAZQiMooBBLo6K2mcYcOwDtJ4/edit?usp=drivesdk" TargetMode="External"/><Relationship Id="rId96" Type="http://schemas.openxmlformats.org/officeDocument/2006/relationships/hyperlink" Target="https://docs.google.com/spreadsheets/d/1Ecvrj8YoJjFPYZiZil_1FokNAQP8YXab1NtM3FISgjU/edit?usp=sharing" TargetMode="External"/><Relationship Id="rId11" Type="http://schemas.openxmlformats.org/officeDocument/2006/relationships/hyperlink" Target="https://docs.google.com/spreadsheets/d/12cuzlS9Re5KNBYD1uzsHowB6_GfJEPue3dnH3_-7N_A/edit?usp=drivesdk" TargetMode="External"/><Relationship Id="rId99" Type="http://schemas.openxmlformats.org/officeDocument/2006/relationships/hyperlink" Target="https://docs.google.com/spreadsheets/d/1Cj-xU-9AjtjVaeN9j6NgOjGgwIQaiFsjLPNEx66qz50/edit?usp=drivesdk" TargetMode="External"/><Relationship Id="rId10" Type="http://schemas.openxmlformats.org/officeDocument/2006/relationships/hyperlink" Target="https://docs.google.com/spreadsheets/d/19QvIZ6STExSmer5do2t3kfsDC9-990tKm2gH094a4YQ/edit?usp=drivesdk" TargetMode="External"/><Relationship Id="rId98" Type="http://schemas.openxmlformats.org/officeDocument/2006/relationships/hyperlink" Target="https://docs.google.com/spreadsheets/d/1W2B-wSuM2PC8ux1tnHm-MjrFxzUD22z2KqFTLA4ua-4/edit?usp=drive_link" TargetMode="External"/><Relationship Id="rId13" Type="http://schemas.openxmlformats.org/officeDocument/2006/relationships/hyperlink" Target="https://docs.google.com/spreadsheets/d/1d98j9l1a6mbyHeXQKqOeDyOnrCTXhsUF5oEYxU7rK04/edit?usp=drivesdk" TargetMode="External"/><Relationship Id="rId12" Type="http://schemas.openxmlformats.org/officeDocument/2006/relationships/hyperlink" Target="https://docs.google.com/spreadsheets/d/1-qFC3ijuqkXx-Yktdd5g3RTShhCUhiovMvnOhOWYgtc/edit?usp=drivesdk" TargetMode="External"/><Relationship Id="rId91" Type="http://schemas.openxmlformats.org/officeDocument/2006/relationships/hyperlink" Target="https://docs.google.com/spreadsheets/d/17D0H8LMHSWJdbwWbrNbfMuVYvVrph9GDLZFDcockJm4/edit?usp=drive_link" TargetMode="External"/><Relationship Id="rId90" Type="http://schemas.openxmlformats.org/officeDocument/2006/relationships/hyperlink" Target="https://docs.google.com/spreadsheets/d/1JHMvIS-cRA7FBoTFMzfHluJNg5xfHfzbioJhwQ8HA4U/edit?usp=drivesdk" TargetMode="External"/><Relationship Id="rId93" Type="http://schemas.openxmlformats.org/officeDocument/2006/relationships/hyperlink" Target="https://docs.google.com/spreadsheets/d/1p3kvdU45ASbSd_bCZq2zm69aHlj--HdsW9Xl6lYBd4A/edit?usp=drivesdk" TargetMode="External"/><Relationship Id="rId92" Type="http://schemas.openxmlformats.org/officeDocument/2006/relationships/hyperlink" Target="https://docs.google.com/spreadsheets/d/1XVIDumlA3PATMBV366U9qd-P4fLOt5lMCCKlHUO-is0/edit?usp=drivesdk" TargetMode="External"/><Relationship Id="rId118" Type="http://schemas.openxmlformats.org/officeDocument/2006/relationships/hyperlink" Target="https://docs.google.com/spreadsheets/d/1ofMDPCUpG4mu7S5gAB5DAeYUpO0XhmGLrHbF9mfdzJk/edit?usp=drivesdk" TargetMode="External"/><Relationship Id="rId117" Type="http://schemas.openxmlformats.org/officeDocument/2006/relationships/hyperlink" Target="https://docs.google.com/spreadsheets/d/1ni93iUxoUz_AZU2NKJ0aPh1y6KZYWyi6utg6wU1MZGE/edit?usp=drivesdk" TargetMode="External"/><Relationship Id="rId116" Type="http://schemas.openxmlformats.org/officeDocument/2006/relationships/hyperlink" Target="https://docs.google.com/spreadsheets/d/1T1Gvk_PQPHIlzPBD0nfwxVXcXjfFg4iplhKl-59s8Yg/edit?usp=drivesdk" TargetMode="External"/><Relationship Id="rId115" Type="http://schemas.openxmlformats.org/officeDocument/2006/relationships/hyperlink" Target="https://docs.google.com/spreadsheets/d/1XsGP3ok3b7ScZNvjq7Fn5BJsI6z9C9lebM2FZejpXHI/edit?usp=drivesdk" TargetMode="External"/><Relationship Id="rId119" Type="http://schemas.openxmlformats.org/officeDocument/2006/relationships/hyperlink" Target="https://docs.google.com/spreadsheets/d/13Z2NQyCH8HD25eD415NTjdJOOE64DcgWrqVtRMHpGIU/edit?usp=drivesdk" TargetMode="External"/><Relationship Id="rId15" Type="http://schemas.openxmlformats.org/officeDocument/2006/relationships/hyperlink" Target="https://docs.google.com/spreadsheets/d/14_fQTSTAr-avVBRNFGSNv-iDYOwOQcS5_aMw6Sf8sDU/edit?usp=drivesdk" TargetMode="External"/><Relationship Id="rId110" Type="http://schemas.openxmlformats.org/officeDocument/2006/relationships/hyperlink" Target="https://docs.google.com/spreadsheets/d/1Z7xsqwH3amkElvNdh3Hfa77_Pu8g8UB3GkcU0nStjVI/edit?usp=drivesdk" TargetMode="External"/><Relationship Id="rId14" Type="http://schemas.openxmlformats.org/officeDocument/2006/relationships/hyperlink" Target="https://docs.google.com/spreadsheets/d/1HCAEgGKUH47cqe4_dg9RmSEO6LARaTYcgIeFvwxs46A/edit?usp=drivesdk" TargetMode="External"/><Relationship Id="rId17" Type="http://schemas.openxmlformats.org/officeDocument/2006/relationships/hyperlink" Target="https://docs.google.com/spreadsheets/d/1vmg-8nNwFux-VnzDU8w7onwsE45fBIiwGVUXXsCG4e8/edit?usp=drivesdk" TargetMode="External"/><Relationship Id="rId16" Type="http://schemas.openxmlformats.org/officeDocument/2006/relationships/hyperlink" Target="https://docs.google.com/spreadsheets/d/1KKYzMNIiv6a6DjFgCJoczwtEQHX1DSYD0rjEtEKIyV0/edit?usp=drivesdk" TargetMode="External"/><Relationship Id="rId19" Type="http://schemas.openxmlformats.org/officeDocument/2006/relationships/hyperlink" Target="https://docs.google.com/spreadsheets/d/13pQ3773A5siqJx-TxnAocKKueKbmemH6mPob7FF3q2o/edit?usp=drivesdk" TargetMode="External"/><Relationship Id="rId114" Type="http://schemas.openxmlformats.org/officeDocument/2006/relationships/hyperlink" Target="https://docs.google.com/spreadsheets/d/1O7bTaus7bOrVLpU1M8jYCZIzeH20VkgmsEBcNWBA1OA/edit?usp=drivesdk" TargetMode="External"/><Relationship Id="rId18" Type="http://schemas.openxmlformats.org/officeDocument/2006/relationships/hyperlink" Target="https://docs.google.com/spreadsheets/d/1uxnekuhIZYdtmnmC3GgLoOzIr_A0B2L6dxTumucZMKc/edit?usp=drivesdk" TargetMode="External"/><Relationship Id="rId113" Type="http://schemas.openxmlformats.org/officeDocument/2006/relationships/hyperlink" Target="https://docs.google.com/spreadsheets/d/1KfootIuGJo2DnRwVaCUMwsEZ-lrLmoY7kGT5FUJpQHY/edit?usp=drivesdk" TargetMode="External"/><Relationship Id="rId112" Type="http://schemas.openxmlformats.org/officeDocument/2006/relationships/hyperlink" Target="https://docs.google.com/spreadsheets/d/1iN5PP-Tj7AaJaxz1UL05wchDoeYVTI5MiAvo9WOItmA/edit?usp=drivesdk" TargetMode="External"/><Relationship Id="rId111" Type="http://schemas.openxmlformats.org/officeDocument/2006/relationships/hyperlink" Target="https://docs.google.com/spreadsheets/d/1LSehiUMH4_pHzn11H3j_PBdMzi0I7oNFENMJabfQ4Hw/edit?usp=drivesdk" TargetMode="External"/><Relationship Id="rId84" Type="http://schemas.openxmlformats.org/officeDocument/2006/relationships/hyperlink" Target="https://docs.google.com/spreadsheets/d/1AyUNcORAgM4RXuWSOrNMK4nL0bKK7bJZqEL0YpOZ0qg/edit?usp=drivesdk" TargetMode="External"/><Relationship Id="rId83" Type="http://schemas.openxmlformats.org/officeDocument/2006/relationships/hyperlink" Target="https://docs.google.com/spreadsheets/d/1p1Vvqj825F2ee0qC9FtB7DAE_BbKg24V5-noJFuscZg/edit?usp=drivesdk" TargetMode="External"/><Relationship Id="rId86" Type="http://schemas.openxmlformats.org/officeDocument/2006/relationships/hyperlink" Target="https://docs.google.com/spreadsheets/d/1Wy_5PdDGRNprxEPAVvEJCX0L52gNo_T86AfEnMsR5qo/edit?usp=drivesdk" TargetMode="External"/><Relationship Id="rId85" Type="http://schemas.openxmlformats.org/officeDocument/2006/relationships/hyperlink" Target="https://docs.google.com/spreadsheets/d/1ItKf23mMj0lhg6a6cZ037Q_dPYggL9HZC_zsQpb2o7o/edit?usp=drivesdk" TargetMode="External"/><Relationship Id="rId88" Type="http://schemas.openxmlformats.org/officeDocument/2006/relationships/hyperlink" Target="https://docs.google.com/spreadsheets/d/13FLgMpIsEMyDZU4qymyN4vKorHQ9l_6gjK8lxO_um3U/edit?usp=drivesdk" TargetMode="External"/><Relationship Id="rId87" Type="http://schemas.openxmlformats.org/officeDocument/2006/relationships/hyperlink" Target="https://docs.google.com/spreadsheets/d/1IiZKDKAzysMoyv55T188ECuyI4xipdS4gUrWLGziOOE/edit?usp=drivesdk" TargetMode="External"/><Relationship Id="rId89" Type="http://schemas.openxmlformats.org/officeDocument/2006/relationships/hyperlink" Target="https://docs.google.com/spreadsheets/d/1jmaaXV9T_2HlWQV5L5Gwe-DZBbfsM5PPp2a7yPWFBjM/edit?usp=drivesdk" TargetMode="External"/><Relationship Id="rId80" Type="http://schemas.openxmlformats.org/officeDocument/2006/relationships/hyperlink" Target="https://docs.google.com/spreadsheets/d/1sI4kSiP6Yr_aAiiM00cYSXQdp61jJXGs7fhW6jUpGns/edit?usp=drive_link" TargetMode="External"/><Relationship Id="rId82" Type="http://schemas.openxmlformats.org/officeDocument/2006/relationships/hyperlink" Target="https://docs.google.com/spreadsheets/d/1rk948Ezw59id0VCJehXxJkw5J5yAVv5yAESGwJTOweI/edit?usp=drivesdk" TargetMode="External"/><Relationship Id="rId81" Type="http://schemas.openxmlformats.org/officeDocument/2006/relationships/hyperlink" Target="https://docs.google.com/spreadsheets/d/15HnreLzm-Ecm1ylxMX_5GuDc3yDsCGYDvnaMITyURwo/edit?usp=drivesdk" TargetMode="External"/><Relationship Id="rId1" Type="http://schemas.openxmlformats.org/officeDocument/2006/relationships/hyperlink" Target="https://docs.google.com/spreadsheets/d/1dhv1_0hiSfoJkU5-kznEk8hxhkwQ_PPbDUjKyY-2_FA/edit?usp=drivesdk" TargetMode="External"/><Relationship Id="rId2" Type="http://schemas.openxmlformats.org/officeDocument/2006/relationships/hyperlink" Target="https://docs.google.com/spreadsheets/d/1MBnckGwAVpeOaHqFblCPDekC-O9N-cVpGJwrwnfWZKo/edit?usp=drivesdk" TargetMode="External"/><Relationship Id="rId3" Type="http://schemas.openxmlformats.org/officeDocument/2006/relationships/hyperlink" Target="https://docs.google.com/spreadsheets/d/1Ek1ocKSKtpNFbSRVqwTJR1uKq5PmVlwORzBtT1zUBK8/edit?usp=drivesdk" TargetMode="External"/><Relationship Id="rId4" Type="http://schemas.openxmlformats.org/officeDocument/2006/relationships/hyperlink" Target="https://docs.google.com/spreadsheets/d/1ok1234jufTF6gmNQnYrL3veVUwwWkNf5KBqw1_1fJQI/edit?usp=drivesdk" TargetMode="External"/><Relationship Id="rId9" Type="http://schemas.openxmlformats.org/officeDocument/2006/relationships/hyperlink" Target="https://docs.google.com/spreadsheets/d/1TsKeYt8EVBaix_aaiq1yt2yEz5N-8KWPXI42eZKop48/edit?usp=drivesdk" TargetMode="External"/><Relationship Id="rId5" Type="http://schemas.openxmlformats.org/officeDocument/2006/relationships/hyperlink" Target="https://docs.google.com/spreadsheets/d/1cwlrPtruw_Yxu_yjTUYGpV5y4V1Ss0myVlmQTxmjGNA/edit?usp=drivesdk" TargetMode="External"/><Relationship Id="rId6" Type="http://schemas.openxmlformats.org/officeDocument/2006/relationships/hyperlink" Target="https://docs.google.com/spreadsheets/d/1uSfl89DcmB4vZrOx3slZtMyf0-JRzrd9mFzSYFEuaBI/edit?usp=drivesdk" TargetMode="External"/><Relationship Id="rId7" Type="http://schemas.openxmlformats.org/officeDocument/2006/relationships/hyperlink" Target="https://docs.google.com/spreadsheets/d/13w-mdUlWXCfTCybWBzjAdeK_XcCezFtB3cF6d_D1Xts/edit?usp=drivesdk" TargetMode="External"/><Relationship Id="rId8" Type="http://schemas.openxmlformats.org/officeDocument/2006/relationships/hyperlink" Target="https://docs.google.com/spreadsheets/d/1mrtBKXnkKr7mQSZHJi4Ag6EbVtWFEPlVXMhpkf-mch0/edit?usp=drivesdk" TargetMode="External"/><Relationship Id="rId73" Type="http://schemas.openxmlformats.org/officeDocument/2006/relationships/hyperlink" Target="https://docs.google.com/spreadsheets/d/1fHUMC9Zb-Eb3eGZicgJF43FJJq72bc18ZFh27NZOKDQ/edit?usp=drive_link" TargetMode="External"/><Relationship Id="rId72" Type="http://schemas.openxmlformats.org/officeDocument/2006/relationships/hyperlink" Target="https://docs.google.com/spreadsheets/d/1XFawn1geBhh8OUs2LRzAj4gjoC0wUmzeY48ulRd06dA/edit?usp=drivesdk" TargetMode="External"/><Relationship Id="rId75" Type="http://schemas.openxmlformats.org/officeDocument/2006/relationships/hyperlink" Target="https://docs.google.com/spreadsheets/d/1ZRV4qSwhPvaTveh1JFAR-sGPuaBf36TuhwrY_r20pgk/edit?usp=drivesdk" TargetMode="External"/><Relationship Id="rId74" Type="http://schemas.openxmlformats.org/officeDocument/2006/relationships/hyperlink" Target="https://docs.google.com/spreadsheets/d/1-AzrdbuGYaAOmSPL325zALfR6MzrL1jyPNZRqRoSGDc/edit?usp=drivesdk" TargetMode="External"/><Relationship Id="rId77" Type="http://schemas.openxmlformats.org/officeDocument/2006/relationships/hyperlink" Target="https://docs.google.com/spreadsheets/d/1b1VclikjSZmlVF7niocJKt75qZO7ZDlwWgdk1Jqwz7Y/edit?usp=drivesdk" TargetMode="External"/><Relationship Id="rId76" Type="http://schemas.openxmlformats.org/officeDocument/2006/relationships/hyperlink" Target="https://docs.google.com/spreadsheets/d/1-ofHBsBUG5dDKMVd-h6bqY2yQKAr8rrMA9TKNyDFp-4/edit?usp=drivesdk" TargetMode="External"/><Relationship Id="rId79" Type="http://schemas.openxmlformats.org/officeDocument/2006/relationships/hyperlink" Target="https://docs.google.com/spreadsheets/d/1nWvS3kRwOU1qzAjehRmKQFzjveNqvTt3g39OlO1-f0A/edit?usp=drivesdk" TargetMode="External"/><Relationship Id="rId78" Type="http://schemas.openxmlformats.org/officeDocument/2006/relationships/hyperlink" Target="https://docs.google.com/spreadsheets/d/1dtW7oFfvpElDkllLiiHoaMnt-tS9VEfDmmi2qcmtJww/edit?usp=drivesdk" TargetMode="External"/><Relationship Id="rId71" Type="http://schemas.openxmlformats.org/officeDocument/2006/relationships/hyperlink" Target="https://docs.google.com/spreadsheets/d/1nJVxv-iu--fScZ6mYUq-8GoGoVrbMzABo_VTxMzSv78/edit?usp=drivesdk" TargetMode="External"/><Relationship Id="rId70" Type="http://schemas.openxmlformats.org/officeDocument/2006/relationships/hyperlink" Target="https://docs.google.com/spreadsheets/d/1pBO3p0JrSKUOTfqd8XGwFlwuWLfsPx8rPsFxoipmqCM/edit?usp=drivesdk" TargetMode="External"/><Relationship Id="rId139" Type="http://schemas.openxmlformats.org/officeDocument/2006/relationships/table" Target="../tables/table3.xml"/><Relationship Id="rId137" Type="http://schemas.openxmlformats.org/officeDocument/2006/relationships/drawing" Target="../drawings/drawing3.xml"/><Relationship Id="rId132" Type="http://schemas.openxmlformats.org/officeDocument/2006/relationships/hyperlink" Target="mailto:shahasrarahmad@gmail.com" TargetMode="External"/><Relationship Id="rId131" Type="http://schemas.openxmlformats.org/officeDocument/2006/relationships/hyperlink" Target="https://docs.google.com/spreadsheets/d/1d1xJhdetWalAbnkfkf1aYCRCjttRkzuGD1niN3TkmvI/edit?usp=drivesdk" TargetMode="External"/><Relationship Id="rId130" Type="http://schemas.openxmlformats.org/officeDocument/2006/relationships/hyperlink" Target="https://docs.google.com/spreadsheets/d/1e5a6Lrqy5r7j3eT5uIQgn4f-FGGnSzS9lV5zGmlGEUA/edit?usp=drivesdk" TargetMode="External"/><Relationship Id="rId136" Type="http://schemas.openxmlformats.org/officeDocument/2006/relationships/hyperlink" Target="https://docs.google.com/spreadsheets/d/1c06h0m2azuC27F6MDdGh9H4MZDF-6BalNfyWvmxNXxw/edit?usp=drivesdk" TargetMode="External"/><Relationship Id="rId135" Type="http://schemas.openxmlformats.org/officeDocument/2006/relationships/hyperlink" Target="https://docs.google.com/spreadsheets/d/1m96alep541rzuOLa1Bq4yZaeuAy9ctxGMk_gJtdxRRY/edit?usp=drivesdk" TargetMode="External"/><Relationship Id="rId134" Type="http://schemas.openxmlformats.org/officeDocument/2006/relationships/hyperlink" Target="mailto:howardklim1510@gmail.com" TargetMode="External"/><Relationship Id="rId133" Type="http://schemas.openxmlformats.org/officeDocument/2006/relationships/hyperlink" Target="https://docs.google.com/spreadsheets/d/1BzglDzgnpOP_fgL48AKnO_Z29ewhXZVbYqvUVR8d3tc/edit?usp=drivesdk" TargetMode="External"/><Relationship Id="rId62" Type="http://schemas.openxmlformats.org/officeDocument/2006/relationships/hyperlink" Target="https://docs.google.com/spreadsheets/d/1WP_b_SX1lgyhjGra453enlXRQNax-mrPJ3QZ5ejjPQw/edit?usp=drivesdk" TargetMode="External"/><Relationship Id="rId61" Type="http://schemas.openxmlformats.org/officeDocument/2006/relationships/hyperlink" Target="https://docs.google.com/spreadsheets/d/16IvJ0Q9cH40lqCFRkw-UyQUxnzXzO08i04cSd8aAGes/edit?usp=drivesdk" TargetMode="External"/><Relationship Id="rId64" Type="http://schemas.openxmlformats.org/officeDocument/2006/relationships/hyperlink" Target="https://docs.google.com/spreadsheets/d/1B8riig5oPmNpYQHcwkoP8GTtDAKzt1QWEMe33GPpKeA/edit?usp=drivesdk" TargetMode="External"/><Relationship Id="rId63" Type="http://schemas.openxmlformats.org/officeDocument/2006/relationships/hyperlink" Target="https://docs.google.com/spreadsheets/d/1oAv2vfrd8Bk06YG3Rc_sI3j660s0lhr_gabP3z7EKAo/edit?usp=drivesdk" TargetMode="External"/><Relationship Id="rId66" Type="http://schemas.openxmlformats.org/officeDocument/2006/relationships/hyperlink" Target="https://docs.google.com/spreadsheets/d/1QKjFGuj08Ddir91PEGmP2dv1lGauwJWaM9TBiU-Wc_w/edit?usp=drivesdk" TargetMode="External"/><Relationship Id="rId65" Type="http://schemas.openxmlformats.org/officeDocument/2006/relationships/hyperlink" Target="https://docs.google.com/spreadsheets/d/1TFlwjmuHePPuyaboxw_QtuFotGbpIyutUw16X7avwwE/edit?usp=drivesdk" TargetMode="External"/><Relationship Id="rId68" Type="http://schemas.openxmlformats.org/officeDocument/2006/relationships/hyperlink" Target="https://docs.google.com/spreadsheets/d/1I8mHOtf8O0PuGuC_nX1GMqyhdMrMs-JjsrzaAvhNMOQ/edit?usp=drivesdk" TargetMode="External"/><Relationship Id="rId67" Type="http://schemas.openxmlformats.org/officeDocument/2006/relationships/hyperlink" Target="https://docs.google.com/spreadsheets/d/1M8KzW0wWCQKGdhO8IS0WfmA0_3PryM17_Dnc0MDPPQk/edit?usp=drivesdk" TargetMode="External"/><Relationship Id="rId60" Type="http://schemas.openxmlformats.org/officeDocument/2006/relationships/hyperlink" Target="https://docs.google.com/spreadsheets/d/1iB02cCfWEki6w71Bzfr2-mqeHeCgsJDHFwQuh59IC_U/edit?usp=drivesdk" TargetMode="External"/><Relationship Id="rId69" Type="http://schemas.openxmlformats.org/officeDocument/2006/relationships/hyperlink" Target="https://docs.google.com/spreadsheets/d/1W_IEXjMfF4jHesT9n_B-Rv60lb0XLxmtfJOcgcemYVA/edit?usp=drivesdk" TargetMode="External"/><Relationship Id="rId51" Type="http://schemas.openxmlformats.org/officeDocument/2006/relationships/hyperlink" Target="https://docs.google.com/spreadsheets/d/1gDEH_58WoA1PWOCwK4G7CEhtjWLGb9vMr24d1jrTaNs/edit?usp=drivesdk" TargetMode="External"/><Relationship Id="rId50" Type="http://schemas.openxmlformats.org/officeDocument/2006/relationships/hyperlink" Target="https://docs.google.com/spreadsheets/d/17F11EfgAyViMwQKDHGSP7uPWudSDPQxYPa6lvtBAp04/edit?usp=drivesdk" TargetMode="External"/><Relationship Id="rId53" Type="http://schemas.openxmlformats.org/officeDocument/2006/relationships/hyperlink" Target="https://docs.google.com/spreadsheets/d/1QPm5e1Ya076_Dhu4uMjyTzVJWTaw_IGlWa1Xonp-8CM/edit?usp=drivesdk" TargetMode="External"/><Relationship Id="rId52" Type="http://schemas.openxmlformats.org/officeDocument/2006/relationships/hyperlink" Target="https://docs.google.com/spreadsheets/d/1gOHNXrx1Hr_fFXFBDc9cBGvWRkrzpA22a8CzWl8B6dk/edit?usp=drivesdk" TargetMode="External"/><Relationship Id="rId55" Type="http://schemas.openxmlformats.org/officeDocument/2006/relationships/hyperlink" Target="https://docs.google.com/spreadsheets/d/1dGG1McBvaiw3fh8JIFQCNX9ABFYkGM1k6RRPI1ZvBdg/edit?usp=drivesdk" TargetMode="External"/><Relationship Id="rId54" Type="http://schemas.openxmlformats.org/officeDocument/2006/relationships/hyperlink" Target="https://docs.google.com/spreadsheets/d/1fspgqGkbhrlKHZeIdscKjA0tty0Xkg4hEQ65jo3HZBQ/edit?usp=drivesdk" TargetMode="External"/><Relationship Id="rId57" Type="http://schemas.openxmlformats.org/officeDocument/2006/relationships/hyperlink" Target="https://docs.google.com/spreadsheets/d/1smW-loNEI835BOq4_d1x188HuB_PEej4_GNTdfk1f-g/edit?usp=drivesdk" TargetMode="External"/><Relationship Id="rId56" Type="http://schemas.openxmlformats.org/officeDocument/2006/relationships/hyperlink" Target="https://docs.google.com/spreadsheets/d/1__bylC8N_ZEHtcpJRl5vrRatcFZKGuSRITcNII5Yj7o/edit?usp=drivesdk" TargetMode="External"/><Relationship Id="rId59" Type="http://schemas.openxmlformats.org/officeDocument/2006/relationships/hyperlink" Target="https://docs.google.com/spreadsheets/d/1oZTGqfvimZ1BHJRzKimTqa0oq-lqLQ2g0EdtbOacyac/edit?usp=drivesdk" TargetMode="External"/><Relationship Id="rId58" Type="http://schemas.openxmlformats.org/officeDocument/2006/relationships/hyperlink" Target="https://docs.google.com/spreadsheets/d/1k-4ffVXpL12XrZI1sEhuVAVFEeXLGm3yFhttD-Zb75k/edit?usp=drivesd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canva.com/design/DAGj9OE1cKA/77C-82xeGCjyXt_Spi7oew/edit" TargetMode="External"/><Relationship Id="rId2" Type="http://schemas.openxmlformats.org/officeDocument/2006/relationships/drawing" Target="../drawings/drawing8.xml"/><Relationship Id="rId4" Type="http://schemas.openxmlformats.org/officeDocument/2006/relationships/table" Target="../tables/table8.xm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open?id=1t86FjeJ2Mtc2W1fHNfKcu4a8dvu9OqwL&amp;usp=drive_copy" TargetMode="External"/><Relationship Id="rId42" Type="http://schemas.openxmlformats.org/officeDocument/2006/relationships/hyperlink" Target="https://drive.google.com/open?id=19XIYTT8FU1o8WW8-OWpAMr72RPgO_6GV&amp;usp=drive_copy" TargetMode="External"/><Relationship Id="rId41" Type="http://schemas.openxmlformats.org/officeDocument/2006/relationships/hyperlink" Target="https://drive.google.com/open?id=1qGgxNoHvmOs2JuJVIq6uutNGOuL1Vzqa&amp;usp=drive_copy" TargetMode="External"/><Relationship Id="rId44" Type="http://schemas.openxmlformats.org/officeDocument/2006/relationships/hyperlink" Target="https://drive.google.com/open?id=1u9H4zsemgSz1s88ZySLxbcAfAUETdT1G&amp;usp=drive_copy" TargetMode="External"/><Relationship Id="rId43" Type="http://schemas.openxmlformats.org/officeDocument/2006/relationships/hyperlink" Target="https://drive.google.com/open?id=11TRytdC6pgi703XwU9ajYW36JZeKbzRW&amp;usp=drive_copy" TargetMode="External"/><Relationship Id="rId46" Type="http://schemas.openxmlformats.org/officeDocument/2006/relationships/hyperlink" Target="https://drive.google.com/open?id=1qeZgPHvGx0U0uEQ1Ls39p6ITlshoSAEw&amp;usp=drive_copy" TargetMode="External"/><Relationship Id="rId45" Type="http://schemas.openxmlformats.org/officeDocument/2006/relationships/hyperlink" Target="https://drive.google.com/open?id=1hPBv57SWsvxUfaZDyCuNjltJyPFuJtmO&amp;usp=drive_copy" TargetMode="External"/><Relationship Id="rId48" Type="http://schemas.openxmlformats.org/officeDocument/2006/relationships/hyperlink" Target="https://drive.google.com/open?id=1ep2vOpkgh1b0qnWN9wO1Jr5WusfcdD9k&amp;usp=drive_copy" TargetMode="External"/><Relationship Id="rId47" Type="http://schemas.openxmlformats.org/officeDocument/2006/relationships/hyperlink" Target="https://drive.google.com/open?id=1REcEQ_4izruILG7bAWuabMp1FQT0OCYJ&amp;usp=drive_copy" TargetMode="External"/><Relationship Id="rId49" Type="http://schemas.openxmlformats.org/officeDocument/2006/relationships/hyperlink" Target="https://drive.google.com/open?id=1cRfZGQCnnk2SBM_YC2Ate6_oCIGDwE83&amp;usp=drive_copy" TargetMode="External"/><Relationship Id="rId31" Type="http://schemas.openxmlformats.org/officeDocument/2006/relationships/hyperlink" Target="https://drive.google.com/open?id=1Cm1FQAzkPle2r1paMENXiupjpAnFVIWd&amp;usp=drive_copy" TargetMode="External"/><Relationship Id="rId30" Type="http://schemas.openxmlformats.org/officeDocument/2006/relationships/hyperlink" Target="https://drive.google.com/open?id=18o3gkTq-uuxqS97XJTItN9iCHFhJZIe6&amp;usp=drive_copy" TargetMode="External"/><Relationship Id="rId33" Type="http://schemas.openxmlformats.org/officeDocument/2006/relationships/hyperlink" Target="https://drive.google.com/open?id=1kF9J3--49s_F-skzpBsndCpepmy5IKaz&amp;usp=drive_copy" TargetMode="External"/><Relationship Id="rId32" Type="http://schemas.openxmlformats.org/officeDocument/2006/relationships/hyperlink" Target="https://drive.google.com/open?id=1q4CzugBLFD5rshZCwDyuVtyODSxuW7qh&amp;usp=drive_copy" TargetMode="External"/><Relationship Id="rId35" Type="http://schemas.openxmlformats.org/officeDocument/2006/relationships/hyperlink" Target="https://drive.google.com/open?id=1QbOR4hSZvxVHGUnwNibUYQ1Cm_gL7Fs5&amp;usp=drive_copy" TargetMode="External"/><Relationship Id="rId34" Type="http://schemas.openxmlformats.org/officeDocument/2006/relationships/hyperlink" Target="https://drive.google.com/open?id=1yk6HnArFVGHbpSlED1MzdwQ5HrILutwX&amp;usp=drive_copy" TargetMode="External"/><Relationship Id="rId37" Type="http://schemas.openxmlformats.org/officeDocument/2006/relationships/hyperlink" Target="https://drive.google.com/open?id=1XYe9k4oWKrt-20pHSuYi6HlQaGKlfi_Y&amp;usp=drive_copy" TargetMode="External"/><Relationship Id="rId36" Type="http://schemas.openxmlformats.org/officeDocument/2006/relationships/hyperlink" Target="https://drive.google.com/open?id=1EisK3kAwwQPbcyDXCO7rgY8DUjrRQkYO&amp;usp=drive_copy" TargetMode="External"/><Relationship Id="rId39" Type="http://schemas.openxmlformats.org/officeDocument/2006/relationships/hyperlink" Target="https://drive.google.com/open?id=1Lf29C2bFsyJUWDEn0akl4Ae5xp5as1qs&amp;usp=drive_copy" TargetMode="External"/><Relationship Id="rId38" Type="http://schemas.openxmlformats.org/officeDocument/2006/relationships/hyperlink" Target="https://drive.google.com/open?id=1grRv5uivMh_SYosiSsTEbFvBbTDeNHhj&amp;usp=drive_copy" TargetMode="External"/><Relationship Id="rId20" Type="http://schemas.openxmlformats.org/officeDocument/2006/relationships/hyperlink" Target="https://drive.google.com/open?id=11wBVFZ9exewG7hAIJHss65iBBykVSGbz&amp;usp=drive_copy" TargetMode="External"/><Relationship Id="rId22" Type="http://schemas.openxmlformats.org/officeDocument/2006/relationships/hyperlink" Target="https://drive.google.com/open?id=1W6s5s3bvUzujESWIq45L-HhhBVyXYp0p&amp;usp=drive_copy" TargetMode="External"/><Relationship Id="rId21" Type="http://schemas.openxmlformats.org/officeDocument/2006/relationships/hyperlink" Target="https://drive.google.com/open?id=1lDnbUr8tjovGzvmBDT4iZpGPMiUkaYHf&amp;usp=drive_copy" TargetMode="External"/><Relationship Id="rId24" Type="http://schemas.openxmlformats.org/officeDocument/2006/relationships/hyperlink" Target="https://drive.google.com/open?id=1PMGJNQwLWKZnfHoY7BYNu_YKI13qk29N&amp;usp=drive_copy" TargetMode="External"/><Relationship Id="rId23" Type="http://schemas.openxmlformats.org/officeDocument/2006/relationships/hyperlink" Target="https://drive.google.com/open?id=17qbmaS27k1KW-gPr93JKg6_f1R1kBxXL&amp;usp=drive_copy" TargetMode="External"/><Relationship Id="rId26" Type="http://schemas.openxmlformats.org/officeDocument/2006/relationships/hyperlink" Target="https://drive.google.com/open?id=1KZNQilMR-AMyWZoqATND9pRJge_OJMQA&amp;usp=drive_copy" TargetMode="External"/><Relationship Id="rId25" Type="http://schemas.openxmlformats.org/officeDocument/2006/relationships/hyperlink" Target="https://drive.google.com/open?id=1jwZxx75YK0SUrq9wGOZXsOkO9jegW41Z&amp;usp=drive_copy" TargetMode="External"/><Relationship Id="rId28" Type="http://schemas.openxmlformats.org/officeDocument/2006/relationships/hyperlink" Target="https://drive.google.com/open?id=1zBPvUXk_ZJRkWO8UprX-pfXoT7CMj3k7&amp;usp=drive_copy" TargetMode="External"/><Relationship Id="rId27" Type="http://schemas.openxmlformats.org/officeDocument/2006/relationships/hyperlink" Target="https://drive.google.com/open?id=1kjLU5Sq1vQrYnt8NWTbcbqpvMIbnQlGB&amp;usp=drive_copy" TargetMode="External"/><Relationship Id="rId29" Type="http://schemas.openxmlformats.org/officeDocument/2006/relationships/hyperlink" Target="https://drive.google.com/open?id=1XIuSYPoo-ZfmRuPjCLOUXnw9mXrK1HAZ&amp;usp=drive_copy" TargetMode="External"/><Relationship Id="rId11" Type="http://schemas.openxmlformats.org/officeDocument/2006/relationships/hyperlink" Target="https://drive.google.com/open?id=1_TjKHVYEIowe2hZzmqxxeXMAT6DfDYtd&amp;usp=drive_copy" TargetMode="External"/><Relationship Id="rId10" Type="http://schemas.openxmlformats.org/officeDocument/2006/relationships/hyperlink" Target="https://drive.google.com/open?id=1Hi7AqeYphV8qTR9wdsS2CRYbS5I2ltLk&amp;usp=drive_copy" TargetMode="External"/><Relationship Id="rId13" Type="http://schemas.openxmlformats.org/officeDocument/2006/relationships/hyperlink" Target="https://drive.google.com/open?id=1XZUjm225y7_n5Ls3eheWfLLWRK0jYP4w&amp;usp=drive_copy" TargetMode="External"/><Relationship Id="rId12" Type="http://schemas.openxmlformats.org/officeDocument/2006/relationships/hyperlink" Target="https://drive.google.com/open?id=1IUsm6tjCQNiJxdC_lFYdh3S4bpnIxNGV&amp;usp=drive_copy" TargetMode="External"/><Relationship Id="rId15" Type="http://schemas.openxmlformats.org/officeDocument/2006/relationships/hyperlink" Target="https://drive.google.com/open?id=1ySSM0IxI7OaYqs6Xr6h_R4SUXciYko5t&amp;usp=drive_copy" TargetMode="External"/><Relationship Id="rId14" Type="http://schemas.openxmlformats.org/officeDocument/2006/relationships/hyperlink" Target="https://drive.google.com/open?id=1OjIFGjLQM7_J1pzyAOu-Q3B0VWGCkT-V&amp;usp=drive_copy" TargetMode="External"/><Relationship Id="rId17" Type="http://schemas.openxmlformats.org/officeDocument/2006/relationships/hyperlink" Target="https://drive.google.com/open?id=15l7LgBluy-sI1ytIBWuxEN6_u1Zx-vjb&amp;usp=drive_copy" TargetMode="External"/><Relationship Id="rId16" Type="http://schemas.openxmlformats.org/officeDocument/2006/relationships/hyperlink" Target="https://drive.google.com/open?id=1HqHL3I3ZKxRpoazV9egjpvYKOE_bZ9TU&amp;usp=drive_copy" TargetMode="External"/><Relationship Id="rId19" Type="http://schemas.openxmlformats.org/officeDocument/2006/relationships/hyperlink" Target="https://drive.google.com/open?id=1fT9U1VP90NgDbRaRw49TZQWiWjIvXqY9&amp;usp=drive_copy" TargetMode="External"/><Relationship Id="rId18" Type="http://schemas.openxmlformats.org/officeDocument/2006/relationships/hyperlink" Target="https://drive.google.com/open?id=11EHi_WVCTTWJUbRX9oFe8keLqu8kvvDk&amp;usp=drive_copy" TargetMode="External"/><Relationship Id="rId1" Type="http://schemas.openxmlformats.org/officeDocument/2006/relationships/hyperlink" Target="https://drive.google.com/open?id=1RqodYI5XyO_euX9_cC38a0laasC6pdji&amp;usp=drive_copy" TargetMode="External"/><Relationship Id="rId2" Type="http://schemas.openxmlformats.org/officeDocument/2006/relationships/hyperlink" Target="https://drive.google.com/open?id=1CdT4ah7XbjXbOeMeYsus3_y5h-zR8h6A&amp;usp=drive_copy" TargetMode="External"/><Relationship Id="rId3" Type="http://schemas.openxmlformats.org/officeDocument/2006/relationships/hyperlink" Target="https://drive.google.com/open?id=1iMPGuONUm2OZbG6mrHAcJQCBFNFlaYEk&amp;usp=drive_copy" TargetMode="External"/><Relationship Id="rId4" Type="http://schemas.openxmlformats.org/officeDocument/2006/relationships/hyperlink" Target="https://drive.google.com/open?id=1sdsSnaFnGjkejvrJnTAE4KOgquRqVq5A&amp;usp=drive_copy" TargetMode="External"/><Relationship Id="rId9" Type="http://schemas.openxmlformats.org/officeDocument/2006/relationships/hyperlink" Target="https://drive.google.com/open?id=1_KwiOtKxn57dV9r_oUVgwb33QLExILvr&amp;usp=drive_copy" TargetMode="External"/><Relationship Id="rId5" Type="http://schemas.openxmlformats.org/officeDocument/2006/relationships/hyperlink" Target="https://drive.google.com/open?id=1LNgkboFgc4d1qQwOst09p6wHPxUS1zTs&amp;usp=drive_copy" TargetMode="External"/><Relationship Id="rId6" Type="http://schemas.openxmlformats.org/officeDocument/2006/relationships/hyperlink" Target="https://drive.google.com/open?id=1yNSrwNxBzZNbYrvAuE0xLxUH0Z1smZ-k&amp;usp=drive_copy" TargetMode="External"/><Relationship Id="rId7" Type="http://schemas.openxmlformats.org/officeDocument/2006/relationships/hyperlink" Target="https://drive.google.com/open?id=1qpUy9DPTYPAhZgPbfVw7h1C8aRCUsnlk&amp;usp=drive_copy" TargetMode="External"/><Relationship Id="rId8" Type="http://schemas.openxmlformats.org/officeDocument/2006/relationships/hyperlink" Target="https://drive.google.com/open?id=1VVOtElMiuDL4-b-x9Viv-7ORiwUEhTwu&amp;usp=drive_copy" TargetMode="External"/><Relationship Id="rId61" Type="http://schemas.openxmlformats.org/officeDocument/2006/relationships/table" Target="../tables/table9.xml"/><Relationship Id="rId51" Type="http://schemas.openxmlformats.org/officeDocument/2006/relationships/hyperlink" Target="https://drive.google.com/open?id=1bD8vEEBog0nW8r4NXjj3SPKPsRqAkuzP&amp;usp=drive_copy" TargetMode="External"/><Relationship Id="rId50" Type="http://schemas.openxmlformats.org/officeDocument/2006/relationships/hyperlink" Target="https://drive.google.com/open?id=1DOBBEixhUvKRdgi8xk-t9X0Vga4DIOiI&amp;usp=drive_copy" TargetMode="External"/><Relationship Id="rId53" Type="http://schemas.openxmlformats.org/officeDocument/2006/relationships/hyperlink" Target="https://drive.google.com/open?id=1k-wbvhMfQebJMTbf-ImdUUjoDg9YJnBK&amp;usp=drive_copy" TargetMode="External"/><Relationship Id="rId52" Type="http://schemas.openxmlformats.org/officeDocument/2006/relationships/hyperlink" Target="https://drive.google.com/open?id=1uQcDn6gsbVoqaxMnHvDs-nMTAtom9W6g&amp;usp=drive_copy" TargetMode="External"/><Relationship Id="rId55" Type="http://schemas.openxmlformats.org/officeDocument/2006/relationships/hyperlink" Target="https://drive.google.com/open?id=1SHzPn0Ubn2gz0biZpHHK0aIqfIt9U_43&amp;usp=drive_copy" TargetMode="External"/><Relationship Id="rId54" Type="http://schemas.openxmlformats.org/officeDocument/2006/relationships/hyperlink" Target="https://drive.google.com/open?id=1MAhMqzoASPAPH7EuWvoFF3roM6USKvpu&amp;usp=drive_copy" TargetMode="External"/><Relationship Id="rId57" Type="http://schemas.openxmlformats.org/officeDocument/2006/relationships/hyperlink" Target="https://drive.google.com/open?id=1S-HIPW61b_r556U2dy1HvVI3odepeSQk&amp;usp=drive_copy" TargetMode="External"/><Relationship Id="rId56" Type="http://schemas.openxmlformats.org/officeDocument/2006/relationships/hyperlink" Target="https://drive.google.com/open?id=1jZSqWghJ_--3Jplk12kvfw-Q2Ul67Arx&amp;usp=drive_copy" TargetMode="External"/><Relationship Id="rId59" Type="http://schemas.openxmlformats.org/officeDocument/2006/relationships/drawing" Target="../drawings/drawing9.xml"/><Relationship Id="rId58" Type="http://schemas.openxmlformats.org/officeDocument/2006/relationships/hyperlink" Target="https://drive.google.com/open?id=1FwxYTh-cKYlEpKwi3djVZ7bagpQNqCt_&amp;usp=drive_copy" TargetMode="External"/></Relationships>
</file>

<file path=xl/worksheets/_rels/sheet10.xml.rels><?xml version="1.0" encoding="UTF-8" standalone="yes"?><Relationships xmlns="http://schemas.openxmlformats.org/package/2006/relationships"><Relationship Id="rId30" Type="http://schemas.openxmlformats.org/officeDocument/2006/relationships/table" Target="../tables/table10.xml"/><Relationship Id="rId20" Type="http://schemas.openxmlformats.org/officeDocument/2006/relationships/hyperlink" Target="https://classroom.google.com/c/NjAwNjc3MjQwMDEx?cjc=czl7gvx" TargetMode="External"/><Relationship Id="rId22" Type="http://schemas.openxmlformats.org/officeDocument/2006/relationships/hyperlink" Target="https://classroom.google.com/c/NjAwNjc3NzM0NjQ0?cjc=wsertwv" TargetMode="External"/><Relationship Id="rId21" Type="http://schemas.openxmlformats.org/officeDocument/2006/relationships/hyperlink" Target="https://classroom.google.com/c/NjAwNjc3NDE0MDgz?cjc=ohprv5x" TargetMode="External"/><Relationship Id="rId24" Type="http://schemas.openxmlformats.org/officeDocument/2006/relationships/hyperlink" Target="https://classroom.google.com/c/NjAyMTA4NTk5MDMx?cjc=4begxe5" TargetMode="External"/><Relationship Id="rId23" Type="http://schemas.openxmlformats.org/officeDocument/2006/relationships/hyperlink" Target="https://classroom.google.com/c/NTIzMDYwNjkwODAz?cjc=pwwe55y" TargetMode="External"/><Relationship Id="rId26" Type="http://schemas.openxmlformats.org/officeDocument/2006/relationships/hyperlink" Target="https://classroom.google.com/c/NjAyMTA4NTM5NDU3?cjc=wumuez7" TargetMode="External"/><Relationship Id="rId25" Type="http://schemas.openxmlformats.org/officeDocument/2006/relationships/hyperlink" Target="https://classroom.google.com/c/NjAyMTA5NDg1MTcw?cjc=3ruggkk" TargetMode="External"/><Relationship Id="rId28" Type="http://schemas.openxmlformats.org/officeDocument/2006/relationships/drawing" Target="../drawings/drawing10.xml"/><Relationship Id="rId27" Type="http://schemas.openxmlformats.org/officeDocument/2006/relationships/hyperlink" Target="https://classroom.google.com/c/NTU0NDQ0Nzc5Mjk5?cjc=uoyptjr" TargetMode="External"/><Relationship Id="rId11" Type="http://schemas.openxmlformats.org/officeDocument/2006/relationships/hyperlink" Target="https://classroom.google.com/c/NDg1MjM1ODA3NzU2?cjc=cwwqk7s" TargetMode="External"/><Relationship Id="rId10" Type="http://schemas.openxmlformats.org/officeDocument/2006/relationships/hyperlink" Target="https://classroom.google.com/c/NDk5ODk3NjcyNTE4?cjc=epmuvg3" TargetMode="External"/><Relationship Id="rId13" Type="http://schemas.openxmlformats.org/officeDocument/2006/relationships/hyperlink" Target="https://classroom.google.com/c/NjA5MjAxMzYzODcz?cjc=phgpsbw" TargetMode="External"/><Relationship Id="rId12" Type="http://schemas.openxmlformats.org/officeDocument/2006/relationships/hyperlink" Target="https://classroom.google.com/c/NDg1MjM1ODA3OTk3?cjc=ly7nqxb" TargetMode="External"/><Relationship Id="rId15" Type="http://schemas.openxmlformats.org/officeDocument/2006/relationships/hyperlink" Target="https://classroom.google.com/c/NjA5MjAyNDc3NTc0?cjc=nlp7nio" TargetMode="External"/><Relationship Id="rId14" Type="http://schemas.openxmlformats.org/officeDocument/2006/relationships/hyperlink" Target="https://classroom.google.com/c/NjA5MjAxNjk2MzIw?cjc=a4wkx5z" TargetMode="External"/><Relationship Id="rId17" Type="http://schemas.openxmlformats.org/officeDocument/2006/relationships/hyperlink" Target="https://classroom.google.com/c/NjA5MjAyODUwMzE5?cjc=rc4tsjz" TargetMode="External"/><Relationship Id="rId16" Type="http://schemas.openxmlformats.org/officeDocument/2006/relationships/hyperlink" Target="https://classroom.google.com/c/NDg1MjM1ODA3NjM5?cjc=yknmgdq" TargetMode="External"/><Relationship Id="rId19" Type="http://schemas.openxmlformats.org/officeDocument/2006/relationships/hyperlink" Target="https://classroom.google.com/c/NTE3Nzg2ODY3MTQ5?cjc=nsvgvfx" TargetMode="External"/><Relationship Id="rId18" Type="http://schemas.openxmlformats.org/officeDocument/2006/relationships/hyperlink" Target="https://classroom.google.com/c/NDk5ODk3NjcyNTE4?cjc=epmuvg3" TargetMode="External"/><Relationship Id="rId1" Type="http://schemas.openxmlformats.org/officeDocument/2006/relationships/hyperlink" Target="https://classroom.google.com/c/NTQ0ODU4MDA4ODAx?cjc=clfiiv3" TargetMode="External"/><Relationship Id="rId2" Type="http://schemas.openxmlformats.org/officeDocument/2006/relationships/hyperlink" Target="https://classroom.google.com/c/NTA1NDkwOTAyNjUz?cjc=yevhdcd" TargetMode="External"/><Relationship Id="rId3" Type="http://schemas.openxmlformats.org/officeDocument/2006/relationships/hyperlink" Target="https://classroom.google.com/c/NDg1MjM1NzcxOTA3?cjc=eakxznf" TargetMode="External"/><Relationship Id="rId4" Type="http://schemas.openxmlformats.org/officeDocument/2006/relationships/hyperlink" Target="https://classroom.google.com/c/NDk5MTkwNDIzMzMx?cjc=oxidcmn" TargetMode="External"/><Relationship Id="rId9" Type="http://schemas.openxmlformats.org/officeDocument/2006/relationships/hyperlink" Target="https://classroom.google.com/c/NDg0NDQ2MzQ5NTg4?cjc=afkzsgm" TargetMode="External"/><Relationship Id="rId5" Type="http://schemas.openxmlformats.org/officeDocument/2006/relationships/hyperlink" Target="https://classroom.google.com/c/NDg1MjM1NzcxNjc3?cjc=hllc5uf" TargetMode="External"/><Relationship Id="rId6" Type="http://schemas.openxmlformats.org/officeDocument/2006/relationships/hyperlink" Target="https://classroom.google.com/c/NDg1MjM1NzcxMjIz?cjc=hwc7zoa" TargetMode="External"/><Relationship Id="rId7" Type="http://schemas.openxmlformats.org/officeDocument/2006/relationships/hyperlink" Target="https://classroom.google.com/c/NTM4OTc4NzI0OTUw?cjc=rmheb46" TargetMode="External"/><Relationship Id="rId8" Type="http://schemas.openxmlformats.org/officeDocument/2006/relationships/hyperlink" Target="https://classroom.google.com/c/NDg1MjM1ODA3ODE0?cjc=pc34vd7"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uc?export=download&amp;id=1eRfIc0bnamR3MzOIvE-QR1ViCHoVbPan" TargetMode="External"/><Relationship Id="rId190" Type="http://schemas.openxmlformats.org/officeDocument/2006/relationships/hyperlink" Target="https://drive.google.com/uc?export=download&amp;id=1ZeuSh37euTyGnDbm22yoSctyIRQ0RiZh" TargetMode="External"/><Relationship Id="rId42" Type="http://schemas.openxmlformats.org/officeDocument/2006/relationships/hyperlink" Target="https://drive.google.com/uc?export=download&amp;id=1tm7z6CP-06Y9FR6q7SJDrdKsovLpwZ7J" TargetMode="External"/><Relationship Id="rId41" Type="http://schemas.openxmlformats.org/officeDocument/2006/relationships/hyperlink" Target="https://drive.google.com/uc?export=download&amp;id=1DSEjonLTx6_LZG5OZHXWAzPOQDJCqmHW" TargetMode="External"/><Relationship Id="rId44" Type="http://schemas.openxmlformats.org/officeDocument/2006/relationships/hyperlink" Target="https://drive.google.com/uc?export=download&amp;id=1vsvmHaqatPeR_ZtA1qZjUjlwxPZyQWiQ" TargetMode="External"/><Relationship Id="rId194" Type="http://schemas.openxmlformats.org/officeDocument/2006/relationships/hyperlink" Target="https://drive.google.com/uc?export=download&amp;id=1OnJSFIYvb_Qf6AU9CIneVHqtSFux_kDE" TargetMode="External"/><Relationship Id="rId43" Type="http://schemas.openxmlformats.org/officeDocument/2006/relationships/hyperlink" Target="https://drive.google.com/uc?export=download&amp;id=1kG4HcX3KCmHk3BzOqZxI3WIh9mmrgbEk" TargetMode="External"/><Relationship Id="rId193" Type="http://schemas.openxmlformats.org/officeDocument/2006/relationships/hyperlink" Target="https://drive.google.com/uc?export=download&amp;id=1DqWtamb-HUDDoR_NFQ2f7VmyVN1ssmZG" TargetMode="External"/><Relationship Id="rId46" Type="http://schemas.openxmlformats.org/officeDocument/2006/relationships/hyperlink" Target="https://drive.google.com/uc?export=download&amp;id=18xRzww95Ev0Xju9KCjCVrCchYqO9PRTf" TargetMode="External"/><Relationship Id="rId192" Type="http://schemas.openxmlformats.org/officeDocument/2006/relationships/hyperlink" Target="https://drive.google.com/uc?export=download&amp;id=1ETEE--kbF4ANfCK0IMXPqdoTxasV6Un7" TargetMode="External"/><Relationship Id="rId45" Type="http://schemas.openxmlformats.org/officeDocument/2006/relationships/hyperlink" Target="https://drive.google.com/uc?export=download&amp;id=1wFAJUiaI_raRpj6caY7vIKrjWp326KFq" TargetMode="External"/><Relationship Id="rId191" Type="http://schemas.openxmlformats.org/officeDocument/2006/relationships/hyperlink" Target="https://drive.google.com/uc?export=download&amp;id=1RmZTHl9gj9-e-cQpYNOsNn_j7onE1JhU" TargetMode="External"/><Relationship Id="rId48" Type="http://schemas.openxmlformats.org/officeDocument/2006/relationships/hyperlink" Target="https://drive.google.com/uc?export=download&amp;id=1VKhKPZe207jjGtlgMqZXDdmwHBV7V_mp" TargetMode="External"/><Relationship Id="rId187" Type="http://schemas.openxmlformats.org/officeDocument/2006/relationships/hyperlink" Target="https://drive.google.com/uc?export=download&amp;id=1kuEkURgQgJfEc7S14j0n4ZLHqLQD7uv9" TargetMode="External"/><Relationship Id="rId47" Type="http://schemas.openxmlformats.org/officeDocument/2006/relationships/hyperlink" Target="https://drive.google.com/uc?export=download&amp;id=1hPdFbNJ1rEOh3ithhFMbS3OU5G9wR43a" TargetMode="External"/><Relationship Id="rId186" Type="http://schemas.openxmlformats.org/officeDocument/2006/relationships/hyperlink" Target="https://drive.google.com/uc?export=download&amp;id=1TBuUYe3M5HMY3Q2grdnf2EDGcRCie-K1" TargetMode="External"/><Relationship Id="rId185" Type="http://schemas.openxmlformats.org/officeDocument/2006/relationships/hyperlink" Target="https://drive.google.com/uc?export=download&amp;id=1IdKqiKS7d1iwzNHDp8ZLJmAoKqnLeC1a" TargetMode="External"/><Relationship Id="rId49" Type="http://schemas.openxmlformats.org/officeDocument/2006/relationships/hyperlink" Target="https://drive.google.com/uc?export=download&amp;id=1XAFx8ifGrsywzDafdzof5_t8L_5CE8qN" TargetMode="External"/><Relationship Id="rId184" Type="http://schemas.openxmlformats.org/officeDocument/2006/relationships/hyperlink" Target="https://drive.google.com/uc?export=download&amp;id=1zSY19QhNh2awoS5lrF_1r53Iq4nIeetn" TargetMode="External"/><Relationship Id="rId189" Type="http://schemas.openxmlformats.org/officeDocument/2006/relationships/hyperlink" Target="https://drive.google.com/uc?export=download&amp;id=1RZ_yRziZuseeNFdRaG25qmE7I84ixKBA" TargetMode="External"/><Relationship Id="rId188" Type="http://schemas.openxmlformats.org/officeDocument/2006/relationships/hyperlink" Target="https://drive.google.com/uc?export=download&amp;id=1NTzalU4sEAWJ8A-CjgFmdLCjiODpYW_g" TargetMode="External"/><Relationship Id="rId31" Type="http://schemas.openxmlformats.org/officeDocument/2006/relationships/hyperlink" Target="https://drive.google.com/uc?export=download&amp;id=10XDJQGE_aNASXkUENrSxXoM9c30zIheQ" TargetMode="External"/><Relationship Id="rId30" Type="http://schemas.openxmlformats.org/officeDocument/2006/relationships/hyperlink" Target="https://drive.google.com/uc?export=download&amp;id=1_xIzQg-s43EcYBWwJ_LujZNQSXVsGOVl" TargetMode="External"/><Relationship Id="rId33" Type="http://schemas.openxmlformats.org/officeDocument/2006/relationships/hyperlink" Target="https://drive.google.com/uc?export=download&amp;id=1Xs9NHEcb3JNMlyTOSxbXpPRYcnyEpbGN" TargetMode="External"/><Relationship Id="rId183" Type="http://schemas.openxmlformats.org/officeDocument/2006/relationships/hyperlink" Target="https://drive.google.com/uc?export=download&amp;id=14rTSC3IL4939JVyOOauo1XsRYyBGhexn" TargetMode="External"/><Relationship Id="rId32" Type="http://schemas.openxmlformats.org/officeDocument/2006/relationships/hyperlink" Target="https://drive.google.com/uc?export=download&amp;id=1ffeiCrVbZmIFq0qZVGyPixHc2nnL9QFx" TargetMode="External"/><Relationship Id="rId182" Type="http://schemas.openxmlformats.org/officeDocument/2006/relationships/hyperlink" Target="https://drive.google.com/uc?export=download&amp;id=1afj2uq_SdjiokTnRKmukWR8zNQ5UfGDQ" TargetMode="External"/><Relationship Id="rId35" Type="http://schemas.openxmlformats.org/officeDocument/2006/relationships/hyperlink" Target="https://drive.google.com/uc?export=download&amp;id=1mEz71N459Rs9cvK8vdeBxkKsYX5bstSG" TargetMode="External"/><Relationship Id="rId181" Type="http://schemas.openxmlformats.org/officeDocument/2006/relationships/hyperlink" Target="https://drive.google.com/uc?export=download&amp;id=1GeYmLAXESG1YH-Fr5nJfkb9xkjgZDt3N" TargetMode="External"/><Relationship Id="rId34" Type="http://schemas.openxmlformats.org/officeDocument/2006/relationships/hyperlink" Target="https://drive.google.com/uc?export=download&amp;id=1dq0JDZCy6e_s3EnqfYt-Crd9NLyI_3kT" TargetMode="External"/><Relationship Id="rId180" Type="http://schemas.openxmlformats.org/officeDocument/2006/relationships/hyperlink" Target="https://drive.google.com/uc?export=download&amp;id=1aVXDUGJlGb6eptenxhj2XyDMZ5T3CNQ3" TargetMode="External"/><Relationship Id="rId37" Type="http://schemas.openxmlformats.org/officeDocument/2006/relationships/hyperlink" Target="https://drive.google.com/uc?export=download&amp;id=1aJcFDzLYs716o-IFrgQGErWq3n0lE-aG" TargetMode="External"/><Relationship Id="rId176" Type="http://schemas.openxmlformats.org/officeDocument/2006/relationships/hyperlink" Target="https://drive.google.com/uc?export=download&amp;id=1UFi3YAIF3x_IjS6q_NEKFhZiZJwNk0FQ" TargetMode="External"/><Relationship Id="rId36" Type="http://schemas.openxmlformats.org/officeDocument/2006/relationships/hyperlink" Target="https://drive.google.com/uc?export=download&amp;id=1EggZZpB7IuEuh0dPqf10AduCN5nUidH3" TargetMode="External"/><Relationship Id="rId175" Type="http://schemas.openxmlformats.org/officeDocument/2006/relationships/hyperlink" Target="https://drive.google.com/uc?export=download&amp;id=1rPsmGu0lvKemoU5AhTB5z37gJprVID7w" TargetMode="External"/><Relationship Id="rId39" Type="http://schemas.openxmlformats.org/officeDocument/2006/relationships/hyperlink" Target="https://drive.google.com/uc?export=download&amp;id=194OPNiqILOk3wRhL3AN0Vm0JqX7rPkAG" TargetMode="External"/><Relationship Id="rId174" Type="http://schemas.openxmlformats.org/officeDocument/2006/relationships/hyperlink" Target="https://drive.google.com/uc?export=download&amp;id=1h0abKsvSTO9D9EDANwEPJJhdBUlfxLIp" TargetMode="External"/><Relationship Id="rId38" Type="http://schemas.openxmlformats.org/officeDocument/2006/relationships/hyperlink" Target="https://drive.google.com/uc?export=download&amp;id=1BFJSV5MFK-4eXrSxOxoby-iIeo-2TMhw" TargetMode="External"/><Relationship Id="rId173" Type="http://schemas.openxmlformats.org/officeDocument/2006/relationships/hyperlink" Target="https://drive.google.com/uc?export=download&amp;id=1XqguQBOs92Zl9jA-Dt96G3JQ9glDNyoH" TargetMode="External"/><Relationship Id="rId179" Type="http://schemas.openxmlformats.org/officeDocument/2006/relationships/hyperlink" Target="https://drive.google.com/uc?export=download&amp;id=1_vqRlSSRz-ynkd6Aq2MotH60mQlEl2Lq" TargetMode="External"/><Relationship Id="rId178" Type="http://schemas.openxmlformats.org/officeDocument/2006/relationships/hyperlink" Target="https://drive.google.com/uc?export=download&amp;id=1i8qFt69pXuUPboANfemLFFCof1xFYq9w" TargetMode="External"/><Relationship Id="rId177" Type="http://schemas.openxmlformats.org/officeDocument/2006/relationships/hyperlink" Target="https://drive.google.com/uc?export=download&amp;id=10l1PHGc8cpGHZxUl0BsK7KY9oOmuhx5-" TargetMode="External"/><Relationship Id="rId20" Type="http://schemas.openxmlformats.org/officeDocument/2006/relationships/hyperlink" Target="https://drive.google.com/uc?export=download&amp;id=1JcG-eQdIgxmxuJiGCYlULj_jLsFMJpv6" TargetMode="External"/><Relationship Id="rId22" Type="http://schemas.openxmlformats.org/officeDocument/2006/relationships/hyperlink" Target="https://drive.google.com/uc?export=download&amp;id=10D8LXybESj_6q5M28W0sxpb2W49n4igc" TargetMode="External"/><Relationship Id="rId21" Type="http://schemas.openxmlformats.org/officeDocument/2006/relationships/hyperlink" Target="https://drive.google.com/uc?export=download&amp;id=153z284Spb4wIU_OKNntVWyEaALsKxmwB" TargetMode="External"/><Relationship Id="rId24" Type="http://schemas.openxmlformats.org/officeDocument/2006/relationships/hyperlink" Target="https://drive.google.com/uc?export=download&amp;id=1ICmW1_YtZntzEAVbCf-jR68mD8U5l5um" TargetMode="External"/><Relationship Id="rId23" Type="http://schemas.openxmlformats.org/officeDocument/2006/relationships/hyperlink" Target="https://drive.google.com/uc?export=download&amp;id=1pBup5Ji0DXKDU0M59j7sHhH8bZ2N8lZC" TargetMode="External"/><Relationship Id="rId26" Type="http://schemas.openxmlformats.org/officeDocument/2006/relationships/hyperlink" Target="https://drive.google.com/uc?export=download&amp;id=1sgIktUlDlJD1re_mMRzGT8zw7eRVcKFA" TargetMode="External"/><Relationship Id="rId25" Type="http://schemas.openxmlformats.org/officeDocument/2006/relationships/hyperlink" Target="https://drive.google.com/uc?export=download&amp;id=1URNCHvESrUbbUL3jqKfZ2j0YvAkzwMNT" TargetMode="External"/><Relationship Id="rId28" Type="http://schemas.openxmlformats.org/officeDocument/2006/relationships/hyperlink" Target="https://drive.google.com/uc?export=download&amp;id=1YXjdcm6wJF3lXANKxnHqBZSLm0M-oBgS" TargetMode="External"/><Relationship Id="rId27" Type="http://schemas.openxmlformats.org/officeDocument/2006/relationships/hyperlink" Target="https://drive.google.com/uc?export=download&amp;id=12mcDsQ5vB6Y4d9vbfbIE26MuNgs8Fzf2" TargetMode="External"/><Relationship Id="rId29" Type="http://schemas.openxmlformats.org/officeDocument/2006/relationships/hyperlink" Target="https://drive.google.com/uc?export=download&amp;id=112HEtIYx7o2kBGc8eMRLHNbYIEhlb_cJ" TargetMode="External"/><Relationship Id="rId11" Type="http://schemas.openxmlformats.org/officeDocument/2006/relationships/hyperlink" Target="https://drive.google.com/uc?export=download&amp;id=1poWCyiQI1NAfgId8cHCAfFKh3aDctSur" TargetMode="External"/><Relationship Id="rId10" Type="http://schemas.openxmlformats.org/officeDocument/2006/relationships/hyperlink" Target="https://drive.google.com/uc?export=download&amp;id=1YZ0-k8RWMS4VRd-OZlVesqaYrpF__AMs" TargetMode="External"/><Relationship Id="rId13" Type="http://schemas.openxmlformats.org/officeDocument/2006/relationships/hyperlink" Target="https://drive.google.com/uc?export=download&amp;id=1bxHNrmDqsP5z2gq-vbxbwfRNR1Gn_GwR" TargetMode="External"/><Relationship Id="rId12" Type="http://schemas.openxmlformats.org/officeDocument/2006/relationships/hyperlink" Target="https://drive.google.com/uc?export=download&amp;id=1PZaSnN2_fAELgomwTZsUxWssnh5DMLP5" TargetMode="External"/><Relationship Id="rId15" Type="http://schemas.openxmlformats.org/officeDocument/2006/relationships/hyperlink" Target="https://drive.google.com/uc?export=download&amp;id=1afWojJXX0LVQCLQcS0iSM6sFKgR6VrvP" TargetMode="External"/><Relationship Id="rId198" Type="http://schemas.openxmlformats.org/officeDocument/2006/relationships/hyperlink" Target="https://drive.google.com/uc?export=download&amp;id=1fUTOIB8fv80OMFHUPWJ9Ko41f1bBZWe_" TargetMode="External"/><Relationship Id="rId14" Type="http://schemas.openxmlformats.org/officeDocument/2006/relationships/hyperlink" Target="https://drive.google.com/uc?export=download&amp;id=1_7KmgK9PTWMjlbjshlo3wl0rhyOC2eOa" TargetMode="External"/><Relationship Id="rId197" Type="http://schemas.openxmlformats.org/officeDocument/2006/relationships/hyperlink" Target="https://drive.google.com/uc?export=download&amp;id=1CxYfb-mQkuo6ZAinJKtyYdRJI74NfeYb" TargetMode="External"/><Relationship Id="rId17" Type="http://schemas.openxmlformats.org/officeDocument/2006/relationships/hyperlink" Target="https://drive.google.com/uc?export=download&amp;id=1Z7lZg30IvWH_XiQcv73uT-Ed2l3K6no7" TargetMode="External"/><Relationship Id="rId196" Type="http://schemas.openxmlformats.org/officeDocument/2006/relationships/hyperlink" Target="https://drive.google.com/uc?export=download&amp;id=1lpX7fTx-z-rAvRD1sK3mWpJw7VIOq7lF" TargetMode="External"/><Relationship Id="rId16" Type="http://schemas.openxmlformats.org/officeDocument/2006/relationships/hyperlink" Target="https://drive.google.com/uc?export=download&amp;id=16hjKv4-4aMy7uA_bC0wRVe4hqkHCLh0D" TargetMode="External"/><Relationship Id="rId195" Type="http://schemas.openxmlformats.org/officeDocument/2006/relationships/hyperlink" Target="https://drive.google.com/uc?export=download&amp;id=1ToulPvLSzjhOJyMpgSGARtSOYGJiZ-DS" TargetMode="External"/><Relationship Id="rId19" Type="http://schemas.openxmlformats.org/officeDocument/2006/relationships/hyperlink" Target="https://drive.google.com/uc?export=download&amp;id=1QRLXtX3ix_a3ypD4YGUV-3QrTQNhBmKv" TargetMode="External"/><Relationship Id="rId18" Type="http://schemas.openxmlformats.org/officeDocument/2006/relationships/hyperlink" Target="https://drive.google.com/uc?export=download&amp;id=1XS9wlE17OiUBUJWcmvxaPOYdhvlK2I3S" TargetMode="External"/><Relationship Id="rId199" Type="http://schemas.openxmlformats.org/officeDocument/2006/relationships/hyperlink" Target="https://drive.google.com/uc?export=download&amp;id=1LSA6ggUU7sf_6WnlNKSTY4HqVI7qCwgN" TargetMode="External"/><Relationship Id="rId84" Type="http://schemas.openxmlformats.org/officeDocument/2006/relationships/hyperlink" Target="https://drive.google.com/uc?export=download&amp;id=1uMe-gFQ7KuD8kmnHjY3zlxNwoIpBoP66" TargetMode="External"/><Relationship Id="rId83" Type="http://schemas.openxmlformats.org/officeDocument/2006/relationships/hyperlink" Target="https://drive.google.com/uc?export=download&amp;id=1FBo5vG9dsr43MRJIoVCnEd9HpdN1m7yj" TargetMode="External"/><Relationship Id="rId86" Type="http://schemas.openxmlformats.org/officeDocument/2006/relationships/hyperlink" Target="https://drive.google.com/uc?export=download&amp;id=12dhZudqz_SzJySmIUqcQuSmTSbhkD7AS" TargetMode="External"/><Relationship Id="rId85" Type="http://schemas.openxmlformats.org/officeDocument/2006/relationships/hyperlink" Target="https://drive.google.com/uc?export=download&amp;id=1Tq3JDPKSPWJG2Yck2pN3ehOQb0sp9dtM" TargetMode="External"/><Relationship Id="rId88" Type="http://schemas.openxmlformats.org/officeDocument/2006/relationships/hyperlink" Target="https://drive.google.com/uc?export=download&amp;id=13whL7D9cw_HL5l7erwCktEWbAbonmtTS" TargetMode="External"/><Relationship Id="rId150" Type="http://schemas.openxmlformats.org/officeDocument/2006/relationships/hyperlink" Target="https://drive.google.com/uc?export=download&amp;id=1YpM7zbBYroeDKj1REZIyMfzgHUwaIbKV" TargetMode="External"/><Relationship Id="rId87" Type="http://schemas.openxmlformats.org/officeDocument/2006/relationships/hyperlink" Target="https://drive.google.com/uc?export=download&amp;id=1PkSasPVJ-gT7CCjmTjvIEU19BRu6i2Qd" TargetMode="External"/><Relationship Id="rId89" Type="http://schemas.openxmlformats.org/officeDocument/2006/relationships/hyperlink" Target="https://drive.google.com/uc?export=download&amp;id=183z3HHSmRiZ05Xh5Xg5ZLuuKmEYabF9H" TargetMode="External"/><Relationship Id="rId80" Type="http://schemas.openxmlformats.org/officeDocument/2006/relationships/hyperlink" Target="https://drive.google.com/uc?export=download&amp;id=1tpQnYDB450GuuG1h7CQVh6xVxfQUuEuv" TargetMode="External"/><Relationship Id="rId82" Type="http://schemas.openxmlformats.org/officeDocument/2006/relationships/hyperlink" Target="https://drive.google.com/uc?export=download&amp;id=1l74m_cvxykJDpkf7D10B0ghmtBgA_W0v" TargetMode="External"/><Relationship Id="rId81" Type="http://schemas.openxmlformats.org/officeDocument/2006/relationships/hyperlink" Target="https://drive.google.com/uc?export=download&amp;id=1nFTL5KQhEx5Yt-4diAORqyH2y5f4TyhU" TargetMode="External"/><Relationship Id="rId1" Type="http://schemas.openxmlformats.org/officeDocument/2006/relationships/hyperlink" Target="https://drive.google.com/uc?export=download&amp;id=17qq9kEMiuR8-ertx5uE6htAr8LckFO73" TargetMode="External"/><Relationship Id="rId2" Type="http://schemas.openxmlformats.org/officeDocument/2006/relationships/hyperlink" Target="https://drive.google.com/uc?export=download&amp;id=1fzMJIMb8LNeUDs7FAKV2AK5HafXma9pI" TargetMode="External"/><Relationship Id="rId3" Type="http://schemas.openxmlformats.org/officeDocument/2006/relationships/hyperlink" Target="https://drive.google.com/uc?export=download&amp;id=1gO4_Z7KEtTbD7dVB5J-HOraGmBX8deIZ" TargetMode="External"/><Relationship Id="rId149" Type="http://schemas.openxmlformats.org/officeDocument/2006/relationships/hyperlink" Target="https://drive.google.com/uc?export=download&amp;id=1RWpWm16kjNtyXBALynM1ZSR8eO-ybhfi" TargetMode="External"/><Relationship Id="rId4" Type="http://schemas.openxmlformats.org/officeDocument/2006/relationships/hyperlink" Target="https://drive.google.com/uc?export=download&amp;id=1pM__mxsxLWk72C98iHrqIt7PGICEZvlK" TargetMode="External"/><Relationship Id="rId148" Type="http://schemas.openxmlformats.org/officeDocument/2006/relationships/hyperlink" Target="https://drive.google.com/uc?export=download&amp;id=1JgfQINk_tU-xy4gEAJt5coiBqmlwY73b" TargetMode="External"/><Relationship Id="rId9" Type="http://schemas.openxmlformats.org/officeDocument/2006/relationships/hyperlink" Target="https://drive.google.com/uc?export=download&amp;id=165iyYUcFP-hTbewpV2QlmCM30m7eZqtP" TargetMode="External"/><Relationship Id="rId143" Type="http://schemas.openxmlformats.org/officeDocument/2006/relationships/hyperlink" Target="https://drive.google.com/uc?export=download&amp;id=1f05QZvbIasfmMZGastnOGPaGQxdIfoPR" TargetMode="External"/><Relationship Id="rId142" Type="http://schemas.openxmlformats.org/officeDocument/2006/relationships/hyperlink" Target="https://drive.google.com/uc?export=download&amp;id=1lL-EUhnvAqyxLQTFlBfPdnR_I1gLCGzs" TargetMode="External"/><Relationship Id="rId141" Type="http://schemas.openxmlformats.org/officeDocument/2006/relationships/hyperlink" Target="https://drive.google.com/uc?export=download&amp;id=1d8jcJUSFAk18ey4WhABpy2WBLKxKqZVE" TargetMode="External"/><Relationship Id="rId140" Type="http://schemas.openxmlformats.org/officeDocument/2006/relationships/hyperlink" Target="https://drive.google.com/uc?export=download&amp;id=1L_GRcuCkKDEqp9_3xYjkkM3pZuuwwTct" TargetMode="External"/><Relationship Id="rId5" Type="http://schemas.openxmlformats.org/officeDocument/2006/relationships/hyperlink" Target="https://drive.google.com/uc?export=download&amp;id=1KGrlwPH5PlP4WFNMGbh0LejCEjn0S_o_" TargetMode="External"/><Relationship Id="rId147" Type="http://schemas.openxmlformats.org/officeDocument/2006/relationships/hyperlink" Target="https://drive.google.com/uc?export=download&amp;id=1Uqo09FCLzcrViMOqK5eAiVQToAf7xUec" TargetMode="External"/><Relationship Id="rId6" Type="http://schemas.openxmlformats.org/officeDocument/2006/relationships/hyperlink" Target="https://drive.google.com/uc?export=download&amp;id=156jWy6oCRz-zBvvtS6L-g8jLnU0lR_Ys" TargetMode="External"/><Relationship Id="rId146" Type="http://schemas.openxmlformats.org/officeDocument/2006/relationships/hyperlink" Target="https://drive.google.com/uc?export=download&amp;id=1EDcEnvClGO_3AINwCtBkRO_ZDag_dbKM" TargetMode="External"/><Relationship Id="rId7" Type="http://schemas.openxmlformats.org/officeDocument/2006/relationships/hyperlink" Target="https://drive.google.com/uc?export=download&amp;id=1nFWORDLYwAAsciJftWI7CS8EZR2LFOBa" TargetMode="External"/><Relationship Id="rId145" Type="http://schemas.openxmlformats.org/officeDocument/2006/relationships/hyperlink" Target="https://drive.google.com/uc?export=download&amp;id=18tV2PKxJMZEgkqRWabEomuNXnBA4Qkns" TargetMode="External"/><Relationship Id="rId8" Type="http://schemas.openxmlformats.org/officeDocument/2006/relationships/hyperlink" Target="https://drive.google.com/uc?export=download&amp;id=1equaoJIIS6tqH02umxrONRoDhPq_hJkc" TargetMode="External"/><Relationship Id="rId144" Type="http://schemas.openxmlformats.org/officeDocument/2006/relationships/hyperlink" Target="https://drive.google.com/uc?export=download&amp;id=1RVektJ87bS43VyX2qCXVWl6m8pjIYOs1" TargetMode="External"/><Relationship Id="rId73" Type="http://schemas.openxmlformats.org/officeDocument/2006/relationships/hyperlink" Target="https://drive.google.com/uc?export=download&amp;id=1yrIWOqROOXvS4FrTb5j_HznRDiJwyyEk" TargetMode="External"/><Relationship Id="rId72" Type="http://schemas.openxmlformats.org/officeDocument/2006/relationships/hyperlink" Target="https://drive.google.com/uc?export=download&amp;id=17a_X6Sp2oltsPRhTBXgnPXeSheZ1A9IF" TargetMode="External"/><Relationship Id="rId75" Type="http://schemas.openxmlformats.org/officeDocument/2006/relationships/hyperlink" Target="https://drive.google.com/uc?export=download&amp;id=1Gk9hCi5OWj22kl7fWjFYnHwIyoZ1skah" TargetMode="External"/><Relationship Id="rId74" Type="http://schemas.openxmlformats.org/officeDocument/2006/relationships/hyperlink" Target="https://drive.google.com/uc?export=download&amp;id=1M5aTLw1jCx7dn9DoyHMxaKNjaPEZTKpJ" TargetMode="External"/><Relationship Id="rId77" Type="http://schemas.openxmlformats.org/officeDocument/2006/relationships/hyperlink" Target="https://drive.google.com/uc?export=download&amp;id=1fDQhPuNcgmOBQWzGrgxyOxE7MAQYLL4n" TargetMode="External"/><Relationship Id="rId76" Type="http://schemas.openxmlformats.org/officeDocument/2006/relationships/hyperlink" Target="https://drive.google.com/uc?export=download&amp;id=1i7_ONqBXBszEFZ57aEP_QFe4J8f2lSyr" TargetMode="External"/><Relationship Id="rId79" Type="http://schemas.openxmlformats.org/officeDocument/2006/relationships/hyperlink" Target="https://drive.google.com/uc?export=download&amp;id=1SBjGzKUOuvoXwcfRGHTu8lU41bE2vrC1" TargetMode="External"/><Relationship Id="rId78" Type="http://schemas.openxmlformats.org/officeDocument/2006/relationships/hyperlink" Target="https://drive.google.com/uc?export=download&amp;id=1I4mHFhV1mFuC7Zp1Ksnz24AC5lVfleKI" TargetMode="External"/><Relationship Id="rId71" Type="http://schemas.openxmlformats.org/officeDocument/2006/relationships/hyperlink" Target="https://drive.google.com/uc?export=download&amp;id=1PkFRE6953ymxG4w5igPYu9GKhME_Y00X" TargetMode="External"/><Relationship Id="rId70" Type="http://schemas.openxmlformats.org/officeDocument/2006/relationships/hyperlink" Target="https://drive.google.com/uc?export=download&amp;id=144eJ4P0Jcybqt9G_vC4A7lJ8jou0D7fK" TargetMode="External"/><Relationship Id="rId139" Type="http://schemas.openxmlformats.org/officeDocument/2006/relationships/hyperlink" Target="https://drive.google.com/uc?export=download&amp;id=1IH-qVp2UJYpZJTF6j8BiN-lPO-E8luk8" TargetMode="External"/><Relationship Id="rId138" Type="http://schemas.openxmlformats.org/officeDocument/2006/relationships/hyperlink" Target="https://drive.google.com/uc?export=download&amp;id=1UOhCJ1XWg3XgNNb_xKuKioIMTLP33yHU" TargetMode="External"/><Relationship Id="rId137" Type="http://schemas.openxmlformats.org/officeDocument/2006/relationships/hyperlink" Target="https://drive.google.com/uc?export=download&amp;id=1lpTQHWldeNrZk_Tkq6OIOdyDC5p8-CkK" TargetMode="External"/><Relationship Id="rId132" Type="http://schemas.openxmlformats.org/officeDocument/2006/relationships/hyperlink" Target="https://drive.google.com/uc?export=download&amp;id=1mDnbfYqvnsgK6mlVcXwQc-VH4OOPhpav" TargetMode="External"/><Relationship Id="rId131" Type="http://schemas.openxmlformats.org/officeDocument/2006/relationships/hyperlink" Target="https://drive.google.com/uc?export=download&amp;id=1PnoSKBrfxUYnW0z2aP7lS7cmO-J9uYsC" TargetMode="External"/><Relationship Id="rId130" Type="http://schemas.openxmlformats.org/officeDocument/2006/relationships/hyperlink" Target="https://drive.google.com/uc?export=download&amp;id=1ZTWpPF1zL-S09CDrmHTHKST9sIXmgZrE" TargetMode="External"/><Relationship Id="rId136" Type="http://schemas.openxmlformats.org/officeDocument/2006/relationships/hyperlink" Target="https://drive.google.com/uc?export=download&amp;id=17QyAwwwzDItXen7PjvQlh4i5r34y3H97" TargetMode="External"/><Relationship Id="rId135" Type="http://schemas.openxmlformats.org/officeDocument/2006/relationships/hyperlink" Target="https://drive.google.com/uc?export=download&amp;id=18oGejKc0R26LApZuFW5uVaQt_M3_wxWP" TargetMode="External"/><Relationship Id="rId134" Type="http://schemas.openxmlformats.org/officeDocument/2006/relationships/hyperlink" Target="https://drive.google.com/uc?export=download&amp;id=1vPLe_5nIyJ59226E7aC3Ckn5u1F7HmoH" TargetMode="External"/><Relationship Id="rId133" Type="http://schemas.openxmlformats.org/officeDocument/2006/relationships/hyperlink" Target="https://drive.google.com/uc?export=download&amp;id=1eze2MLSHsQ7HPp8EN0d_UON2fS6DRxfo" TargetMode="External"/><Relationship Id="rId62" Type="http://schemas.openxmlformats.org/officeDocument/2006/relationships/hyperlink" Target="https://drive.google.com/uc?export=download&amp;id=1YqhF_WdyHtgITJ8tTgzOGS9FyTv9R3WE" TargetMode="External"/><Relationship Id="rId61" Type="http://schemas.openxmlformats.org/officeDocument/2006/relationships/hyperlink" Target="https://drive.google.com/uc?export=download&amp;id=1_Azw7EfQe-6Haf7Kqby2BvurpY3MrvIa" TargetMode="External"/><Relationship Id="rId64" Type="http://schemas.openxmlformats.org/officeDocument/2006/relationships/hyperlink" Target="https://drive.google.com/uc?export=download&amp;id=1i17NWRT4Xwggc1GasTEZsKjphp4DeJ3K" TargetMode="External"/><Relationship Id="rId63" Type="http://schemas.openxmlformats.org/officeDocument/2006/relationships/hyperlink" Target="https://drive.google.com/uc?export=download&amp;id=1t-WvZJFHX9XZeRORYyV6dDi4dQOmuuFD" TargetMode="External"/><Relationship Id="rId66" Type="http://schemas.openxmlformats.org/officeDocument/2006/relationships/hyperlink" Target="https://drive.google.com/uc?export=download&amp;id=1rqHcFom77k1NK-xzdXSp3PH0pp8XMyDJ" TargetMode="External"/><Relationship Id="rId172" Type="http://schemas.openxmlformats.org/officeDocument/2006/relationships/hyperlink" Target="https://drive.google.com/uc?export=download&amp;id=1AlP9pEa1boFxkl-OVNdGDz7LAJNz0XUp" TargetMode="External"/><Relationship Id="rId65" Type="http://schemas.openxmlformats.org/officeDocument/2006/relationships/hyperlink" Target="https://drive.google.com/uc?export=download&amp;id=1wI8wuWOybMsFQh0nTrPUNpfdawE668o7" TargetMode="External"/><Relationship Id="rId171" Type="http://schemas.openxmlformats.org/officeDocument/2006/relationships/hyperlink" Target="https://drive.google.com/uc?export=download&amp;id=1MzuV0iGjGU8y5ir9b9M79j4RoaGHekc8" TargetMode="External"/><Relationship Id="rId68" Type="http://schemas.openxmlformats.org/officeDocument/2006/relationships/hyperlink" Target="https://drive.google.com/uc?export=download&amp;id=14lVzcF6kKowmS-nXBHJsOYHX3l6Pn9al" TargetMode="External"/><Relationship Id="rId170" Type="http://schemas.openxmlformats.org/officeDocument/2006/relationships/hyperlink" Target="https://drive.google.com/uc?export=download&amp;id=1j1q1efDiX4uAQH86ofabm-uSz5UIozNm" TargetMode="External"/><Relationship Id="rId67" Type="http://schemas.openxmlformats.org/officeDocument/2006/relationships/hyperlink" Target="https://drive.google.com/uc?export=download&amp;id=1UECCn0y9oyxdWNZb8YABGCaAQEdb_5AJ" TargetMode="External"/><Relationship Id="rId60" Type="http://schemas.openxmlformats.org/officeDocument/2006/relationships/hyperlink" Target="https://drive.google.com/uc?export=download&amp;id=1vV1601pWMRBB9JUzTQM6JHB-LDyISp-3" TargetMode="External"/><Relationship Id="rId165" Type="http://schemas.openxmlformats.org/officeDocument/2006/relationships/hyperlink" Target="https://drive.google.com/uc?export=download&amp;id=1i06ea4yXoePzpGtXf2qc15Z7BR_qJbvm" TargetMode="External"/><Relationship Id="rId69" Type="http://schemas.openxmlformats.org/officeDocument/2006/relationships/hyperlink" Target="https://drive.google.com/uc?export=download&amp;id=1dzjvaW0hsEo6xiUSYpBdo_u1xuJvVO6m" TargetMode="External"/><Relationship Id="rId164" Type="http://schemas.openxmlformats.org/officeDocument/2006/relationships/hyperlink" Target="https://drive.google.com/uc?export=download&amp;id=1JNQu9uW-RuIZZ7x9wLA4oCRDFZ1PHybg" TargetMode="External"/><Relationship Id="rId163" Type="http://schemas.openxmlformats.org/officeDocument/2006/relationships/hyperlink" Target="https://drive.google.com/uc?export=download&amp;id=1Y4WUlqJaTLU0hZW3OPEzYqPAupizto5B" TargetMode="External"/><Relationship Id="rId162" Type="http://schemas.openxmlformats.org/officeDocument/2006/relationships/hyperlink" Target="https://drive.google.com/uc?export=download&amp;id=1isJdxa0ulxG8IQ-9KYlYs1hL_N_9jvFp" TargetMode="External"/><Relationship Id="rId169" Type="http://schemas.openxmlformats.org/officeDocument/2006/relationships/hyperlink" Target="https://drive.google.com/uc?export=download&amp;id=1P-HRaVIKpqXK27AuVfs6F6Q6OwOMMlX5" TargetMode="External"/><Relationship Id="rId168" Type="http://schemas.openxmlformats.org/officeDocument/2006/relationships/hyperlink" Target="https://drive.google.com/uc?export=download&amp;id=18QvnCYV8k3U615GKYThS2e0Qe2HnRPjL" TargetMode="External"/><Relationship Id="rId167" Type="http://schemas.openxmlformats.org/officeDocument/2006/relationships/hyperlink" Target="https://drive.google.com/uc?export=download&amp;id=1Qmbk280JW3NihLcZ__rrHwoneYmwvPkE" TargetMode="External"/><Relationship Id="rId166" Type="http://schemas.openxmlformats.org/officeDocument/2006/relationships/hyperlink" Target="https://drive.google.com/uc?export=download&amp;id=1MDHE_bhwc6ptn8omhZQumogs-tI8iQRL" TargetMode="External"/><Relationship Id="rId51" Type="http://schemas.openxmlformats.org/officeDocument/2006/relationships/hyperlink" Target="https://drive.google.com/uc?export=download&amp;id=1HIQCD72_F3ALZzUZeKFIQH6OUbOo2tkS" TargetMode="External"/><Relationship Id="rId50" Type="http://schemas.openxmlformats.org/officeDocument/2006/relationships/hyperlink" Target="https://drive.google.com/uc?export=download&amp;id=1vBZn9xlzBH8Nqd8wEkJQaG045ULRxsCu" TargetMode="External"/><Relationship Id="rId53" Type="http://schemas.openxmlformats.org/officeDocument/2006/relationships/hyperlink" Target="https://drive.google.com/uc?export=download&amp;id=1ihCBMg7iEHvpE7mFcM_acvV4iLRdQoj1" TargetMode="External"/><Relationship Id="rId52" Type="http://schemas.openxmlformats.org/officeDocument/2006/relationships/hyperlink" Target="https://drive.google.com/uc?export=download&amp;id=1polk47bfTacc4ambBQXWxrkTU6auWnXH" TargetMode="External"/><Relationship Id="rId55" Type="http://schemas.openxmlformats.org/officeDocument/2006/relationships/hyperlink" Target="https://drive.google.com/uc?export=download&amp;id=1CqrJsOINaEBD6J0WanLT9ZsE61FxgoH4" TargetMode="External"/><Relationship Id="rId161" Type="http://schemas.openxmlformats.org/officeDocument/2006/relationships/hyperlink" Target="https://drive.google.com/uc?export=download&amp;id=10rRuDbo2Tn2stMmf67TZy9g8f-Jv11CD" TargetMode="External"/><Relationship Id="rId54" Type="http://schemas.openxmlformats.org/officeDocument/2006/relationships/hyperlink" Target="https://drive.google.com/uc?export=download&amp;id=1Ifgp1VieCQ-zgVvXUVraGfaRvcXVD4zL" TargetMode="External"/><Relationship Id="rId160" Type="http://schemas.openxmlformats.org/officeDocument/2006/relationships/hyperlink" Target="https://drive.google.com/uc?export=download&amp;id=1bHPbB6vX3dvp0QSWKOn_SDHI9niyrbZz" TargetMode="External"/><Relationship Id="rId57" Type="http://schemas.openxmlformats.org/officeDocument/2006/relationships/hyperlink" Target="https://drive.google.com/uc?export=download&amp;id=1KfM_tTDQWLAMGNBpFfPQ9gc7Kcmx83ev" TargetMode="External"/><Relationship Id="rId56" Type="http://schemas.openxmlformats.org/officeDocument/2006/relationships/hyperlink" Target="https://drive.google.com/uc?export=download&amp;id=17hBeyjaOCaLD9iAUJmhWe3pcAQBqoPU8" TargetMode="External"/><Relationship Id="rId159" Type="http://schemas.openxmlformats.org/officeDocument/2006/relationships/hyperlink" Target="https://drive.google.com/uc?export=download&amp;id=1xOAwTpAEUgINDoAAzitOPSAf3nK-q8u_" TargetMode="External"/><Relationship Id="rId59" Type="http://schemas.openxmlformats.org/officeDocument/2006/relationships/hyperlink" Target="https://drive.google.com/uc?export=download&amp;id=1s5-HCNubcB2HqwCvlrXcrc443VITbJ9y" TargetMode="External"/><Relationship Id="rId154" Type="http://schemas.openxmlformats.org/officeDocument/2006/relationships/hyperlink" Target="https://drive.google.com/uc?export=download&amp;id=1h3uTgpyZifb7ozwaiXhboLLgBZper01z" TargetMode="External"/><Relationship Id="rId58" Type="http://schemas.openxmlformats.org/officeDocument/2006/relationships/hyperlink" Target="https://drive.google.com/uc?export=download&amp;id=1sjay79hIVcoFCgSjn84xWf8F-hkG3yA7" TargetMode="External"/><Relationship Id="rId153" Type="http://schemas.openxmlformats.org/officeDocument/2006/relationships/hyperlink" Target="https://drive.google.com/uc?export=download&amp;id=1_gv2PzxpEagII-RILY_ev_y45WogJ0lu" TargetMode="External"/><Relationship Id="rId152" Type="http://schemas.openxmlformats.org/officeDocument/2006/relationships/hyperlink" Target="https://drive.google.com/uc?export=download&amp;id=1h-CAIx6CEeeAEMIUntP_K-FMJcO8KK21" TargetMode="External"/><Relationship Id="rId151" Type="http://schemas.openxmlformats.org/officeDocument/2006/relationships/hyperlink" Target="https://drive.google.com/uc?export=download&amp;id=1NnyiE0RQtAsaBn5sETQbiTeoI1dRLL6D" TargetMode="External"/><Relationship Id="rId158" Type="http://schemas.openxmlformats.org/officeDocument/2006/relationships/hyperlink" Target="https://drive.google.com/uc?export=download&amp;id=1rZNBih6Dd6sJXV3Kno-7BFFV67PWtK7E" TargetMode="External"/><Relationship Id="rId157" Type="http://schemas.openxmlformats.org/officeDocument/2006/relationships/hyperlink" Target="https://drive.google.com/uc?export=download&amp;id=15VqnrehvkWm3P_JTAQrkmYsEw9PigTbb" TargetMode="External"/><Relationship Id="rId156" Type="http://schemas.openxmlformats.org/officeDocument/2006/relationships/hyperlink" Target="https://drive.google.com/uc?export=download&amp;id=1cYTd2HhxAtEbUQ1dkUTL7AP9cLy_Ezt8" TargetMode="External"/><Relationship Id="rId155" Type="http://schemas.openxmlformats.org/officeDocument/2006/relationships/hyperlink" Target="https://drive.google.com/uc?export=download&amp;id=1FI3eEGa9SlC4qDf5xDpqOc3NnkHYC8aT" TargetMode="External"/><Relationship Id="rId107" Type="http://schemas.openxmlformats.org/officeDocument/2006/relationships/hyperlink" Target="https://drive.google.com/uc?export=download&amp;id=1VrhoyHEnplN3hh2oayAU0vU91aIs8jjD" TargetMode="External"/><Relationship Id="rId106" Type="http://schemas.openxmlformats.org/officeDocument/2006/relationships/hyperlink" Target="https://drive.google.com/uc?export=download&amp;id=1ziYIvWjiFW4EOb2pvr0mzpreawwfceQa" TargetMode="External"/><Relationship Id="rId105" Type="http://schemas.openxmlformats.org/officeDocument/2006/relationships/hyperlink" Target="https://drive.google.com/uc?export=download&amp;id=1anvifhRuw7Gic3IGaVcTTK2fPXXaygpJ" TargetMode="External"/><Relationship Id="rId104" Type="http://schemas.openxmlformats.org/officeDocument/2006/relationships/hyperlink" Target="https://drive.google.com/uc?export=download&amp;id=1iLlW4ohMkHyUNZD8Zgmj2nk1gOUZku-n" TargetMode="External"/><Relationship Id="rId109" Type="http://schemas.openxmlformats.org/officeDocument/2006/relationships/hyperlink" Target="https://drive.google.com/uc?export=download&amp;id=1NtnXLNLqRIcGgjNf3hiCF0JrT36emqd6" TargetMode="External"/><Relationship Id="rId108" Type="http://schemas.openxmlformats.org/officeDocument/2006/relationships/hyperlink" Target="https://drive.google.com/uc?export=download&amp;id=12StQIInkSsH3o0x8dZhykJNCVagq_bq-" TargetMode="External"/><Relationship Id="rId103" Type="http://schemas.openxmlformats.org/officeDocument/2006/relationships/hyperlink" Target="https://drive.google.com/uc?export=download&amp;id=1p2nW-vvTuwe3BOeApzZ_-1S2Tun7GGal" TargetMode="External"/><Relationship Id="rId102" Type="http://schemas.openxmlformats.org/officeDocument/2006/relationships/hyperlink" Target="https://drive.google.com/uc?export=download&amp;id=1fA50LIeTRoE8DHU8PIsk2V_VFc8grGwr" TargetMode="External"/><Relationship Id="rId101" Type="http://schemas.openxmlformats.org/officeDocument/2006/relationships/hyperlink" Target="https://drive.google.com/uc?export=download&amp;id=1ffhVD0Xu5Z-I8On2jDnc5bGRxJ9RxLKj" TargetMode="External"/><Relationship Id="rId100" Type="http://schemas.openxmlformats.org/officeDocument/2006/relationships/hyperlink" Target="https://drive.google.com/uc?export=download&amp;id=1xXCrSLUM6B0rSeva-QAOkH-r8NijBQ3T" TargetMode="External"/><Relationship Id="rId216" Type="http://schemas.openxmlformats.org/officeDocument/2006/relationships/table" Target="../tables/table11.xml"/><Relationship Id="rId214" Type="http://schemas.openxmlformats.org/officeDocument/2006/relationships/drawing" Target="../drawings/drawing11.xml"/><Relationship Id="rId213" Type="http://schemas.openxmlformats.org/officeDocument/2006/relationships/hyperlink" Target="https://drive.google.com/uc?export=download&amp;id=1c3__ZFm2rO1Lr8rkR9-3Bn9thHJwVlwg" TargetMode="External"/><Relationship Id="rId212" Type="http://schemas.openxmlformats.org/officeDocument/2006/relationships/hyperlink" Target="https://drive.google.com/uc?export=download&amp;id=1H2SKCirDFvndg_9oYIg00lDSYiGcM7AU" TargetMode="External"/><Relationship Id="rId211" Type="http://schemas.openxmlformats.org/officeDocument/2006/relationships/hyperlink" Target="https://drive.google.com/uc?export=download&amp;id=1ViebM5paT0n0VJrvPk3V6uxO-6GAk5R7" TargetMode="External"/><Relationship Id="rId210" Type="http://schemas.openxmlformats.org/officeDocument/2006/relationships/hyperlink" Target="https://drive.google.com/uc?export=download&amp;id=1iF9qtb6p63TigM-2kz2G74546bqK5M6c" TargetMode="External"/><Relationship Id="rId129" Type="http://schemas.openxmlformats.org/officeDocument/2006/relationships/hyperlink" Target="https://drive.google.com/uc?export=download&amp;id=1qxUA2BOs-BJPXXB1hU0erIdBgd9RoYqo" TargetMode="External"/><Relationship Id="rId128" Type="http://schemas.openxmlformats.org/officeDocument/2006/relationships/hyperlink" Target="https://drive.google.com/uc?export=download&amp;id=1MJ3l_yKP-7LOsbNRZWR_C7a0xAaGkq-J" TargetMode="External"/><Relationship Id="rId127" Type="http://schemas.openxmlformats.org/officeDocument/2006/relationships/hyperlink" Target="https://drive.google.com/uc?export=download&amp;id=1uyt-pInNj51w5HVjdNl_ws1uIcj4X8qZ" TargetMode="External"/><Relationship Id="rId126" Type="http://schemas.openxmlformats.org/officeDocument/2006/relationships/hyperlink" Target="https://drive.google.com/uc?export=download&amp;id=1jAGtFEOIqVwzyL7a88NaiWnpCxkQID_K" TargetMode="External"/><Relationship Id="rId121" Type="http://schemas.openxmlformats.org/officeDocument/2006/relationships/hyperlink" Target="https://drive.google.com/uc?export=download&amp;id=1Y7b-SI3ncOVqlcv9qt8QrUumU6hoHyv3" TargetMode="External"/><Relationship Id="rId120" Type="http://schemas.openxmlformats.org/officeDocument/2006/relationships/hyperlink" Target="https://drive.google.com/uc?export=download&amp;id=1CTKN7U1jZ1Lsgar6vj3GF6b2MjxjDSEK" TargetMode="External"/><Relationship Id="rId125" Type="http://schemas.openxmlformats.org/officeDocument/2006/relationships/hyperlink" Target="https://drive.google.com/uc?export=download&amp;id=1TCzktAH8_c7A98bPdM-F5U8f1kzzaXZ7" TargetMode="External"/><Relationship Id="rId124" Type="http://schemas.openxmlformats.org/officeDocument/2006/relationships/hyperlink" Target="https://drive.google.com/uc?export=download&amp;id=1pJusIeLqujTI1CHJxRdx8lVl2Pn_ei6i" TargetMode="External"/><Relationship Id="rId123" Type="http://schemas.openxmlformats.org/officeDocument/2006/relationships/hyperlink" Target="https://drive.google.com/uc?export=download&amp;id=1QEKXAGaHVEGK1yLFBWn3rFlEDRgVY8rg" TargetMode="External"/><Relationship Id="rId122" Type="http://schemas.openxmlformats.org/officeDocument/2006/relationships/hyperlink" Target="https://drive.google.com/uc?export=download&amp;id=1NyqfCHeBBz4cJV7kpLcNC-mw2WMySTNI" TargetMode="External"/><Relationship Id="rId95" Type="http://schemas.openxmlformats.org/officeDocument/2006/relationships/hyperlink" Target="https://drive.google.com/uc?export=download&amp;id=1WvXojoC-Jt0NnaV7BUkX5eNda2mkD6W5" TargetMode="External"/><Relationship Id="rId94" Type="http://schemas.openxmlformats.org/officeDocument/2006/relationships/hyperlink" Target="https://drive.google.com/uc?export=download&amp;id=1lm0qIkVetYWGGR4mljDb2RbHTvNz4yOg" TargetMode="External"/><Relationship Id="rId97" Type="http://schemas.openxmlformats.org/officeDocument/2006/relationships/hyperlink" Target="https://drive.google.com/uc?export=download&amp;id=1urMUSaBDkyT3ulgpolk_YqVsrOGqcq_3" TargetMode="External"/><Relationship Id="rId96" Type="http://schemas.openxmlformats.org/officeDocument/2006/relationships/hyperlink" Target="https://drive.google.com/uc?export=download&amp;id=1gGf-bNutF1-6reInhELrYj6WfE4l90ju" TargetMode="External"/><Relationship Id="rId99" Type="http://schemas.openxmlformats.org/officeDocument/2006/relationships/hyperlink" Target="https://drive.google.com/uc?export=download&amp;id=1Nfs7A7-fwErWop3EShM3lpbJ3nHZbcOA" TargetMode="External"/><Relationship Id="rId98" Type="http://schemas.openxmlformats.org/officeDocument/2006/relationships/hyperlink" Target="https://drive.google.com/uc?export=download&amp;id=1GghWb2gPmVZfFDeqovIYXlc4efWPoBeM" TargetMode="External"/><Relationship Id="rId91" Type="http://schemas.openxmlformats.org/officeDocument/2006/relationships/hyperlink" Target="https://drive.google.com/uc?export=download&amp;id=19NuuUZIGeE-SfLh02BmzSRfj1Kqug9nx" TargetMode="External"/><Relationship Id="rId90" Type="http://schemas.openxmlformats.org/officeDocument/2006/relationships/hyperlink" Target="https://drive.google.com/uc?export=download&amp;id=1odb_Tqv-c_9KOFb7fnJ9XOkA49zh76kK" TargetMode="External"/><Relationship Id="rId93" Type="http://schemas.openxmlformats.org/officeDocument/2006/relationships/hyperlink" Target="https://drive.google.com/uc?export=download&amp;id=1HR-2ZdRUpwbEkAjAE_KuilXwg0gPYVDu" TargetMode="External"/><Relationship Id="rId92" Type="http://schemas.openxmlformats.org/officeDocument/2006/relationships/hyperlink" Target="https://drive.google.com/uc?export=download&amp;id=12jlxRlGA8FFr34vcDIrn1mtHQjHShM-9" TargetMode="External"/><Relationship Id="rId118" Type="http://schemas.openxmlformats.org/officeDocument/2006/relationships/hyperlink" Target="https://drive.google.com/uc?export=download&amp;id=1PTw8rmpHkcnaeAp0kmsk4B-WbXQVcBlh" TargetMode="External"/><Relationship Id="rId117" Type="http://schemas.openxmlformats.org/officeDocument/2006/relationships/hyperlink" Target="https://drive.google.com/uc?export=download&amp;id=1VmkmAnup-6yXZR7DmxN7yWvEIuSzxuLi" TargetMode="External"/><Relationship Id="rId116" Type="http://schemas.openxmlformats.org/officeDocument/2006/relationships/hyperlink" Target="https://drive.google.com/uc?export=download&amp;id=10EeYRKI48IQpl2TVUTtSgwEPkAii0n0Z" TargetMode="External"/><Relationship Id="rId115" Type="http://schemas.openxmlformats.org/officeDocument/2006/relationships/hyperlink" Target="https://drive.google.com/uc?export=download&amp;id=1vZEETvNrraN5oepNkInOlR_GeF4sRxV1" TargetMode="External"/><Relationship Id="rId119" Type="http://schemas.openxmlformats.org/officeDocument/2006/relationships/hyperlink" Target="https://drive.google.com/uc?export=download&amp;id=1MrARLQ9o-rhJvSzqg1YwL757FXLOkMDA" TargetMode="External"/><Relationship Id="rId110" Type="http://schemas.openxmlformats.org/officeDocument/2006/relationships/hyperlink" Target="https://drive.google.com/uc?export=download&amp;id=1RoeUv5owCzCopaDPo3yyxi8fK1z7Zdqy" TargetMode="External"/><Relationship Id="rId114" Type="http://schemas.openxmlformats.org/officeDocument/2006/relationships/hyperlink" Target="https://drive.google.com/uc?export=download&amp;id=1Evuxditvi8A3nKBEcV27_ZWGjIU6oBTR" TargetMode="External"/><Relationship Id="rId113" Type="http://schemas.openxmlformats.org/officeDocument/2006/relationships/hyperlink" Target="https://drive.google.com/uc?export=download&amp;id=1zJLflDpXA3xox41B7_VbRGPLQzl6xb_S" TargetMode="External"/><Relationship Id="rId112" Type="http://schemas.openxmlformats.org/officeDocument/2006/relationships/hyperlink" Target="https://drive.google.com/uc?export=download&amp;id=19rPf0NTwN00JR6SrI-f0iD4wKEa-OMTI" TargetMode="External"/><Relationship Id="rId111" Type="http://schemas.openxmlformats.org/officeDocument/2006/relationships/hyperlink" Target="https://drive.google.com/uc?export=download&amp;id=1eI0IfmucWmNsx3Kbo3CnKF9i6QInVCHf" TargetMode="External"/><Relationship Id="rId206" Type="http://schemas.openxmlformats.org/officeDocument/2006/relationships/hyperlink" Target="https://drive.google.com/uc?export=download&amp;id=1FPzbDVLZV5V6nhjSLUeaUFCqS-e9JABN" TargetMode="External"/><Relationship Id="rId205" Type="http://schemas.openxmlformats.org/officeDocument/2006/relationships/hyperlink" Target="https://drive.google.com/uc?export=download&amp;id=1yozViHZmOTu7B5KjR9L4TUFmq9MCcmJh" TargetMode="External"/><Relationship Id="rId204" Type="http://schemas.openxmlformats.org/officeDocument/2006/relationships/hyperlink" Target="https://drive.google.com/uc?export=download&amp;id=1GpwJMgdIW9q9JCHSLKvQtOcqwF5OfDjg" TargetMode="External"/><Relationship Id="rId203" Type="http://schemas.openxmlformats.org/officeDocument/2006/relationships/hyperlink" Target="https://drive.google.com/uc?export=download&amp;id=17pZ0LsEDd6QchJiF0J3Lr4bIHvaZmIVc" TargetMode="External"/><Relationship Id="rId209" Type="http://schemas.openxmlformats.org/officeDocument/2006/relationships/hyperlink" Target="https://drive.google.com/uc?export=download&amp;id=1XQxDfdhIwzXJPA5Wt_-5S9HCcwhXTbLm" TargetMode="External"/><Relationship Id="rId208" Type="http://schemas.openxmlformats.org/officeDocument/2006/relationships/hyperlink" Target="https://drive.google.com/uc?export=download&amp;id=1v3UBBeRn_Yu3n7fOhGuKAKplUygZuEXQ" TargetMode="External"/><Relationship Id="rId207" Type="http://schemas.openxmlformats.org/officeDocument/2006/relationships/hyperlink" Target="https://drive.google.com/uc?export=download&amp;id=1MuZJnTEneCbT2OE7zM4YMsZ12mLJapmk" TargetMode="External"/><Relationship Id="rId202" Type="http://schemas.openxmlformats.org/officeDocument/2006/relationships/hyperlink" Target="https://drive.google.com/uc?export=download&amp;id=11XajQNSq7vkXbbiSQVC8g_UlXMjfyL7t" TargetMode="External"/><Relationship Id="rId201" Type="http://schemas.openxmlformats.org/officeDocument/2006/relationships/hyperlink" Target="https://drive.google.com/uc?export=download&amp;id=1ZOcfu1vDT1T5k0Uu_JqG3bEpoWn4GoXA" TargetMode="External"/><Relationship Id="rId200" Type="http://schemas.openxmlformats.org/officeDocument/2006/relationships/hyperlink" Target="https://drive.google.com/uc?export=download&amp;id=1vQTxclsk06lCt5Jt92wgvttvAlVO5zBn"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uc?export=download&amp;id=1eRfIc0bnamR3MzOIvE-QR1ViCHoVbPan" TargetMode="External"/><Relationship Id="rId190" Type="http://schemas.openxmlformats.org/officeDocument/2006/relationships/hyperlink" Target="https://drive.google.com/uc?export=download&amp;id=1ZeuSh37euTyGnDbm22yoSctyIRQ0RiZh" TargetMode="External"/><Relationship Id="rId42" Type="http://schemas.openxmlformats.org/officeDocument/2006/relationships/hyperlink" Target="https://drive.google.com/uc?export=download&amp;id=1tm7z6CP-06Y9FR6q7SJDrdKsovLpwZ7J" TargetMode="External"/><Relationship Id="rId41" Type="http://schemas.openxmlformats.org/officeDocument/2006/relationships/hyperlink" Target="https://drive.google.com/uc?export=download&amp;id=1DSEjonLTx6_LZG5OZHXWAzPOQDJCqmHW" TargetMode="External"/><Relationship Id="rId44" Type="http://schemas.openxmlformats.org/officeDocument/2006/relationships/hyperlink" Target="https://drive.google.com/uc?export=download&amp;id=1vsvmHaqatPeR_ZtA1qZjUjlwxPZyQWiQ" TargetMode="External"/><Relationship Id="rId194" Type="http://schemas.openxmlformats.org/officeDocument/2006/relationships/hyperlink" Target="https://drive.google.com/uc?export=download&amp;id=1OnJSFIYvb_Qf6AU9CIneVHqtSFux_kDE" TargetMode="External"/><Relationship Id="rId43" Type="http://schemas.openxmlformats.org/officeDocument/2006/relationships/hyperlink" Target="https://drive.google.com/uc?export=download&amp;id=1kG4HcX3KCmHk3BzOqZxI3WIh9mmrgbEk" TargetMode="External"/><Relationship Id="rId193" Type="http://schemas.openxmlformats.org/officeDocument/2006/relationships/hyperlink" Target="https://drive.google.com/uc?export=download&amp;id=1DqWtamb-HUDDoR_NFQ2f7VmyVN1ssmZG" TargetMode="External"/><Relationship Id="rId46" Type="http://schemas.openxmlformats.org/officeDocument/2006/relationships/hyperlink" Target="https://drive.google.com/uc?export=download&amp;id=18xRzww95Ev0Xju9KCjCVrCchYqO9PRTf" TargetMode="External"/><Relationship Id="rId192" Type="http://schemas.openxmlformats.org/officeDocument/2006/relationships/hyperlink" Target="https://drive.google.com/uc?export=download&amp;id=1ETEE--kbF4ANfCK0IMXPqdoTxasV6Un7" TargetMode="External"/><Relationship Id="rId45" Type="http://schemas.openxmlformats.org/officeDocument/2006/relationships/hyperlink" Target="https://drive.google.com/uc?export=download&amp;id=1wFAJUiaI_raRpj6caY7vIKrjWp326KFq" TargetMode="External"/><Relationship Id="rId191" Type="http://schemas.openxmlformats.org/officeDocument/2006/relationships/hyperlink" Target="https://drive.google.com/uc?export=download&amp;id=1RmZTHl9gj9-e-cQpYNOsNn_j7onE1JhU" TargetMode="External"/><Relationship Id="rId48" Type="http://schemas.openxmlformats.org/officeDocument/2006/relationships/hyperlink" Target="https://drive.google.com/uc?export=download&amp;id=1VKhKPZe207jjGtlgMqZXDdmwHBV7V_mp" TargetMode="External"/><Relationship Id="rId187" Type="http://schemas.openxmlformats.org/officeDocument/2006/relationships/hyperlink" Target="https://drive.google.com/uc?export=download&amp;id=1kuEkURgQgJfEc7S14j0n4ZLHqLQD7uv9" TargetMode="External"/><Relationship Id="rId47" Type="http://schemas.openxmlformats.org/officeDocument/2006/relationships/hyperlink" Target="https://drive.google.com/uc?export=download&amp;id=1hPdFbNJ1rEOh3ithhFMbS3OU5G9wR43a" TargetMode="External"/><Relationship Id="rId186" Type="http://schemas.openxmlformats.org/officeDocument/2006/relationships/hyperlink" Target="https://drive.google.com/uc?export=download&amp;id=1TBuUYe3M5HMY3Q2grdnf2EDGcRCie-K1" TargetMode="External"/><Relationship Id="rId185" Type="http://schemas.openxmlformats.org/officeDocument/2006/relationships/hyperlink" Target="https://drive.google.com/uc?export=download&amp;id=1IdKqiKS7d1iwzNHDp8ZLJmAoKqnLeC1a" TargetMode="External"/><Relationship Id="rId49" Type="http://schemas.openxmlformats.org/officeDocument/2006/relationships/hyperlink" Target="https://drive.google.com/uc?export=download&amp;id=1XAFx8ifGrsywzDafdzof5_t8L_5CE8qN" TargetMode="External"/><Relationship Id="rId184" Type="http://schemas.openxmlformats.org/officeDocument/2006/relationships/hyperlink" Target="https://drive.google.com/uc?export=download&amp;id=1zSY19QhNh2awoS5lrF_1r53Iq4nIeetn" TargetMode="External"/><Relationship Id="rId189" Type="http://schemas.openxmlformats.org/officeDocument/2006/relationships/hyperlink" Target="https://drive.google.com/uc?export=download&amp;id=1RZ_yRziZuseeNFdRaG25qmE7I84ixKBA" TargetMode="External"/><Relationship Id="rId188" Type="http://schemas.openxmlformats.org/officeDocument/2006/relationships/hyperlink" Target="https://drive.google.com/uc?export=download&amp;id=1NTzalU4sEAWJ8A-CjgFmdLCjiODpYW_g" TargetMode="External"/><Relationship Id="rId31" Type="http://schemas.openxmlformats.org/officeDocument/2006/relationships/hyperlink" Target="https://drive.google.com/uc?export=download&amp;id=10XDJQGE_aNASXkUENrSxXoM9c30zIheQ" TargetMode="External"/><Relationship Id="rId30" Type="http://schemas.openxmlformats.org/officeDocument/2006/relationships/hyperlink" Target="https://drive.google.com/uc?export=download&amp;id=1_xIzQg-s43EcYBWwJ_LujZNQSXVsGOVl" TargetMode="External"/><Relationship Id="rId33" Type="http://schemas.openxmlformats.org/officeDocument/2006/relationships/hyperlink" Target="https://drive.google.com/uc?export=download&amp;id=1Xs9NHEcb3JNMlyTOSxbXpPRYcnyEpbGN" TargetMode="External"/><Relationship Id="rId183" Type="http://schemas.openxmlformats.org/officeDocument/2006/relationships/hyperlink" Target="https://drive.google.com/uc?export=download&amp;id=14rTSC3IL4939JVyOOauo1XsRYyBGhexn" TargetMode="External"/><Relationship Id="rId32" Type="http://schemas.openxmlformats.org/officeDocument/2006/relationships/hyperlink" Target="https://drive.google.com/uc?export=download&amp;id=1ffeiCrVbZmIFq0qZVGyPixHc2nnL9QFx" TargetMode="External"/><Relationship Id="rId182" Type="http://schemas.openxmlformats.org/officeDocument/2006/relationships/hyperlink" Target="https://drive.google.com/uc?export=download&amp;id=1afj2uq_SdjiokTnRKmukWR8zNQ5UfGDQ" TargetMode="External"/><Relationship Id="rId35" Type="http://schemas.openxmlformats.org/officeDocument/2006/relationships/hyperlink" Target="https://drive.google.com/uc?export=download&amp;id=1mEz71N459Rs9cvK8vdeBxkKsYX5bstSG" TargetMode="External"/><Relationship Id="rId181" Type="http://schemas.openxmlformats.org/officeDocument/2006/relationships/hyperlink" Target="https://drive.google.com/uc?export=download&amp;id=1GeYmLAXESG1YH-Fr5nJfkb9xkjgZDt3N" TargetMode="External"/><Relationship Id="rId34" Type="http://schemas.openxmlformats.org/officeDocument/2006/relationships/hyperlink" Target="https://drive.google.com/uc?export=download&amp;id=1dq0JDZCy6e_s3EnqfYt-Crd9NLyI_3kT" TargetMode="External"/><Relationship Id="rId180" Type="http://schemas.openxmlformats.org/officeDocument/2006/relationships/hyperlink" Target="https://drive.google.com/uc?export=download&amp;id=1aVXDUGJlGb6eptenxhj2XyDMZ5T3CNQ3" TargetMode="External"/><Relationship Id="rId37" Type="http://schemas.openxmlformats.org/officeDocument/2006/relationships/hyperlink" Target="https://drive.google.com/uc?export=download&amp;id=1aJcFDzLYs716o-IFrgQGErWq3n0lE-aG" TargetMode="External"/><Relationship Id="rId176" Type="http://schemas.openxmlformats.org/officeDocument/2006/relationships/hyperlink" Target="https://drive.google.com/uc?export=download&amp;id=1UFi3YAIF3x_IjS6q_NEKFhZiZJwNk0FQ" TargetMode="External"/><Relationship Id="rId36" Type="http://schemas.openxmlformats.org/officeDocument/2006/relationships/hyperlink" Target="https://drive.google.com/uc?export=download&amp;id=1EggZZpB7IuEuh0dPqf10AduCN5nUidH3" TargetMode="External"/><Relationship Id="rId175" Type="http://schemas.openxmlformats.org/officeDocument/2006/relationships/hyperlink" Target="https://drive.google.com/uc?export=download&amp;id=1rPsmGu0lvKemoU5AhTB5z37gJprVID7w" TargetMode="External"/><Relationship Id="rId39" Type="http://schemas.openxmlformats.org/officeDocument/2006/relationships/hyperlink" Target="https://drive.google.com/uc?export=download&amp;id=194OPNiqILOk3wRhL3AN0Vm0JqX7rPkAG" TargetMode="External"/><Relationship Id="rId174" Type="http://schemas.openxmlformats.org/officeDocument/2006/relationships/hyperlink" Target="https://drive.google.com/uc?export=download&amp;id=1h0abKsvSTO9D9EDANwEPJJhdBUlfxLIp" TargetMode="External"/><Relationship Id="rId38" Type="http://schemas.openxmlformats.org/officeDocument/2006/relationships/hyperlink" Target="https://drive.google.com/uc?export=download&amp;id=1BFJSV5MFK-4eXrSxOxoby-iIeo-2TMhw" TargetMode="External"/><Relationship Id="rId173" Type="http://schemas.openxmlformats.org/officeDocument/2006/relationships/hyperlink" Target="https://drive.google.com/uc?export=download&amp;id=1XqguQBOs92Zl9jA-Dt96G3JQ9glDNyoH" TargetMode="External"/><Relationship Id="rId179" Type="http://schemas.openxmlformats.org/officeDocument/2006/relationships/hyperlink" Target="https://drive.google.com/uc?export=download&amp;id=1_vqRlSSRz-ynkd6Aq2MotH60mQlEl2Lq" TargetMode="External"/><Relationship Id="rId178" Type="http://schemas.openxmlformats.org/officeDocument/2006/relationships/hyperlink" Target="https://drive.google.com/uc?export=download&amp;id=1i8qFt69pXuUPboANfemLFFCof1xFYq9w" TargetMode="External"/><Relationship Id="rId177" Type="http://schemas.openxmlformats.org/officeDocument/2006/relationships/hyperlink" Target="https://drive.google.com/uc?export=download&amp;id=10l1PHGc8cpGHZxUl0BsK7KY9oOmuhx5-" TargetMode="External"/><Relationship Id="rId20" Type="http://schemas.openxmlformats.org/officeDocument/2006/relationships/hyperlink" Target="https://drive.google.com/uc?export=download&amp;id=1JcG-eQdIgxmxuJiGCYlULj_jLsFMJpv6" TargetMode="External"/><Relationship Id="rId22" Type="http://schemas.openxmlformats.org/officeDocument/2006/relationships/hyperlink" Target="https://drive.google.com/uc?export=download&amp;id=10D8LXybESj_6q5M28W0sxpb2W49n4igc" TargetMode="External"/><Relationship Id="rId21" Type="http://schemas.openxmlformats.org/officeDocument/2006/relationships/hyperlink" Target="https://drive.google.com/uc?export=download&amp;id=153z284Spb4wIU_OKNntVWyEaALsKxmwB" TargetMode="External"/><Relationship Id="rId24" Type="http://schemas.openxmlformats.org/officeDocument/2006/relationships/hyperlink" Target="https://drive.google.com/uc?export=download&amp;id=1ICmW1_YtZntzEAVbCf-jR68mD8U5l5um" TargetMode="External"/><Relationship Id="rId23" Type="http://schemas.openxmlformats.org/officeDocument/2006/relationships/hyperlink" Target="https://drive.google.com/uc?export=download&amp;id=1pBup5Ji0DXKDU0M59j7sHhH8bZ2N8lZC" TargetMode="External"/><Relationship Id="rId26" Type="http://schemas.openxmlformats.org/officeDocument/2006/relationships/hyperlink" Target="https://drive.google.com/uc?export=download&amp;id=1sgIktUlDlJD1re_mMRzGT8zw7eRVcKFA" TargetMode="External"/><Relationship Id="rId25" Type="http://schemas.openxmlformats.org/officeDocument/2006/relationships/hyperlink" Target="https://drive.google.com/uc?export=download&amp;id=1URNCHvESrUbbUL3jqKfZ2j0YvAkzwMNT" TargetMode="External"/><Relationship Id="rId28" Type="http://schemas.openxmlformats.org/officeDocument/2006/relationships/hyperlink" Target="https://drive.google.com/uc?export=download&amp;id=1YXjdcm6wJF3lXANKxnHqBZSLm0M-oBgS" TargetMode="External"/><Relationship Id="rId27" Type="http://schemas.openxmlformats.org/officeDocument/2006/relationships/hyperlink" Target="https://drive.google.com/uc?export=download&amp;id=12mcDsQ5vB6Y4d9vbfbIE26MuNgs8Fzf2" TargetMode="External"/><Relationship Id="rId29" Type="http://schemas.openxmlformats.org/officeDocument/2006/relationships/hyperlink" Target="https://drive.google.com/uc?export=download&amp;id=112HEtIYx7o2kBGc8eMRLHNbYIEhlb_cJ" TargetMode="External"/><Relationship Id="rId11" Type="http://schemas.openxmlformats.org/officeDocument/2006/relationships/hyperlink" Target="https://drive.google.com/uc?export=download&amp;id=1poWCyiQI1NAfgId8cHCAfFKh3aDctSur" TargetMode="External"/><Relationship Id="rId10" Type="http://schemas.openxmlformats.org/officeDocument/2006/relationships/hyperlink" Target="https://drive.google.com/uc?export=download&amp;id=1YZ0-k8RWMS4VRd-OZlVesqaYrpF__AMs" TargetMode="External"/><Relationship Id="rId13" Type="http://schemas.openxmlformats.org/officeDocument/2006/relationships/hyperlink" Target="https://drive.google.com/uc?export=download&amp;id=1bxHNrmDqsP5z2gq-vbxbwfRNR1Gn_GwR" TargetMode="External"/><Relationship Id="rId12" Type="http://schemas.openxmlformats.org/officeDocument/2006/relationships/hyperlink" Target="https://drive.google.com/uc?export=download&amp;id=1PZaSnN2_fAELgomwTZsUxWssnh5DMLP5" TargetMode="External"/><Relationship Id="rId15" Type="http://schemas.openxmlformats.org/officeDocument/2006/relationships/hyperlink" Target="https://drive.google.com/uc?export=download&amp;id=1afWojJXX0LVQCLQcS0iSM6sFKgR6VrvP" TargetMode="External"/><Relationship Id="rId198" Type="http://schemas.openxmlformats.org/officeDocument/2006/relationships/hyperlink" Target="https://drive.google.com/uc?export=download&amp;id=1fUTOIB8fv80OMFHUPWJ9Ko41f1bBZWe_" TargetMode="External"/><Relationship Id="rId14" Type="http://schemas.openxmlformats.org/officeDocument/2006/relationships/hyperlink" Target="https://drive.google.com/uc?export=download&amp;id=1_7KmgK9PTWMjlbjshlo3wl0rhyOC2eOa" TargetMode="External"/><Relationship Id="rId197" Type="http://schemas.openxmlformats.org/officeDocument/2006/relationships/hyperlink" Target="https://drive.google.com/uc?export=download&amp;id=1CxYfb-mQkuo6ZAinJKtyYdRJI74NfeYb" TargetMode="External"/><Relationship Id="rId17" Type="http://schemas.openxmlformats.org/officeDocument/2006/relationships/hyperlink" Target="https://drive.google.com/uc?export=download&amp;id=1Z7lZg30IvWH_XiQcv73uT-Ed2l3K6no7" TargetMode="External"/><Relationship Id="rId196" Type="http://schemas.openxmlformats.org/officeDocument/2006/relationships/hyperlink" Target="https://drive.google.com/uc?export=download&amp;id=1lpX7fTx-z-rAvRD1sK3mWpJw7VIOq7lF" TargetMode="External"/><Relationship Id="rId16" Type="http://schemas.openxmlformats.org/officeDocument/2006/relationships/hyperlink" Target="https://drive.google.com/uc?export=download&amp;id=16hjKv4-4aMy7uA_bC0wRVe4hqkHCLh0D" TargetMode="External"/><Relationship Id="rId195" Type="http://schemas.openxmlformats.org/officeDocument/2006/relationships/hyperlink" Target="https://drive.google.com/uc?export=download&amp;id=1ToulPvLSzjhOJyMpgSGARtSOYGJiZ-DS" TargetMode="External"/><Relationship Id="rId19" Type="http://schemas.openxmlformats.org/officeDocument/2006/relationships/hyperlink" Target="https://drive.google.com/uc?export=download&amp;id=1QRLXtX3ix_a3ypD4YGUV-3QrTQNhBmKv" TargetMode="External"/><Relationship Id="rId18" Type="http://schemas.openxmlformats.org/officeDocument/2006/relationships/hyperlink" Target="https://drive.google.com/uc?export=download&amp;id=1XS9wlE17OiUBUJWcmvxaPOYdhvlK2I3S" TargetMode="External"/><Relationship Id="rId199" Type="http://schemas.openxmlformats.org/officeDocument/2006/relationships/hyperlink" Target="https://drive.google.com/uc?export=download&amp;id=1LSA6ggUU7sf_6WnlNKSTY4HqVI7qCwgN" TargetMode="External"/><Relationship Id="rId84" Type="http://schemas.openxmlformats.org/officeDocument/2006/relationships/hyperlink" Target="https://drive.google.com/uc?export=download&amp;id=1uMe-gFQ7KuD8kmnHjY3zlxNwoIpBoP66" TargetMode="External"/><Relationship Id="rId83" Type="http://schemas.openxmlformats.org/officeDocument/2006/relationships/hyperlink" Target="https://drive.google.com/uc?export=download&amp;id=1FBo5vG9dsr43MRJIoVCnEd9HpdN1m7yj" TargetMode="External"/><Relationship Id="rId86" Type="http://schemas.openxmlformats.org/officeDocument/2006/relationships/hyperlink" Target="https://drive.google.com/uc?export=download&amp;id=12dhZudqz_SzJySmIUqcQuSmTSbhkD7AS" TargetMode="External"/><Relationship Id="rId85" Type="http://schemas.openxmlformats.org/officeDocument/2006/relationships/hyperlink" Target="https://drive.google.com/uc?export=download&amp;id=1Tq3JDPKSPWJG2Yck2pN3ehOQb0sp9dtM" TargetMode="External"/><Relationship Id="rId88" Type="http://schemas.openxmlformats.org/officeDocument/2006/relationships/hyperlink" Target="https://drive.google.com/uc?export=download&amp;id=13whL7D9cw_HL5l7erwCktEWbAbonmtTS" TargetMode="External"/><Relationship Id="rId150" Type="http://schemas.openxmlformats.org/officeDocument/2006/relationships/hyperlink" Target="https://drive.google.com/uc?export=download&amp;id=1YpM7zbBYroeDKj1REZIyMfzgHUwaIbKV" TargetMode="External"/><Relationship Id="rId87" Type="http://schemas.openxmlformats.org/officeDocument/2006/relationships/hyperlink" Target="https://drive.google.com/uc?export=download&amp;id=1PkSasPVJ-gT7CCjmTjvIEU19BRu6i2Qd" TargetMode="External"/><Relationship Id="rId89" Type="http://schemas.openxmlformats.org/officeDocument/2006/relationships/hyperlink" Target="https://drive.google.com/uc?export=download&amp;id=183z3HHSmRiZ05Xh5Xg5ZLuuKmEYabF9H" TargetMode="External"/><Relationship Id="rId80" Type="http://schemas.openxmlformats.org/officeDocument/2006/relationships/hyperlink" Target="https://drive.google.com/uc?export=download&amp;id=1tpQnYDB450GuuG1h7CQVh6xVxfQUuEuv" TargetMode="External"/><Relationship Id="rId82" Type="http://schemas.openxmlformats.org/officeDocument/2006/relationships/hyperlink" Target="https://drive.google.com/uc?export=download&amp;id=1l74m_cvxykJDpkf7D10B0ghmtBgA_W0v" TargetMode="External"/><Relationship Id="rId81" Type="http://schemas.openxmlformats.org/officeDocument/2006/relationships/hyperlink" Target="https://drive.google.com/uc?export=download&amp;id=1nFTL5KQhEx5Yt-4diAORqyH2y5f4TyhU" TargetMode="External"/><Relationship Id="rId1" Type="http://schemas.openxmlformats.org/officeDocument/2006/relationships/hyperlink" Target="https://drive.google.com/uc?export=download&amp;id=17qq9kEMiuR8-ertx5uE6htAr8LckFO73" TargetMode="External"/><Relationship Id="rId2" Type="http://schemas.openxmlformats.org/officeDocument/2006/relationships/hyperlink" Target="https://drive.google.com/uc?export=download&amp;id=1fzMJIMb8LNeUDs7FAKV2AK5HafXma9pI" TargetMode="External"/><Relationship Id="rId3" Type="http://schemas.openxmlformats.org/officeDocument/2006/relationships/hyperlink" Target="https://drive.google.com/uc?export=download&amp;id=1gO4_Z7KEtTbD7dVB5J-HOraGmBX8deIZ" TargetMode="External"/><Relationship Id="rId149" Type="http://schemas.openxmlformats.org/officeDocument/2006/relationships/hyperlink" Target="https://drive.google.com/uc?export=download&amp;id=1RWpWm16kjNtyXBALynM1ZSR8eO-ybhfi" TargetMode="External"/><Relationship Id="rId4" Type="http://schemas.openxmlformats.org/officeDocument/2006/relationships/hyperlink" Target="https://drive.google.com/uc?export=download&amp;id=1pM__mxsxLWk72C98iHrqIt7PGICEZvlK" TargetMode="External"/><Relationship Id="rId148" Type="http://schemas.openxmlformats.org/officeDocument/2006/relationships/hyperlink" Target="https://drive.google.com/uc?export=download&amp;id=1JgfQINk_tU-xy4gEAJt5coiBqmlwY73b" TargetMode="External"/><Relationship Id="rId9" Type="http://schemas.openxmlformats.org/officeDocument/2006/relationships/hyperlink" Target="https://drive.google.com/uc?export=download&amp;id=165iyYUcFP-hTbewpV2QlmCM30m7eZqtP" TargetMode="External"/><Relationship Id="rId143" Type="http://schemas.openxmlformats.org/officeDocument/2006/relationships/hyperlink" Target="https://drive.google.com/uc?export=download&amp;id=1f05QZvbIasfmMZGastnOGPaGQxdIfoPR" TargetMode="External"/><Relationship Id="rId142" Type="http://schemas.openxmlformats.org/officeDocument/2006/relationships/hyperlink" Target="https://drive.google.com/uc?export=download&amp;id=1lL-EUhnvAqyxLQTFlBfPdnR_I1gLCGzs" TargetMode="External"/><Relationship Id="rId141" Type="http://schemas.openxmlformats.org/officeDocument/2006/relationships/hyperlink" Target="https://drive.google.com/uc?export=download&amp;id=1d8jcJUSFAk18ey4WhABpy2WBLKxKqZVE" TargetMode="External"/><Relationship Id="rId140" Type="http://schemas.openxmlformats.org/officeDocument/2006/relationships/hyperlink" Target="https://drive.google.com/uc?export=download&amp;id=1L_GRcuCkKDEqp9_3xYjkkM3pZuuwwTct" TargetMode="External"/><Relationship Id="rId5" Type="http://schemas.openxmlformats.org/officeDocument/2006/relationships/hyperlink" Target="https://drive.google.com/uc?export=download&amp;id=1KGrlwPH5PlP4WFNMGbh0LejCEjn0S_o_" TargetMode="External"/><Relationship Id="rId147" Type="http://schemas.openxmlformats.org/officeDocument/2006/relationships/hyperlink" Target="https://drive.google.com/uc?export=download&amp;id=1Uqo09FCLzcrViMOqK5eAiVQToAf7xUec" TargetMode="External"/><Relationship Id="rId6" Type="http://schemas.openxmlformats.org/officeDocument/2006/relationships/hyperlink" Target="https://drive.google.com/uc?export=download&amp;id=156jWy6oCRz-zBvvtS6L-g8jLnU0lR_Ys" TargetMode="External"/><Relationship Id="rId146" Type="http://schemas.openxmlformats.org/officeDocument/2006/relationships/hyperlink" Target="https://drive.google.com/uc?export=download&amp;id=1EDcEnvClGO_3AINwCtBkRO_ZDag_dbKM" TargetMode="External"/><Relationship Id="rId7" Type="http://schemas.openxmlformats.org/officeDocument/2006/relationships/hyperlink" Target="https://drive.google.com/uc?export=download&amp;id=1nFWORDLYwAAsciJftWI7CS8EZR2LFOBa" TargetMode="External"/><Relationship Id="rId145" Type="http://schemas.openxmlformats.org/officeDocument/2006/relationships/hyperlink" Target="https://drive.google.com/uc?export=download&amp;id=18tV2PKxJMZEgkqRWabEomuNXnBA4Qkns" TargetMode="External"/><Relationship Id="rId8" Type="http://schemas.openxmlformats.org/officeDocument/2006/relationships/hyperlink" Target="https://drive.google.com/uc?export=download&amp;id=1equaoJIIS6tqH02umxrONRoDhPq_hJkc" TargetMode="External"/><Relationship Id="rId144" Type="http://schemas.openxmlformats.org/officeDocument/2006/relationships/hyperlink" Target="https://drive.google.com/uc?export=download&amp;id=1RVektJ87bS43VyX2qCXVWl6m8pjIYOs1" TargetMode="External"/><Relationship Id="rId73" Type="http://schemas.openxmlformats.org/officeDocument/2006/relationships/hyperlink" Target="https://drive.google.com/uc?export=download&amp;id=1yrIWOqROOXvS4FrTb5j_HznRDiJwyyEk" TargetMode="External"/><Relationship Id="rId72" Type="http://schemas.openxmlformats.org/officeDocument/2006/relationships/hyperlink" Target="https://drive.google.com/uc?export=download&amp;id=17a_X6Sp2oltsPRhTBXgnPXeSheZ1A9IF" TargetMode="External"/><Relationship Id="rId75" Type="http://schemas.openxmlformats.org/officeDocument/2006/relationships/hyperlink" Target="https://drive.google.com/uc?export=download&amp;id=1Gk9hCi5OWj22kl7fWjFYnHwIyoZ1skah" TargetMode="External"/><Relationship Id="rId74" Type="http://schemas.openxmlformats.org/officeDocument/2006/relationships/hyperlink" Target="https://drive.google.com/uc?export=download&amp;id=1M5aTLw1jCx7dn9DoyHMxaKNjaPEZTKpJ" TargetMode="External"/><Relationship Id="rId77" Type="http://schemas.openxmlformats.org/officeDocument/2006/relationships/hyperlink" Target="https://drive.google.com/uc?export=download&amp;id=1fDQhPuNcgmOBQWzGrgxyOxE7MAQYLL4n" TargetMode="External"/><Relationship Id="rId76" Type="http://schemas.openxmlformats.org/officeDocument/2006/relationships/hyperlink" Target="https://drive.google.com/uc?export=download&amp;id=1i7_ONqBXBszEFZ57aEP_QFe4J8f2lSyr" TargetMode="External"/><Relationship Id="rId79" Type="http://schemas.openxmlformats.org/officeDocument/2006/relationships/hyperlink" Target="https://drive.google.com/uc?export=download&amp;id=1SBjGzKUOuvoXwcfRGHTu8lU41bE2vrC1" TargetMode="External"/><Relationship Id="rId78" Type="http://schemas.openxmlformats.org/officeDocument/2006/relationships/hyperlink" Target="https://drive.google.com/uc?export=download&amp;id=1I4mHFhV1mFuC7Zp1Ksnz24AC5lVfleKI" TargetMode="External"/><Relationship Id="rId71" Type="http://schemas.openxmlformats.org/officeDocument/2006/relationships/hyperlink" Target="https://drive.google.com/uc?export=download&amp;id=1PkFRE6953ymxG4w5igPYu9GKhME_Y00X" TargetMode="External"/><Relationship Id="rId70" Type="http://schemas.openxmlformats.org/officeDocument/2006/relationships/hyperlink" Target="https://drive.google.com/uc?export=download&amp;id=144eJ4P0Jcybqt9G_vC4A7lJ8jou0D7fK" TargetMode="External"/><Relationship Id="rId139" Type="http://schemas.openxmlformats.org/officeDocument/2006/relationships/hyperlink" Target="https://drive.google.com/uc?export=download&amp;id=1IH-qVp2UJYpZJTF6j8BiN-lPO-E8luk8" TargetMode="External"/><Relationship Id="rId138" Type="http://schemas.openxmlformats.org/officeDocument/2006/relationships/hyperlink" Target="https://drive.google.com/uc?export=download&amp;id=1UOhCJ1XWg3XgNNb_xKuKioIMTLP33yHU" TargetMode="External"/><Relationship Id="rId137" Type="http://schemas.openxmlformats.org/officeDocument/2006/relationships/hyperlink" Target="https://drive.google.com/uc?export=download&amp;id=1lpTQHWldeNrZk_Tkq6OIOdyDC5p8-CkK" TargetMode="External"/><Relationship Id="rId132" Type="http://schemas.openxmlformats.org/officeDocument/2006/relationships/hyperlink" Target="https://drive.google.com/uc?export=download&amp;id=1mDnbfYqvnsgK6mlVcXwQc-VH4OOPhpav" TargetMode="External"/><Relationship Id="rId131" Type="http://schemas.openxmlformats.org/officeDocument/2006/relationships/hyperlink" Target="https://drive.google.com/uc?export=download&amp;id=1PnoSKBrfxUYnW0z2aP7lS7cmO-J9uYsC" TargetMode="External"/><Relationship Id="rId130" Type="http://schemas.openxmlformats.org/officeDocument/2006/relationships/hyperlink" Target="https://drive.google.com/uc?export=download&amp;id=1ZTWpPF1zL-S09CDrmHTHKST9sIXmgZrE" TargetMode="External"/><Relationship Id="rId136" Type="http://schemas.openxmlformats.org/officeDocument/2006/relationships/hyperlink" Target="https://drive.google.com/uc?export=download&amp;id=17QyAwwwzDItXen7PjvQlh4i5r34y3H97" TargetMode="External"/><Relationship Id="rId135" Type="http://schemas.openxmlformats.org/officeDocument/2006/relationships/hyperlink" Target="https://drive.google.com/uc?export=download&amp;id=18oGejKc0R26LApZuFW5uVaQt_M3_wxWP" TargetMode="External"/><Relationship Id="rId134" Type="http://schemas.openxmlformats.org/officeDocument/2006/relationships/hyperlink" Target="https://drive.google.com/uc?export=download&amp;id=1vPLe_5nIyJ59226E7aC3Ckn5u1F7HmoH" TargetMode="External"/><Relationship Id="rId133" Type="http://schemas.openxmlformats.org/officeDocument/2006/relationships/hyperlink" Target="https://drive.google.com/uc?export=download&amp;id=1eze2MLSHsQ7HPp8EN0d_UON2fS6DRxfo" TargetMode="External"/><Relationship Id="rId62" Type="http://schemas.openxmlformats.org/officeDocument/2006/relationships/hyperlink" Target="https://drive.google.com/uc?export=download&amp;id=1YqhF_WdyHtgITJ8tTgzOGS9FyTv9R3WE" TargetMode="External"/><Relationship Id="rId61" Type="http://schemas.openxmlformats.org/officeDocument/2006/relationships/hyperlink" Target="https://drive.google.com/uc?export=download&amp;id=1_Azw7EfQe-6Haf7Kqby2BvurpY3MrvIa" TargetMode="External"/><Relationship Id="rId64" Type="http://schemas.openxmlformats.org/officeDocument/2006/relationships/hyperlink" Target="https://drive.google.com/uc?export=download&amp;id=1i17NWRT4Xwggc1GasTEZsKjphp4DeJ3K" TargetMode="External"/><Relationship Id="rId63" Type="http://schemas.openxmlformats.org/officeDocument/2006/relationships/hyperlink" Target="https://drive.google.com/uc?export=download&amp;id=1t-WvZJFHX9XZeRORYyV6dDi4dQOmuuFD" TargetMode="External"/><Relationship Id="rId66" Type="http://schemas.openxmlformats.org/officeDocument/2006/relationships/hyperlink" Target="https://drive.google.com/uc?export=download&amp;id=1rqHcFom77k1NK-xzdXSp3PH0pp8XMyDJ" TargetMode="External"/><Relationship Id="rId172" Type="http://schemas.openxmlformats.org/officeDocument/2006/relationships/hyperlink" Target="https://drive.google.com/uc?export=download&amp;id=1AlP9pEa1boFxkl-OVNdGDz7LAJNz0XUp" TargetMode="External"/><Relationship Id="rId65" Type="http://schemas.openxmlformats.org/officeDocument/2006/relationships/hyperlink" Target="https://drive.google.com/uc?export=download&amp;id=1wI8wuWOybMsFQh0nTrPUNpfdawE668o7" TargetMode="External"/><Relationship Id="rId171" Type="http://schemas.openxmlformats.org/officeDocument/2006/relationships/hyperlink" Target="https://drive.google.com/uc?export=download&amp;id=1MzuV0iGjGU8y5ir9b9M79j4RoaGHekc8" TargetMode="External"/><Relationship Id="rId68" Type="http://schemas.openxmlformats.org/officeDocument/2006/relationships/hyperlink" Target="https://drive.google.com/uc?export=download&amp;id=14lVzcF6kKowmS-nXBHJsOYHX3l6Pn9al" TargetMode="External"/><Relationship Id="rId170" Type="http://schemas.openxmlformats.org/officeDocument/2006/relationships/hyperlink" Target="https://drive.google.com/uc?export=download&amp;id=1j1q1efDiX4uAQH86ofabm-uSz5UIozNm" TargetMode="External"/><Relationship Id="rId67" Type="http://schemas.openxmlformats.org/officeDocument/2006/relationships/hyperlink" Target="https://drive.google.com/uc?export=download&amp;id=1UECCn0y9oyxdWNZb8YABGCaAQEdb_5AJ" TargetMode="External"/><Relationship Id="rId60" Type="http://schemas.openxmlformats.org/officeDocument/2006/relationships/hyperlink" Target="https://drive.google.com/uc?export=download&amp;id=1vV1601pWMRBB9JUzTQM6JHB-LDyISp-3" TargetMode="External"/><Relationship Id="rId165" Type="http://schemas.openxmlformats.org/officeDocument/2006/relationships/hyperlink" Target="https://drive.google.com/uc?export=download&amp;id=1i06ea4yXoePzpGtXf2qc15Z7BR_qJbvm" TargetMode="External"/><Relationship Id="rId69" Type="http://schemas.openxmlformats.org/officeDocument/2006/relationships/hyperlink" Target="https://drive.google.com/uc?export=download&amp;id=1dzjvaW0hsEo6xiUSYpBdo_u1xuJvVO6m" TargetMode="External"/><Relationship Id="rId164" Type="http://schemas.openxmlformats.org/officeDocument/2006/relationships/hyperlink" Target="https://drive.google.com/uc?export=download&amp;id=1JNQu9uW-RuIZZ7x9wLA4oCRDFZ1PHybg" TargetMode="External"/><Relationship Id="rId163" Type="http://schemas.openxmlformats.org/officeDocument/2006/relationships/hyperlink" Target="https://drive.google.com/uc?export=download&amp;id=1Y4WUlqJaTLU0hZW3OPEzYqPAupizto5B" TargetMode="External"/><Relationship Id="rId162" Type="http://schemas.openxmlformats.org/officeDocument/2006/relationships/hyperlink" Target="https://drive.google.com/uc?export=download&amp;id=1isJdxa0ulxG8IQ-9KYlYs1hL_N_9jvFp" TargetMode="External"/><Relationship Id="rId169" Type="http://schemas.openxmlformats.org/officeDocument/2006/relationships/hyperlink" Target="https://drive.google.com/uc?export=download&amp;id=1P-HRaVIKpqXK27AuVfs6F6Q6OwOMMlX5" TargetMode="External"/><Relationship Id="rId168" Type="http://schemas.openxmlformats.org/officeDocument/2006/relationships/hyperlink" Target="https://drive.google.com/uc?export=download&amp;id=18QvnCYV8k3U615GKYThS2e0Qe2HnRPjL" TargetMode="External"/><Relationship Id="rId167" Type="http://schemas.openxmlformats.org/officeDocument/2006/relationships/hyperlink" Target="https://drive.google.com/uc?export=download&amp;id=1Qmbk280JW3NihLcZ__rrHwoneYmwvPkE" TargetMode="External"/><Relationship Id="rId166" Type="http://schemas.openxmlformats.org/officeDocument/2006/relationships/hyperlink" Target="https://drive.google.com/uc?export=download&amp;id=1MDHE_bhwc6ptn8omhZQumogs-tI8iQRL" TargetMode="External"/><Relationship Id="rId51" Type="http://schemas.openxmlformats.org/officeDocument/2006/relationships/hyperlink" Target="https://drive.google.com/uc?export=download&amp;id=1HIQCD72_F3ALZzUZeKFIQH6OUbOo2tkS" TargetMode="External"/><Relationship Id="rId50" Type="http://schemas.openxmlformats.org/officeDocument/2006/relationships/hyperlink" Target="https://drive.google.com/uc?export=download&amp;id=1vBZn9xlzBH8Nqd8wEkJQaG045ULRxsCu" TargetMode="External"/><Relationship Id="rId53" Type="http://schemas.openxmlformats.org/officeDocument/2006/relationships/hyperlink" Target="https://drive.google.com/uc?export=download&amp;id=1ihCBMg7iEHvpE7mFcM_acvV4iLRdQoj1" TargetMode="External"/><Relationship Id="rId52" Type="http://schemas.openxmlformats.org/officeDocument/2006/relationships/hyperlink" Target="https://drive.google.com/uc?export=download&amp;id=1polk47bfTacc4ambBQXWxrkTU6auWnXH" TargetMode="External"/><Relationship Id="rId55" Type="http://schemas.openxmlformats.org/officeDocument/2006/relationships/hyperlink" Target="https://drive.google.com/uc?export=download&amp;id=1CqrJsOINaEBD6J0WanLT9ZsE61FxgoH4" TargetMode="External"/><Relationship Id="rId161" Type="http://schemas.openxmlformats.org/officeDocument/2006/relationships/hyperlink" Target="https://drive.google.com/uc?export=download&amp;id=10rRuDbo2Tn2stMmf67TZy9g8f-Jv11CD" TargetMode="External"/><Relationship Id="rId54" Type="http://schemas.openxmlformats.org/officeDocument/2006/relationships/hyperlink" Target="https://drive.google.com/uc?export=download&amp;id=1Ifgp1VieCQ-zgVvXUVraGfaRvcXVD4zL" TargetMode="External"/><Relationship Id="rId160" Type="http://schemas.openxmlformats.org/officeDocument/2006/relationships/hyperlink" Target="https://drive.google.com/uc?export=download&amp;id=1bHPbB6vX3dvp0QSWKOn_SDHI9niyrbZz" TargetMode="External"/><Relationship Id="rId57" Type="http://schemas.openxmlformats.org/officeDocument/2006/relationships/hyperlink" Target="https://drive.google.com/uc?export=download&amp;id=1KfM_tTDQWLAMGNBpFfPQ9gc7Kcmx83ev" TargetMode="External"/><Relationship Id="rId56" Type="http://schemas.openxmlformats.org/officeDocument/2006/relationships/hyperlink" Target="https://drive.google.com/uc?export=download&amp;id=17hBeyjaOCaLD9iAUJmhWe3pcAQBqoPU8" TargetMode="External"/><Relationship Id="rId159" Type="http://schemas.openxmlformats.org/officeDocument/2006/relationships/hyperlink" Target="https://drive.google.com/uc?export=download&amp;id=1xOAwTpAEUgINDoAAzitOPSAf3nK-q8u_" TargetMode="External"/><Relationship Id="rId59" Type="http://schemas.openxmlformats.org/officeDocument/2006/relationships/hyperlink" Target="https://drive.google.com/uc?export=download&amp;id=1s5-HCNubcB2HqwCvlrXcrc443VITbJ9y" TargetMode="External"/><Relationship Id="rId154" Type="http://schemas.openxmlformats.org/officeDocument/2006/relationships/hyperlink" Target="https://drive.google.com/uc?export=download&amp;id=1h3uTgpyZifb7ozwaiXhboLLgBZper01z" TargetMode="External"/><Relationship Id="rId58" Type="http://schemas.openxmlformats.org/officeDocument/2006/relationships/hyperlink" Target="https://drive.google.com/uc?export=download&amp;id=1sjay79hIVcoFCgSjn84xWf8F-hkG3yA7" TargetMode="External"/><Relationship Id="rId153" Type="http://schemas.openxmlformats.org/officeDocument/2006/relationships/hyperlink" Target="https://drive.google.com/uc?export=download&amp;id=1_gv2PzxpEagII-RILY_ev_y45WogJ0lu" TargetMode="External"/><Relationship Id="rId152" Type="http://schemas.openxmlformats.org/officeDocument/2006/relationships/hyperlink" Target="https://drive.google.com/uc?export=download&amp;id=1h-CAIx6CEeeAEMIUntP_K-FMJcO8KK21" TargetMode="External"/><Relationship Id="rId151" Type="http://schemas.openxmlformats.org/officeDocument/2006/relationships/hyperlink" Target="https://drive.google.com/uc?export=download&amp;id=1NnyiE0RQtAsaBn5sETQbiTeoI1dRLL6D" TargetMode="External"/><Relationship Id="rId158" Type="http://schemas.openxmlformats.org/officeDocument/2006/relationships/hyperlink" Target="https://drive.google.com/uc?export=download&amp;id=1rZNBih6Dd6sJXV3Kno-7BFFV67PWtK7E" TargetMode="External"/><Relationship Id="rId157" Type="http://schemas.openxmlformats.org/officeDocument/2006/relationships/hyperlink" Target="https://drive.google.com/uc?export=download&amp;id=15VqnrehvkWm3P_JTAQrkmYsEw9PigTbb" TargetMode="External"/><Relationship Id="rId156" Type="http://schemas.openxmlformats.org/officeDocument/2006/relationships/hyperlink" Target="https://drive.google.com/uc?export=download&amp;id=1cYTd2HhxAtEbUQ1dkUTL7AP9cLy_Ezt8" TargetMode="External"/><Relationship Id="rId155" Type="http://schemas.openxmlformats.org/officeDocument/2006/relationships/hyperlink" Target="https://drive.google.com/uc?export=download&amp;id=1FI3eEGa9SlC4qDf5xDpqOc3NnkHYC8aT" TargetMode="External"/><Relationship Id="rId107" Type="http://schemas.openxmlformats.org/officeDocument/2006/relationships/hyperlink" Target="https://drive.google.com/uc?export=download&amp;id=1VrhoyHEnplN3hh2oayAU0vU91aIs8jjD" TargetMode="External"/><Relationship Id="rId106" Type="http://schemas.openxmlformats.org/officeDocument/2006/relationships/hyperlink" Target="https://drive.google.com/uc?export=download&amp;id=1ziYIvWjiFW4EOb2pvr0mzpreawwfceQa" TargetMode="External"/><Relationship Id="rId105" Type="http://schemas.openxmlformats.org/officeDocument/2006/relationships/hyperlink" Target="https://drive.google.com/uc?export=download&amp;id=1anvifhRuw7Gic3IGaVcTTK2fPXXaygpJ" TargetMode="External"/><Relationship Id="rId104" Type="http://schemas.openxmlformats.org/officeDocument/2006/relationships/hyperlink" Target="https://drive.google.com/uc?export=download&amp;id=1iLlW4ohMkHyUNZD8Zgmj2nk1gOUZku-n" TargetMode="External"/><Relationship Id="rId109" Type="http://schemas.openxmlformats.org/officeDocument/2006/relationships/hyperlink" Target="https://drive.google.com/uc?export=download&amp;id=1NtnXLNLqRIcGgjNf3hiCF0JrT36emqd6" TargetMode="External"/><Relationship Id="rId108" Type="http://schemas.openxmlformats.org/officeDocument/2006/relationships/hyperlink" Target="https://drive.google.com/uc?export=download&amp;id=12StQIInkSsH3o0x8dZhykJNCVagq_bq-" TargetMode="External"/><Relationship Id="rId103" Type="http://schemas.openxmlformats.org/officeDocument/2006/relationships/hyperlink" Target="https://drive.google.com/uc?export=download&amp;id=1p2nW-vvTuwe3BOeApzZ_-1S2Tun7GGal" TargetMode="External"/><Relationship Id="rId102" Type="http://schemas.openxmlformats.org/officeDocument/2006/relationships/hyperlink" Target="https://drive.google.com/uc?export=download&amp;id=1fA50LIeTRoE8DHU8PIsk2V_VFc8grGwr" TargetMode="External"/><Relationship Id="rId101" Type="http://schemas.openxmlformats.org/officeDocument/2006/relationships/hyperlink" Target="https://drive.google.com/uc?export=download&amp;id=1ffhVD0Xu5Z-I8On2jDnc5bGRxJ9RxLKj" TargetMode="External"/><Relationship Id="rId100" Type="http://schemas.openxmlformats.org/officeDocument/2006/relationships/hyperlink" Target="https://drive.google.com/uc?export=download&amp;id=1xXCrSLUM6B0rSeva-QAOkH-r8NijBQ3T" TargetMode="External"/><Relationship Id="rId216" Type="http://schemas.openxmlformats.org/officeDocument/2006/relationships/table" Target="../tables/table12.xml"/><Relationship Id="rId214" Type="http://schemas.openxmlformats.org/officeDocument/2006/relationships/drawing" Target="../drawings/drawing12.xml"/><Relationship Id="rId213" Type="http://schemas.openxmlformats.org/officeDocument/2006/relationships/hyperlink" Target="https://drive.google.com/uc?export=download&amp;id=1c3__ZFm2rO1Lr8rkR9-3Bn9thHJwVlwg" TargetMode="External"/><Relationship Id="rId212" Type="http://schemas.openxmlformats.org/officeDocument/2006/relationships/hyperlink" Target="https://drive.google.com/uc?export=download&amp;id=1H2SKCirDFvndg_9oYIg00lDSYiGcM7AU" TargetMode="External"/><Relationship Id="rId211" Type="http://schemas.openxmlformats.org/officeDocument/2006/relationships/hyperlink" Target="https://drive.google.com/uc?export=download&amp;id=1ViebM5paT0n0VJrvPk3V6uxO-6GAk5R7" TargetMode="External"/><Relationship Id="rId210" Type="http://schemas.openxmlformats.org/officeDocument/2006/relationships/hyperlink" Target="https://drive.google.com/uc?export=download&amp;id=1iF9qtb6p63TigM-2kz2G74546bqK5M6c" TargetMode="External"/><Relationship Id="rId129" Type="http://schemas.openxmlformats.org/officeDocument/2006/relationships/hyperlink" Target="https://drive.google.com/uc?export=download&amp;id=1qxUA2BOs-BJPXXB1hU0erIdBgd9RoYqo" TargetMode="External"/><Relationship Id="rId128" Type="http://schemas.openxmlformats.org/officeDocument/2006/relationships/hyperlink" Target="https://drive.google.com/uc?export=download&amp;id=1MJ3l_yKP-7LOsbNRZWR_C7a0xAaGkq-J" TargetMode="External"/><Relationship Id="rId127" Type="http://schemas.openxmlformats.org/officeDocument/2006/relationships/hyperlink" Target="https://drive.google.com/uc?export=download&amp;id=1uyt-pInNj51w5HVjdNl_ws1uIcj4X8qZ" TargetMode="External"/><Relationship Id="rId126" Type="http://schemas.openxmlformats.org/officeDocument/2006/relationships/hyperlink" Target="https://drive.google.com/uc?export=download&amp;id=1jAGtFEOIqVwzyL7a88NaiWnpCxkQID_K" TargetMode="External"/><Relationship Id="rId121" Type="http://schemas.openxmlformats.org/officeDocument/2006/relationships/hyperlink" Target="https://drive.google.com/uc?export=download&amp;id=1Y7b-SI3ncOVqlcv9qt8QrUumU6hoHyv3" TargetMode="External"/><Relationship Id="rId120" Type="http://schemas.openxmlformats.org/officeDocument/2006/relationships/hyperlink" Target="https://drive.google.com/uc?export=download&amp;id=1CTKN7U1jZ1Lsgar6vj3GF6b2MjxjDSEK" TargetMode="External"/><Relationship Id="rId125" Type="http://schemas.openxmlformats.org/officeDocument/2006/relationships/hyperlink" Target="https://drive.google.com/uc?export=download&amp;id=1TCzktAH8_c7A98bPdM-F5U8f1kzzaXZ7" TargetMode="External"/><Relationship Id="rId124" Type="http://schemas.openxmlformats.org/officeDocument/2006/relationships/hyperlink" Target="https://drive.google.com/uc?export=download&amp;id=1pJusIeLqujTI1CHJxRdx8lVl2Pn_ei6i" TargetMode="External"/><Relationship Id="rId123" Type="http://schemas.openxmlformats.org/officeDocument/2006/relationships/hyperlink" Target="https://drive.google.com/uc?export=download&amp;id=1QEKXAGaHVEGK1yLFBWn3rFlEDRgVY8rg" TargetMode="External"/><Relationship Id="rId122" Type="http://schemas.openxmlformats.org/officeDocument/2006/relationships/hyperlink" Target="https://drive.google.com/uc?export=download&amp;id=1NyqfCHeBBz4cJV7kpLcNC-mw2WMySTNI" TargetMode="External"/><Relationship Id="rId95" Type="http://schemas.openxmlformats.org/officeDocument/2006/relationships/hyperlink" Target="https://drive.google.com/uc?export=download&amp;id=1WvXojoC-Jt0NnaV7BUkX5eNda2mkD6W5" TargetMode="External"/><Relationship Id="rId94" Type="http://schemas.openxmlformats.org/officeDocument/2006/relationships/hyperlink" Target="https://drive.google.com/uc?export=download&amp;id=1lm0qIkVetYWGGR4mljDb2RbHTvNz4yOg" TargetMode="External"/><Relationship Id="rId97" Type="http://schemas.openxmlformats.org/officeDocument/2006/relationships/hyperlink" Target="https://drive.google.com/uc?export=download&amp;id=1urMUSaBDkyT3ulgpolk_YqVsrOGqcq_3" TargetMode="External"/><Relationship Id="rId96" Type="http://schemas.openxmlformats.org/officeDocument/2006/relationships/hyperlink" Target="https://drive.google.com/uc?export=download&amp;id=1gGf-bNutF1-6reInhELrYj6WfE4l90ju" TargetMode="External"/><Relationship Id="rId99" Type="http://schemas.openxmlformats.org/officeDocument/2006/relationships/hyperlink" Target="https://drive.google.com/uc?export=download&amp;id=1Nfs7A7-fwErWop3EShM3lpbJ3nHZbcOA" TargetMode="External"/><Relationship Id="rId98" Type="http://schemas.openxmlformats.org/officeDocument/2006/relationships/hyperlink" Target="https://drive.google.com/uc?export=download&amp;id=1GghWb2gPmVZfFDeqovIYXlc4efWPoBeM" TargetMode="External"/><Relationship Id="rId91" Type="http://schemas.openxmlformats.org/officeDocument/2006/relationships/hyperlink" Target="https://drive.google.com/uc?export=download&amp;id=19NuuUZIGeE-SfLh02BmzSRfj1Kqug9nx" TargetMode="External"/><Relationship Id="rId90" Type="http://schemas.openxmlformats.org/officeDocument/2006/relationships/hyperlink" Target="https://drive.google.com/uc?export=download&amp;id=1odb_Tqv-c_9KOFb7fnJ9XOkA49zh76kK" TargetMode="External"/><Relationship Id="rId93" Type="http://schemas.openxmlformats.org/officeDocument/2006/relationships/hyperlink" Target="https://drive.google.com/uc?export=download&amp;id=1HR-2ZdRUpwbEkAjAE_KuilXwg0gPYVDu" TargetMode="External"/><Relationship Id="rId92" Type="http://schemas.openxmlformats.org/officeDocument/2006/relationships/hyperlink" Target="https://drive.google.com/uc?export=download&amp;id=12jlxRlGA8FFr34vcDIrn1mtHQjHShM-9" TargetMode="External"/><Relationship Id="rId118" Type="http://schemas.openxmlformats.org/officeDocument/2006/relationships/hyperlink" Target="https://drive.google.com/uc?export=download&amp;id=1PTw8rmpHkcnaeAp0kmsk4B-WbXQVcBlh" TargetMode="External"/><Relationship Id="rId117" Type="http://schemas.openxmlformats.org/officeDocument/2006/relationships/hyperlink" Target="https://drive.google.com/uc?export=download&amp;id=1VmkmAnup-6yXZR7DmxN7yWvEIuSzxuLi" TargetMode="External"/><Relationship Id="rId116" Type="http://schemas.openxmlformats.org/officeDocument/2006/relationships/hyperlink" Target="https://drive.google.com/uc?export=download&amp;id=10EeYRKI48IQpl2TVUTtSgwEPkAii0n0Z" TargetMode="External"/><Relationship Id="rId115" Type="http://schemas.openxmlformats.org/officeDocument/2006/relationships/hyperlink" Target="https://drive.google.com/uc?export=download&amp;id=1vZEETvNrraN5oepNkInOlR_GeF4sRxV1" TargetMode="External"/><Relationship Id="rId119" Type="http://schemas.openxmlformats.org/officeDocument/2006/relationships/hyperlink" Target="https://drive.google.com/uc?export=download&amp;id=1MrARLQ9o-rhJvSzqg1YwL757FXLOkMDA" TargetMode="External"/><Relationship Id="rId110" Type="http://schemas.openxmlformats.org/officeDocument/2006/relationships/hyperlink" Target="https://drive.google.com/uc?export=download&amp;id=1RoeUv5owCzCopaDPo3yyxi8fK1z7Zdqy" TargetMode="External"/><Relationship Id="rId114" Type="http://schemas.openxmlformats.org/officeDocument/2006/relationships/hyperlink" Target="https://drive.google.com/uc?export=download&amp;id=1Evuxditvi8A3nKBEcV27_ZWGjIU6oBTR" TargetMode="External"/><Relationship Id="rId113" Type="http://schemas.openxmlformats.org/officeDocument/2006/relationships/hyperlink" Target="https://drive.google.com/uc?export=download&amp;id=1zJLflDpXA3xox41B7_VbRGPLQzl6xb_S" TargetMode="External"/><Relationship Id="rId112" Type="http://schemas.openxmlformats.org/officeDocument/2006/relationships/hyperlink" Target="https://drive.google.com/uc?export=download&amp;id=19rPf0NTwN00JR6SrI-f0iD4wKEa-OMTI" TargetMode="External"/><Relationship Id="rId111" Type="http://schemas.openxmlformats.org/officeDocument/2006/relationships/hyperlink" Target="https://drive.google.com/uc?export=download&amp;id=1eI0IfmucWmNsx3Kbo3CnKF9i6QInVCHf" TargetMode="External"/><Relationship Id="rId206" Type="http://schemas.openxmlformats.org/officeDocument/2006/relationships/hyperlink" Target="https://drive.google.com/uc?export=download&amp;id=1FPzbDVLZV5V6nhjSLUeaUFCqS-e9JABN" TargetMode="External"/><Relationship Id="rId205" Type="http://schemas.openxmlformats.org/officeDocument/2006/relationships/hyperlink" Target="https://drive.google.com/uc?export=download&amp;id=1yozViHZmOTu7B5KjR9L4TUFmq9MCcmJh" TargetMode="External"/><Relationship Id="rId204" Type="http://schemas.openxmlformats.org/officeDocument/2006/relationships/hyperlink" Target="https://drive.google.com/uc?export=download&amp;id=1GpwJMgdIW9q9JCHSLKvQtOcqwF5OfDjg" TargetMode="External"/><Relationship Id="rId203" Type="http://schemas.openxmlformats.org/officeDocument/2006/relationships/hyperlink" Target="https://drive.google.com/uc?export=download&amp;id=17pZ0LsEDd6QchJiF0J3Lr4bIHvaZmIVc" TargetMode="External"/><Relationship Id="rId209" Type="http://schemas.openxmlformats.org/officeDocument/2006/relationships/hyperlink" Target="https://drive.google.com/uc?export=download&amp;id=1XQxDfdhIwzXJPA5Wt_-5S9HCcwhXTbLm" TargetMode="External"/><Relationship Id="rId208" Type="http://schemas.openxmlformats.org/officeDocument/2006/relationships/hyperlink" Target="https://drive.google.com/uc?export=download&amp;id=1v3UBBeRn_Yu3n7fOhGuKAKplUygZuEXQ" TargetMode="External"/><Relationship Id="rId207" Type="http://schemas.openxmlformats.org/officeDocument/2006/relationships/hyperlink" Target="https://drive.google.com/uc?export=download&amp;id=1MuZJnTEneCbT2OE7zM4YMsZ12mLJapmk" TargetMode="External"/><Relationship Id="rId202" Type="http://schemas.openxmlformats.org/officeDocument/2006/relationships/hyperlink" Target="https://drive.google.com/uc?export=download&amp;id=11XajQNSq7vkXbbiSQVC8g_UlXMjfyL7t" TargetMode="External"/><Relationship Id="rId201" Type="http://schemas.openxmlformats.org/officeDocument/2006/relationships/hyperlink" Target="https://drive.google.com/uc?export=download&amp;id=1ZOcfu1vDT1T5k0Uu_JqG3bEpoWn4GoXA" TargetMode="External"/><Relationship Id="rId200" Type="http://schemas.openxmlformats.org/officeDocument/2006/relationships/hyperlink" Target="https://drive.google.com/uc?export=download&amp;id=1vQTxclsk06lCt5Jt92wgvttvAlVO5zB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0" Type="http://schemas.openxmlformats.org/officeDocument/2006/relationships/table" Target="../tables/table21.xml"/><Relationship Id="rId22" Type="http://schemas.openxmlformats.org/officeDocument/2006/relationships/table" Target="../tables/table23.xml"/><Relationship Id="rId21" Type="http://schemas.openxmlformats.org/officeDocument/2006/relationships/table" Target="../tables/table22.xml"/><Relationship Id="rId23" Type="http://schemas.openxmlformats.org/officeDocument/2006/relationships/table" Target="../tables/table24.xml"/><Relationship Id="rId13" Type="http://schemas.openxmlformats.org/officeDocument/2006/relationships/table" Target="../tables/table14.xml"/><Relationship Id="rId15" Type="http://schemas.openxmlformats.org/officeDocument/2006/relationships/table" Target="../tables/table16.xml"/><Relationship Id="rId14" Type="http://schemas.openxmlformats.org/officeDocument/2006/relationships/table" Target="../tables/table15.xml"/><Relationship Id="rId17" Type="http://schemas.openxmlformats.org/officeDocument/2006/relationships/table" Target="../tables/table18.xml"/><Relationship Id="rId16" Type="http://schemas.openxmlformats.org/officeDocument/2006/relationships/table" Target="../tables/table17.xml"/><Relationship Id="rId19" Type="http://schemas.openxmlformats.org/officeDocument/2006/relationships/table" Target="../tables/table20.xml"/><Relationship Id="rId18" Type="http://schemas.openxmlformats.org/officeDocument/2006/relationships/table" Target="../tables/table19.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0" Type="http://schemas.openxmlformats.org/officeDocument/2006/relationships/table" Target="../tables/table25.xml"/><Relationship Id="rId11" Type="http://schemas.openxmlformats.org/officeDocument/2006/relationships/hyperlink" Target="https://meet.google.com/xwx-qmib-nhx" TargetMode="External"/><Relationship Id="rId10" Type="http://schemas.openxmlformats.org/officeDocument/2006/relationships/hyperlink" Target="https://meet.google.com/bxu-zhcn-hnv" TargetMode="External"/><Relationship Id="rId13" Type="http://schemas.openxmlformats.org/officeDocument/2006/relationships/hyperlink" Target="https://meet.google.com/xij-anvq-mcq" TargetMode="External"/><Relationship Id="rId12" Type="http://schemas.openxmlformats.org/officeDocument/2006/relationships/hyperlink" Target="https://meet.google.com/hfj-unky-bjf" TargetMode="External"/><Relationship Id="rId15" Type="http://schemas.openxmlformats.org/officeDocument/2006/relationships/hyperlink" Target="https://drive.google.com/file/d/1Jr3oYna3jkzinrUI6tTuBJktYPMz0zk2/view?usp=drive_link" TargetMode="External"/><Relationship Id="rId14" Type="http://schemas.openxmlformats.org/officeDocument/2006/relationships/hyperlink" Target="https://drive.google.com/file/d/19njXo2baQcV-yZ5GpMAFsTrCrAWTYQnE/view?usp=drive_link" TargetMode="External"/><Relationship Id="rId17" Type="http://schemas.openxmlformats.org/officeDocument/2006/relationships/hyperlink" Target="https://drive.google.com/file/d/1EfK020TAvMZxP6SeSNffwwPSKxLB-x6f/view?usp=drive_link" TargetMode="External"/><Relationship Id="rId16" Type="http://schemas.openxmlformats.org/officeDocument/2006/relationships/hyperlink" Target="https://drive.google.com/file/d/1qsbTKRd265ODS2PoAL1cJqxq3JzuesFS/view?usp=drive_link" TargetMode="External"/><Relationship Id="rId18" Type="http://schemas.openxmlformats.org/officeDocument/2006/relationships/drawing" Target="../drawings/drawing15.xml"/><Relationship Id="rId1" Type="http://schemas.openxmlformats.org/officeDocument/2006/relationships/hyperlink" Target="https://drive.google.com/file/d/1QPif0D9Wn-SEMO1OjEnuYzBIc8Ojw0Xt/view?usp=drivesdk" TargetMode="External"/><Relationship Id="rId2" Type="http://schemas.openxmlformats.org/officeDocument/2006/relationships/hyperlink" Target="https://drive.google.com/file/d/1QYkDOTTxEw818Zpxjj85vagthLxcQ4S5/view?usp=drivesdk" TargetMode="External"/><Relationship Id="rId3" Type="http://schemas.openxmlformats.org/officeDocument/2006/relationships/hyperlink" Target="https://drive.google.com/file/d/1_L7kc2AVVpS2vpTlvsluBa9_J13t4-J_/view?usp=drive_link" TargetMode="External"/><Relationship Id="rId4" Type="http://schemas.openxmlformats.org/officeDocument/2006/relationships/hyperlink" Target="https://drive.google.com/file/d/1ajd20T1MSOpZMZyY3kPtYWfmnU-dtfrn/view?usp=drive_link" TargetMode="External"/><Relationship Id="rId9" Type="http://schemas.openxmlformats.org/officeDocument/2006/relationships/hyperlink" Target="https://meet.google.com/xxq-rkkt-yxn" TargetMode="External"/><Relationship Id="rId5" Type="http://schemas.openxmlformats.org/officeDocument/2006/relationships/hyperlink" Target="https://drive.google.com/file/d/1anWcd4l2_YTpNcFgn_nj8eoE3u6btA2j/view?usp=drive_link" TargetMode="External"/><Relationship Id="rId6" Type="http://schemas.openxmlformats.org/officeDocument/2006/relationships/hyperlink" Target="https://drive.google.com/file/d/1asC6hKFW6oML3j2xsuW6V4tbDK0JnZ7z/view?usp=drive_link" TargetMode="External"/><Relationship Id="rId7" Type="http://schemas.openxmlformats.org/officeDocument/2006/relationships/hyperlink" Target="https://drive.google.com/file/d/1au6vkqRUd-wvBpQslKcjBIv-eI3uM25G/view?usp=drive_link" TargetMode="External"/><Relationship Id="rId8" Type="http://schemas.openxmlformats.org/officeDocument/2006/relationships/hyperlink" Target="https://meet.google.com/sci-qeiu-gor"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2" t="s">
        <v>1</v>
      </c>
      <c r="C1" s="1" t="s">
        <v>2</v>
      </c>
      <c r="D1" s="3" t="s">
        <v>3</v>
      </c>
      <c r="E1" s="1" t="s">
        <v>4</v>
      </c>
      <c r="F1" s="1" t="s">
        <v>5</v>
      </c>
      <c r="G1" s="2" t="s">
        <v>6</v>
      </c>
      <c r="H1" s="2" t="s">
        <v>7</v>
      </c>
      <c r="I1" s="4" t="s">
        <v>8</v>
      </c>
    </row>
    <row r="2" ht="22.5" customHeight="1">
      <c r="A2" s="5" t="s">
        <v>9</v>
      </c>
      <c r="B2" s="6" t="s">
        <v>10</v>
      </c>
      <c r="C2" s="7" t="s">
        <v>11</v>
      </c>
      <c r="D2" s="8" t="s">
        <v>12</v>
      </c>
      <c r="E2" s="9" t="s">
        <v>13</v>
      </c>
      <c r="F2" s="9" t="str">
        <f t="shared" ref="F2:F36" si="1">IF(H2="",TEXTJOIN(" ", TRUE, A2, B2, C2, D2, E2),TEXTJOIN(" ", TRUE, A2, B2, C2, D2, E2) &amp; " - " &amp; H2)</f>
        <v>B14 Cambridge IGCSE 0417 Information &amp; Communication Technology - SAR</v>
      </c>
      <c r="G2" s="10" t="s">
        <v>14</v>
      </c>
      <c r="H2" s="6" t="s">
        <v>15</v>
      </c>
      <c r="I2" s="11">
        <v>200.0</v>
      </c>
    </row>
    <row r="3" ht="22.5" customHeight="1">
      <c r="A3" s="12" t="s">
        <v>9</v>
      </c>
      <c r="B3" s="13" t="s">
        <v>10</v>
      </c>
      <c r="C3" s="14" t="s">
        <v>11</v>
      </c>
      <c r="D3" s="15" t="s">
        <v>12</v>
      </c>
      <c r="E3" s="16" t="s">
        <v>13</v>
      </c>
      <c r="F3" s="16" t="str">
        <f t="shared" si="1"/>
        <v>B14 Cambridge IGCSE 0417 Information &amp; Communication Technology - AED</v>
      </c>
      <c r="G3" s="16" t="s">
        <v>14</v>
      </c>
      <c r="H3" s="13" t="s">
        <v>16</v>
      </c>
      <c r="I3" s="17">
        <v>200.0</v>
      </c>
    </row>
    <row r="4" ht="22.5" customHeight="1">
      <c r="A4" s="5" t="s">
        <v>9</v>
      </c>
      <c r="B4" s="6" t="s">
        <v>10</v>
      </c>
      <c r="C4" s="7" t="s">
        <v>11</v>
      </c>
      <c r="D4" s="8" t="s">
        <v>12</v>
      </c>
      <c r="E4" s="9" t="s">
        <v>13</v>
      </c>
      <c r="F4" s="9" t="str">
        <f t="shared" si="1"/>
        <v>B14 Cambridge IGCSE 0417 Information &amp; Communication Technology - INR</v>
      </c>
      <c r="G4" s="10" t="s">
        <v>14</v>
      </c>
      <c r="H4" s="6" t="s">
        <v>17</v>
      </c>
      <c r="I4" s="11">
        <v>4000.0</v>
      </c>
    </row>
    <row r="5" ht="22.5" customHeight="1">
      <c r="A5" s="18" t="s">
        <v>18</v>
      </c>
      <c r="B5" s="13" t="s">
        <v>10</v>
      </c>
      <c r="C5" s="14" t="s">
        <v>11</v>
      </c>
      <c r="D5" s="15" t="s">
        <v>12</v>
      </c>
      <c r="E5" s="16" t="s">
        <v>13</v>
      </c>
      <c r="F5" s="16" t="str">
        <f t="shared" si="1"/>
        <v>C13 Cambridge IGCSE 0417 Information &amp; Communication Technology - GBP</v>
      </c>
      <c r="G5" s="16" t="s">
        <v>14</v>
      </c>
      <c r="H5" s="19" t="s">
        <v>19</v>
      </c>
      <c r="I5" s="20">
        <v>10.0</v>
      </c>
    </row>
    <row r="6" ht="22.5" customHeight="1">
      <c r="A6" s="5" t="s">
        <v>20</v>
      </c>
      <c r="B6" s="6" t="s">
        <v>10</v>
      </c>
      <c r="C6" s="7" t="s">
        <v>11</v>
      </c>
      <c r="D6" s="8" t="s">
        <v>12</v>
      </c>
      <c r="E6" s="9" t="s">
        <v>13</v>
      </c>
      <c r="F6" s="9" t="str">
        <f t="shared" si="1"/>
        <v>T2 Cambridge IGCSE 0417 Information &amp; Communication Technology - PKR</v>
      </c>
      <c r="G6" s="10" t="s">
        <v>21</v>
      </c>
      <c r="H6" s="6" t="s">
        <v>22</v>
      </c>
      <c r="I6" s="11">
        <v>15000.0</v>
      </c>
    </row>
    <row r="7" ht="22.5" customHeight="1">
      <c r="A7" s="12" t="s">
        <v>9</v>
      </c>
      <c r="B7" s="13" t="s">
        <v>10</v>
      </c>
      <c r="C7" s="14" t="s">
        <v>11</v>
      </c>
      <c r="D7" s="15" t="s">
        <v>23</v>
      </c>
      <c r="E7" s="16" t="s">
        <v>24</v>
      </c>
      <c r="F7" s="16" t="str">
        <f t="shared" si="1"/>
        <v>B14 Cambridge IGCSE 0450 Business Studies - SAR</v>
      </c>
      <c r="G7" s="16" t="s">
        <v>25</v>
      </c>
      <c r="H7" s="13" t="s">
        <v>15</v>
      </c>
      <c r="I7" s="17">
        <v>200.0</v>
      </c>
    </row>
    <row r="8" ht="22.5" customHeight="1">
      <c r="A8" s="5" t="s">
        <v>9</v>
      </c>
      <c r="B8" s="6" t="s">
        <v>10</v>
      </c>
      <c r="C8" s="7" t="s">
        <v>11</v>
      </c>
      <c r="D8" s="8" t="s">
        <v>23</v>
      </c>
      <c r="E8" s="9" t="s">
        <v>24</v>
      </c>
      <c r="F8" s="9" t="str">
        <f t="shared" si="1"/>
        <v>B14 Cambridge IGCSE 0450 Business Studies - INR</v>
      </c>
      <c r="G8" s="10" t="s">
        <v>25</v>
      </c>
      <c r="H8" s="6" t="s">
        <v>17</v>
      </c>
      <c r="I8" s="11">
        <v>4000.0</v>
      </c>
    </row>
    <row r="9" ht="22.5" customHeight="1">
      <c r="A9" s="12" t="s">
        <v>20</v>
      </c>
      <c r="B9" s="13" t="s">
        <v>10</v>
      </c>
      <c r="C9" s="14" t="s">
        <v>11</v>
      </c>
      <c r="D9" s="15" t="s">
        <v>23</v>
      </c>
      <c r="E9" s="16" t="s">
        <v>24</v>
      </c>
      <c r="F9" s="16" t="str">
        <f t="shared" si="1"/>
        <v>T2 Cambridge IGCSE 0450 Business Studies - PKR</v>
      </c>
      <c r="G9" s="16" t="s">
        <v>21</v>
      </c>
      <c r="H9" s="13" t="s">
        <v>22</v>
      </c>
      <c r="I9" s="17">
        <v>15000.0</v>
      </c>
    </row>
    <row r="10" ht="22.5" customHeight="1">
      <c r="A10" s="5" t="s">
        <v>9</v>
      </c>
      <c r="B10" s="6" t="s">
        <v>10</v>
      </c>
      <c r="C10" s="7" t="s">
        <v>11</v>
      </c>
      <c r="D10" s="8" t="s">
        <v>26</v>
      </c>
      <c r="E10" s="9" t="s">
        <v>27</v>
      </c>
      <c r="F10" s="9" t="str">
        <f t="shared" si="1"/>
        <v>B14 Cambridge IGCSE 0452 Accounting - SAR</v>
      </c>
      <c r="G10" s="10" t="s">
        <v>25</v>
      </c>
      <c r="H10" s="6" t="s">
        <v>15</v>
      </c>
      <c r="I10" s="11">
        <v>200.0</v>
      </c>
    </row>
    <row r="11" ht="22.5" customHeight="1">
      <c r="A11" s="12" t="s">
        <v>9</v>
      </c>
      <c r="B11" s="13" t="s">
        <v>10</v>
      </c>
      <c r="C11" s="14" t="s">
        <v>11</v>
      </c>
      <c r="D11" s="15" t="s">
        <v>26</v>
      </c>
      <c r="E11" s="16" t="s">
        <v>27</v>
      </c>
      <c r="F11" s="16" t="str">
        <f t="shared" si="1"/>
        <v>B14 Cambridge IGCSE 0452 Accounting - INR</v>
      </c>
      <c r="G11" s="16" t="s">
        <v>25</v>
      </c>
      <c r="H11" s="13" t="s">
        <v>17</v>
      </c>
      <c r="I11" s="17">
        <v>4000.0</v>
      </c>
    </row>
    <row r="12" ht="22.5" customHeight="1">
      <c r="A12" s="5" t="s">
        <v>9</v>
      </c>
      <c r="B12" s="6" t="s">
        <v>10</v>
      </c>
      <c r="C12" s="7" t="s">
        <v>11</v>
      </c>
      <c r="D12" s="8" t="s">
        <v>28</v>
      </c>
      <c r="E12" s="9" t="s">
        <v>29</v>
      </c>
      <c r="F12" s="9" t="str">
        <f t="shared" si="1"/>
        <v>B14 Cambridge IGCSE 0455 Economics - SAR</v>
      </c>
      <c r="G12" s="10" t="s">
        <v>25</v>
      </c>
      <c r="H12" s="6" t="s">
        <v>15</v>
      </c>
      <c r="I12" s="11">
        <v>200.0</v>
      </c>
    </row>
    <row r="13" ht="22.5" customHeight="1">
      <c r="A13" s="12" t="s">
        <v>9</v>
      </c>
      <c r="B13" s="13" t="s">
        <v>10</v>
      </c>
      <c r="C13" s="14" t="s">
        <v>11</v>
      </c>
      <c r="D13" s="15" t="s">
        <v>28</v>
      </c>
      <c r="E13" s="16" t="s">
        <v>29</v>
      </c>
      <c r="F13" s="16" t="str">
        <f t="shared" si="1"/>
        <v>B14 Cambridge IGCSE 0455 Economics - INR</v>
      </c>
      <c r="G13" s="16" t="s">
        <v>25</v>
      </c>
      <c r="H13" s="13" t="s">
        <v>17</v>
      </c>
      <c r="I13" s="17">
        <v>4000.0</v>
      </c>
    </row>
    <row r="14" ht="22.5" customHeight="1">
      <c r="A14" s="5" t="s">
        <v>20</v>
      </c>
      <c r="B14" s="6" t="s">
        <v>10</v>
      </c>
      <c r="C14" s="7" t="s">
        <v>11</v>
      </c>
      <c r="D14" s="8" t="s">
        <v>28</v>
      </c>
      <c r="E14" s="9" t="s">
        <v>29</v>
      </c>
      <c r="F14" s="9" t="str">
        <f t="shared" si="1"/>
        <v>T2 Cambridge IGCSE 0455 Economics - PKR</v>
      </c>
      <c r="G14" s="10" t="s">
        <v>21</v>
      </c>
      <c r="H14" s="6" t="s">
        <v>22</v>
      </c>
      <c r="I14" s="11">
        <v>15000.0</v>
      </c>
    </row>
    <row r="15" ht="22.5" customHeight="1">
      <c r="A15" s="12" t="s">
        <v>9</v>
      </c>
      <c r="B15" s="13" t="s">
        <v>10</v>
      </c>
      <c r="C15" s="14" t="s">
        <v>11</v>
      </c>
      <c r="D15" s="15" t="s">
        <v>30</v>
      </c>
      <c r="E15" s="16" t="s">
        <v>31</v>
      </c>
      <c r="F15" s="16" t="str">
        <f t="shared" si="1"/>
        <v>B14 Cambridge IGCSE 0478 Computer Science - SAR</v>
      </c>
      <c r="G15" s="16" t="s">
        <v>14</v>
      </c>
      <c r="H15" s="13" t="s">
        <v>15</v>
      </c>
      <c r="I15" s="17">
        <v>200.0</v>
      </c>
    </row>
    <row r="16" ht="22.5" customHeight="1">
      <c r="A16" s="5" t="s">
        <v>20</v>
      </c>
      <c r="B16" s="6" t="s">
        <v>10</v>
      </c>
      <c r="C16" s="7" t="s">
        <v>11</v>
      </c>
      <c r="D16" s="8" t="s">
        <v>30</v>
      </c>
      <c r="E16" s="9" t="s">
        <v>31</v>
      </c>
      <c r="F16" s="9" t="str">
        <f t="shared" si="1"/>
        <v>T2 Cambridge IGCSE 0478 Computer Science - PKR</v>
      </c>
      <c r="G16" s="10" t="s">
        <v>21</v>
      </c>
      <c r="H16" s="6" t="s">
        <v>22</v>
      </c>
      <c r="I16" s="11">
        <v>15000.0</v>
      </c>
    </row>
    <row r="17" ht="22.5" customHeight="1">
      <c r="A17" s="12" t="s">
        <v>9</v>
      </c>
      <c r="B17" s="13" t="s">
        <v>10</v>
      </c>
      <c r="C17" s="14" t="s">
        <v>11</v>
      </c>
      <c r="D17" s="15" t="s">
        <v>32</v>
      </c>
      <c r="E17" s="16" t="s">
        <v>33</v>
      </c>
      <c r="F17" s="16" t="str">
        <f t="shared" si="1"/>
        <v>B14 Cambridge IGCSE 0500 First Language English - SAR</v>
      </c>
      <c r="G17" s="16" t="s">
        <v>14</v>
      </c>
      <c r="H17" s="13" t="s">
        <v>15</v>
      </c>
      <c r="I17" s="17">
        <v>200.0</v>
      </c>
    </row>
    <row r="18" ht="22.5" customHeight="1">
      <c r="A18" s="5" t="s">
        <v>9</v>
      </c>
      <c r="B18" s="6" t="s">
        <v>10</v>
      </c>
      <c r="C18" s="7" t="s">
        <v>11</v>
      </c>
      <c r="D18" s="8" t="s">
        <v>32</v>
      </c>
      <c r="E18" s="9" t="s">
        <v>33</v>
      </c>
      <c r="F18" s="9" t="str">
        <f t="shared" si="1"/>
        <v>B14 Cambridge IGCSE 0500 First Language English - INR</v>
      </c>
      <c r="G18" s="10" t="s">
        <v>14</v>
      </c>
      <c r="H18" s="6" t="s">
        <v>17</v>
      </c>
      <c r="I18" s="11">
        <v>4000.0</v>
      </c>
    </row>
    <row r="19" ht="22.5" customHeight="1">
      <c r="A19" s="12" t="s">
        <v>34</v>
      </c>
      <c r="B19" s="13" t="s">
        <v>10</v>
      </c>
      <c r="C19" s="14" t="s">
        <v>11</v>
      </c>
      <c r="D19" s="15" t="s">
        <v>32</v>
      </c>
      <c r="E19" s="16" t="s">
        <v>33</v>
      </c>
      <c r="F19" s="16" t="str">
        <f t="shared" si="1"/>
        <v>C16 Cambridge IGCSE 0500 First Language English - GBP</v>
      </c>
      <c r="G19" s="16" t="s">
        <v>14</v>
      </c>
      <c r="H19" s="13" t="s">
        <v>19</v>
      </c>
      <c r="I19" s="17">
        <v>15.0</v>
      </c>
    </row>
    <row r="20" ht="22.5" customHeight="1">
      <c r="A20" s="5" t="s">
        <v>20</v>
      </c>
      <c r="B20" s="6" t="s">
        <v>10</v>
      </c>
      <c r="C20" s="7" t="s">
        <v>11</v>
      </c>
      <c r="D20" s="8" t="s">
        <v>32</v>
      </c>
      <c r="E20" s="9" t="s">
        <v>33</v>
      </c>
      <c r="F20" s="9" t="str">
        <f t="shared" si="1"/>
        <v>T2 Cambridge IGCSE 0500 First Language English - PKR</v>
      </c>
      <c r="G20" s="10" t="s">
        <v>21</v>
      </c>
      <c r="H20" s="6" t="s">
        <v>22</v>
      </c>
      <c r="I20" s="11">
        <v>15000.0</v>
      </c>
    </row>
    <row r="21" ht="22.5" customHeight="1">
      <c r="A21" s="12" t="s">
        <v>35</v>
      </c>
      <c r="B21" s="13" t="s">
        <v>10</v>
      </c>
      <c r="C21" s="14" t="s">
        <v>11</v>
      </c>
      <c r="D21" s="15" t="s">
        <v>32</v>
      </c>
      <c r="E21" s="16" t="s">
        <v>33</v>
      </c>
      <c r="F21" s="16" t="str">
        <f t="shared" si="1"/>
        <v>T5 Cambridge IGCSE 0500 First Language English - INR</v>
      </c>
      <c r="G21" s="16" t="s">
        <v>14</v>
      </c>
      <c r="H21" s="13" t="s">
        <v>17</v>
      </c>
      <c r="I21" s="17">
        <v>2000.0</v>
      </c>
    </row>
    <row r="22" ht="22.5" customHeight="1">
      <c r="A22" s="5" t="s">
        <v>9</v>
      </c>
      <c r="B22" s="6" t="s">
        <v>10</v>
      </c>
      <c r="C22" s="7" t="s">
        <v>11</v>
      </c>
      <c r="D22" s="8" t="s">
        <v>36</v>
      </c>
      <c r="E22" s="9" t="s">
        <v>37</v>
      </c>
      <c r="F22" s="9" t="str">
        <f t="shared" si="1"/>
        <v>B14 Cambridge IGCSE 0510 English as a Second Language - SAR</v>
      </c>
      <c r="G22" s="10" t="s">
        <v>14</v>
      </c>
      <c r="H22" s="6" t="s">
        <v>15</v>
      </c>
      <c r="I22" s="11">
        <v>200.0</v>
      </c>
    </row>
    <row r="23" ht="22.5" customHeight="1">
      <c r="A23" s="12" t="s">
        <v>9</v>
      </c>
      <c r="B23" s="13" t="s">
        <v>10</v>
      </c>
      <c r="C23" s="14" t="s">
        <v>11</v>
      </c>
      <c r="D23" s="15" t="s">
        <v>36</v>
      </c>
      <c r="E23" s="16" t="s">
        <v>37</v>
      </c>
      <c r="F23" s="16" t="str">
        <f t="shared" si="1"/>
        <v>B14 Cambridge IGCSE 0510 English as a Second Language - INR</v>
      </c>
      <c r="G23" s="16" t="s">
        <v>14</v>
      </c>
      <c r="H23" s="13" t="s">
        <v>17</v>
      </c>
      <c r="I23" s="17">
        <v>4000.0</v>
      </c>
    </row>
    <row r="24" ht="22.5" customHeight="1">
      <c r="A24" s="5" t="s">
        <v>20</v>
      </c>
      <c r="B24" s="6" t="s">
        <v>10</v>
      </c>
      <c r="C24" s="7" t="s">
        <v>11</v>
      </c>
      <c r="D24" s="8" t="s">
        <v>36</v>
      </c>
      <c r="E24" s="9" t="s">
        <v>37</v>
      </c>
      <c r="F24" s="9" t="str">
        <f t="shared" si="1"/>
        <v>T2 Cambridge IGCSE 0510 English as a Second Language - PKR</v>
      </c>
      <c r="G24" s="10" t="s">
        <v>21</v>
      </c>
      <c r="H24" s="6" t="s">
        <v>22</v>
      </c>
      <c r="I24" s="11">
        <v>15000.0</v>
      </c>
    </row>
    <row r="25" ht="22.5" customHeight="1">
      <c r="A25" s="12" t="s">
        <v>38</v>
      </c>
      <c r="B25" s="13" t="s">
        <v>10</v>
      </c>
      <c r="C25" s="14" t="s">
        <v>11</v>
      </c>
      <c r="D25" s="15" t="s">
        <v>36</v>
      </c>
      <c r="E25" s="16" t="s">
        <v>37</v>
      </c>
      <c r="F25" s="16" t="str">
        <f t="shared" si="1"/>
        <v>T3 Cambridge IGCSE 0510 English as a Second Language - SAR</v>
      </c>
      <c r="G25" s="16" t="s">
        <v>39</v>
      </c>
      <c r="H25" s="13" t="s">
        <v>15</v>
      </c>
      <c r="I25" s="17">
        <v>150.0</v>
      </c>
    </row>
    <row r="26" ht="22.5" customHeight="1">
      <c r="A26" s="5" t="s">
        <v>9</v>
      </c>
      <c r="B26" s="6" t="s">
        <v>10</v>
      </c>
      <c r="C26" s="7" t="s">
        <v>11</v>
      </c>
      <c r="D26" s="8" t="s">
        <v>36</v>
      </c>
      <c r="E26" s="9" t="s">
        <v>40</v>
      </c>
      <c r="F26" s="9" t="str">
        <f t="shared" si="1"/>
        <v>B14 Cambridge IGCSE 0510 English as a Second language - MYR</v>
      </c>
      <c r="G26" s="10" t="s">
        <v>14</v>
      </c>
      <c r="H26" s="6" t="s">
        <v>41</v>
      </c>
      <c r="I26" s="11">
        <v>40.0</v>
      </c>
    </row>
    <row r="27" ht="22.5" customHeight="1">
      <c r="A27" s="12" t="s">
        <v>9</v>
      </c>
      <c r="B27" s="13" t="s">
        <v>10</v>
      </c>
      <c r="C27" s="14" t="s">
        <v>11</v>
      </c>
      <c r="D27" s="15" t="s">
        <v>42</v>
      </c>
      <c r="E27" s="16" t="s">
        <v>43</v>
      </c>
      <c r="F27" s="16" t="str">
        <f t="shared" si="1"/>
        <v>B14 Cambridge IGCSE 0580 Mathematics - SAR</v>
      </c>
      <c r="G27" s="16" t="s">
        <v>14</v>
      </c>
      <c r="H27" s="13" t="s">
        <v>15</v>
      </c>
      <c r="I27" s="17">
        <v>200.0</v>
      </c>
    </row>
    <row r="28" ht="22.5" customHeight="1">
      <c r="A28" s="5" t="s">
        <v>9</v>
      </c>
      <c r="B28" s="6" t="s">
        <v>10</v>
      </c>
      <c r="C28" s="7" t="s">
        <v>11</v>
      </c>
      <c r="D28" s="8" t="s">
        <v>42</v>
      </c>
      <c r="E28" s="9" t="s">
        <v>43</v>
      </c>
      <c r="F28" s="9" t="str">
        <f t="shared" si="1"/>
        <v>B14 Cambridge IGCSE 0580 Mathematics - INR</v>
      </c>
      <c r="G28" s="10" t="s">
        <v>14</v>
      </c>
      <c r="H28" s="6" t="s">
        <v>17</v>
      </c>
      <c r="I28" s="11">
        <v>4000.0</v>
      </c>
    </row>
    <row r="29" ht="22.5" customHeight="1">
      <c r="A29" s="12" t="s">
        <v>20</v>
      </c>
      <c r="B29" s="13" t="s">
        <v>10</v>
      </c>
      <c r="C29" s="14" t="s">
        <v>11</v>
      </c>
      <c r="D29" s="15" t="s">
        <v>42</v>
      </c>
      <c r="E29" s="16" t="s">
        <v>43</v>
      </c>
      <c r="F29" s="16" t="str">
        <f t="shared" si="1"/>
        <v>T2 Cambridge IGCSE 0580 Mathematics - PKR</v>
      </c>
      <c r="G29" s="16" t="s">
        <v>21</v>
      </c>
      <c r="H29" s="13" t="s">
        <v>22</v>
      </c>
      <c r="I29" s="17">
        <v>15000.0</v>
      </c>
    </row>
    <row r="30" ht="22.5" customHeight="1">
      <c r="A30" s="21" t="s">
        <v>38</v>
      </c>
      <c r="B30" s="22" t="s">
        <v>10</v>
      </c>
      <c r="C30" s="7" t="s">
        <v>11</v>
      </c>
      <c r="D30" s="23" t="s">
        <v>42</v>
      </c>
      <c r="E30" s="10" t="s">
        <v>43</v>
      </c>
      <c r="F30" s="10" t="str">
        <f t="shared" si="1"/>
        <v>T3 Cambridge IGCSE 0580 Mathematics - SAR</v>
      </c>
      <c r="G30" s="10" t="s">
        <v>21</v>
      </c>
      <c r="H30" s="6" t="s">
        <v>15</v>
      </c>
      <c r="I30" s="11">
        <v>150.0</v>
      </c>
    </row>
    <row r="31" ht="22.5" customHeight="1">
      <c r="A31" s="12" t="s">
        <v>9</v>
      </c>
      <c r="B31" s="13" t="s">
        <v>10</v>
      </c>
      <c r="C31" s="14" t="s">
        <v>11</v>
      </c>
      <c r="D31" s="15" t="s">
        <v>44</v>
      </c>
      <c r="E31" s="16" t="s">
        <v>45</v>
      </c>
      <c r="F31" s="16" t="str">
        <f t="shared" si="1"/>
        <v>B14 Cambridge IGCSE 0610 Biology - SAR</v>
      </c>
      <c r="G31" s="16" t="s">
        <v>14</v>
      </c>
      <c r="H31" s="13" t="s">
        <v>15</v>
      </c>
      <c r="I31" s="17">
        <v>200.0</v>
      </c>
    </row>
    <row r="32" ht="22.5" customHeight="1">
      <c r="A32" s="21" t="s">
        <v>9</v>
      </c>
      <c r="B32" s="22" t="s">
        <v>10</v>
      </c>
      <c r="C32" s="7" t="s">
        <v>11</v>
      </c>
      <c r="D32" s="23" t="s">
        <v>44</v>
      </c>
      <c r="E32" s="10" t="s">
        <v>45</v>
      </c>
      <c r="F32" s="10" t="str">
        <f t="shared" si="1"/>
        <v>B14 Cambridge IGCSE 0610 Biology - INR</v>
      </c>
      <c r="G32" s="10" t="s">
        <v>14</v>
      </c>
      <c r="H32" s="6" t="s">
        <v>17</v>
      </c>
      <c r="I32" s="11">
        <v>4000.0</v>
      </c>
    </row>
    <row r="33" ht="22.5" customHeight="1">
      <c r="A33" s="12" t="s">
        <v>20</v>
      </c>
      <c r="B33" s="13" t="s">
        <v>10</v>
      </c>
      <c r="C33" s="14" t="s">
        <v>11</v>
      </c>
      <c r="D33" s="15" t="s">
        <v>44</v>
      </c>
      <c r="E33" s="16" t="s">
        <v>45</v>
      </c>
      <c r="F33" s="16" t="str">
        <f t="shared" si="1"/>
        <v>T2 Cambridge IGCSE 0610 Biology - PKR</v>
      </c>
      <c r="G33" s="16" t="s">
        <v>21</v>
      </c>
      <c r="H33" s="13" t="s">
        <v>22</v>
      </c>
      <c r="I33" s="17">
        <v>15000.0</v>
      </c>
    </row>
    <row r="34" ht="22.5" customHeight="1">
      <c r="A34" s="5" t="s">
        <v>9</v>
      </c>
      <c r="B34" s="6" t="s">
        <v>10</v>
      </c>
      <c r="C34" s="7" t="s">
        <v>11</v>
      </c>
      <c r="D34" s="8" t="s">
        <v>46</v>
      </c>
      <c r="E34" s="9" t="s">
        <v>47</v>
      </c>
      <c r="F34" s="9" t="str">
        <f t="shared" si="1"/>
        <v>B14 Cambridge IGCSE 0620 Chemistry - SAR</v>
      </c>
      <c r="G34" s="10" t="s">
        <v>14</v>
      </c>
      <c r="H34" s="6" t="s">
        <v>15</v>
      </c>
      <c r="I34" s="11">
        <v>200.0</v>
      </c>
    </row>
    <row r="35" ht="22.5" customHeight="1">
      <c r="A35" s="12" t="s">
        <v>9</v>
      </c>
      <c r="B35" s="13" t="s">
        <v>10</v>
      </c>
      <c r="C35" s="14" t="s">
        <v>11</v>
      </c>
      <c r="D35" s="15" t="s">
        <v>46</v>
      </c>
      <c r="E35" s="16" t="s">
        <v>47</v>
      </c>
      <c r="F35" s="16" t="str">
        <f t="shared" si="1"/>
        <v>B14 Cambridge IGCSE 0620 Chemistry - AED</v>
      </c>
      <c r="G35" s="16" t="s">
        <v>14</v>
      </c>
      <c r="H35" s="13" t="s">
        <v>16</v>
      </c>
      <c r="I35" s="17">
        <v>200.0</v>
      </c>
    </row>
    <row r="36" ht="22.5" customHeight="1">
      <c r="A36" s="5" t="s">
        <v>9</v>
      </c>
      <c r="B36" s="6" t="s">
        <v>10</v>
      </c>
      <c r="C36" s="7" t="s">
        <v>11</v>
      </c>
      <c r="D36" s="8" t="s">
        <v>46</v>
      </c>
      <c r="E36" s="9" t="s">
        <v>47</v>
      </c>
      <c r="F36" s="9" t="str">
        <f t="shared" si="1"/>
        <v>B14 Cambridge IGCSE 0620 Chemistry - INR</v>
      </c>
      <c r="G36" s="10" t="s">
        <v>14</v>
      </c>
      <c r="H36" s="6" t="s">
        <v>17</v>
      </c>
      <c r="I36" s="11">
        <v>4000.0</v>
      </c>
    </row>
    <row r="37" ht="22.5" customHeight="1">
      <c r="A37" s="24" t="s">
        <v>9</v>
      </c>
      <c r="B37" s="25" t="s">
        <v>10</v>
      </c>
      <c r="C37" s="26" t="s">
        <v>11</v>
      </c>
      <c r="D37" s="27" t="s">
        <v>46</v>
      </c>
      <c r="E37" s="28" t="s">
        <v>47</v>
      </c>
      <c r="F37" s="28" t="s">
        <v>48</v>
      </c>
      <c r="G37" s="16" t="s">
        <v>14</v>
      </c>
      <c r="H37" s="25" t="s">
        <v>17</v>
      </c>
      <c r="I37" s="29">
        <v>1000.0</v>
      </c>
    </row>
    <row r="38" ht="22.5" customHeight="1">
      <c r="A38" s="5" t="s">
        <v>20</v>
      </c>
      <c r="B38" s="6" t="s">
        <v>10</v>
      </c>
      <c r="C38" s="7" t="s">
        <v>11</v>
      </c>
      <c r="D38" s="8" t="s">
        <v>46</v>
      </c>
      <c r="E38" s="9" t="s">
        <v>47</v>
      </c>
      <c r="F38" s="9" t="str">
        <f t="shared" ref="F38:F47" si="2">IF(H38="",TEXTJOIN(" ", TRUE, A38, B38, C38, D38, E38),TEXTJOIN(" ", TRUE, A38, B38, C38, D38, E38) &amp; " - " &amp; H38)</f>
        <v>T2 Cambridge IGCSE 0620 Chemistry - PKR</v>
      </c>
      <c r="G38" s="10" t="s">
        <v>21</v>
      </c>
      <c r="H38" s="6" t="s">
        <v>22</v>
      </c>
      <c r="I38" s="11">
        <v>15000.0</v>
      </c>
    </row>
    <row r="39" ht="22.5" customHeight="1">
      <c r="A39" s="12" t="s">
        <v>38</v>
      </c>
      <c r="B39" s="13" t="s">
        <v>10</v>
      </c>
      <c r="C39" s="14" t="s">
        <v>11</v>
      </c>
      <c r="D39" s="15" t="s">
        <v>46</v>
      </c>
      <c r="E39" s="16" t="s">
        <v>47</v>
      </c>
      <c r="F39" s="16" t="str">
        <f t="shared" si="2"/>
        <v>T3 Cambridge IGCSE 0620 Chemistry - SAR</v>
      </c>
      <c r="G39" s="16" t="s">
        <v>21</v>
      </c>
      <c r="H39" s="13" t="s">
        <v>15</v>
      </c>
      <c r="I39" s="17">
        <v>150.0</v>
      </c>
    </row>
    <row r="40" ht="22.5" customHeight="1">
      <c r="A40" s="5" t="s">
        <v>9</v>
      </c>
      <c r="B40" s="6" t="s">
        <v>10</v>
      </c>
      <c r="C40" s="7" t="s">
        <v>11</v>
      </c>
      <c r="D40" s="8" t="s">
        <v>49</v>
      </c>
      <c r="E40" s="9" t="s">
        <v>50</v>
      </c>
      <c r="F40" s="9" t="str">
        <f t="shared" si="2"/>
        <v>B14 Cambridge IGCSE 0625 Physics - SAR</v>
      </c>
      <c r="G40" s="10" t="s">
        <v>14</v>
      </c>
      <c r="H40" s="6" t="s">
        <v>15</v>
      </c>
      <c r="I40" s="11">
        <v>200.0</v>
      </c>
    </row>
    <row r="41" ht="22.5" customHeight="1">
      <c r="A41" s="12" t="s">
        <v>9</v>
      </c>
      <c r="B41" s="13" t="s">
        <v>10</v>
      </c>
      <c r="C41" s="14" t="s">
        <v>11</v>
      </c>
      <c r="D41" s="15" t="s">
        <v>49</v>
      </c>
      <c r="E41" s="16" t="s">
        <v>50</v>
      </c>
      <c r="F41" s="16" t="str">
        <f t="shared" si="2"/>
        <v>B14 Cambridge IGCSE 0625 Physics - INR</v>
      </c>
      <c r="G41" s="16" t="s">
        <v>14</v>
      </c>
      <c r="H41" s="13" t="s">
        <v>17</v>
      </c>
      <c r="I41" s="17">
        <v>4000.0</v>
      </c>
    </row>
    <row r="42" ht="22.5" customHeight="1">
      <c r="A42" s="5" t="s">
        <v>20</v>
      </c>
      <c r="B42" s="6" t="s">
        <v>10</v>
      </c>
      <c r="C42" s="7" t="s">
        <v>11</v>
      </c>
      <c r="D42" s="8" t="s">
        <v>49</v>
      </c>
      <c r="E42" s="9" t="s">
        <v>50</v>
      </c>
      <c r="F42" s="9" t="str">
        <f t="shared" si="2"/>
        <v>T2 Cambridge IGCSE 0625 Physics - PKR</v>
      </c>
      <c r="G42" s="10" t="s">
        <v>21</v>
      </c>
      <c r="H42" s="6" t="s">
        <v>22</v>
      </c>
      <c r="I42" s="11">
        <v>15000.0</v>
      </c>
    </row>
    <row r="43" ht="22.5" customHeight="1">
      <c r="A43" s="12" t="s">
        <v>38</v>
      </c>
      <c r="B43" s="13" t="s">
        <v>10</v>
      </c>
      <c r="C43" s="14" t="s">
        <v>11</v>
      </c>
      <c r="D43" s="15" t="s">
        <v>49</v>
      </c>
      <c r="E43" s="16" t="s">
        <v>50</v>
      </c>
      <c r="F43" s="16" t="str">
        <f t="shared" si="2"/>
        <v>T3 Cambridge IGCSE 0625 Physics - SAR</v>
      </c>
      <c r="G43" s="16" t="s">
        <v>21</v>
      </c>
      <c r="H43" s="13" t="s">
        <v>15</v>
      </c>
      <c r="I43" s="17">
        <v>150.0</v>
      </c>
    </row>
    <row r="44" ht="22.5" customHeight="1">
      <c r="A44" s="5" t="s">
        <v>9</v>
      </c>
      <c r="B44" s="6" t="s">
        <v>10</v>
      </c>
      <c r="C44" s="7" t="s">
        <v>11</v>
      </c>
      <c r="D44" s="8" t="s">
        <v>49</v>
      </c>
      <c r="E44" s="9" t="s">
        <v>50</v>
      </c>
      <c r="F44" s="9" t="str">
        <f t="shared" si="2"/>
        <v>B14 Cambridge IGCSE 0625 Physics - MYR</v>
      </c>
      <c r="G44" s="10" t="s">
        <v>14</v>
      </c>
      <c r="H44" s="6" t="s">
        <v>41</v>
      </c>
      <c r="I44" s="11">
        <v>40.0</v>
      </c>
    </row>
    <row r="45" ht="22.5" customHeight="1">
      <c r="A45" s="12" t="s">
        <v>51</v>
      </c>
      <c r="B45" s="13" t="s">
        <v>10</v>
      </c>
      <c r="C45" s="30" t="s">
        <v>52</v>
      </c>
      <c r="D45" s="15" t="s">
        <v>53</v>
      </c>
      <c r="E45" s="16" t="s">
        <v>54</v>
      </c>
      <c r="F45" s="16" t="str">
        <f t="shared" si="2"/>
        <v>B18 Cambridge AS-Level 8021 English General Paper - INR</v>
      </c>
      <c r="G45" s="16" t="s">
        <v>14</v>
      </c>
      <c r="H45" s="13" t="s">
        <v>17</v>
      </c>
      <c r="I45" s="17">
        <v>8000.0</v>
      </c>
    </row>
    <row r="46" ht="22.5" customHeight="1">
      <c r="A46" s="21" t="s">
        <v>51</v>
      </c>
      <c r="B46" s="22" t="s">
        <v>10</v>
      </c>
      <c r="C46" s="31" t="s">
        <v>52</v>
      </c>
      <c r="D46" s="23" t="s">
        <v>53</v>
      </c>
      <c r="E46" s="10" t="s">
        <v>54</v>
      </c>
      <c r="F46" s="10" t="str">
        <f t="shared" si="2"/>
        <v>B18 Cambridge AS-Level 8021 English General Paper - GBP</v>
      </c>
      <c r="G46" s="10" t="s">
        <v>14</v>
      </c>
      <c r="H46" s="6" t="s">
        <v>19</v>
      </c>
      <c r="I46" s="11">
        <v>75.0</v>
      </c>
    </row>
    <row r="47" ht="22.5" customHeight="1">
      <c r="A47" s="12" t="s">
        <v>55</v>
      </c>
      <c r="B47" s="13" t="s">
        <v>10</v>
      </c>
      <c r="C47" s="30" t="s">
        <v>52</v>
      </c>
      <c r="D47" s="15" t="s">
        <v>53</v>
      </c>
      <c r="E47" s="16" t="s">
        <v>54</v>
      </c>
      <c r="F47" s="16" t="str">
        <f t="shared" si="2"/>
        <v>B8 Cambridge AS-Level 8021 English General Paper - INR</v>
      </c>
      <c r="G47" s="16" t="s">
        <v>14</v>
      </c>
      <c r="H47" s="13" t="s">
        <v>17</v>
      </c>
      <c r="I47" s="17">
        <v>8000.0</v>
      </c>
    </row>
    <row r="48" ht="22.5" customHeight="1">
      <c r="A48" s="21" t="s">
        <v>55</v>
      </c>
      <c r="B48" s="22" t="s">
        <v>10</v>
      </c>
      <c r="C48" s="31" t="s">
        <v>52</v>
      </c>
      <c r="D48" s="23" t="s">
        <v>53</v>
      </c>
      <c r="E48" s="10" t="s">
        <v>54</v>
      </c>
      <c r="F48" s="10" t="s">
        <v>56</v>
      </c>
      <c r="G48" s="10" t="s">
        <v>14</v>
      </c>
      <c r="H48" s="6" t="s">
        <v>19</v>
      </c>
      <c r="I48" s="11">
        <v>75.0</v>
      </c>
    </row>
    <row r="49" ht="22.5" customHeight="1">
      <c r="A49" s="12" t="s">
        <v>51</v>
      </c>
      <c r="B49" s="13" t="s">
        <v>10</v>
      </c>
      <c r="C49" s="30" t="s">
        <v>52</v>
      </c>
      <c r="D49" s="15" t="s">
        <v>57</v>
      </c>
      <c r="E49" s="16" t="s">
        <v>58</v>
      </c>
      <c r="F49" s="16" t="str">
        <f t="shared" ref="F49:F95" si="3">IF(H49="",TEXTJOIN(" ", TRUE, A49, B49, C49, D49, E49),TEXTJOIN(" ", TRUE, A49, B49, C49, D49, E49) &amp; " - " &amp; H49)</f>
        <v>B18 Cambridge AS-Level 9093 English Language - INR</v>
      </c>
      <c r="G49" s="16" t="s">
        <v>14</v>
      </c>
      <c r="H49" s="13" t="s">
        <v>17</v>
      </c>
      <c r="I49" s="17">
        <v>8000.0</v>
      </c>
    </row>
    <row r="50" ht="22.5" customHeight="1">
      <c r="A50" s="5" t="s">
        <v>51</v>
      </c>
      <c r="B50" s="13" t="s">
        <v>10</v>
      </c>
      <c r="C50" s="32" t="s">
        <v>52</v>
      </c>
      <c r="D50" s="15" t="s">
        <v>57</v>
      </c>
      <c r="E50" s="16" t="s">
        <v>58</v>
      </c>
      <c r="F50" s="16" t="str">
        <f t="shared" si="3"/>
        <v>B18 Cambridge AS-Level 9093 English Language - SAR</v>
      </c>
      <c r="G50" s="16" t="s">
        <v>14</v>
      </c>
      <c r="H50" s="13" t="s">
        <v>15</v>
      </c>
      <c r="I50" s="17">
        <v>300.0</v>
      </c>
    </row>
    <row r="51" ht="22.5" customHeight="1">
      <c r="A51" s="12" t="s">
        <v>55</v>
      </c>
      <c r="B51" s="13" t="s">
        <v>10</v>
      </c>
      <c r="C51" s="33" t="s">
        <v>59</v>
      </c>
      <c r="D51" s="15" t="s">
        <v>57</v>
      </c>
      <c r="E51" s="16" t="s">
        <v>58</v>
      </c>
      <c r="F51" s="16" t="str">
        <f t="shared" si="3"/>
        <v>B8 Cambridge A-Level 9093 English Language - INR</v>
      </c>
      <c r="G51" s="16" t="s">
        <v>14</v>
      </c>
      <c r="H51" s="13" t="s">
        <v>17</v>
      </c>
      <c r="I51" s="17">
        <v>8000.0</v>
      </c>
    </row>
    <row r="52" ht="22.5" customHeight="1">
      <c r="A52" s="5" t="s">
        <v>55</v>
      </c>
      <c r="B52" s="6" t="s">
        <v>10</v>
      </c>
      <c r="C52" s="34" t="s">
        <v>59</v>
      </c>
      <c r="D52" s="8" t="s">
        <v>57</v>
      </c>
      <c r="E52" s="9" t="s">
        <v>58</v>
      </c>
      <c r="F52" s="9" t="str">
        <f t="shared" si="3"/>
        <v>B8 Cambridge A-Level 9093 English Language - SAR</v>
      </c>
      <c r="G52" s="10" t="s">
        <v>14</v>
      </c>
      <c r="H52" s="13" t="s">
        <v>15</v>
      </c>
      <c r="I52" s="11">
        <v>300.0</v>
      </c>
    </row>
    <row r="53" ht="22.5" customHeight="1">
      <c r="A53" s="12" t="s">
        <v>55</v>
      </c>
      <c r="B53" s="13" t="s">
        <v>10</v>
      </c>
      <c r="C53" s="30" t="s">
        <v>52</v>
      </c>
      <c r="D53" s="15" t="s">
        <v>57</v>
      </c>
      <c r="E53" s="16" t="s">
        <v>58</v>
      </c>
      <c r="F53" s="16" t="str">
        <f t="shared" si="3"/>
        <v>B8 Cambridge AS-Level 9093 English Language - SAR</v>
      </c>
      <c r="G53" s="16" t="s">
        <v>14</v>
      </c>
      <c r="H53" s="13" t="s">
        <v>15</v>
      </c>
      <c r="I53" s="17">
        <v>300.0</v>
      </c>
    </row>
    <row r="54" ht="22.5" customHeight="1">
      <c r="A54" s="5" t="s">
        <v>51</v>
      </c>
      <c r="B54" s="6" t="s">
        <v>10</v>
      </c>
      <c r="C54" s="32" t="s">
        <v>52</v>
      </c>
      <c r="D54" s="8" t="s">
        <v>60</v>
      </c>
      <c r="E54" s="9" t="s">
        <v>61</v>
      </c>
      <c r="F54" s="9" t="str">
        <f t="shared" si="3"/>
        <v>B18 Cambridge AS-Level 9239 Global Perspectives &amp; Research - INR</v>
      </c>
      <c r="G54" s="10" t="s">
        <v>14</v>
      </c>
      <c r="H54" s="6" t="s">
        <v>17</v>
      </c>
      <c r="I54" s="11">
        <v>7000.0</v>
      </c>
    </row>
    <row r="55" ht="22.5" customHeight="1">
      <c r="A55" s="12" t="s">
        <v>55</v>
      </c>
      <c r="B55" s="13" t="s">
        <v>10</v>
      </c>
      <c r="C55" s="30" t="s">
        <v>52</v>
      </c>
      <c r="D55" s="15" t="s">
        <v>60</v>
      </c>
      <c r="E55" s="16" t="s">
        <v>61</v>
      </c>
      <c r="F55" s="16" t="str">
        <f t="shared" si="3"/>
        <v>B8 Cambridge AS-Level 9239 Global Perspectives &amp; Research - INR</v>
      </c>
      <c r="G55" s="16" t="s">
        <v>14</v>
      </c>
      <c r="H55" s="13" t="s">
        <v>17</v>
      </c>
      <c r="I55" s="17">
        <v>9000.0</v>
      </c>
    </row>
    <row r="56" ht="22.5" customHeight="1">
      <c r="A56" s="5" t="s">
        <v>51</v>
      </c>
      <c r="B56" s="6" t="s">
        <v>10</v>
      </c>
      <c r="C56" s="32" t="s">
        <v>52</v>
      </c>
      <c r="D56" s="8" t="s">
        <v>62</v>
      </c>
      <c r="E56" s="9" t="s">
        <v>63</v>
      </c>
      <c r="F56" s="9" t="str">
        <f t="shared" si="3"/>
        <v>B18 Cambridge AS-Level 9609 Business - INR</v>
      </c>
      <c r="G56" s="10" t="s">
        <v>25</v>
      </c>
      <c r="H56" s="6" t="s">
        <v>17</v>
      </c>
      <c r="I56" s="35">
        <v>9000.0</v>
      </c>
    </row>
    <row r="57" ht="22.5" customHeight="1">
      <c r="A57" s="12" t="s">
        <v>51</v>
      </c>
      <c r="B57" s="13" t="s">
        <v>10</v>
      </c>
      <c r="C57" s="30" t="s">
        <v>52</v>
      </c>
      <c r="D57" s="15" t="s">
        <v>62</v>
      </c>
      <c r="E57" s="16" t="s">
        <v>63</v>
      </c>
      <c r="F57" s="16" t="str">
        <f t="shared" si="3"/>
        <v>B18 Cambridge AS-Level 9609 Business - SAR</v>
      </c>
      <c r="G57" s="16" t="s">
        <v>25</v>
      </c>
      <c r="H57" s="13" t="s">
        <v>15</v>
      </c>
      <c r="I57" s="17">
        <v>450.0</v>
      </c>
    </row>
    <row r="58" ht="22.5" customHeight="1">
      <c r="A58" s="5" t="s">
        <v>55</v>
      </c>
      <c r="B58" s="6" t="s">
        <v>10</v>
      </c>
      <c r="C58" s="34" t="s">
        <v>59</v>
      </c>
      <c r="D58" s="8" t="s">
        <v>62</v>
      </c>
      <c r="E58" s="9" t="s">
        <v>63</v>
      </c>
      <c r="F58" s="9" t="str">
        <f t="shared" si="3"/>
        <v>B8 Cambridge A-Level 9609 Business - INR</v>
      </c>
      <c r="G58" s="10" t="s">
        <v>25</v>
      </c>
      <c r="H58" s="6" t="s">
        <v>17</v>
      </c>
      <c r="I58" s="35">
        <v>9000.0</v>
      </c>
    </row>
    <row r="59" ht="22.5" customHeight="1">
      <c r="A59" s="12" t="s">
        <v>55</v>
      </c>
      <c r="B59" s="13" t="s">
        <v>10</v>
      </c>
      <c r="C59" s="33" t="s">
        <v>59</v>
      </c>
      <c r="D59" s="15" t="s">
        <v>62</v>
      </c>
      <c r="E59" s="16" t="s">
        <v>63</v>
      </c>
      <c r="F59" s="16" t="str">
        <f t="shared" si="3"/>
        <v>B8 Cambridge A-Level 9609 Business - SAR</v>
      </c>
      <c r="G59" s="16" t="s">
        <v>25</v>
      </c>
      <c r="H59" s="13" t="s">
        <v>15</v>
      </c>
      <c r="I59" s="17">
        <v>450.0</v>
      </c>
    </row>
    <row r="60" ht="22.5" customHeight="1">
      <c r="A60" s="5" t="s">
        <v>55</v>
      </c>
      <c r="B60" s="6" t="s">
        <v>10</v>
      </c>
      <c r="C60" s="32" t="s">
        <v>52</v>
      </c>
      <c r="D60" s="8" t="s">
        <v>62</v>
      </c>
      <c r="E60" s="9" t="s">
        <v>63</v>
      </c>
      <c r="F60" s="9" t="str">
        <f t="shared" si="3"/>
        <v>B8 Cambridge AS-Level 9609 Business - INR</v>
      </c>
      <c r="G60" s="10" t="s">
        <v>25</v>
      </c>
      <c r="H60" s="6" t="s">
        <v>17</v>
      </c>
      <c r="I60" s="35">
        <v>9000.0</v>
      </c>
    </row>
    <row r="61" ht="22.5" customHeight="1">
      <c r="A61" s="12" t="s">
        <v>55</v>
      </c>
      <c r="B61" s="13" t="s">
        <v>10</v>
      </c>
      <c r="C61" s="30" t="s">
        <v>52</v>
      </c>
      <c r="D61" s="15" t="s">
        <v>62</v>
      </c>
      <c r="E61" s="16" t="s">
        <v>63</v>
      </c>
      <c r="F61" s="16" t="str">
        <f t="shared" si="3"/>
        <v>B8 Cambridge AS-Level 9609 Business - SAR</v>
      </c>
      <c r="G61" s="16" t="s">
        <v>25</v>
      </c>
      <c r="H61" s="13" t="s">
        <v>15</v>
      </c>
      <c r="I61" s="17">
        <v>450.0</v>
      </c>
    </row>
    <row r="62" ht="22.5" customHeight="1">
      <c r="A62" s="5" t="s">
        <v>51</v>
      </c>
      <c r="B62" s="6" t="s">
        <v>10</v>
      </c>
      <c r="C62" s="32" t="s">
        <v>52</v>
      </c>
      <c r="D62" s="8" t="s">
        <v>64</v>
      </c>
      <c r="E62" s="9" t="s">
        <v>31</v>
      </c>
      <c r="F62" s="9" t="str">
        <f t="shared" si="3"/>
        <v>B18 Cambridge AS-Level 9618 Computer Science - INR</v>
      </c>
      <c r="G62" s="10" t="s">
        <v>14</v>
      </c>
      <c r="H62" s="6" t="s">
        <v>17</v>
      </c>
      <c r="I62" s="35">
        <v>8000.0</v>
      </c>
    </row>
    <row r="63" ht="22.5" customHeight="1">
      <c r="A63" s="12" t="s">
        <v>51</v>
      </c>
      <c r="B63" s="13" t="s">
        <v>10</v>
      </c>
      <c r="C63" s="30" t="s">
        <v>52</v>
      </c>
      <c r="D63" s="15" t="s">
        <v>64</v>
      </c>
      <c r="E63" s="16" t="s">
        <v>31</v>
      </c>
      <c r="F63" s="16" t="str">
        <f t="shared" si="3"/>
        <v>B18 Cambridge AS-Level 9618 Computer Science - SAR</v>
      </c>
      <c r="G63" s="16" t="s">
        <v>14</v>
      </c>
      <c r="H63" s="13" t="s">
        <v>15</v>
      </c>
      <c r="I63" s="17">
        <v>300.0</v>
      </c>
    </row>
    <row r="64" ht="22.5" customHeight="1">
      <c r="A64" s="5" t="s">
        <v>55</v>
      </c>
      <c r="B64" s="6" t="s">
        <v>10</v>
      </c>
      <c r="C64" s="34" t="s">
        <v>59</v>
      </c>
      <c r="D64" s="8" t="s">
        <v>64</v>
      </c>
      <c r="E64" s="9" t="s">
        <v>31</v>
      </c>
      <c r="F64" s="9" t="str">
        <f t="shared" si="3"/>
        <v>B8 Cambridge A-Level 9618 Computer Science - INR</v>
      </c>
      <c r="G64" s="10" t="s">
        <v>14</v>
      </c>
      <c r="H64" s="6" t="s">
        <v>17</v>
      </c>
      <c r="I64" s="11">
        <v>8000.0</v>
      </c>
    </row>
    <row r="65" ht="22.5" customHeight="1">
      <c r="A65" s="12" t="s">
        <v>55</v>
      </c>
      <c r="B65" s="13" t="s">
        <v>10</v>
      </c>
      <c r="C65" s="33" t="s">
        <v>59</v>
      </c>
      <c r="D65" s="15" t="s">
        <v>64</v>
      </c>
      <c r="E65" s="16" t="s">
        <v>31</v>
      </c>
      <c r="F65" s="16" t="str">
        <f t="shared" si="3"/>
        <v>B8 Cambridge A-Level 9618 Computer Science - SAR</v>
      </c>
      <c r="G65" s="16" t="s">
        <v>14</v>
      </c>
      <c r="H65" s="13" t="s">
        <v>15</v>
      </c>
      <c r="I65" s="17">
        <v>300.0</v>
      </c>
    </row>
    <row r="66" ht="22.5" customHeight="1">
      <c r="A66" s="5" t="s">
        <v>55</v>
      </c>
      <c r="B66" s="6" t="s">
        <v>10</v>
      </c>
      <c r="C66" s="32" t="s">
        <v>52</v>
      </c>
      <c r="D66" s="8" t="s">
        <v>64</v>
      </c>
      <c r="E66" s="9" t="s">
        <v>31</v>
      </c>
      <c r="F66" s="9" t="str">
        <f t="shared" si="3"/>
        <v>B8 Cambridge AS-Level 9618 Computer Science - INR</v>
      </c>
      <c r="G66" s="10" t="s">
        <v>14</v>
      </c>
      <c r="H66" s="22" t="s">
        <v>17</v>
      </c>
      <c r="I66" s="11">
        <v>8000.0</v>
      </c>
    </row>
    <row r="67" ht="22.5" customHeight="1">
      <c r="A67" s="12" t="s">
        <v>55</v>
      </c>
      <c r="B67" s="13" t="s">
        <v>10</v>
      </c>
      <c r="C67" s="30" t="s">
        <v>52</v>
      </c>
      <c r="D67" s="15" t="s">
        <v>64</v>
      </c>
      <c r="E67" s="16" t="s">
        <v>31</v>
      </c>
      <c r="F67" s="16" t="str">
        <f t="shared" si="3"/>
        <v>B8 Cambridge AS-Level 9618 Computer Science - SAR</v>
      </c>
      <c r="G67" s="16" t="s">
        <v>14</v>
      </c>
      <c r="H67" s="13" t="s">
        <v>15</v>
      </c>
      <c r="I67" s="17">
        <v>300.0</v>
      </c>
    </row>
    <row r="68" ht="22.5" customHeight="1">
      <c r="A68" s="5" t="s">
        <v>55</v>
      </c>
      <c r="B68" s="6" t="s">
        <v>10</v>
      </c>
      <c r="C68" s="34" t="s">
        <v>59</v>
      </c>
      <c r="D68" s="8" t="s">
        <v>64</v>
      </c>
      <c r="E68" s="9" t="s">
        <v>31</v>
      </c>
      <c r="F68" s="9" t="str">
        <f t="shared" si="3"/>
        <v>B8 Cambridge A-Level 9618 Computer Science - GBP</v>
      </c>
      <c r="G68" s="10" t="s">
        <v>14</v>
      </c>
      <c r="H68" s="22" t="s">
        <v>19</v>
      </c>
      <c r="I68" s="11">
        <v>15.0</v>
      </c>
    </row>
    <row r="69" ht="22.5" customHeight="1">
      <c r="A69" s="12" t="s">
        <v>51</v>
      </c>
      <c r="B69" s="13" t="s">
        <v>10</v>
      </c>
      <c r="C69" s="30" t="s">
        <v>52</v>
      </c>
      <c r="D69" s="15" t="s">
        <v>65</v>
      </c>
      <c r="E69" s="16" t="s">
        <v>66</v>
      </c>
      <c r="F69" s="16" t="str">
        <f t="shared" si="3"/>
        <v>B18 Cambridge AS-Level 9626 Information Technology - INR</v>
      </c>
      <c r="G69" s="16" t="s">
        <v>14</v>
      </c>
      <c r="H69" s="13" t="s">
        <v>17</v>
      </c>
      <c r="I69" s="17">
        <v>8000.0</v>
      </c>
    </row>
    <row r="70" ht="22.5" customHeight="1">
      <c r="A70" s="5" t="s">
        <v>51</v>
      </c>
      <c r="B70" s="13" t="s">
        <v>10</v>
      </c>
      <c r="C70" s="32" t="s">
        <v>52</v>
      </c>
      <c r="D70" s="15" t="s">
        <v>65</v>
      </c>
      <c r="E70" s="16" t="s">
        <v>66</v>
      </c>
      <c r="F70" s="16" t="str">
        <f t="shared" si="3"/>
        <v>B18 Cambridge AS-Level 9626 Information Technology - SAR</v>
      </c>
      <c r="G70" s="16" t="s">
        <v>14</v>
      </c>
      <c r="H70" s="13" t="s">
        <v>15</v>
      </c>
      <c r="I70" s="17">
        <v>300.0</v>
      </c>
    </row>
    <row r="71" ht="22.5" customHeight="1">
      <c r="A71" s="12" t="s">
        <v>55</v>
      </c>
      <c r="B71" s="13" t="s">
        <v>10</v>
      </c>
      <c r="C71" s="33" t="s">
        <v>59</v>
      </c>
      <c r="D71" s="15" t="s">
        <v>65</v>
      </c>
      <c r="E71" s="16" t="s">
        <v>66</v>
      </c>
      <c r="F71" s="16" t="str">
        <f t="shared" si="3"/>
        <v>B8 Cambridge A-Level 9626 Information Technology - INR</v>
      </c>
      <c r="G71" s="16" t="s">
        <v>14</v>
      </c>
      <c r="H71" s="13" t="s">
        <v>17</v>
      </c>
      <c r="I71" s="17">
        <v>9000.0</v>
      </c>
    </row>
    <row r="72" ht="22.5" customHeight="1">
      <c r="A72" s="21" t="s">
        <v>55</v>
      </c>
      <c r="B72" s="22" t="s">
        <v>10</v>
      </c>
      <c r="C72" s="36" t="s">
        <v>59</v>
      </c>
      <c r="D72" s="23" t="s">
        <v>65</v>
      </c>
      <c r="E72" s="10" t="s">
        <v>66</v>
      </c>
      <c r="F72" s="9" t="str">
        <f t="shared" si="3"/>
        <v>B8 Cambridge A-Level 9626 Information Technology - SAR</v>
      </c>
      <c r="G72" s="9" t="s">
        <v>14</v>
      </c>
      <c r="H72" s="13" t="s">
        <v>15</v>
      </c>
      <c r="I72" s="11">
        <v>450.0</v>
      </c>
    </row>
    <row r="73" ht="22.5" customHeight="1">
      <c r="A73" s="12" t="s">
        <v>55</v>
      </c>
      <c r="B73" s="13" t="s">
        <v>10</v>
      </c>
      <c r="C73" s="30" t="s">
        <v>52</v>
      </c>
      <c r="D73" s="15" t="s">
        <v>65</v>
      </c>
      <c r="E73" s="16" t="s">
        <v>66</v>
      </c>
      <c r="F73" s="16" t="str">
        <f t="shared" si="3"/>
        <v>B8 Cambridge AS-Level 9626 Information Technology - INR</v>
      </c>
      <c r="G73" s="16" t="s">
        <v>14</v>
      </c>
      <c r="H73" s="13" t="s">
        <v>17</v>
      </c>
      <c r="I73" s="17">
        <v>9000.0</v>
      </c>
    </row>
    <row r="74" ht="22.5" customHeight="1">
      <c r="A74" s="12" t="s">
        <v>55</v>
      </c>
      <c r="B74" s="13" t="s">
        <v>10</v>
      </c>
      <c r="C74" s="31" t="s">
        <v>52</v>
      </c>
      <c r="D74" s="15" t="s">
        <v>65</v>
      </c>
      <c r="E74" s="16" t="s">
        <v>66</v>
      </c>
      <c r="F74" s="16" t="str">
        <f t="shared" si="3"/>
        <v>B8 Cambridge AS-Level 9626 Information Technology - SAR</v>
      </c>
      <c r="G74" s="16" t="s">
        <v>14</v>
      </c>
      <c r="H74" s="13" t="s">
        <v>15</v>
      </c>
      <c r="I74" s="11">
        <v>300.0</v>
      </c>
    </row>
    <row r="75" ht="22.5" customHeight="1">
      <c r="A75" s="12" t="s">
        <v>51</v>
      </c>
      <c r="B75" s="22" t="s">
        <v>10</v>
      </c>
      <c r="C75" s="30" t="s">
        <v>52</v>
      </c>
      <c r="D75" s="23" t="s">
        <v>67</v>
      </c>
      <c r="E75" s="10" t="s">
        <v>68</v>
      </c>
      <c r="F75" s="9" t="str">
        <f t="shared" si="3"/>
        <v>B18 Cambridge AS-Level 9695 Literature in English - SAR</v>
      </c>
      <c r="G75" s="9" t="s">
        <v>14</v>
      </c>
      <c r="H75" s="13" t="s">
        <v>15</v>
      </c>
      <c r="I75" s="17">
        <v>300.0</v>
      </c>
    </row>
    <row r="76" ht="22.5" customHeight="1">
      <c r="A76" s="21" t="s">
        <v>55</v>
      </c>
      <c r="B76" s="22" t="s">
        <v>10</v>
      </c>
      <c r="C76" s="36" t="s">
        <v>59</v>
      </c>
      <c r="D76" s="23" t="s">
        <v>67</v>
      </c>
      <c r="E76" s="10" t="s">
        <v>68</v>
      </c>
      <c r="F76" s="9" t="str">
        <f t="shared" si="3"/>
        <v>B8 Cambridge A-Level 9695 Literature in English - INR</v>
      </c>
      <c r="G76" s="9" t="s">
        <v>14</v>
      </c>
      <c r="H76" s="6" t="s">
        <v>17</v>
      </c>
      <c r="I76" s="11">
        <v>8000.0</v>
      </c>
    </row>
    <row r="77" ht="22.5" customHeight="1">
      <c r="A77" s="12" t="s">
        <v>55</v>
      </c>
      <c r="B77" s="13" t="s">
        <v>10</v>
      </c>
      <c r="C77" s="33" t="s">
        <v>59</v>
      </c>
      <c r="D77" s="15" t="s">
        <v>67</v>
      </c>
      <c r="E77" s="16" t="s">
        <v>68</v>
      </c>
      <c r="F77" s="16" t="str">
        <f t="shared" si="3"/>
        <v>B8 Cambridge A-Level 9695 Literature in English - SAR</v>
      </c>
      <c r="G77" s="16" t="s">
        <v>14</v>
      </c>
      <c r="H77" s="13" t="s">
        <v>15</v>
      </c>
      <c r="I77" s="17">
        <v>300.0</v>
      </c>
    </row>
    <row r="78" ht="22.5" customHeight="1">
      <c r="A78" s="21" t="s">
        <v>55</v>
      </c>
      <c r="B78" s="22" t="s">
        <v>10</v>
      </c>
      <c r="C78" s="31" t="s">
        <v>52</v>
      </c>
      <c r="D78" s="23" t="s">
        <v>67</v>
      </c>
      <c r="E78" s="10" t="s">
        <v>68</v>
      </c>
      <c r="F78" s="9" t="str">
        <f t="shared" si="3"/>
        <v>B8 Cambridge AS-Level 9695 Literature in English - SAR</v>
      </c>
      <c r="G78" s="9" t="s">
        <v>14</v>
      </c>
      <c r="H78" s="13" t="s">
        <v>15</v>
      </c>
      <c r="I78" s="11">
        <v>300.0</v>
      </c>
    </row>
    <row r="79" ht="22.5" customHeight="1">
      <c r="A79" s="12" t="s">
        <v>55</v>
      </c>
      <c r="B79" s="13" t="s">
        <v>10</v>
      </c>
      <c r="C79" s="30" t="s">
        <v>52</v>
      </c>
      <c r="D79" s="15" t="s">
        <v>67</v>
      </c>
      <c r="E79" s="16" t="s">
        <v>69</v>
      </c>
      <c r="F79" s="16" t="str">
        <f t="shared" si="3"/>
        <v>B8 Cambridge AS-Level 9695 English Literature - INR</v>
      </c>
      <c r="G79" s="16" t="s">
        <v>14</v>
      </c>
      <c r="H79" s="13" t="s">
        <v>17</v>
      </c>
      <c r="I79" s="17">
        <v>8000.0</v>
      </c>
    </row>
    <row r="80" ht="22.5" customHeight="1">
      <c r="A80" s="21" t="s">
        <v>55</v>
      </c>
      <c r="B80" s="22" t="s">
        <v>10</v>
      </c>
      <c r="C80" s="31" t="s">
        <v>52</v>
      </c>
      <c r="D80" s="23" t="s">
        <v>67</v>
      </c>
      <c r="E80" s="10" t="s">
        <v>69</v>
      </c>
      <c r="F80" s="9" t="str">
        <f t="shared" si="3"/>
        <v>B8 Cambridge AS-Level 9695 English Literature - SAR</v>
      </c>
      <c r="G80" s="9" t="s">
        <v>14</v>
      </c>
      <c r="H80" s="6" t="s">
        <v>15</v>
      </c>
      <c r="I80" s="11">
        <v>400.0</v>
      </c>
    </row>
    <row r="81" ht="22.5" customHeight="1">
      <c r="A81" s="12" t="s">
        <v>51</v>
      </c>
      <c r="B81" s="13" t="s">
        <v>10</v>
      </c>
      <c r="C81" s="30" t="s">
        <v>52</v>
      </c>
      <c r="D81" s="15" t="s">
        <v>70</v>
      </c>
      <c r="E81" s="16" t="s">
        <v>45</v>
      </c>
      <c r="F81" s="16" t="str">
        <f t="shared" si="3"/>
        <v>B18 Cambridge AS-Level 9700 Biology - INR</v>
      </c>
      <c r="G81" s="16" t="s">
        <v>71</v>
      </c>
      <c r="H81" s="13" t="s">
        <v>17</v>
      </c>
      <c r="I81" s="17">
        <v>9000.0</v>
      </c>
    </row>
    <row r="82" ht="22.5" customHeight="1">
      <c r="A82" s="5" t="s">
        <v>51</v>
      </c>
      <c r="B82" s="6" t="s">
        <v>10</v>
      </c>
      <c r="C82" s="32" t="s">
        <v>52</v>
      </c>
      <c r="D82" s="8" t="s">
        <v>70</v>
      </c>
      <c r="E82" s="9" t="s">
        <v>45</v>
      </c>
      <c r="F82" s="9" t="str">
        <f t="shared" si="3"/>
        <v>B18 Cambridge AS-Level 9700 Biology - SAR</v>
      </c>
      <c r="G82" s="10" t="s">
        <v>71</v>
      </c>
      <c r="H82" s="13" t="s">
        <v>15</v>
      </c>
      <c r="I82" s="11">
        <v>450.0</v>
      </c>
    </row>
    <row r="83" ht="22.5" customHeight="1">
      <c r="A83" s="12" t="s">
        <v>55</v>
      </c>
      <c r="B83" s="13" t="s">
        <v>10</v>
      </c>
      <c r="C83" s="33" t="s">
        <v>59</v>
      </c>
      <c r="D83" s="15" t="s">
        <v>70</v>
      </c>
      <c r="E83" s="16" t="s">
        <v>45</v>
      </c>
      <c r="F83" s="16" t="str">
        <f t="shared" si="3"/>
        <v>B8 Cambridge A-Level 9700 Biology - INR</v>
      </c>
      <c r="G83" s="16" t="s">
        <v>71</v>
      </c>
      <c r="H83" s="13" t="s">
        <v>17</v>
      </c>
      <c r="I83" s="17">
        <v>8999.0</v>
      </c>
    </row>
    <row r="84" ht="22.5" customHeight="1">
      <c r="A84" s="5" t="s">
        <v>55</v>
      </c>
      <c r="B84" s="6" t="s">
        <v>10</v>
      </c>
      <c r="C84" s="34" t="s">
        <v>59</v>
      </c>
      <c r="D84" s="8" t="s">
        <v>70</v>
      </c>
      <c r="E84" s="9" t="s">
        <v>45</v>
      </c>
      <c r="F84" s="9" t="str">
        <f t="shared" si="3"/>
        <v>B8 Cambridge A-Level 9700 Biology - SAR</v>
      </c>
      <c r="G84" s="10" t="s">
        <v>71</v>
      </c>
      <c r="H84" s="13" t="s">
        <v>15</v>
      </c>
      <c r="I84" s="11">
        <v>450.0</v>
      </c>
    </row>
    <row r="85" ht="22.5" customHeight="1">
      <c r="A85" s="12" t="s">
        <v>55</v>
      </c>
      <c r="B85" s="13" t="s">
        <v>10</v>
      </c>
      <c r="C85" s="30" t="s">
        <v>52</v>
      </c>
      <c r="D85" s="15" t="s">
        <v>70</v>
      </c>
      <c r="E85" s="16" t="s">
        <v>45</v>
      </c>
      <c r="F85" s="16" t="str">
        <f t="shared" si="3"/>
        <v>B8 Cambridge AS-Level 9700 Biology - INR</v>
      </c>
      <c r="G85" s="16" t="s">
        <v>71</v>
      </c>
      <c r="H85" s="13" t="s">
        <v>17</v>
      </c>
      <c r="I85" s="17">
        <v>9000.0</v>
      </c>
    </row>
    <row r="86" ht="22.5" customHeight="1">
      <c r="A86" s="21" t="s">
        <v>55</v>
      </c>
      <c r="B86" s="22" t="s">
        <v>10</v>
      </c>
      <c r="C86" s="32" t="s">
        <v>52</v>
      </c>
      <c r="D86" s="23" t="s">
        <v>70</v>
      </c>
      <c r="E86" s="10" t="s">
        <v>45</v>
      </c>
      <c r="F86" s="10" t="str">
        <f t="shared" si="3"/>
        <v>B8 Cambridge AS-Level 9700 Biology - SAR</v>
      </c>
      <c r="G86" s="10" t="s">
        <v>71</v>
      </c>
      <c r="H86" s="13" t="s">
        <v>15</v>
      </c>
      <c r="I86" s="11">
        <v>450.0</v>
      </c>
    </row>
    <row r="87" ht="22.5" customHeight="1">
      <c r="A87" s="12" t="s">
        <v>51</v>
      </c>
      <c r="B87" s="13" t="s">
        <v>10</v>
      </c>
      <c r="C87" s="30" t="s">
        <v>52</v>
      </c>
      <c r="D87" s="15" t="s">
        <v>72</v>
      </c>
      <c r="E87" s="16" t="s">
        <v>47</v>
      </c>
      <c r="F87" s="16" t="str">
        <f t="shared" si="3"/>
        <v>B18 Cambridge AS-Level 9701 Chemistry - INR</v>
      </c>
      <c r="G87" s="16" t="s">
        <v>14</v>
      </c>
      <c r="H87" s="13" t="s">
        <v>17</v>
      </c>
      <c r="I87" s="17">
        <v>8000.0</v>
      </c>
    </row>
    <row r="88" ht="22.5" customHeight="1">
      <c r="A88" s="21" t="s">
        <v>51</v>
      </c>
      <c r="B88" s="22" t="s">
        <v>10</v>
      </c>
      <c r="C88" s="32" t="s">
        <v>52</v>
      </c>
      <c r="D88" s="23" t="s">
        <v>72</v>
      </c>
      <c r="E88" s="10" t="s">
        <v>47</v>
      </c>
      <c r="F88" s="10" t="str">
        <f t="shared" si="3"/>
        <v>B18 Cambridge AS-Level 9701 Chemistry - SAR</v>
      </c>
      <c r="G88" s="10" t="s">
        <v>14</v>
      </c>
      <c r="H88" s="13" t="s">
        <v>15</v>
      </c>
      <c r="I88" s="17">
        <v>300.0</v>
      </c>
    </row>
    <row r="89" ht="22.5" customHeight="1">
      <c r="A89" s="12" t="s">
        <v>55</v>
      </c>
      <c r="B89" s="13" t="s">
        <v>10</v>
      </c>
      <c r="C89" s="33" t="s">
        <v>59</v>
      </c>
      <c r="D89" s="15" t="s">
        <v>72</v>
      </c>
      <c r="E89" s="16" t="s">
        <v>47</v>
      </c>
      <c r="F89" s="16" t="str">
        <f t="shared" si="3"/>
        <v>B8 Cambridge A-Level 9701 Chemistry - INR</v>
      </c>
      <c r="G89" s="16" t="s">
        <v>14</v>
      </c>
      <c r="H89" s="13" t="s">
        <v>17</v>
      </c>
      <c r="I89" s="17">
        <v>8000.0</v>
      </c>
    </row>
    <row r="90" ht="22.5" customHeight="1">
      <c r="A90" s="5" t="s">
        <v>55</v>
      </c>
      <c r="B90" s="6" t="s">
        <v>10</v>
      </c>
      <c r="C90" s="34" t="s">
        <v>59</v>
      </c>
      <c r="D90" s="8" t="s">
        <v>72</v>
      </c>
      <c r="E90" s="9" t="s">
        <v>47</v>
      </c>
      <c r="F90" s="9" t="str">
        <f t="shared" si="3"/>
        <v>B8 Cambridge A-Level 9701 Chemistry - SAR</v>
      </c>
      <c r="G90" s="10" t="s">
        <v>14</v>
      </c>
      <c r="H90" s="13" t="s">
        <v>15</v>
      </c>
      <c r="I90" s="35">
        <v>250.0</v>
      </c>
    </row>
    <row r="91" ht="22.5" customHeight="1">
      <c r="A91" s="24" t="s">
        <v>55</v>
      </c>
      <c r="B91" s="25" t="s">
        <v>10</v>
      </c>
      <c r="C91" s="30" t="s">
        <v>52</v>
      </c>
      <c r="D91" s="27" t="s">
        <v>72</v>
      </c>
      <c r="E91" s="28" t="s">
        <v>47</v>
      </c>
      <c r="F91" s="28" t="str">
        <f t="shared" si="3"/>
        <v>B8 Cambridge AS-Level 9701 Chemistry - INR</v>
      </c>
      <c r="G91" s="16" t="s">
        <v>14</v>
      </c>
      <c r="H91" s="13" t="s">
        <v>17</v>
      </c>
      <c r="I91" s="17">
        <v>8000.0</v>
      </c>
    </row>
    <row r="92" ht="22.5" customHeight="1">
      <c r="A92" s="21" t="s">
        <v>55</v>
      </c>
      <c r="B92" s="22" t="s">
        <v>10</v>
      </c>
      <c r="C92" s="32" t="s">
        <v>52</v>
      </c>
      <c r="D92" s="23" t="s">
        <v>72</v>
      </c>
      <c r="E92" s="10" t="s">
        <v>47</v>
      </c>
      <c r="F92" s="10" t="str">
        <f t="shared" si="3"/>
        <v>B8 Cambridge AS-Level 9701 Chemistry - SAR</v>
      </c>
      <c r="G92" s="10" t="s">
        <v>14</v>
      </c>
      <c r="H92" s="13" t="s">
        <v>15</v>
      </c>
      <c r="I92" s="35">
        <v>250.0</v>
      </c>
    </row>
    <row r="93" ht="22.5" customHeight="1">
      <c r="A93" s="12" t="s">
        <v>73</v>
      </c>
      <c r="B93" s="13" t="s">
        <v>10</v>
      </c>
      <c r="C93" s="30" t="s">
        <v>52</v>
      </c>
      <c r="D93" s="15" t="s">
        <v>72</v>
      </c>
      <c r="E93" s="16" t="s">
        <v>47</v>
      </c>
      <c r="F93" s="16" t="str">
        <f t="shared" si="3"/>
        <v>C15 Cambridge AS-Level 9701 Chemistry - GBP</v>
      </c>
      <c r="G93" s="16" t="s">
        <v>14</v>
      </c>
      <c r="H93" s="13" t="s">
        <v>19</v>
      </c>
      <c r="I93" s="17">
        <v>15.0</v>
      </c>
    </row>
    <row r="94" ht="22.5" customHeight="1">
      <c r="A94" s="5" t="s">
        <v>73</v>
      </c>
      <c r="B94" s="6" t="s">
        <v>10</v>
      </c>
      <c r="C94" s="34" t="s">
        <v>59</v>
      </c>
      <c r="D94" s="8" t="s">
        <v>72</v>
      </c>
      <c r="E94" s="9" t="s">
        <v>47</v>
      </c>
      <c r="F94" s="9" t="str">
        <f t="shared" si="3"/>
        <v>C15 Cambridge A-Level 9701 Chemistry - GBP</v>
      </c>
      <c r="G94" s="10" t="s">
        <v>14</v>
      </c>
      <c r="H94" s="22" t="s">
        <v>19</v>
      </c>
      <c r="I94" s="11">
        <v>15.0</v>
      </c>
    </row>
    <row r="95" ht="22.5" customHeight="1">
      <c r="A95" s="12" t="s">
        <v>74</v>
      </c>
      <c r="B95" s="13" t="s">
        <v>75</v>
      </c>
      <c r="C95" s="33" t="s">
        <v>59</v>
      </c>
      <c r="D95" s="15" t="s">
        <v>72</v>
      </c>
      <c r="E95" s="16" t="s">
        <v>47</v>
      </c>
      <c r="F95" s="16" t="str">
        <f t="shared" si="3"/>
        <v>C17 Edexcel A-Level 9701 Chemistry - GBP</v>
      </c>
      <c r="G95" s="16" t="s">
        <v>14</v>
      </c>
      <c r="H95" s="13" t="s">
        <v>19</v>
      </c>
      <c r="I95" s="17">
        <v>15.0</v>
      </c>
    </row>
    <row r="96" ht="22.5" customHeight="1">
      <c r="A96" s="5" t="s">
        <v>76</v>
      </c>
      <c r="B96" s="6" t="s">
        <v>10</v>
      </c>
      <c r="C96" s="34" t="s">
        <v>59</v>
      </c>
      <c r="D96" s="8" t="s">
        <v>72</v>
      </c>
      <c r="E96" s="9" t="s">
        <v>47</v>
      </c>
      <c r="F96" s="9" t="s">
        <v>77</v>
      </c>
      <c r="G96" s="10" t="s">
        <v>14</v>
      </c>
      <c r="H96" s="22" t="s">
        <v>19</v>
      </c>
      <c r="I96" s="11">
        <v>15.0</v>
      </c>
    </row>
    <row r="97" ht="22.5" customHeight="1">
      <c r="A97" s="12" t="s">
        <v>78</v>
      </c>
      <c r="B97" s="13" t="s">
        <v>75</v>
      </c>
      <c r="C97" s="33" t="s">
        <v>59</v>
      </c>
      <c r="D97" s="15" t="s">
        <v>72</v>
      </c>
      <c r="E97" s="16" t="s">
        <v>47</v>
      </c>
      <c r="F97" s="16" t="str">
        <f t="shared" ref="F97:F177" si="4">IF(H97="",TEXTJOIN(" ", TRUE, A97, B97, C97, D97, E97),TEXTJOIN(" ", TRUE, A97, B97, C97, D97, E97) &amp; " - " &amp; H97)</f>
        <v>C19 Edexcel A-Level 9701 Chemistry - GBP</v>
      </c>
      <c r="G97" s="16" t="s">
        <v>14</v>
      </c>
      <c r="H97" s="13" t="s">
        <v>19</v>
      </c>
      <c r="I97" s="17">
        <v>15.0</v>
      </c>
    </row>
    <row r="98" ht="22.5" customHeight="1">
      <c r="A98" s="21" t="s">
        <v>51</v>
      </c>
      <c r="B98" s="22" t="s">
        <v>10</v>
      </c>
      <c r="C98" s="32" t="s">
        <v>52</v>
      </c>
      <c r="D98" s="23" t="s">
        <v>79</v>
      </c>
      <c r="E98" s="10" t="s">
        <v>50</v>
      </c>
      <c r="F98" s="10" t="str">
        <f t="shared" si="4"/>
        <v>B18 Cambridge AS-Level 9702 Physics - INR</v>
      </c>
      <c r="G98" s="10" t="s">
        <v>14</v>
      </c>
      <c r="H98" s="22" t="s">
        <v>17</v>
      </c>
      <c r="I98" s="11">
        <v>8000.0</v>
      </c>
    </row>
    <row r="99" ht="22.5" customHeight="1">
      <c r="A99" s="12" t="s">
        <v>51</v>
      </c>
      <c r="B99" s="13" t="s">
        <v>10</v>
      </c>
      <c r="C99" s="30" t="s">
        <v>52</v>
      </c>
      <c r="D99" s="15" t="s">
        <v>79</v>
      </c>
      <c r="E99" s="16" t="s">
        <v>50</v>
      </c>
      <c r="F99" s="16" t="str">
        <f t="shared" si="4"/>
        <v>B18 Cambridge AS-Level 9702 Physics - SAR</v>
      </c>
      <c r="G99" s="16" t="s">
        <v>14</v>
      </c>
      <c r="H99" s="13" t="s">
        <v>15</v>
      </c>
      <c r="I99" s="17">
        <v>300.0</v>
      </c>
    </row>
    <row r="100" ht="22.5" customHeight="1">
      <c r="A100" s="21" t="s">
        <v>55</v>
      </c>
      <c r="B100" s="22" t="s">
        <v>10</v>
      </c>
      <c r="C100" s="34" t="s">
        <v>59</v>
      </c>
      <c r="D100" s="23" t="s">
        <v>79</v>
      </c>
      <c r="E100" s="10" t="s">
        <v>50</v>
      </c>
      <c r="F100" s="10" t="str">
        <f t="shared" si="4"/>
        <v>B8 Cambridge A-Level 9702 Physics - INR</v>
      </c>
      <c r="G100" s="10" t="s">
        <v>14</v>
      </c>
      <c r="H100" s="22" t="s">
        <v>17</v>
      </c>
      <c r="I100" s="11">
        <v>8000.0</v>
      </c>
    </row>
    <row r="101" ht="22.5" customHeight="1">
      <c r="A101" s="12" t="s">
        <v>55</v>
      </c>
      <c r="B101" s="13" t="s">
        <v>10</v>
      </c>
      <c r="C101" s="33" t="s">
        <v>59</v>
      </c>
      <c r="D101" s="15" t="s">
        <v>79</v>
      </c>
      <c r="E101" s="16" t="s">
        <v>50</v>
      </c>
      <c r="F101" s="16" t="str">
        <f t="shared" si="4"/>
        <v>B8 Cambridge A-Level 9702 Physics - SAR</v>
      </c>
      <c r="G101" s="16" t="s">
        <v>14</v>
      </c>
      <c r="H101" s="13" t="s">
        <v>15</v>
      </c>
      <c r="I101" s="17">
        <v>300.0</v>
      </c>
    </row>
    <row r="102" ht="22.5" customHeight="1">
      <c r="A102" s="5" t="s">
        <v>55</v>
      </c>
      <c r="B102" s="6" t="s">
        <v>10</v>
      </c>
      <c r="C102" s="32" t="s">
        <v>52</v>
      </c>
      <c r="D102" s="8" t="s">
        <v>79</v>
      </c>
      <c r="E102" s="9" t="s">
        <v>50</v>
      </c>
      <c r="F102" s="9" t="str">
        <f t="shared" si="4"/>
        <v>B8 Cambridge AS-Level 9702 Physics - INR</v>
      </c>
      <c r="G102" s="10" t="s">
        <v>14</v>
      </c>
      <c r="H102" s="22" t="s">
        <v>17</v>
      </c>
      <c r="I102" s="11">
        <v>8000.0</v>
      </c>
    </row>
    <row r="103" ht="22.5" customHeight="1">
      <c r="A103" s="12" t="s">
        <v>55</v>
      </c>
      <c r="B103" s="13" t="s">
        <v>10</v>
      </c>
      <c r="C103" s="30" t="s">
        <v>52</v>
      </c>
      <c r="D103" s="15" t="s">
        <v>79</v>
      </c>
      <c r="E103" s="16" t="s">
        <v>50</v>
      </c>
      <c r="F103" s="16" t="str">
        <f t="shared" si="4"/>
        <v>B8 Cambridge AS-Level 9702 Physics - SAR</v>
      </c>
      <c r="G103" s="16" t="s">
        <v>14</v>
      </c>
      <c r="H103" s="13" t="s">
        <v>15</v>
      </c>
      <c r="I103" s="17">
        <v>300.0</v>
      </c>
    </row>
    <row r="104" ht="22.5" customHeight="1">
      <c r="A104" s="5" t="s">
        <v>80</v>
      </c>
      <c r="B104" s="6" t="s">
        <v>10</v>
      </c>
      <c r="C104" s="34" t="s">
        <v>59</v>
      </c>
      <c r="D104" s="8" t="s">
        <v>79</v>
      </c>
      <c r="E104" s="9" t="s">
        <v>50</v>
      </c>
      <c r="F104" s="9" t="str">
        <f t="shared" si="4"/>
        <v>C14 Cambridge A-Level 9702 Physics - GBP</v>
      </c>
      <c r="G104" s="10" t="s">
        <v>14</v>
      </c>
      <c r="H104" s="22" t="s">
        <v>19</v>
      </c>
      <c r="I104" s="11">
        <v>15.0</v>
      </c>
    </row>
    <row r="105" ht="22.5" customHeight="1">
      <c r="A105" s="24" t="s">
        <v>73</v>
      </c>
      <c r="B105" s="25" t="s">
        <v>10</v>
      </c>
      <c r="C105" s="37" t="s">
        <v>52</v>
      </c>
      <c r="D105" s="27" t="s">
        <v>79</v>
      </c>
      <c r="E105" s="28" t="s">
        <v>50</v>
      </c>
      <c r="F105" s="28" t="str">
        <f t="shared" si="4"/>
        <v>C15 Cambridge AS-Level 9702 Physics - GBP</v>
      </c>
      <c r="G105" s="16" t="s">
        <v>14</v>
      </c>
      <c r="H105" s="13" t="s">
        <v>19</v>
      </c>
      <c r="I105" s="29">
        <v>15.0</v>
      </c>
    </row>
    <row r="106" ht="22.5" customHeight="1">
      <c r="A106" s="5" t="s">
        <v>73</v>
      </c>
      <c r="B106" s="6" t="s">
        <v>10</v>
      </c>
      <c r="C106" s="34" t="s">
        <v>59</v>
      </c>
      <c r="D106" s="8" t="s">
        <v>79</v>
      </c>
      <c r="E106" s="9" t="s">
        <v>50</v>
      </c>
      <c r="F106" s="9" t="str">
        <f t="shared" si="4"/>
        <v>C15 Cambridge A-Level 9702 Physics - GBP</v>
      </c>
      <c r="G106" s="10" t="s">
        <v>14</v>
      </c>
      <c r="H106" s="22" t="s">
        <v>19</v>
      </c>
      <c r="I106" s="11">
        <v>15.0</v>
      </c>
    </row>
    <row r="107" ht="22.5" customHeight="1">
      <c r="A107" s="12" t="s">
        <v>51</v>
      </c>
      <c r="B107" s="13" t="s">
        <v>10</v>
      </c>
      <c r="C107" s="30" t="s">
        <v>52</v>
      </c>
      <c r="D107" s="15" t="s">
        <v>81</v>
      </c>
      <c r="E107" s="16" t="s">
        <v>29</v>
      </c>
      <c r="F107" s="16" t="str">
        <f t="shared" si="4"/>
        <v>B18 Cambridge AS-Level 9708 Economics - INR</v>
      </c>
      <c r="G107" s="16" t="s">
        <v>25</v>
      </c>
      <c r="H107" s="13" t="s">
        <v>17</v>
      </c>
      <c r="I107" s="17">
        <v>9000.0</v>
      </c>
    </row>
    <row r="108" ht="22.5" customHeight="1">
      <c r="A108" s="5" t="s">
        <v>51</v>
      </c>
      <c r="B108" s="6" t="s">
        <v>10</v>
      </c>
      <c r="C108" s="32" t="s">
        <v>52</v>
      </c>
      <c r="D108" s="8" t="s">
        <v>81</v>
      </c>
      <c r="E108" s="9" t="s">
        <v>29</v>
      </c>
      <c r="F108" s="9" t="str">
        <f t="shared" si="4"/>
        <v>B18 Cambridge AS-Level 9708 Economics - SAR</v>
      </c>
      <c r="G108" s="10" t="s">
        <v>25</v>
      </c>
      <c r="H108" s="13" t="s">
        <v>15</v>
      </c>
      <c r="I108" s="11">
        <v>450.0</v>
      </c>
    </row>
    <row r="109" ht="22.5" customHeight="1">
      <c r="A109" s="12" t="s">
        <v>55</v>
      </c>
      <c r="B109" s="13" t="s">
        <v>10</v>
      </c>
      <c r="C109" s="33" t="s">
        <v>59</v>
      </c>
      <c r="D109" s="15" t="s">
        <v>81</v>
      </c>
      <c r="E109" s="16" t="s">
        <v>29</v>
      </c>
      <c r="F109" s="28" t="str">
        <f t="shared" si="4"/>
        <v>B8 Cambridge A-Level 9708 Economics - INR</v>
      </c>
      <c r="G109" s="16" t="s">
        <v>25</v>
      </c>
      <c r="H109" s="13" t="s">
        <v>17</v>
      </c>
      <c r="I109" s="17">
        <v>9000.0</v>
      </c>
    </row>
    <row r="110" ht="22.5" customHeight="1">
      <c r="A110" s="5" t="s">
        <v>55</v>
      </c>
      <c r="B110" s="6" t="s">
        <v>10</v>
      </c>
      <c r="C110" s="34" t="s">
        <v>59</v>
      </c>
      <c r="D110" s="8" t="s">
        <v>81</v>
      </c>
      <c r="E110" s="9" t="s">
        <v>29</v>
      </c>
      <c r="F110" s="9" t="str">
        <f t="shared" si="4"/>
        <v>B8 Cambridge A-Level 9708 Economics - SAR</v>
      </c>
      <c r="G110" s="10" t="s">
        <v>25</v>
      </c>
      <c r="H110" s="13" t="s">
        <v>15</v>
      </c>
      <c r="I110" s="11">
        <v>450.0</v>
      </c>
    </row>
    <row r="111" ht="22.5" customHeight="1">
      <c r="A111" s="12" t="s">
        <v>55</v>
      </c>
      <c r="B111" s="13" t="s">
        <v>10</v>
      </c>
      <c r="C111" s="30" t="s">
        <v>52</v>
      </c>
      <c r="D111" s="15" t="s">
        <v>81</v>
      </c>
      <c r="E111" s="16" t="s">
        <v>29</v>
      </c>
      <c r="F111" s="16" t="str">
        <f t="shared" si="4"/>
        <v>B8 Cambridge AS-Level 9708 Economics - INR</v>
      </c>
      <c r="G111" s="16" t="s">
        <v>25</v>
      </c>
      <c r="H111" s="13" t="s">
        <v>17</v>
      </c>
      <c r="I111" s="17">
        <v>9000.0</v>
      </c>
    </row>
    <row r="112" ht="22.5" customHeight="1">
      <c r="A112" s="21" t="s">
        <v>55</v>
      </c>
      <c r="B112" s="22" t="s">
        <v>10</v>
      </c>
      <c r="C112" s="31" t="s">
        <v>52</v>
      </c>
      <c r="D112" s="23" t="s">
        <v>81</v>
      </c>
      <c r="E112" s="10" t="s">
        <v>29</v>
      </c>
      <c r="F112" s="10" t="str">
        <f t="shared" si="4"/>
        <v>B8 Cambridge AS-Level 9708 Economics - SAR</v>
      </c>
      <c r="G112" s="10" t="s">
        <v>25</v>
      </c>
      <c r="H112" s="13" t="s">
        <v>15</v>
      </c>
      <c r="I112" s="35">
        <v>450.0</v>
      </c>
    </row>
    <row r="113" ht="22.5" customHeight="1">
      <c r="A113" s="12" t="s">
        <v>51</v>
      </c>
      <c r="B113" s="25" t="s">
        <v>10</v>
      </c>
      <c r="C113" s="37" t="s">
        <v>52</v>
      </c>
      <c r="D113" s="27" t="s">
        <v>82</v>
      </c>
      <c r="E113" s="16" t="s">
        <v>83</v>
      </c>
      <c r="F113" s="28" t="str">
        <f t="shared" si="4"/>
        <v>B18 Cambridge AS-Level 9709 Further Mathematics - INR</v>
      </c>
      <c r="G113" s="16" t="s">
        <v>14</v>
      </c>
      <c r="H113" s="25" t="s">
        <v>17</v>
      </c>
      <c r="I113" s="29">
        <v>8000.0</v>
      </c>
    </row>
    <row r="114" ht="22.5" customHeight="1">
      <c r="A114" s="21" t="s">
        <v>51</v>
      </c>
      <c r="B114" s="22" t="s">
        <v>10</v>
      </c>
      <c r="C114" s="31" t="s">
        <v>52</v>
      </c>
      <c r="D114" s="23" t="s">
        <v>82</v>
      </c>
      <c r="E114" s="10" t="s">
        <v>83</v>
      </c>
      <c r="F114" s="10" t="str">
        <f t="shared" si="4"/>
        <v>B18 Cambridge AS-Level 9709 Further Mathematics - SAR</v>
      </c>
      <c r="G114" s="10" t="s">
        <v>14</v>
      </c>
      <c r="H114" s="13" t="s">
        <v>15</v>
      </c>
      <c r="I114" s="17">
        <v>300.0</v>
      </c>
    </row>
    <row r="115" ht="22.5" customHeight="1">
      <c r="A115" s="12" t="s">
        <v>51</v>
      </c>
      <c r="B115" s="25" t="s">
        <v>10</v>
      </c>
      <c r="C115" s="38" t="s">
        <v>59</v>
      </c>
      <c r="D115" s="27" t="s">
        <v>82</v>
      </c>
      <c r="E115" s="16" t="s">
        <v>84</v>
      </c>
      <c r="F115" s="28" t="str">
        <f t="shared" si="4"/>
        <v>B18 Cambridge A-Level 9709 Mathematics: Mechanics 1 - INR</v>
      </c>
      <c r="G115" s="16" t="s">
        <v>14</v>
      </c>
      <c r="H115" s="25" t="s">
        <v>17</v>
      </c>
      <c r="I115" s="29">
        <v>8000.0</v>
      </c>
    </row>
    <row r="116" ht="22.5" customHeight="1">
      <c r="A116" s="21" t="s">
        <v>51</v>
      </c>
      <c r="B116" s="22" t="s">
        <v>10</v>
      </c>
      <c r="C116" s="31" t="s">
        <v>52</v>
      </c>
      <c r="D116" s="23" t="s">
        <v>82</v>
      </c>
      <c r="E116" s="10" t="s">
        <v>84</v>
      </c>
      <c r="F116" s="10" t="str">
        <f t="shared" si="4"/>
        <v>B18 Cambridge AS-Level 9709 Mathematics: Mechanics 1 - INR</v>
      </c>
      <c r="G116" s="10" t="s">
        <v>14</v>
      </c>
      <c r="H116" s="22" t="s">
        <v>17</v>
      </c>
      <c r="I116" s="35">
        <v>8000.0</v>
      </c>
    </row>
    <row r="117" ht="22.5" customHeight="1">
      <c r="A117" s="12" t="s">
        <v>51</v>
      </c>
      <c r="B117" s="6" t="s">
        <v>10</v>
      </c>
      <c r="C117" s="38" t="s">
        <v>59</v>
      </c>
      <c r="D117" s="8" t="s">
        <v>82</v>
      </c>
      <c r="E117" s="10" t="s">
        <v>85</v>
      </c>
      <c r="F117" s="9" t="str">
        <f t="shared" si="4"/>
        <v>B18 Cambridge A-Level 9709 Mathematics: Pure 1 - SAR</v>
      </c>
      <c r="G117" s="10" t="s">
        <v>14</v>
      </c>
      <c r="H117" s="25" t="s">
        <v>15</v>
      </c>
      <c r="I117" s="29">
        <v>300.0</v>
      </c>
    </row>
    <row r="118" ht="22.5" customHeight="1">
      <c r="A118" s="21" t="s">
        <v>51</v>
      </c>
      <c r="B118" s="22" t="s">
        <v>10</v>
      </c>
      <c r="C118" s="31" t="s">
        <v>52</v>
      </c>
      <c r="D118" s="23" t="s">
        <v>82</v>
      </c>
      <c r="E118" s="10" t="s">
        <v>85</v>
      </c>
      <c r="F118" s="10" t="str">
        <f t="shared" si="4"/>
        <v>B18 Cambridge AS-Level 9709 Mathematics: Pure 1 - INR</v>
      </c>
      <c r="G118" s="10" t="s">
        <v>14</v>
      </c>
      <c r="H118" s="22" t="s">
        <v>17</v>
      </c>
      <c r="I118" s="35">
        <v>8000.0</v>
      </c>
    </row>
    <row r="119" ht="22.5" customHeight="1">
      <c r="A119" s="12" t="s">
        <v>51</v>
      </c>
      <c r="B119" s="25" t="s">
        <v>10</v>
      </c>
      <c r="C119" s="38" t="s">
        <v>59</v>
      </c>
      <c r="D119" s="27" t="s">
        <v>82</v>
      </c>
      <c r="E119" s="16" t="s">
        <v>86</v>
      </c>
      <c r="F119" s="28" t="str">
        <f t="shared" si="4"/>
        <v>B18 Cambridge A-Level 9709 Mathematics: Pure 3 - INR</v>
      </c>
      <c r="G119" s="16" t="s">
        <v>14</v>
      </c>
      <c r="H119" s="25" t="s">
        <v>17</v>
      </c>
      <c r="I119" s="29">
        <v>8000.0</v>
      </c>
    </row>
    <row r="120" ht="22.5" customHeight="1">
      <c r="A120" s="5" t="s">
        <v>51</v>
      </c>
      <c r="B120" s="6" t="s">
        <v>10</v>
      </c>
      <c r="C120" s="34" t="s">
        <v>59</v>
      </c>
      <c r="D120" s="8" t="s">
        <v>82</v>
      </c>
      <c r="E120" s="9" t="s">
        <v>87</v>
      </c>
      <c r="F120" s="9" t="str">
        <f t="shared" si="4"/>
        <v>B18 Cambridge A-Level 9709 Mathematics: Statistics 1 - INR</v>
      </c>
      <c r="G120" s="10" t="s">
        <v>14</v>
      </c>
      <c r="H120" s="6" t="s">
        <v>17</v>
      </c>
      <c r="I120" s="11">
        <v>8000.0</v>
      </c>
    </row>
    <row r="121" ht="22.5" customHeight="1">
      <c r="A121" s="12" t="s">
        <v>55</v>
      </c>
      <c r="B121" s="13" t="s">
        <v>10</v>
      </c>
      <c r="C121" s="33" t="s">
        <v>59</v>
      </c>
      <c r="D121" s="15" t="s">
        <v>82</v>
      </c>
      <c r="E121" s="16" t="s">
        <v>83</v>
      </c>
      <c r="F121" s="16" t="str">
        <f t="shared" si="4"/>
        <v>B8 Cambridge A-Level 9709 Further Mathematics - INR</v>
      </c>
      <c r="G121" s="16" t="s">
        <v>14</v>
      </c>
      <c r="H121" s="13" t="s">
        <v>17</v>
      </c>
      <c r="I121" s="17">
        <v>8000.0</v>
      </c>
    </row>
    <row r="122" ht="22.5" customHeight="1">
      <c r="A122" s="5" t="s">
        <v>55</v>
      </c>
      <c r="B122" s="6" t="s">
        <v>10</v>
      </c>
      <c r="C122" s="34" t="s">
        <v>59</v>
      </c>
      <c r="D122" s="8" t="s">
        <v>82</v>
      </c>
      <c r="E122" s="9" t="s">
        <v>83</v>
      </c>
      <c r="F122" s="9" t="str">
        <f t="shared" si="4"/>
        <v>B8 Cambridge A-Level 9709 Further Mathematics - SAR</v>
      </c>
      <c r="G122" s="10" t="s">
        <v>14</v>
      </c>
      <c r="H122" s="13" t="s">
        <v>15</v>
      </c>
      <c r="I122" s="11">
        <v>300.0</v>
      </c>
    </row>
    <row r="123" ht="22.5" customHeight="1">
      <c r="A123" s="12" t="s">
        <v>55</v>
      </c>
      <c r="B123" s="13" t="s">
        <v>10</v>
      </c>
      <c r="C123" s="30" t="s">
        <v>52</v>
      </c>
      <c r="D123" s="15" t="s">
        <v>82</v>
      </c>
      <c r="E123" s="16" t="s">
        <v>83</v>
      </c>
      <c r="F123" s="16" t="str">
        <f t="shared" si="4"/>
        <v>B8 Cambridge AS-Level 9709 Further Mathematics - INR</v>
      </c>
      <c r="G123" s="16" t="s">
        <v>14</v>
      </c>
      <c r="H123" s="13" t="s">
        <v>17</v>
      </c>
      <c r="I123" s="17">
        <v>8000.0</v>
      </c>
    </row>
    <row r="124" ht="22.5" customHeight="1">
      <c r="A124" s="5" t="s">
        <v>55</v>
      </c>
      <c r="B124" s="6" t="s">
        <v>10</v>
      </c>
      <c r="C124" s="32" t="s">
        <v>52</v>
      </c>
      <c r="D124" s="8" t="s">
        <v>82</v>
      </c>
      <c r="E124" s="9" t="s">
        <v>83</v>
      </c>
      <c r="F124" s="9" t="str">
        <f t="shared" si="4"/>
        <v>B8 Cambridge AS-Level 9709 Further Mathematics - SAR</v>
      </c>
      <c r="G124" s="10" t="s">
        <v>14</v>
      </c>
      <c r="H124" s="13" t="s">
        <v>15</v>
      </c>
      <c r="I124" s="11">
        <v>300.0</v>
      </c>
    </row>
    <row r="125" ht="22.5" customHeight="1">
      <c r="A125" s="12" t="s">
        <v>55</v>
      </c>
      <c r="B125" s="13" t="s">
        <v>10</v>
      </c>
      <c r="C125" s="33" t="s">
        <v>59</v>
      </c>
      <c r="D125" s="15" t="s">
        <v>82</v>
      </c>
      <c r="E125" s="16" t="s">
        <v>84</v>
      </c>
      <c r="F125" s="16" t="str">
        <f t="shared" si="4"/>
        <v>B8 Cambridge A-Level 9709 Mathematics: Mechanics 1 - INR</v>
      </c>
      <c r="G125" s="16" t="s">
        <v>14</v>
      </c>
      <c r="H125" s="13" t="s">
        <v>17</v>
      </c>
      <c r="I125" s="17">
        <v>8000.0</v>
      </c>
    </row>
    <row r="126" ht="22.5" customHeight="1">
      <c r="A126" s="5" t="s">
        <v>55</v>
      </c>
      <c r="B126" s="22" t="s">
        <v>10</v>
      </c>
      <c r="C126" s="36" t="s">
        <v>59</v>
      </c>
      <c r="D126" s="23" t="s">
        <v>82</v>
      </c>
      <c r="E126" s="10" t="s">
        <v>84</v>
      </c>
      <c r="F126" s="10" t="str">
        <f t="shared" si="4"/>
        <v>B8 Cambridge A-Level 9709 Mathematics: Mechanics 1 - SAR</v>
      </c>
      <c r="G126" s="10" t="s">
        <v>14</v>
      </c>
      <c r="H126" s="13" t="s">
        <v>15</v>
      </c>
      <c r="I126" s="11">
        <v>300.0</v>
      </c>
    </row>
    <row r="127" ht="22.5" customHeight="1">
      <c r="A127" s="12" t="s">
        <v>55</v>
      </c>
      <c r="B127" s="13" t="s">
        <v>10</v>
      </c>
      <c r="C127" s="30" t="s">
        <v>52</v>
      </c>
      <c r="D127" s="15" t="s">
        <v>82</v>
      </c>
      <c r="E127" s="16" t="s">
        <v>85</v>
      </c>
      <c r="F127" s="16" t="str">
        <f t="shared" si="4"/>
        <v>B8 Cambridge AS-Level 9709 Mathematics: Pure 1 - INR</v>
      </c>
      <c r="G127" s="16" t="s">
        <v>14</v>
      </c>
      <c r="H127" s="13" t="s">
        <v>17</v>
      </c>
      <c r="I127" s="17">
        <v>8000.0</v>
      </c>
    </row>
    <row r="128" ht="22.5" customHeight="1">
      <c r="A128" s="5" t="s">
        <v>55</v>
      </c>
      <c r="B128" s="22" t="s">
        <v>10</v>
      </c>
      <c r="C128" s="31" t="s">
        <v>52</v>
      </c>
      <c r="D128" s="23" t="s">
        <v>82</v>
      </c>
      <c r="E128" s="10" t="s">
        <v>85</v>
      </c>
      <c r="F128" s="10" t="str">
        <f t="shared" si="4"/>
        <v>B8 Cambridge AS-Level 9709 Mathematics: Pure 1 - SAR</v>
      </c>
      <c r="G128" s="10" t="s">
        <v>14</v>
      </c>
      <c r="H128" s="13" t="s">
        <v>15</v>
      </c>
      <c r="I128" s="11">
        <v>300.0</v>
      </c>
    </row>
    <row r="129" ht="22.5" customHeight="1">
      <c r="A129" s="12" t="s">
        <v>55</v>
      </c>
      <c r="B129" s="13" t="s">
        <v>10</v>
      </c>
      <c r="C129" s="33" t="s">
        <v>59</v>
      </c>
      <c r="D129" s="15" t="s">
        <v>82</v>
      </c>
      <c r="E129" s="16" t="s">
        <v>86</v>
      </c>
      <c r="F129" s="16" t="str">
        <f t="shared" si="4"/>
        <v>B8 Cambridge A-Level 9709 Mathematics: Pure 3 - INR</v>
      </c>
      <c r="G129" s="16" t="s">
        <v>14</v>
      </c>
      <c r="H129" s="13" t="s">
        <v>17</v>
      </c>
      <c r="I129" s="17">
        <v>8000.0</v>
      </c>
    </row>
    <row r="130" ht="22.5" customHeight="1">
      <c r="A130" s="5" t="s">
        <v>55</v>
      </c>
      <c r="B130" s="6" t="s">
        <v>10</v>
      </c>
      <c r="C130" s="34" t="s">
        <v>59</v>
      </c>
      <c r="D130" s="8" t="s">
        <v>82</v>
      </c>
      <c r="E130" s="9" t="s">
        <v>86</v>
      </c>
      <c r="F130" s="9" t="str">
        <f t="shared" si="4"/>
        <v>B8 Cambridge A-Level 9709 Mathematics: Pure 3 - SAR</v>
      </c>
      <c r="G130" s="10" t="s">
        <v>14</v>
      </c>
      <c r="H130" s="13" t="s">
        <v>15</v>
      </c>
      <c r="I130" s="11">
        <v>300.0</v>
      </c>
    </row>
    <row r="131" ht="22.5" customHeight="1">
      <c r="A131" s="12" t="s">
        <v>55</v>
      </c>
      <c r="B131" s="13" t="s">
        <v>10</v>
      </c>
      <c r="C131" s="33" t="s">
        <v>59</v>
      </c>
      <c r="D131" s="15" t="s">
        <v>82</v>
      </c>
      <c r="E131" s="16" t="s">
        <v>87</v>
      </c>
      <c r="F131" s="16" t="str">
        <f t="shared" si="4"/>
        <v>B8 Cambridge A-Level 9709 Mathematics: Statistics 1 - INR</v>
      </c>
      <c r="G131" s="16" t="s">
        <v>14</v>
      </c>
      <c r="H131" s="13" t="s">
        <v>17</v>
      </c>
      <c r="I131" s="17">
        <v>8000.0</v>
      </c>
    </row>
    <row r="132" ht="22.5" customHeight="1">
      <c r="A132" s="5" t="s">
        <v>55</v>
      </c>
      <c r="B132" s="6" t="s">
        <v>10</v>
      </c>
      <c r="C132" s="34" t="s">
        <v>59</v>
      </c>
      <c r="D132" s="8" t="s">
        <v>82</v>
      </c>
      <c r="E132" s="9" t="s">
        <v>87</v>
      </c>
      <c r="F132" s="9" t="str">
        <f t="shared" si="4"/>
        <v>B8 Cambridge A-Level 9709 Mathematics: Statistics 1 - SAR</v>
      </c>
      <c r="G132" s="10" t="s">
        <v>14</v>
      </c>
      <c r="H132" s="13" t="s">
        <v>15</v>
      </c>
      <c r="I132" s="11">
        <v>300.0</v>
      </c>
    </row>
    <row r="133" ht="22.5" customHeight="1">
      <c r="A133" s="12" t="s">
        <v>55</v>
      </c>
      <c r="B133" s="13" t="s">
        <v>10</v>
      </c>
      <c r="C133" s="33" t="s">
        <v>59</v>
      </c>
      <c r="D133" s="15" t="s">
        <v>82</v>
      </c>
      <c r="E133" s="16" t="s">
        <v>88</v>
      </c>
      <c r="F133" s="16" t="str">
        <f t="shared" si="4"/>
        <v>B8 Cambridge A-Level 9709 Mathematics: Statistics 2 - INR</v>
      </c>
      <c r="G133" s="16" t="s">
        <v>14</v>
      </c>
      <c r="H133" s="13" t="s">
        <v>17</v>
      </c>
      <c r="I133" s="17">
        <v>8000.0</v>
      </c>
    </row>
    <row r="134" ht="22.5" customHeight="1">
      <c r="A134" s="5" t="s">
        <v>55</v>
      </c>
      <c r="B134" s="6" t="s">
        <v>10</v>
      </c>
      <c r="C134" s="34" t="s">
        <v>59</v>
      </c>
      <c r="D134" s="8" t="s">
        <v>82</v>
      </c>
      <c r="E134" s="9" t="s">
        <v>88</v>
      </c>
      <c r="F134" s="9" t="str">
        <f t="shared" si="4"/>
        <v>B8 Cambridge A-Level 9709 Mathematics: Statistics 2 - SAR</v>
      </c>
      <c r="G134" s="10" t="s">
        <v>14</v>
      </c>
      <c r="H134" s="13" t="s">
        <v>15</v>
      </c>
      <c r="I134" s="11">
        <v>300.0</v>
      </c>
    </row>
    <row r="135" ht="22.5" customHeight="1">
      <c r="A135" s="12" t="s">
        <v>55</v>
      </c>
      <c r="B135" s="13" t="s">
        <v>10</v>
      </c>
      <c r="C135" s="30" t="s">
        <v>52</v>
      </c>
      <c r="D135" s="15" t="s">
        <v>82</v>
      </c>
      <c r="E135" s="16" t="s">
        <v>86</v>
      </c>
      <c r="F135" s="16" t="str">
        <f t="shared" si="4"/>
        <v>B8 Cambridge AS-Level 9709 Mathematics: Pure 3 - INR</v>
      </c>
      <c r="G135" s="16" t="s">
        <v>14</v>
      </c>
      <c r="H135" s="13" t="s">
        <v>17</v>
      </c>
      <c r="I135" s="17">
        <v>8000.0</v>
      </c>
    </row>
    <row r="136" ht="22.5" customHeight="1">
      <c r="A136" s="5" t="s">
        <v>89</v>
      </c>
      <c r="B136" s="6" t="s">
        <v>90</v>
      </c>
      <c r="C136" s="6" t="s">
        <v>91</v>
      </c>
      <c r="D136" s="8" t="s">
        <v>92</v>
      </c>
      <c r="E136" s="9" t="s">
        <v>31</v>
      </c>
      <c r="F136" s="9" t="str">
        <f t="shared" si="4"/>
        <v>C3 OCR GCSE J277 Computer Science - GBP</v>
      </c>
      <c r="G136" s="10" t="s">
        <v>14</v>
      </c>
      <c r="H136" s="6" t="s">
        <v>19</v>
      </c>
      <c r="I136" s="11">
        <v>12.0</v>
      </c>
    </row>
    <row r="137" ht="22.5" customHeight="1">
      <c r="A137" s="12" t="s">
        <v>93</v>
      </c>
      <c r="B137" s="13" t="s">
        <v>94</v>
      </c>
      <c r="C137" s="13" t="s">
        <v>95</v>
      </c>
      <c r="D137" s="39"/>
      <c r="E137" s="16" t="s">
        <v>96</v>
      </c>
      <c r="F137" s="16" t="str">
        <f t="shared" si="4"/>
        <v>B13 KSA Qudrat GAT English - SAR</v>
      </c>
      <c r="G137" s="16" t="s">
        <v>14</v>
      </c>
      <c r="H137" s="13" t="s">
        <v>15</v>
      </c>
      <c r="I137" s="17">
        <v>250.0</v>
      </c>
    </row>
    <row r="138" ht="22.5" customHeight="1">
      <c r="A138" s="5" t="s">
        <v>93</v>
      </c>
      <c r="B138" s="22" t="s">
        <v>94</v>
      </c>
      <c r="C138" s="6" t="s">
        <v>95</v>
      </c>
      <c r="D138" s="40"/>
      <c r="E138" s="10" t="s">
        <v>97</v>
      </c>
      <c r="F138" s="10" t="str">
        <f t="shared" si="4"/>
        <v>B13 KSA Qudrat GAT Math - SAR</v>
      </c>
      <c r="G138" s="10" t="s">
        <v>14</v>
      </c>
      <c r="H138" s="6" t="s">
        <v>15</v>
      </c>
      <c r="I138" s="35">
        <v>250.0</v>
      </c>
    </row>
    <row r="139" ht="22.5" customHeight="1">
      <c r="A139" s="12" t="s">
        <v>93</v>
      </c>
      <c r="B139" s="13" t="s">
        <v>94</v>
      </c>
      <c r="C139" s="13" t="s">
        <v>95</v>
      </c>
      <c r="D139" s="39"/>
      <c r="E139" s="41"/>
      <c r="F139" s="16" t="str">
        <f t="shared" si="4"/>
        <v>B13 KSA Qudrat GAT - SAR</v>
      </c>
      <c r="G139" s="16" t="s">
        <v>14</v>
      </c>
      <c r="H139" s="13" t="s">
        <v>15</v>
      </c>
      <c r="I139" s="17">
        <v>250.0</v>
      </c>
    </row>
    <row r="140" ht="22.5" customHeight="1">
      <c r="A140" s="5" t="s">
        <v>55</v>
      </c>
      <c r="B140" s="6" t="s">
        <v>98</v>
      </c>
      <c r="C140" s="6" t="s">
        <v>99</v>
      </c>
      <c r="D140" s="42"/>
      <c r="E140" s="9" t="s">
        <v>29</v>
      </c>
      <c r="F140" s="9" t="str">
        <f t="shared" si="4"/>
        <v>B8 IB DP Economics - USD</v>
      </c>
      <c r="G140" s="10" t="s">
        <v>25</v>
      </c>
      <c r="H140" s="6" t="s">
        <v>100</v>
      </c>
      <c r="I140" s="11">
        <v>12.0</v>
      </c>
    </row>
    <row r="141" ht="22.5" customHeight="1">
      <c r="A141" s="18" t="s">
        <v>101</v>
      </c>
      <c r="B141" s="13" t="s">
        <v>102</v>
      </c>
      <c r="C141" s="43" t="s">
        <v>103</v>
      </c>
      <c r="D141" s="39"/>
      <c r="E141" s="41"/>
      <c r="F141" s="16" t="str">
        <f t="shared" si="4"/>
        <v>C11 College Board SAT - INR</v>
      </c>
      <c r="G141" s="16" t="s">
        <v>14</v>
      </c>
      <c r="H141" s="19" t="s">
        <v>17</v>
      </c>
      <c r="I141" s="17">
        <v>6000.0</v>
      </c>
    </row>
    <row r="142" ht="22.5" customHeight="1">
      <c r="A142" s="5" t="s">
        <v>104</v>
      </c>
      <c r="B142" s="6" t="s">
        <v>102</v>
      </c>
      <c r="C142" s="44" t="s">
        <v>103</v>
      </c>
      <c r="D142" s="42"/>
      <c r="E142" s="45"/>
      <c r="F142" s="9" t="str">
        <f t="shared" si="4"/>
        <v>C12 College Board SAT - SAR</v>
      </c>
      <c r="G142" s="10" t="s">
        <v>14</v>
      </c>
      <c r="H142" s="46" t="s">
        <v>15</v>
      </c>
      <c r="I142" s="11">
        <v>250.0</v>
      </c>
    </row>
    <row r="143" ht="22.5" customHeight="1">
      <c r="A143" s="12" t="s">
        <v>80</v>
      </c>
      <c r="B143" s="13" t="s">
        <v>90</v>
      </c>
      <c r="C143" s="30" t="s">
        <v>52</v>
      </c>
      <c r="D143" s="39"/>
      <c r="E143" s="16" t="s">
        <v>31</v>
      </c>
      <c r="F143" s="16" t="str">
        <f t="shared" si="4"/>
        <v>C14 OCR AS-Level Computer Science - GBP</v>
      </c>
      <c r="G143" s="16" t="s">
        <v>14</v>
      </c>
      <c r="H143" s="13" t="s">
        <v>19</v>
      </c>
      <c r="I143" s="17">
        <v>10.0</v>
      </c>
    </row>
    <row r="144" ht="22.5" customHeight="1">
      <c r="A144" s="5" t="s">
        <v>105</v>
      </c>
      <c r="B144" s="6" t="s">
        <v>106</v>
      </c>
      <c r="C144" s="47"/>
      <c r="D144" s="42"/>
      <c r="E144" s="9" t="s">
        <v>107</v>
      </c>
      <c r="F144" s="9" t="str">
        <f t="shared" si="4"/>
        <v>C4 DC Quantum AI - SGD</v>
      </c>
      <c r="G144" s="10" t="s">
        <v>14</v>
      </c>
      <c r="H144" s="6" t="s">
        <v>108</v>
      </c>
      <c r="I144" s="11">
        <v>25.0</v>
      </c>
    </row>
    <row r="145" ht="22.5" customHeight="1">
      <c r="A145" s="12" t="s">
        <v>109</v>
      </c>
      <c r="B145" s="13" t="s">
        <v>110</v>
      </c>
      <c r="C145" s="33" t="s">
        <v>59</v>
      </c>
      <c r="D145" s="39"/>
      <c r="E145" s="16" t="s">
        <v>43</v>
      </c>
      <c r="F145" s="16" t="str">
        <f t="shared" si="4"/>
        <v>C6 Singapore A-Level Mathematics - SGD</v>
      </c>
      <c r="G145" s="16" t="s">
        <v>14</v>
      </c>
      <c r="H145" s="13" t="s">
        <v>108</v>
      </c>
      <c r="I145" s="17">
        <v>30.0</v>
      </c>
    </row>
    <row r="146" ht="22.5" customHeight="1">
      <c r="A146" s="5" t="s">
        <v>111</v>
      </c>
      <c r="B146" s="6" t="s">
        <v>10</v>
      </c>
      <c r="C146" s="7" t="s">
        <v>11</v>
      </c>
      <c r="D146" s="42"/>
      <c r="E146" s="9" t="s">
        <v>96</v>
      </c>
      <c r="F146" s="9" t="str">
        <f t="shared" si="4"/>
        <v>T4 Cambridge IGCSE English - SAR</v>
      </c>
      <c r="G146" s="10" t="s">
        <v>21</v>
      </c>
      <c r="H146" s="6" t="s">
        <v>15</v>
      </c>
      <c r="I146" s="11">
        <v>150.0</v>
      </c>
    </row>
    <row r="147" ht="22.5" customHeight="1">
      <c r="A147" s="24" t="s">
        <v>111</v>
      </c>
      <c r="B147" s="25" t="s">
        <v>10</v>
      </c>
      <c r="C147" s="26" t="s">
        <v>11</v>
      </c>
      <c r="D147" s="48"/>
      <c r="E147" s="16" t="s">
        <v>96</v>
      </c>
      <c r="F147" s="28" t="str">
        <f t="shared" si="4"/>
        <v>T4 Cambridge IGCSE English - INR</v>
      </c>
      <c r="G147" s="16" t="s">
        <v>21</v>
      </c>
      <c r="H147" s="25" t="s">
        <v>17</v>
      </c>
      <c r="I147" s="29">
        <v>3000.0</v>
      </c>
    </row>
    <row r="148" ht="22.5" customHeight="1">
      <c r="A148" s="5" t="s">
        <v>111</v>
      </c>
      <c r="B148" s="6" t="s">
        <v>10</v>
      </c>
      <c r="C148" s="7" t="s">
        <v>11</v>
      </c>
      <c r="D148" s="42"/>
      <c r="E148" s="9" t="s">
        <v>43</v>
      </c>
      <c r="F148" s="9" t="str">
        <f t="shared" si="4"/>
        <v>T4 Cambridge IGCSE Mathematics - SAR</v>
      </c>
      <c r="G148" s="49"/>
      <c r="H148" s="6" t="s">
        <v>15</v>
      </c>
      <c r="I148" s="11">
        <v>150.0</v>
      </c>
    </row>
    <row r="149" ht="22.5" customHeight="1">
      <c r="A149" s="12" t="s">
        <v>111</v>
      </c>
      <c r="B149" s="25" t="s">
        <v>10</v>
      </c>
      <c r="C149" s="26" t="s">
        <v>11</v>
      </c>
      <c r="D149" s="39"/>
      <c r="E149" s="16" t="s">
        <v>43</v>
      </c>
      <c r="F149" s="16" t="str">
        <f t="shared" si="4"/>
        <v>T4 Cambridge IGCSE Mathematics - INR</v>
      </c>
      <c r="G149" s="41"/>
      <c r="H149" s="25" t="s">
        <v>17</v>
      </c>
      <c r="I149" s="29">
        <v>3000.0</v>
      </c>
    </row>
    <row r="150" ht="22.5" customHeight="1">
      <c r="A150" s="5" t="s">
        <v>111</v>
      </c>
      <c r="B150" s="6" t="s">
        <v>10</v>
      </c>
      <c r="C150" s="7" t="s">
        <v>11</v>
      </c>
      <c r="D150" s="42"/>
      <c r="E150" s="9" t="s">
        <v>112</v>
      </c>
      <c r="F150" s="9" t="str">
        <f t="shared" si="4"/>
        <v>T4 Cambridge IGCSE Science - SAR</v>
      </c>
      <c r="G150" s="49"/>
      <c r="H150" s="6" t="s">
        <v>15</v>
      </c>
      <c r="I150" s="11">
        <v>150.0</v>
      </c>
    </row>
    <row r="151" ht="22.5" customHeight="1">
      <c r="A151" s="12" t="s">
        <v>111</v>
      </c>
      <c r="B151" s="13" t="s">
        <v>10</v>
      </c>
      <c r="C151" s="14" t="s">
        <v>11</v>
      </c>
      <c r="D151" s="39"/>
      <c r="E151" s="16" t="s">
        <v>112</v>
      </c>
      <c r="F151" s="16" t="str">
        <f t="shared" si="4"/>
        <v>T4 Cambridge IGCSE Science - INR</v>
      </c>
      <c r="G151" s="41"/>
      <c r="H151" s="13" t="s">
        <v>17</v>
      </c>
      <c r="I151" s="17">
        <v>3000.0</v>
      </c>
    </row>
    <row r="152" ht="22.5" customHeight="1">
      <c r="A152" s="50"/>
      <c r="B152" s="6" t="s">
        <v>10</v>
      </c>
      <c r="C152" s="34" t="s">
        <v>59</v>
      </c>
      <c r="D152" s="42"/>
      <c r="E152" s="9" t="s">
        <v>113</v>
      </c>
      <c r="F152" s="9" t="str">
        <f t="shared" si="4"/>
        <v>Cambridge A-Level Counseling Session - GBP</v>
      </c>
      <c r="G152" s="10" t="s">
        <v>114</v>
      </c>
      <c r="H152" s="6" t="s">
        <v>19</v>
      </c>
      <c r="I152" s="11">
        <v>15.0</v>
      </c>
    </row>
    <row r="153" ht="22.5" customHeight="1">
      <c r="A153" s="51"/>
      <c r="B153" s="13" t="s">
        <v>115</v>
      </c>
      <c r="C153" s="52" t="s">
        <v>116</v>
      </c>
      <c r="D153" s="39"/>
      <c r="E153" s="16" t="s">
        <v>96</v>
      </c>
      <c r="F153" s="16" t="str">
        <f t="shared" si="4"/>
        <v>IDP IELTS English - INR</v>
      </c>
      <c r="G153" s="16" t="s">
        <v>14</v>
      </c>
      <c r="H153" s="19" t="s">
        <v>17</v>
      </c>
      <c r="I153" s="17">
        <v>8000.0</v>
      </c>
    </row>
    <row r="154" ht="22.5" customHeight="1">
      <c r="A154" s="50"/>
      <c r="B154" s="6" t="s">
        <v>102</v>
      </c>
      <c r="C154" s="44" t="s">
        <v>103</v>
      </c>
      <c r="D154" s="42"/>
      <c r="E154" s="9" t="s">
        <v>96</v>
      </c>
      <c r="F154" s="9" t="str">
        <f t="shared" si="4"/>
        <v>College Board SAT English - INR</v>
      </c>
      <c r="G154" s="10" t="s">
        <v>14</v>
      </c>
      <c r="H154" s="46" t="s">
        <v>17</v>
      </c>
      <c r="I154" s="17">
        <v>300.0</v>
      </c>
    </row>
    <row r="155" ht="22.5" customHeight="1">
      <c r="A155" s="51"/>
      <c r="B155" s="13" t="s">
        <v>102</v>
      </c>
      <c r="C155" s="43" t="s">
        <v>103</v>
      </c>
      <c r="D155" s="39"/>
      <c r="E155" s="16" t="s">
        <v>97</v>
      </c>
      <c r="F155" s="16" t="str">
        <f t="shared" si="4"/>
        <v>College Board SAT Math - INR</v>
      </c>
      <c r="G155" s="16" t="s">
        <v>14</v>
      </c>
      <c r="H155" s="19" t="s">
        <v>17</v>
      </c>
      <c r="I155" s="17">
        <v>6000.0</v>
      </c>
    </row>
    <row r="156" ht="22.5" customHeight="1">
      <c r="A156" s="50"/>
      <c r="B156" s="6" t="s">
        <v>10</v>
      </c>
      <c r="C156" s="34" t="s">
        <v>59</v>
      </c>
      <c r="D156" s="42"/>
      <c r="E156" s="45"/>
      <c r="F156" s="9" t="str">
        <f t="shared" si="4"/>
        <v>Cambridge A-Level - GBP</v>
      </c>
      <c r="G156" s="10" t="s">
        <v>14</v>
      </c>
      <c r="H156" s="6" t="s">
        <v>19</v>
      </c>
      <c r="I156" s="11">
        <v>20.0</v>
      </c>
    </row>
    <row r="157" ht="22.5" customHeight="1">
      <c r="A157" s="51"/>
      <c r="B157" s="13" t="s">
        <v>10</v>
      </c>
      <c r="C157" s="30" t="s">
        <v>52</v>
      </c>
      <c r="D157" s="39"/>
      <c r="E157" s="41"/>
      <c r="F157" s="16" t="str">
        <f t="shared" si="4"/>
        <v>Cambridge AS-Level - GBP</v>
      </c>
      <c r="G157" s="16" t="s">
        <v>14</v>
      </c>
      <c r="H157" s="13" t="s">
        <v>19</v>
      </c>
      <c r="I157" s="17">
        <v>15.0</v>
      </c>
    </row>
    <row r="158" ht="22.5" customHeight="1">
      <c r="A158" s="50"/>
      <c r="B158" s="6" t="s">
        <v>10</v>
      </c>
      <c r="C158" s="7" t="s">
        <v>11</v>
      </c>
      <c r="D158" s="42"/>
      <c r="E158" s="45"/>
      <c r="F158" s="9" t="str">
        <f t="shared" si="4"/>
        <v>Cambridge IGCSE - GBP</v>
      </c>
      <c r="G158" s="10" t="s">
        <v>14</v>
      </c>
      <c r="H158" s="6" t="s">
        <v>19</v>
      </c>
      <c r="I158" s="11">
        <v>10.0</v>
      </c>
    </row>
    <row r="159" ht="22.5" customHeight="1">
      <c r="A159" s="12" t="s">
        <v>78</v>
      </c>
      <c r="B159" s="53"/>
      <c r="C159" s="13" t="s">
        <v>117</v>
      </c>
      <c r="D159" s="39"/>
      <c r="E159" s="41"/>
      <c r="F159" s="16" t="str">
        <f t="shared" si="4"/>
        <v>C19 ACT - GBP</v>
      </c>
      <c r="G159" s="16" t="s">
        <v>14</v>
      </c>
      <c r="H159" s="13" t="s">
        <v>19</v>
      </c>
      <c r="I159" s="17">
        <v>15.0</v>
      </c>
    </row>
    <row r="160" ht="22.5" customHeight="1">
      <c r="A160" s="5" t="s">
        <v>118</v>
      </c>
      <c r="B160" s="6" t="s">
        <v>94</v>
      </c>
      <c r="C160" s="6" t="s">
        <v>95</v>
      </c>
      <c r="D160" s="42"/>
      <c r="E160" s="45"/>
      <c r="F160" s="9" t="str">
        <f t="shared" si="4"/>
        <v>C20 KSA Qudrat GAT - SAR</v>
      </c>
      <c r="G160" s="10" t="s">
        <v>14</v>
      </c>
      <c r="H160" s="6" t="s">
        <v>15</v>
      </c>
      <c r="I160" s="11">
        <v>250.0</v>
      </c>
    </row>
    <row r="161" ht="22.5" customHeight="1">
      <c r="A161" s="12" t="s">
        <v>119</v>
      </c>
      <c r="B161" s="13" t="s">
        <v>75</v>
      </c>
      <c r="C161" s="14" t="s">
        <v>11</v>
      </c>
      <c r="D161" s="39"/>
      <c r="E161" s="16" t="s">
        <v>120</v>
      </c>
      <c r="F161" s="16" t="str">
        <f t="shared" si="4"/>
        <v>C21 Edexcel IGCSE ICT - GBP</v>
      </c>
      <c r="G161" s="16" t="s">
        <v>14</v>
      </c>
      <c r="H161" s="13" t="s">
        <v>19</v>
      </c>
      <c r="I161" s="17">
        <v>10.0</v>
      </c>
    </row>
    <row r="162" ht="22.5" customHeight="1">
      <c r="A162" s="5" t="s">
        <v>105</v>
      </c>
      <c r="B162" s="6" t="s">
        <v>102</v>
      </c>
      <c r="C162" s="47"/>
      <c r="D162" s="42"/>
      <c r="E162" s="9" t="s">
        <v>43</v>
      </c>
      <c r="F162" s="9" t="str">
        <f t="shared" si="4"/>
        <v>C4 College Board Mathematics - SGD</v>
      </c>
      <c r="G162" s="10" t="s">
        <v>14</v>
      </c>
      <c r="H162" s="6" t="s">
        <v>108</v>
      </c>
      <c r="I162" s="11">
        <v>25.0</v>
      </c>
    </row>
    <row r="163" ht="22.5" customHeight="1">
      <c r="A163" s="12" t="s">
        <v>105</v>
      </c>
      <c r="B163" s="13" t="s">
        <v>106</v>
      </c>
      <c r="C163" s="53"/>
      <c r="D163" s="39"/>
      <c r="E163" s="16" t="s">
        <v>121</v>
      </c>
      <c r="F163" s="16" t="str">
        <f t="shared" si="4"/>
        <v>C4 DC IMO Mathematics - SGD</v>
      </c>
      <c r="G163" s="16" t="s">
        <v>14</v>
      </c>
      <c r="H163" s="13" t="s">
        <v>108</v>
      </c>
      <c r="I163" s="17">
        <v>25.0</v>
      </c>
    </row>
    <row r="164" ht="22.5" customHeight="1">
      <c r="A164" s="5" t="s">
        <v>105</v>
      </c>
      <c r="B164" s="6" t="s">
        <v>102</v>
      </c>
      <c r="C164" s="47"/>
      <c r="D164" s="42"/>
      <c r="E164" s="9" t="s">
        <v>50</v>
      </c>
      <c r="F164" s="9" t="str">
        <f t="shared" si="4"/>
        <v>C4 College Board Physics - SGD</v>
      </c>
      <c r="G164" s="10" t="s">
        <v>14</v>
      </c>
      <c r="H164" s="6" t="s">
        <v>108</v>
      </c>
      <c r="I164" s="11">
        <v>25.0</v>
      </c>
    </row>
    <row r="165" ht="22.5" customHeight="1">
      <c r="A165" s="12" t="s">
        <v>122</v>
      </c>
      <c r="B165" s="13" t="s">
        <v>123</v>
      </c>
      <c r="C165" s="13" t="s">
        <v>124</v>
      </c>
      <c r="D165" s="39"/>
      <c r="E165" s="41"/>
      <c r="F165" s="16" t="str">
        <f t="shared" si="4"/>
        <v>C22 DTU BTech - INR</v>
      </c>
      <c r="G165" s="16" t="s">
        <v>14</v>
      </c>
      <c r="H165" s="13" t="s">
        <v>17</v>
      </c>
      <c r="I165" s="54">
        <v>26000.0</v>
      </c>
    </row>
    <row r="166" ht="22.5" customHeight="1">
      <c r="A166" s="5" t="s">
        <v>125</v>
      </c>
      <c r="B166" s="6" t="s">
        <v>126</v>
      </c>
      <c r="C166" s="47"/>
      <c r="D166" s="42"/>
      <c r="E166" s="45"/>
      <c r="F166" s="9" t="str">
        <f t="shared" si="4"/>
        <v>C23 IMAT - GBP</v>
      </c>
      <c r="G166" s="10" t="s">
        <v>14</v>
      </c>
      <c r="H166" s="6" t="s">
        <v>19</v>
      </c>
      <c r="I166" s="11">
        <v>12.5</v>
      </c>
    </row>
    <row r="167" ht="22.5" customHeight="1">
      <c r="A167" s="12" t="s">
        <v>51</v>
      </c>
      <c r="B167" s="13" t="s">
        <v>10</v>
      </c>
      <c r="C167" s="30" t="s">
        <v>52</v>
      </c>
      <c r="D167" s="15" t="s">
        <v>82</v>
      </c>
      <c r="E167" s="16" t="s">
        <v>85</v>
      </c>
      <c r="F167" s="16" t="str">
        <f t="shared" si="4"/>
        <v>B18 Cambridge AS-Level 9709 Mathematics: Pure 1 - USD</v>
      </c>
      <c r="G167" s="16" t="s">
        <v>14</v>
      </c>
      <c r="H167" s="13" t="s">
        <v>100</v>
      </c>
      <c r="I167" s="17">
        <v>40.0</v>
      </c>
    </row>
    <row r="168" ht="22.5" customHeight="1">
      <c r="A168" s="5" t="s">
        <v>51</v>
      </c>
      <c r="B168" s="6" t="s">
        <v>10</v>
      </c>
      <c r="C168" s="32" t="s">
        <v>52</v>
      </c>
      <c r="D168" s="8" t="s">
        <v>82</v>
      </c>
      <c r="E168" s="16" t="s">
        <v>87</v>
      </c>
      <c r="F168" s="9" t="str">
        <f t="shared" si="4"/>
        <v>B18 Cambridge AS-Level 9709 Mathematics: Statistics 1 - USD</v>
      </c>
      <c r="G168" s="10" t="s">
        <v>14</v>
      </c>
      <c r="H168" s="6" t="s">
        <v>100</v>
      </c>
      <c r="I168" s="11">
        <v>40.0</v>
      </c>
    </row>
    <row r="169" ht="22.5" customHeight="1">
      <c r="A169" s="12" t="s">
        <v>127</v>
      </c>
      <c r="B169" s="13" t="s">
        <v>128</v>
      </c>
      <c r="C169" s="33" t="s">
        <v>59</v>
      </c>
      <c r="D169" s="39"/>
      <c r="E169" s="16" t="s">
        <v>31</v>
      </c>
      <c r="F169" s="16" t="str">
        <f t="shared" si="4"/>
        <v>C24 AQA A-Level Computer Science - GBP</v>
      </c>
      <c r="G169" s="16" t="s">
        <v>14</v>
      </c>
      <c r="H169" s="13" t="s">
        <v>19</v>
      </c>
      <c r="I169" s="17">
        <v>25.0</v>
      </c>
    </row>
    <row r="170" ht="22.5" customHeight="1">
      <c r="A170" s="5" t="s">
        <v>105</v>
      </c>
      <c r="B170" s="6" t="s">
        <v>129</v>
      </c>
      <c r="C170" s="47"/>
      <c r="D170" s="42"/>
      <c r="E170" s="9" t="s">
        <v>130</v>
      </c>
      <c r="F170" s="9" t="str">
        <f t="shared" si="4"/>
        <v>C4 AP Computer Science Priniciples - SGD</v>
      </c>
      <c r="G170" s="10" t="s">
        <v>14</v>
      </c>
      <c r="H170" s="6" t="s">
        <v>108</v>
      </c>
      <c r="I170" s="11">
        <v>30.0</v>
      </c>
    </row>
    <row r="171" ht="22.5" customHeight="1">
      <c r="A171" s="12" t="s">
        <v>9</v>
      </c>
      <c r="B171" s="13" t="s">
        <v>10</v>
      </c>
      <c r="C171" s="14" t="s">
        <v>11</v>
      </c>
      <c r="D171" s="15" t="s">
        <v>30</v>
      </c>
      <c r="E171" s="16" t="s">
        <v>31</v>
      </c>
      <c r="F171" s="16" t="str">
        <f t="shared" si="4"/>
        <v>B14 Cambridge IGCSE 0478 Computer Science - GBP</v>
      </c>
      <c r="G171" s="16" t="s">
        <v>14</v>
      </c>
      <c r="H171" s="13" t="s">
        <v>19</v>
      </c>
      <c r="I171" s="17">
        <v>10.0</v>
      </c>
    </row>
    <row r="172" ht="22.5" customHeight="1">
      <c r="A172" s="50"/>
      <c r="B172" s="47"/>
      <c r="C172" s="47"/>
      <c r="D172" s="42"/>
      <c r="E172" s="45"/>
      <c r="F172" s="45" t="str">
        <f t="shared" si="4"/>
        <v/>
      </c>
      <c r="G172" s="45"/>
      <c r="H172" s="47"/>
      <c r="I172" s="55"/>
    </row>
    <row r="173" ht="22.5" customHeight="1">
      <c r="A173" s="51"/>
      <c r="B173" s="53"/>
      <c r="C173" s="53"/>
      <c r="D173" s="39"/>
      <c r="E173" s="41"/>
      <c r="F173" s="41" t="str">
        <f t="shared" si="4"/>
        <v/>
      </c>
      <c r="G173" s="41"/>
      <c r="H173" s="53"/>
      <c r="I173" s="56"/>
    </row>
    <row r="174" ht="22.5" customHeight="1">
      <c r="A174" s="50"/>
      <c r="B174" s="47"/>
      <c r="C174" s="47"/>
      <c r="D174" s="42"/>
      <c r="E174" s="45"/>
      <c r="F174" s="45" t="str">
        <f t="shared" si="4"/>
        <v/>
      </c>
      <c r="G174" s="45"/>
      <c r="H174" s="47"/>
      <c r="I174" s="55"/>
    </row>
    <row r="175" ht="22.5" customHeight="1">
      <c r="A175" s="51"/>
      <c r="B175" s="53"/>
      <c r="C175" s="53"/>
      <c r="D175" s="39"/>
      <c r="E175" s="41"/>
      <c r="F175" s="41" t="str">
        <f t="shared" si="4"/>
        <v/>
      </c>
      <c r="G175" s="41"/>
      <c r="H175" s="53"/>
      <c r="I175" s="56"/>
    </row>
    <row r="176" ht="22.5" customHeight="1">
      <c r="A176" s="50"/>
      <c r="B176" s="47"/>
      <c r="C176" s="47"/>
      <c r="D176" s="42"/>
      <c r="E176" s="45"/>
      <c r="F176" s="45" t="str">
        <f t="shared" si="4"/>
        <v/>
      </c>
      <c r="G176" s="45"/>
      <c r="H176" s="47"/>
      <c r="I176" s="55"/>
    </row>
    <row r="177" ht="22.5" customHeight="1">
      <c r="A177" s="57"/>
      <c r="B177" s="58"/>
      <c r="C177" s="58"/>
      <c r="D177" s="59"/>
      <c r="E177" s="60"/>
      <c r="F177" s="60" t="str">
        <f t="shared" si="4"/>
        <v/>
      </c>
      <c r="G177" s="60"/>
      <c r="H177" s="58"/>
      <c r="I177" s="61"/>
    </row>
  </sheetData>
  <dataValidations>
    <dataValidation type="list" allowBlank="1" sqref="A2:A177">
      <formula1>#REF!</formula1>
    </dataValidation>
    <dataValidation type="list" allowBlank="1" sqref="C2:C177">
      <formula1>"IGCSE,A-Level,SAT,IELTS,Qudrat GAT,AS-Level,DP,MYP,GCSE,ACT,BTech"</formula1>
    </dataValidation>
    <dataValidation type="list" allowBlank="1" sqref="B2:B177">
      <formula1>"Cambridge,OCR,Edexcel,AQA,College Board,IDP,KSA,DC,IB,Singapore,IMAT,DTU"</formula1>
    </dataValidation>
    <dataValidation allowBlank="1" showDropDown="1" sqref="D2:D177"/>
    <dataValidation type="list" allowBlank="1" sqref="H2:H177">
      <formula1>#REF!</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131</v>
      </c>
      <c r="B1" s="4" t="s">
        <v>2</v>
      </c>
      <c r="C1" s="1" t="s">
        <v>0</v>
      </c>
      <c r="D1" s="1" t="s">
        <v>132</v>
      </c>
    </row>
    <row r="2" ht="22.5" customHeight="1">
      <c r="A2" s="62"/>
      <c r="B2" s="47"/>
      <c r="C2" s="63" t="s">
        <v>133</v>
      </c>
      <c r="D2" s="64"/>
    </row>
    <row r="3" ht="22.5" customHeight="1">
      <c r="A3" s="65"/>
      <c r="B3" s="53"/>
      <c r="C3" s="66" t="s">
        <v>134</v>
      </c>
      <c r="D3" s="67"/>
    </row>
    <row r="4" ht="22.5" customHeight="1">
      <c r="A4" s="62"/>
      <c r="B4" s="47"/>
      <c r="C4" s="63" t="s">
        <v>135</v>
      </c>
      <c r="D4" s="64"/>
    </row>
    <row r="5" ht="22.5" customHeight="1">
      <c r="A5" s="65"/>
      <c r="B5" s="53"/>
      <c r="C5" s="66" t="s">
        <v>93</v>
      </c>
      <c r="D5" s="67"/>
    </row>
    <row r="6" ht="22.5" customHeight="1">
      <c r="A6" s="68" t="s">
        <v>136</v>
      </c>
      <c r="B6" s="69" t="s">
        <v>11</v>
      </c>
      <c r="C6" s="63" t="s">
        <v>9</v>
      </c>
      <c r="D6" s="70" t="s">
        <v>137</v>
      </c>
    </row>
    <row r="7" ht="22.5" customHeight="1">
      <c r="A7" s="65"/>
      <c r="B7" s="53"/>
      <c r="C7" s="66" t="s">
        <v>138</v>
      </c>
      <c r="D7" s="67"/>
    </row>
    <row r="8" ht="22.5" customHeight="1">
      <c r="A8" s="62"/>
      <c r="B8" s="47"/>
      <c r="C8" s="63" t="s">
        <v>139</v>
      </c>
      <c r="D8" s="64"/>
    </row>
    <row r="9" ht="22.5" customHeight="1">
      <c r="A9" s="71" t="s">
        <v>136</v>
      </c>
      <c r="B9" s="72" t="s">
        <v>59</v>
      </c>
      <c r="C9" s="66" t="s">
        <v>51</v>
      </c>
      <c r="D9" s="67"/>
    </row>
    <row r="10" ht="22.5" customHeight="1">
      <c r="A10" s="68" t="s">
        <v>140</v>
      </c>
      <c r="B10" s="69" t="s">
        <v>11</v>
      </c>
      <c r="C10" s="63" t="s">
        <v>141</v>
      </c>
      <c r="D10" s="73" t="s">
        <v>142</v>
      </c>
    </row>
    <row r="11" ht="22.5" customHeight="1">
      <c r="A11" s="71" t="s">
        <v>136</v>
      </c>
      <c r="B11" s="72" t="s">
        <v>59</v>
      </c>
      <c r="C11" s="66" t="s">
        <v>55</v>
      </c>
      <c r="D11" s="74" t="s">
        <v>143</v>
      </c>
    </row>
    <row r="12" ht="22.5" customHeight="1">
      <c r="A12" s="62"/>
      <c r="B12" s="47"/>
      <c r="C12" s="63" t="s">
        <v>144</v>
      </c>
      <c r="D12" s="64"/>
    </row>
    <row r="13" ht="22.5" customHeight="1">
      <c r="A13" s="65"/>
      <c r="B13" s="53"/>
      <c r="C13" s="66" t="s">
        <v>145</v>
      </c>
      <c r="D13" s="67"/>
    </row>
    <row r="14" ht="22.5" customHeight="1">
      <c r="A14" s="62"/>
      <c r="B14" s="47"/>
      <c r="C14" s="63" t="s">
        <v>146</v>
      </c>
      <c r="D14" s="64"/>
    </row>
    <row r="15" ht="22.5" customHeight="1">
      <c r="A15" s="65"/>
      <c r="B15" s="53"/>
      <c r="C15" s="66" t="s">
        <v>101</v>
      </c>
      <c r="D15" s="67"/>
    </row>
    <row r="16" ht="22.5" customHeight="1">
      <c r="A16" s="62"/>
      <c r="B16" s="47"/>
      <c r="C16" s="63" t="s">
        <v>104</v>
      </c>
      <c r="D16" s="64"/>
    </row>
    <row r="17" ht="22.5" customHeight="1">
      <c r="A17" s="65"/>
      <c r="B17" s="53"/>
      <c r="C17" s="66" t="s">
        <v>18</v>
      </c>
      <c r="D17" s="67"/>
    </row>
    <row r="18" ht="22.5" customHeight="1">
      <c r="A18" s="62"/>
      <c r="B18" s="47"/>
      <c r="C18" s="63" t="s">
        <v>80</v>
      </c>
      <c r="D18" s="64"/>
    </row>
    <row r="19" ht="22.5" customHeight="1">
      <c r="A19" s="65"/>
      <c r="B19" s="53"/>
      <c r="C19" s="66" t="s">
        <v>73</v>
      </c>
      <c r="D19" s="74" t="s">
        <v>147</v>
      </c>
    </row>
    <row r="20" ht="22.5" customHeight="1">
      <c r="A20" s="62"/>
      <c r="B20" s="47"/>
      <c r="C20" s="63" t="s">
        <v>34</v>
      </c>
      <c r="D20" s="64"/>
    </row>
    <row r="21" ht="22.5" customHeight="1">
      <c r="A21" s="65"/>
      <c r="B21" s="53"/>
      <c r="C21" s="66" t="s">
        <v>74</v>
      </c>
      <c r="D21" s="74" t="s">
        <v>148</v>
      </c>
    </row>
    <row r="22" ht="22.5" customHeight="1">
      <c r="A22" s="62"/>
      <c r="B22" s="47"/>
      <c r="C22" s="63" t="s">
        <v>76</v>
      </c>
      <c r="D22" s="70" t="s">
        <v>149</v>
      </c>
    </row>
    <row r="23" ht="22.5" customHeight="1">
      <c r="A23" s="65"/>
      <c r="B23" s="53"/>
      <c r="C23" s="66" t="s">
        <v>78</v>
      </c>
      <c r="D23" s="67"/>
    </row>
    <row r="24" ht="22.5" customHeight="1">
      <c r="A24" s="62"/>
      <c r="B24" s="47"/>
      <c r="C24" s="63" t="s">
        <v>150</v>
      </c>
      <c r="D24" s="64"/>
    </row>
    <row r="25" ht="22.5" customHeight="1">
      <c r="A25" s="65"/>
      <c r="B25" s="53"/>
      <c r="C25" s="66" t="s">
        <v>118</v>
      </c>
      <c r="D25" s="74" t="s">
        <v>151</v>
      </c>
    </row>
    <row r="26" ht="22.5" customHeight="1">
      <c r="A26" s="62"/>
      <c r="B26" s="47"/>
      <c r="C26" s="63" t="s">
        <v>119</v>
      </c>
      <c r="D26" s="70" t="s">
        <v>152</v>
      </c>
    </row>
    <row r="27" ht="22.5" customHeight="1">
      <c r="A27" s="65"/>
      <c r="B27" s="53"/>
      <c r="C27" s="66" t="s">
        <v>122</v>
      </c>
      <c r="D27" s="74" t="s">
        <v>153</v>
      </c>
    </row>
    <row r="28" ht="22.5" customHeight="1">
      <c r="A28" s="62"/>
      <c r="B28" s="47"/>
      <c r="C28" s="63" t="s">
        <v>125</v>
      </c>
      <c r="D28" s="70" t="s">
        <v>154</v>
      </c>
    </row>
    <row r="29" ht="22.5" customHeight="1">
      <c r="A29" s="65"/>
      <c r="B29" s="53"/>
      <c r="C29" s="66" t="s">
        <v>127</v>
      </c>
      <c r="D29" s="67"/>
    </row>
    <row r="30" ht="22.5" customHeight="1">
      <c r="A30" s="62"/>
      <c r="B30" s="47"/>
      <c r="C30" s="63" t="s">
        <v>89</v>
      </c>
      <c r="D30" s="64"/>
    </row>
    <row r="31" ht="22.5" customHeight="1">
      <c r="A31" s="65"/>
      <c r="B31" s="53"/>
      <c r="C31" s="66" t="s">
        <v>105</v>
      </c>
      <c r="D31" s="67"/>
    </row>
    <row r="32" ht="22.5" customHeight="1">
      <c r="A32" s="62"/>
      <c r="B32" s="47"/>
      <c r="C32" s="63" t="s">
        <v>155</v>
      </c>
      <c r="D32" s="64"/>
    </row>
    <row r="33" ht="22.5" customHeight="1">
      <c r="A33" s="65"/>
      <c r="B33" s="53"/>
      <c r="C33" s="66" t="s">
        <v>109</v>
      </c>
      <c r="D33" s="67"/>
    </row>
    <row r="34" ht="22.5" customHeight="1">
      <c r="A34" s="62"/>
      <c r="B34" s="47"/>
      <c r="C34" s="63" t="s">
        <v>156</v>
      </c>
      <c r="D34" s="64"/>
    </row>
    <row r="35" ht="22.5" customHeight="1">
      <c r="A35" s="65"/>
      <c r="B35" s="53"/>
      <c r="C35" s="66" t="s">
        <v>157</v>
      </c>
      <c r="D35" s="67"/>
    </row>
    <row r="36" ht="22.5" customHeight="1">
      <c r="A36" s="62"/>
      <c r="B36" s="47"/>
      <c r="C36" s="63" t="s">
        <v>158</v>
      </c>
      <c r="D36" s="64"/>
    </row>
    <row r="37" ht="22.5" customHeight="1">
      <c r="A37" s="65"/>
      <c r="B37" s="53"/>
      <c r="C37" s="66" t="s">
        <v>20</v>
      </c>
      <c r="D37" s="67"/>
    </row>
    <row r="38" ht="22.5" customHeight="1">
      <c r="A38" s="62"/>
      <c r="B38" s="47"/>
      <c r="C38" s="63" t="s">
        <v>38</v>
      </c>
      <c r="D38" s="64"/>
    </row>
    <row r="39" ht="22.5" customHeight="1">
      <c r="A39" s="65"/>
      <c r="B39" s="53"/>
      <c r="C39" s="66" t="s">
        <v>111</v>
      </c>
      <c r="D39" s="74" t="s">
        <v>159</v>
      </c>
    </row>
    <row r="40" ht="22.5" customHeight="1">
      <c r="A40" s="62"/>
      <c r="B40" s="47"/>
      <c r="C40" s="63" t="s">
        <v>35</v>
      </c>
      <c r="D40" s="70" t="s">
        <v>160</v>
      </c>
    </row>
    <row r="41" ht="22.5" customHeight="1">
      <c r="A41" s="65"/>
      <c r="B41" s="53"/>
      <c r="C41" s="66" t="s">
        <v>161</v>
      </c>
      <c r="D41" s="67"/>
    </row>
    <row r="42" ht="22.5" customHeight="1">
      <c r="A42" s="62"/>
      <c r="B42" s="47"/>
      <c r="C42" s="63" t="s">
        <v>162</v>
      </c>
      <c r="D42" s="64"/>
    </row>
    <row r="43" ht="22.5" customHeight="1">
      <c r="A43" s="65"/>
      <c r="B43" s="53"/>
      <c r="C43" s="66" t="s">
        <v>163</v>
      </c>
      <c r="D43" s="67"/>
    </row>
    <row r="44" ht="22.5" customHeight="1">
      <c r="A44" s="62"/>
      <c r="B44" s="47"/>
      <c r="C44" s="63" t="s">
        <v>164</v>
      </c>
      <c r="D44" s="64"/>
    </row>
    <row r="45" ht="22.5" customHeight="1">
      <c r="A45" s="65"/>
      <c r="B45" s="53"/>
      <c r="C45" s="66" t="s">
        <v>165</v>
      </c>
      <c r="D45" s="67"/>
    </row>
    <row r="46" ht="22.5" customHeight="1">
      <c r="A46" s="62"/>
      <c r="B46" s="47"/>
      <c r="C46" s="63" t="s">
        <v>166</v>
      </c>
      <c r="D46" s="64"/>
    </row>
    <row r="47" ht="22.5" customHeight="1">
      <c r="A47" s="65"/>
      <c r="B47" s="53"/>
      <c r="C47" s="66" t="s">
        <v>167</v>
      </c>
      <c r="D47" s="67"/>
    </row>
    <row r="48" ht="22.5" customHeight="1">
      <c r="A48" s="62"/>
      <c r="B48" s="47"/>
      <c r="C48" s="63" t="s">
        <v>168</v>
      </c>
      <c r="D48" s="64"/>
    </row>
    <row r="49" ht="22.5" customHeight="1">
      <c r="A49" s="75"/>
      <c r="B49" s="58"/>
      <c r="C49" s="76" t="s">
        <v>169</v>
      </c>
      <c r="D49" s="77"/>
    </row>
  </sheetData>
  <dataValidations>
    <dataValidation type="list" allowBlank="1" sqref="D2:D49">
      <formula1>#REF!</formula1>
    </dataValidation>
    <dataValidation type="list" allowBlank="1" showDropDown="1" showErrorMessage="1" sqref="B2:B49">
      <formula1>"IGCSE,A-Level,SAT,IELTS"</formula1>
    </dataValidation>
    <dataValidation allowBlank="1" showDropDown="1" sqref="C2:C49"/>
    <dataValidation type="list" allowBlank="1" sqref="A2:A49">
      <formula1>"Active,Inactive"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170</v>
      </c>
      <c r="B1" s="78" t="s">
        <v>171</v>
      </c>
      <c r="C1" s="1" t="s">
        <v>0</v>
      </c>
      <c r="D1" s="78" t="s">
        <v>7</v>
      </c>
      <c r="E1" s="4" t="s">
        <v>172</v>
      </c>
      <c r="F1" s="78" t="s">
        <v>173</v>
      </c>
      <c r="G1" s="78" t="s">
        <v>174</v>
      </c>
      <c r="H1" s="78" t="s">
        <v>175</v>
      </c>
      <c r="I1" s="78" t="s">
        <v>176</v>
      </c>
      <c r="J1" s="78" t="s">
        <v>177</v>
      </c>
      <c r="K1" s="78" t="s">
        <v>178</v>
      </c>
      <c r="L1" s="78" t="s">
        <v>179</v>
      </c>
      <c r="M1" s="78" t="s">
        <v>180</v>
      </c>
      <c r="N1" s="78" t="s">
        <v>181</v>
      </c>
      <c r="O1" s="78" t="s">
        <v>182</v>
      </c>
      <c r="P1" s="78" t="s">
        <v>183</v>
      </c>
    </row>
    <row r="2" ht="22.5" customHeight="1">
      <c r="A2" s="79">
        <v>1.0</v>
      </c>
      <c r="B2" s="80" t="s">
        <v>184</v>
      </c>
      <c r="C2" s="8" t="s">
        <v>141</v>
      </c>
      <c r="D2" s="80" t="s">
        <v>15</v>
      </c>
      <c r="E2" s="81" t="s">
        <v>185</v>
      </c>
      <c r="F2" s="82"/>
      <c r="G2" s="45"/>
      <c r="H2" s="45"/>
      <c r="I2" s="45"/>
      <c r="J2" s="45"/>
      <c r="K2" s="83" t="b">
        <v>0</v>
      </c>
      <c r="L2" s="83" t="b">
        <v>0</v>
      </c>
      <c r="M2" s="83" t="b">
        <v>0</v>
      </c>
      <c r="N2" s="45"/>
      <c r="O2" s="45"/>
      <c r="P2" s="55"/>
    </row>
    <row r="3" ht="22.5" customHeight="1">
      <c r="A3" s="84">
        <v>2.0</v>
      </c>
      <c r="B3" s="85" t="s">
        <v>186</v>
      </c>
      <c r="C3" s="39"/>
      <c r="D3" s="85" t="s">
        <v>187</v>
      </c>
      <c r="E3" s="86" t="s">
        <v>188</v>
      </c>
      <c r="F3" s="87"/>
      <c r="G3" s="41"/>
      <c r="H3" s="41"/>
      <c r="I3" s="41"/>
      <c r="J3" s="41"/>
      <c r="K3" s="88" t="b">
        <v>0</v>
      </c>
      <c r="L3" s="88" t="b">
        <v>0</v>
      </c>
      <c r="M3" s="88" t="b">
        <v>0</v>
      </c>
      <c r="N3" s="41"/>
      <c r="O3" s="41"/>
      <c r="P3" s="56"/>
    </row>
    <row r="4" ht="22.5" customHeight="1">
      <c r="A4" s="79">
        <v>3.0</v>
      </c>
      <c r="B4" s="80" t="s">
        <v>189</v>
      </c>
      <c r="C4" s="8" t="s">
        <v>190</v>
      </c>
      <c r="D4" s="80" t="s">
        <v>15</v>
      </c>
      <c r="E4" s="81" t="s">
        <v>191</v>
      </c>
      <c r="F4" s="82"/>
      <c r="G4" s="45"/>
      <c r="H4" s="45"/>
      <c r="I4" s="45"/>
      <c r="J4" s="45"/>
      <c r="K4" s="83" t="b">
        <v>0</v>
      </c>
      <c r="L4" s="83" t="b">
        <v>0</v>
      </c>
      <c r="M4" s="83" t="b">
        <v>0</v>
      </c>
      <c r="N4" s="45"/>
      <c r="O4" s="45"/>
      <c r="P4" s="55"/>
    </row>
    <row r="5" ht="22.5" customHeight="1">
      <c r="A5" s="84">
        <v>4.0</v>
      </c>
      <c r="B5" s="85" t="s">
        <v>192</v>
      </c>
      <c r="C5" s="15" t="s">
        <v>190</v>
      </c>
      <c r="D5" s="85" t="s">
        <v>17</v>
      </c>
      <c r="E5" s="86" t="s">
        <v>193</v>
      </c>
      <c r="F5" s="87"/>
      <c r="G5" s="41"/>
      <c r="H5" s="41"/>
      <c r="I5" s="41"/>
      <c r="J5" s="41"/>
      <c r="K5" s="88" t="b">
        <v>0</v>
      </c>
      <c r="L5" s="88" t="b">
        <v>0</v>
      </c>
      <c r="M5" s="88" t="b">
        <v>0</v>
      </c>
      <c r="N5" s="41"/>
      <c r="O5" s="41"/>
      <c r="P5" s="56"/>
    </row>
    <row r="6" ht="22.5" customHeight="1">
      <c r="A6" s="79">
        <v>5.0</v>
      </c>
      <c r="B6" s="80" t="s">
        <v>194</v>
      </c>
      <c r="C6" s="82"/>
      <c r="D6" s="80" t="s">
        <v>15</v>
      </c>
      <c r="E6" s="81" t="s">
        <v>195</v>
      </c>
      <c r="F6" s="82"/>
      <c r="G6" s="45"/>
      <c r="H6" s="45"/>
      <c r="I6" s="45"/>
      <c r="J6" s="45"/>
      <c r="K6" s="83" t="b">
        <v>0</v>
      </c>
      <c r="L6" s="83" t="b">
        <v>0</v>
      </c>
      <c r="M6" s="83" t="b">
        <v>0</v>
      </c>
      <c r="N6" s="45"/>
      <c r="O6" s="45"/>
      <c r="P6" s="55"/>
    </row>
    <row r="7" ht="22.5" customHeight="1">
      <c r="A7" s="84">
        <v>6.0</v>
      </c>
      <c r="B7" s="85" t="s">
        <v>196</v>
      </c>
      <c r="C7" s="39"/>
      <c r="D7" s="85" t="s">
        <v>17</v>
      </c>
      <c r="E7" s="86" t="s">
        <v>197</v>
      </c>
      <c r="F7" s="87"/>
      <c r="G7" s="41"/>
      <c r="H7" s="41"/>
      <c r="I7" s="41"/>
      <c r="J7" s="41"/>
      <c r="K7" s="88" t="b">
        <v>0</v>
      </c>
      <c r="L7" s="88" t="b">
        <v>0</v>
      </c>
      <c r="M7" s="88" t="b">
        <v>0</v>
      </c>
      <c r="N7" s="41"/>
      <c r="O7" s="41"/>
      <c r="P7" s="56"/>
    </row>
    <row r="8" ht="22.5" customHeight="1">
      <c r="A8" s="79">
        <v>7.0</v>
      </c>
      <c r="B8" s="80" t="s">
        <v>198</v>
      </c>
      <c r="C8" s="42"/>
      <c r="D8" s="80" t="s">
        <v>17</v>
      </c>
      <c r="E8" s="81" t="s">
        <v>199</v>
      </c>
      <c r="F8" s="82"/>
      <c r="G8" s="45"/>
      <c r="H8" s="45"/>
      <c r="I8" s="45"/>
      <c r="J8" s="45"/>
      <c r="K8" s="83" t="b">
        <v>0</v>
      </c>
      <c r="L8" s="83" t="b">
        <v>0</v>
      </c>
      <c r="M8" s="83" t="b">
        <v>0</v>
      </c>
      <c r="N8" s="45"/>
      <c r="O8" s="45"/>
      <c r="P8" s="55"/>
    </row>
    <row r="9" ht="22.5" customHeight="1">
      <c r="A9" s="84">
        <v>8.0</v>
      </c>
      <c r="B9" s="85" t="s">
        <v>142</v>
      </c>
      <c r="C9" s="39"/>
      <c r="D9" s="85" t="s">
        <v>15</v>
      </c>
      <c r="E9" s="86" t="s">
        <v>200</v>
      </c>
      <c r="F9" s="87"/>
      <c r="G9" s="41"/>
      <c r="H9" s="41"/>
      <c r="I9" s="41"/>
      <c r="J9" s="41"/>
      <c r="K9" s="88" t="b">
        <v>0</v>
      </c>
      <c r="L9" s="88" t="b">
        <v>0</v>
      </c>
      <c r="M9" s="88" t="b">
        <v>0</v>
      </c>
      <c r="N9" s="41"/>
      <c r="O9" s="41"/>
      <c r="P9" s="56"/>
    </row>
    <row r="10" ht="22.5" customHeight="1">
      <c r="A10" s="79">
        <v>9.0</v>
      </c>
      <c r="B10" s="80" t="s">
        <v>201</v>
      </c>
      <c r="C10" s="42"/>
      <c r="D10" s="80" t="s">
        <v>17</v>
      </c>
      <c r="E10" s="81" t="s">
        <v>202</v>
      </c>
      <c r="F10" s="82"/>
      <c r="G10" s="45"/>
      <c r="H10" s="45"/>
      <c r="I10" s="45"/>
      <c r="J10" s="45"/>
      <c r="K10" s="83" t="b">
        <v>0</v>
      </c>
      <c r="L10" s="83" t="b">
        <v>0</v>
      </c>
      <c r="M10" s="83" t="b">
        <v>0</v>
      </c>
      <c r="N10" s="45"/>
      <c r="O10" s="45"/>
      <c r="P10" s="55"/>
    </row>
    <row r="11" ht="22.5" customHeight="1">
      <c r="A11" s="84">
        <v>10.0</v>
      </c>
      <c r="B11" s="85" t="s">
        <v>203</v>
      </c>
      <c r="C11" s="87"/>
      <c r="D11" s="85" t="s">
        <v>17</v>
      </c>
      <c r="E11" s="86" t="s">
        <v>204</v>
      </c>
      <c r="F11" s="87"/>
      <c r="G11" s="41"/>
      <c r="H11" s="41"/>
      <c r="I11" s="41"/>
      <c r="J11" s="41"/>
      <c r="K11" s="88" t="b">
        <v>0</v>
      </c>
      <c r="L11" s="88" t="b">
        <v>0</v>
      </c>
      <c r="M11" s="88" t="b">
        <v>0</v>
      </c>
      <c r="N11" s="41"/>
      <c r="O11" s="41"/>
      <c r="P11" s="56"/>
    </row>
    <row r="12" ht="22.5" customHeight="1">
      <c r="A12" s="79">
        <v>11.0</v>
      </c>
      <c r="B12" s="80" t="s">
        <v>205</v>
      </c>
      <c r="C12" s="42"/>
      <c r="D12" s="80" t="s">
        <v>17</v>
      </c>
      <c r="E12" s="81" t="s">
        <v>206</v>
      </c>
      <c r="F12" s="82"/>
      <c r="G12" s="45"/>
      <c r="H12" s="45"/>
      <c r="I12" s="45"/>
      <c r="J12" s="45"/>
      <c r="K12" s="83" t="b">
        <v>0</v>
      </c>
      <c r="L12" s="83" t="b">
        <v>0</v>
      </c>
      <c r="M12" s="83" t="b">
        <v>0</v>
      </c>
      <c r="N12" s="45"/>
      <c r="O12" s="45"/>
      <c r="P12" s="55"/>
    </row>
    <row r="13" ht="22.5" customHeight="1">
      <c r="A13" s="84">
        <v>12.0</v>
      </c>
      <c r="B13" s="85" t="s">
        <v>207</v>
      </c>
      <c r="C13" s="39"/>
      <c r="D13" s="85" t="s">
        <v>17</v>
      </c>
      <c r="E13" s="86" t="s">
        <v>208</v>
      </c>
      <c r="F13" s="87"/>
      <c r="G13" s="41"/>
      <c r="H13" s="41"/>
      <c r="I13" s="41"/>
      <c r="J13" s="41"/>
      <c r="K13" s="88" t="b">
        <v>0</v>
      </c>
      <c r="L13" s="88" t="b">
        <v>0</v>
      </c>
      <c r="M13" s="88" t="b">
        <v>0</v>
      </c>
      <c r="N13" s="41"/>
      <c r="O13" s="41"/>
      <c r="P13" s="56"/>
    </row>
    <row r="14" ht="22.5" customHeight="1">
      <c r="A14" s="79">
        <v>13.0</v>
      </c>
      <c r="B14" s="80" t="s">
        <v>209</v>
      </c>
      <c r="C14" s="42"/>
      <c r="D14" s="80" t="s">
        <v>17</v>
      </c>
      <c r="E14" s="81" t="s">
        <v>210</v>
      </c>
      <c r="F14" s="82"/>
      <c r="G14" s="45"/>
      <c r="H14" s="45"/>
      <c r="I14" s="45"/>
      <c r="J14" s="45"/>
      <c r="K14" s="83" t="b">
        <v>0</v>
      </c>
      <c r="L14" s="83" t="b">
        <v>0</v>
      </c>
      <c r="M14" s="83" t="b">
        <v>0</v>
      </c>
      <c r="N14" s="45"/>
      <c r="O14" s="45"/>
      <c r="P14" s="55"/>
    </row>
    <row r="15" ht="22.5" customHeight="1">
      <c r="A15" s="84">
        <v>14.0</v>
      </c>
      <c r="B15" s="85" t="s">
        <v>211</v>
      </c>
      <c r="C15" s="39"/>
      <c r="D15" s="85" t="s">
        <v>15</v>
      </c>
      <c r="E15" s="86" t="s">
        <v>212</v>
      </c>
      <c r="F15" s="87"/>
      <c r="G15" s="41"/>
      <c r="H15" s="41"/>
      <c r="I15" s="41"/>
      <c r="J15" s="41"/>
      <c r="K15" s="88" t="b">
        <v>0</v>
      </c>
      <c r="L15" s="88" t="b">
        <v>0</v>
      </c>
      <c r="M15" s="88" t="b">
        <v>0</v>
      </c>
      <c r="N15" s="41"/>
      <c r="O15" s="41"/>
      <c r="P15" s="56"/>
    </row>
    <row r="16" ht="22.5" customHeight="1">
      <c r="A16" s="79">
        <v>15.0</v>
      </c>
      <c r="B16" s="80" t="s">
        <v>213</v>
      </c>
      <c r="C16" s="82"/>
      <c r="D16" s="80" t="s">
        <v>17</v>
      </c>
      <c r="E16" s="81" t="s">
        <v>214</v>
      </c>
      <c r="F16" s="82"/>
      <c r="G16" s="45"/>
      <c r="H16" s="45"/>
      <c r="I16" s="45"/>
      <c r="J16" s="45"/>
      <c r="K16" s="83" t="b">
        <v>0</v>
      </c>
      <c r="L16" s="83" t="b">
        <v>0</v>
      </c>
      <c r="M16" s="83" t="b">
        <v>0</v>
      </c>
      <c r="N16" s="45"/>
      <c r="O16" s="45"/>
      <c r="P16" s="55"/>
    </row>
    <row r="17" ht="22.5" customHeight="1">
      <c r="A17" s="84">
        <v>16.0</v>
      </c>
      <c r="B17" s="85" t="s">
        <v>215</v>
      </c>
      <c r="C17" s="39"/>
      <c r="D17" s="85" t="s">
        <v>15</v>
      </c>
      <c r="E17" s="86" t="s">
        <v>216</v>
      </c>
      <c r="F17" s="87"/>
      <c r="G17" s="41"/>
      <c r="H17" s="41"/>
      <c r="I17" s="41"/>
      <c r="J17" s="41"/>
      <c r="K17" s="88" t="b">
        <v>0</v>
      </c>
      <c r="L17" s="88" t="b">
        <v>0</v>
      </c>
      <c r="M17" s="88" t="b">
        <v>0</v>
      </c>
      <c r="N17" s="41"/>
      <c r="O17" s="41"/>
      <c r="P17" s="56"/>
    </row>
    <row r="18" ht="22.5" customHeight="1">
      <c r="A18" s="79">
        <v>17.0</v>
      </c>
      <c r="B18" s="80" t="s">
        <v>217</v>
      </c>
      <c r="C18" s="42"/>
      <c r="D18" s="80" t="s">
        <v>15</v>
      </c>
      <c r="E18" s="81" t="s">
        <v>218</v>
      </c>
      <c r="F18" s="82"/>
      <c r="G18" s="45"/>
      <c r="H18" s="45"/>
      <c r="I18" s="45"/>
      <c r="J18" s="45"/>
      <c r="K18" s="83" t="b">
        <v>0</v>
      </c>
      <c r="L18" s="83" t="b">
        <v>0</v>
      </c>
      <c r="M18" s="83" t="b">
        <v>0</v>
      </c>
      <c r="N18" s="45"/>
      <c r="O18" s="45"/>
      <c r="P18" s="55"/>
    </row>
    <row r="19" ht="22.5" customHeight="1">
      <c r="A19" s="84">
        <v>18.0</v>
      </c>
      <c r="B19" s="85" t="s">
        <v>219</v>
      </c>
      <c r="C19" s="39"/>
      <c r="D19" s="85" t="s">
        <v>15</v>
      </c>
      <c r="E19" s="86" t="s">
        <v>220</v>
      </c>
      <c r="F19" s="87"/>
      <c r="G19" s="41"/>
      <c r="H19" s="41"/>
      <c r="I19" s="41"/>
      <c r="J19" s="41"/>
      <c r="K19" s="88" t="b">
        <v>0</v>
      </c>
      <c r="L19" s="88" t="b">
        <v>0</v>
      </c>
      <c r="M19" s="88" t="b">
        <v>0</v>
      </c>
      <c r="N19" s="41"/>
      <c r="O19" s="41"/>
      <c r="P19" s="56"/>
    </row>
    <row r="20" ht="22.5" customHeight="1">
      <c r="A20" s="79">
        <v>19.0</v>
      </c>
      <c r="B20" s="80" t="s">
        <v>221</v>
      </c>
      <c r="C20" s="42"/>
      <c r="D20" s="80" t="s">
        <v>15</v>
      </c>
      <c r="E20" s="81" t="s">
        <v>222</v>
      </c>
      <c r="F20" s="82"/>
      <c r="G20" s="45"/>
      <c r="H20" s="45"/>
      <c r="I20" s="45"/>
      <c r="J20" s="45"/>
      <c r="K20" s="83" t="b">
        <v>0</v>
      </c>
      <c r="L20" s="83" t="b">
        <v>0</v>
      </c>
      <c r="M20" s="83" t="b">
        <v>0</v>
      </c>
      <c r="N20" s="45"/>
      <c r="O20" s="45"/>
      <c r="P20" s="55"/>
    </row>
    <row r="21" ht="22.5" customHeight="1">
      <c r="A21" s="84">
        <v>20.0</v>
      </c>
      <c r="B21" s="85" t="s">
        <v>223</v>
      </c>
      <c r="C21" s="87"/>
      <c r="D21" s="85" t="s">
        <v>15</v>
      </c>
      <c r="E21" s="86" t="s">
        <v>224</v>
      </c>
      <c r="F21" s="87"/>
      <c r="G21" s="41"/>
      <c r="H21" s="41"/>
      <c r="I21" s="41"/>
      <c r="J21" s="41"/>
      <c r="K21" s="88" t="b">
        <v>0</v>
      </c>
      <c r="L21" s="88" t="b">
        <v>0</v>
      </c>
      <c r="M21" s="88" t="b">
        <v>0</v>
      </c>
      <c r="N21" s="41"/>
      <c r="O21" s="41"/>
      <c r="P21" s="56"/>
    </row>
    <row r="22" ht="22.5" customHeight="1">
      <c r="A22" s="79">
        <v>21.0</v>
      </c>
      <c r="B22" s="80" t="s">
        <v>225</v>
      </c>
      <c r="C22" s="42"/>
      <c r="D22" s="80" t="s">
        <v>17</v>
      </c>
      <c r="E22" s="81" t="s">
        <v>226</v>
      </c>
      <c r="F22" s="82"/>
      <c r="G22" s="45"/>
      <c r="H22" s="45"/>
      <c r="I22" s="45"/>
      <c r="J22" s="45"/>
      <c r="K22" s="83" t="b">
        <v>0</v>
      </c>
      <c r="L22" s="83" t="b">
        <v>0</v>
      </c>
      <c r="M22" s="83" t="b">
        <v>0</v>
      </c>
      <c r="N22" s="45"/>
      <c r="O22" s="45"/>
      <c r="P22" s="55"/>
    </row>
    <row r="23" ht="22.5" customHeight="1">
      <c r="A23" s="84">
        <v>22.0</v>
      </c>
      <c r="B23" s="85" t="s">
        <v>227</v>
      </c>
      <c r="C23" s="87"/>
      <c r="D23" s="85" t="s">
        <v>15</v>
      </c>
      <c r="E23" s="86" t="s">
        <v>228</v>
      </c>
      <c r="F23" s="87"/>
      <c r="G23" s="41"/>
      <c r="H23" s="41"/>
      <c r="I23" s="41"/>
      <c r="J23" s="41"/>
      <c r="K23" s="88" t="b">
        <v>0</v>
      </c>
      <c r="L23" s="88" t="b">
        <v>0</v>
      </c>
      <c r="M23" s="88" t="b">
        <v>0</v>
      </c>
      <c r="N23" s="41"/>
      <c r="O23" s="41"/>
      <c r="P23" s="56"/>
    </row>
    <row r="24" ht="22.5" customHeight="1">
      <c r="A24" s="79">
        <v>23.0</v>
      </c>
      <c r="B24" s="80" t="s">
        <v>229</v>
      </c>
      <c r="C24" s="42"/>
      <c r="D24" s="80" t="s">
        <v>15</v>
      </c>
      <c r="E24" s="81" t="s">
        <v>230</v>
      </c>
      <c r="F24" s="82"/>
      <c r="G24" s="45"/>
      <c r="H24" s="45"/>
      <c r="I24" s="45"/>
      <c r="J24" s="45"/>
      <c r="K24" s="83" t="b">
        <v>0</v>
      </c>
      <c r="L24" s="83" t="b">
        <v>0</v>
      </c>
      <c r="M24" s="83" t="b">
        <v>0</v>
      </c>
      <c r="N24" s="45"/>
      <c r="O24" s="45"/>
      <c r="P24" s="55"/>
    </row>
    <row r="25" ht="22.5" customHeight="1">
      <c r="A25" s="84">
        <v>24.0</v>
      </c>
      <c r="B25" s="85" t="s">
        <v>231</v>
      </c>
      <c r="C25" s="39"/>
      <c r="D25" s="85" t="s">
        <v>15</v>
      </c>
      <c r="E25" s="86" t="s">
        <v>232</v>
      </c>
      <c r="F25" s="87"/>
      <c r="G25" s="41"/>
      <c r="H25" s="41"/>
      <c r="I25" s="41"/>
      <c r="J25" s="41"/>
      <c r="K25" s="88" t="b">
        <v>0</v>
      </c>
      <c r="L25" s="88" t="b">
        <v>0</v>
      </c>
      <c r="M25" s="88" t="b">
        <v>0</v>
      </c>
      <c r="N25" s="41"/>
      <c r="O25" s="41"/>
      <c r="P25" s="56"/>
    </row>
    <row r="26" ht="22.5" customHeight="1">
      <c r="A26" s="79">
        <v>25.0</v>
      </c>
      <c r="B26" s="80" t="s">
        <v>233</v>
      </c>
      <c r="C26" s="42"/>
      <c r="D26" s="80" t="s">
        <v>15</v>
      </c>
      <c r="E26" s="81" t="s">
        <v>234</v>
      </c>
      <c r="F26" s="82"/>
      <c r="G26" s="45"/>
      <c r="H26" s="45"/>
      <c r="I26" s="45"/>
      <c r="J26" s="45"/>
      <c r="K26" s="83" t="b">
        <v>0</v>
      </c>
      <c r="L26" s="83" t="b">
        <v>0</v>
      </c>
      <c r="M26" s="83" t="b">
        <v>0</v>
      </c>
      <c r="N26" s="45"/>
      <c r="O26" s="45"/>
      <c r="P26" s="55"/>
    </row>
    <row r="27" ht="22.5" customHeight="1">
      <c r="A27" s="84">
        <v>26.0</v>
      </c>
      <c r="B27" s="85" t="s">
        <v>235</v>
      </c>
      <c r="C27" s="87"/>
      <c r="D27" s="85" t="s">
        <v>17</v>
      </c>
      <c r="E27" s="86" t="s">
        <v>236</v>
      </c>
      <c r="F27" s="87"/>
      <c r="G27" s="41"/>
      <c r="H27" s="41"/>
      <c r="I27" s="41"/>
      <c r="J27" s="41"/>
      <c r="K27" s="88" t="b">
        <v>0</v>
      </c>
      <c r="L27" s="88" t="b">
        <v>0</v>
      </c>
      <c r="M27" s="88" t="b">
        <v>0</v>
      </c>
      <c r="N27" s="41"/>
      <c r="O27" s="41"/>
      <c r="P27" s="56"/>
    </row>
    <row r="28" ht="22.5" customHeight="1">
      <c r="A28" s="79">
        <v>27.0</v>
      </c>
      <c r="B28" s="80" t="s">
        <v>237</v>
      </c>
      <c r="C28" s="82"/>
      <c r="D28" s="80" t="s">
        <v>15</v>
      </c>
      <c r="E28" s="81" t="s">
        <v>238</v>
      </c>
      <c r="F28" s="82"/>
      <c r="G28" s="45"/>
      <c r="H28" s="45"/>
      <c r="I28" s="45"/>
      <c r="J28" s="45"/>
      <c r="K28" s="83" t="b">
        <v>0</v>
      </c>
      <c r="L28" s="83" t="b">
        <v>0</v>
      </c>
      <c r="M28" s="83" t="b">
        <v>0</v>
      </c>
      <c r="N28" s="45"/>
      <c r="O28" s="45"/>
      <c r="P28" s="55"/>
    </row>
    <row r="29" ht="22.5" customHeight="1">
      <c r="A29" s="84">
        <v>28.0</v>
      </c>
      <c r="B29" s="85" t="s">
        <v>239</v>
      </c>
      <c r="C29" s="87"/>
      <c r="D29" s="85" t="s">
        <v>15</v>
      </c>
      <c r="E29" s="86" t="s">
        <v>240</v>
      </c>
      <c r="F29" s="87"/>
      <c r="G29" s="41"/>
      <c r="H29" s="41"/>
      <c r="I29" s="41"/>
      <c r="J29" s="41"/>
      <c r="K29" s="88" t="b">
        <v>0</v>
      </c>
      <c r="L29" s="88" t="b">
        <v>0</v>
      </c>
      <c r="M29" s="88" t="b">
        <v>0</v>
      </c>
      <c r="N29" s="41"/>
      <c r="O29" s="41"/>
      <c r="P29" s="56"/>
    </row>
    <row r="30" ht="22.5" customHeight="1">
      <c r="A30" s="79">
        <v>29.0</v>
      </c>
      <c r="B30" s="80" t="s">
        <v>241</v>
      </c>
      <c r="C30" s="82"/>
      <c r="D30" s="80" t="s">
        <v>15</v>
      </c>
      <c r="E30" s="81" t="s">
        <v>242</v>
      </c>
      <c r="F30" s="82"/>
      <c r="G30" s="45"/>
      <c r="H30" s="45"/>
      <c r="I30" s="45"/>
      <c r="J30" s="45"/>
      <c r="K30" s="83" t="b">
        <v>0</v>
      </c>
      <c r="L30" s="83" t="b">
        <v>0</v>
      </c>
      <c r="M30" s="83" t="b">
        <v>0</v>
      </c>
      <c r="N30" s="45"/>
      <c r="O30" s="45"/>
      <c r="P30" s="55"/>
    </row>
    <row r="31" ht="22.5" customHeight="1">
      <c r="A31" s="84">
        <v>30.0</v>
      </c>
      <c r="B31" s="85" t="s">
        <v>243</v>
      </c>
      <c r="C31" s="87"/>
      <c r="D31" s="85" t="s">
        <v>15</v>
      </c>
      <c r="E31" s="86" t="s">
        <v>244</v>
      </c>
      <c r="F31" s="87"/>
      <c r="G31" s="41"/>
      <c r="H31" s="41"/>
      <c r="I31" s="41"/>
      <c r="J31" s="41"/>
      <c r="K31" s="88" t="b">
        <v>0</v>
      </c>
      <c r="L31" s="88" t="b">
        <v>0</v>
      </c>
      <c r="M31" s="88" t="b">
        <v>0</v>
      </c>
      <c r="N31" s="41"/>
      <c r="O31" s="41"/>
      <c r="P31" s="56"/>
    </row>
    <row r="32" ht="22.5" customHeight="1">
      <c r="A32" s="79">
        <v>31.0</v>
      </c>
      <c r="B32" s="80" t="s">
        <v>245</v>
      </c>
      <c r="C32" s="82"/>
      <c r="D32" s="80" t="s">
        <v>15</v>
      </c>
      <c r="E32" s="81" t="s">
        <v>246</v>
      </c>
      <c r="F32" s="82"/>
      <c r="G32" s="45"/>
      <c r="H32" s="45"/>
      <c r="I32" s="45"/>
      <c r="J32" s="45"/>
      <c r="K32" s="83" t="b">
        <v>0</v>
      </c>
      <c r="L32" s="83" t="b">
        <v>0</v>
      </c>
      <c r="M32" s="83" t="b">
        <v>0</v>
      </c>
      <c r="N32" s="45"/>
      <c r="O32" s="45"/>
      <c r="P32" s="55"/>
    </row>
    <row r="33" ht="22.5" customHeight="1">
      <c r="A33" s="84">
        <v>32.0</v>
      </c>
      <c r="B33" s="85" t="s">
        <v>247</v>
      </c>
      <c r="C33" s="87"/>
      <c r="D33" s="85" t="s">
        <v>15</v>
      </c>
      <c r="E33" s="86" t="s">
        <v>248</v>
      </c>
      <c r="F33" s="87"/>
      <c r="G33" s="41"/>
      <c r="H33" s="41"/>
      <c r="I33" s="41"/>
      <c r="J33" s="41"/>
      <c r="K33" s="88" t="b">
        <v>0</v>
      </c>
      <c r="L33" s="88" t="b">
        <v>0</v>
      </c>
      <c r="M33" s="88" t="b">
        <v>0</v>
      </c>
      <c r="N33" s="41"/>
      <c r="O33" s="41"/>
      <c r="P33" s="56"/>
    </row>
    <row r="34" ht="22.5" customHeight="1">
      <c r="A34" s="79">
        <v>33.0</v>
      </c>
      <c r="B34" s="80" t="s">
        <v>249</v>
      </c>
      <c r="C34" s="82"/>
      <c r="D34" s="80" t="s">
        <v>15</v>
      </c>
      <c r="E34" s="81" t="s">
        <v>250</v>
      </c>
      <c r="F34" s="82"/>
      <c r="G34" s="45"/>
      <c r="H34" s="45"/>
      <c r="I34" s="45"/>
      <c r="J34" s="45"/>
      <c r="K34" s="83" t="b">
        <v>0</v>
      </c>
      <c r="L34" s="83" t="b">
        <v>0</v>
      </c>
      <c r="M34" s="83" t="b">
        <v>0</v>
      </c>
      <c r="N34" s="45"/>
      <c r="O34" s="45"/>
      <c r="P34" s="55"/>
    </row>
    <row r="35" ht="22.5" customHeight="1">
      <c r="A35" s="84">
        <v>34.0</v>
      </c>
      <c r="B35" s="85" t="s">
        <v>251</v>
      </c>
      <c r="C35" s="87"/>
      <c r="D35" s="85" t="s">
        <v>15</v>
      </c>
      <c r="E35" s="86" t="s">
        <v>252</v>
      </c>
      <c r="F35" s="87"/>
      <c r="G35" s="41"/>
      <c r="H35" s="41"/>
      <c r="I35" s="41"/>
      <c r="J35" s="41"/>
      <c r="K35" s="88" t="b">
        <v>0</v>
      </c>
      <c r="L35" s="88" t="b">
        <v>0</v>
      </c>
      <c r="M35" s="88" t="b">
        <v>0</v>
      </c>
      <c r="N35" s="41"/>
      <c r="O35" s="41"/>
      <c r="P35" s="56"/>
    </row>
    <row r="36" ht="22.5" customHeight="1">
      <c r="A36" s="79">
        <v>35.0</v>
      </c>
      <c r="B36" s="80" t="s">
        <v>253</v>
      </c>
      <c r="C36" s="82"/>
      <c r="D36" s="80" t="s">
        <v>15</v>
      </c>
      <c r="E36" s="81" t="s">
        <v>254</v>
      </c>
      <c r="F36" s="82"/>
      <c r="G36" s="45"/>
      <c r="H36" s="45"/>
      <c r="I36" s="45"/>
      <c r="J36" s="45"/>
      <c r="K36" s="83" t="b">
        <v>0</v>
      </c>
      <c r="L36" s="83" t="b">
        <v>0</v>
      </c>
      <c r="M36" s="83" t="b">
        <v>0</v>
      </c>
      <c r="N36" s="45"/>
      <c r="O36" s="45"/>
      <c r="P36" s="55"/>
    </row>
    <row r="37" ht="22.5" customHeight="1">
      <c r="A37" s="84">
        <v>36.0</v>
      </c>
      <c r="B37" s="85" t="s">
        <v>255</v>
      </c>
      <c r="C37" s="87"/>
      <c r="D37" s="85" t="s">
        <v>15</v>
      </c>
      <c r="E37" s="86" t="s">
        <v>256</v>
      </c>
      <c r="F37" s="87"/>
      <c r="G37" s="41"/>
      <c r="H37" s="41"/>
      <c r="I37" s="41"/>
      <c r="J37" s="41"/>
      <c r="K37" s="88" t="b">
        <v>0</v>
      </c>
      <c r="L37" s="88" t="b">
        <v>0</v>
      </c>
      <c r="M37" s="88" t="b">
        <v>0</v>
      </c>
      <c r="N37" s="41"/>
      <c r="O37" s="41"/>
      <c r="P37" s="56"/>
    </row>
    <row r="38" ht="22.5" customHeight="1">
      <c r="A38" s="79">
        <v>37.0</v>
      </c>
      <c r="B38" s="80" t="s">
        <v>257</v>
      </c>
      <c r="C38" s="82"/>
      <c r="D38" s="80" t="s">
        <v>15</v>
      </c>
      <c r="E38" s="81" t="s">
        <v>258</v>
      </c>
      <c r="F38" s="82"/>
      <c r="G38" s="45"/>
      <c r="H38" s="45"/>
      <c r="I38" s="45"/>
      <c r="J38" s="45"/>
      <c r="K38" s="83" t="b">
        <v>0</v>
      </c>
      <c r="L38" s="83" t="b">
        <v>0</v>
      </c>
      <c r="M38" s="83" t="b">
        <v>0</v>
      </c>
      <c r="N38" s="45"/>
      <c r="O38" s="45"/>
      <c r="P38" s="55"/>
    </row>
    <row r="39" ht="22.5" customHeight="1">
      <c r="A39" s="84">
        <v>38.0</v>
      </c>
      <c r="B39" s="85" t="s">
        <v>259</v>
      </c>
      <c r="C39" s="39"/>
      <c r="D39" s="85" t="s">
        <v>15</v>
      </c>
      <c r="E39" s="86" t="s">
        <v>260</v>
      </c>
      <c r="F39" s="87"/>
      <c r="G39" s="41"/>
      <c r="H39" s="41"/>
      <c r="I39" s="41"/>
      <c r="J39" s="41"/>
      <c r="K39" s="88" t="b">
        <v>0</v>
      </c>
      <c r="L39" s="88" t="b">
        <v>0</v>
      </c>
      <c r="M39" s="88" t="b">
        <v>0</v>
      </c>
      <c r="N39" s="41"/>
      <c r="O39" s="41"/>
      <c r="P39" s="56"/>
    </row>
    <row r="40" ht="22.5" customHeight="1">
      <c r="A40" s="79">
        <v>39.0</v>
      </c>
      <c r="B40" s="80" t="s">
        <v>261</v>
      </c>
      <c r="C40" s="42"/>
      <c r="D40" s="80" t="s">
        <v>15</v>
      </c>
      <c r="E40" s="81" t="s">
        <v>262</v>
      </c>
      <c r="F40" s="82"/>
      <c r="G40" s="45"/>
      <c r="H40" s="45"/>
      <c r="I40" s="45"/>
      <c r="J40" s="45"/>
      <c r="K40" s="83" t="b">
        <v>0</v>
      </c>
      <c r="L40" s="83" t="b">
        <v>0</v>
      </c>
      <c r="M40" s="83" t="b">
        <v>0</v>
      </c>
      <c r="N40" s="45"/>
      <c r="O40" s="45"/>
      <c r="P40" s="55"/>
    </row>
    <row r="41" ht="22.5" customHeight="1">
      <c r="A41" s="84">
        <v>40.0</v>
      </c>
      <c r="B41" s="85" t="s">
        <v>263</v>
      </c>
      <c r="C41" s="39"/>
      <c r="D41" s="85" t="s">
        <v>15</v>
      </c>
      <c r="E41" s="86" t="s">
        <v>264</v>
      </c>
      <c r="F41" s="87"/>
      <c r="G41" s="41"/>
      <c r="H41" s="41"/>
      <c r="I41" s="41"/>
      <c r="J41" s="41"/>
      <c r="K41" s="88" t="b">
        <v>0</v>
      </c>
      <c r="L41" s="88" t="b">
        <v>0</v>
      </c>
      <c r="M41" s="88" t="b">
        <v>0</v>
      </c>
      <c r="N41" s="41"/>
      <c r="O41" s="41"/>
      <c r="P41" s="56"/>
    </row>
    <row r="42" ht="22.5" customHeight="1">
      <c r="A42" s="79">
        <v>41.0</v>
      </c>
      <c r="B42" s="80" t="s">
        <v>265</v>
      </c>
      <c r="C42" s="82"/>
      <c r="D42" s="80" t="s">
        <v>17</v>
      </c>
      <c r="E42" s="81" t="s">
        <v>266</v>
      </c>
      <c r="F42" s="82"/>
      <c r="G42" s="45"/>
      <c r="H42" s="45"/>
      <c r="I42" s="45"/>
      <c r="J42" s="45"/>
      <c r="K42" s="83" t="b">
        <v>0</v>
      </c>
      <c r="L42" s="83" t="b">
        <v>0</v>
      </c>
      <c r="M42" s="83" t="b">
        <v>0</v>
      </c>
      <c r="N42" s="45"/>
      <c r="O42" s="45"/>
      <c r="P42" s="55"/>
    </row>
    <row r="43" ht="22.5" customHeight="1">
      <c r="A43" s="84">
        <v>42.0</v>
      </c>
      <c r="B43" s="85" t="s">
        <v>267</v>
      </c>
      <c r="C43" s="87"/>
      <c r="D43" s="85" t="s">
        <v>15</v>
      </c>
      <c r="E43" s="86" t="s">
        <v>268</v>
      </c>
      <c r="F43" s="87"/>
      <c r="G43" s="41"/>
      <c r="H43" s="41"/>
      <c r="I43" s="41"/>
      <c r="J43" s="41"/>
      <c r="K43" s="88" t="b">
        <v>0</v>
      </c>
      <c r="L43" s="88" t="b">
        <v>0</v>
      </c>
      <c r="M43" s="88" t="b">
        <v>0</v>
      </c>
      <c r="N43" s="41"/>
      <c r="O43" s="41"/>
      <c r="P43" s="56"/>
    </row>
    <row r="44" ht="22.5" customHeight="1">
      <c r="A44" s="79">
        <v>43.0</v>
      </c>
      <c r="B44" s="80" t="s">
        <v>269</v>
      </c>
      <c r="C44" s="82"/>
      <c r="D44" s="80" t="s">
        <v>15</v>
      </c>
      <c r="E44" s="81" t="s">
        <v>270</v>
      </c>
      <c r="F44" s="82"/>
      <c r="G44" s="45"/>
      <c r="H44" s="45"/>
      <c r="I44" s="45"/>
      <c r="J44" s="45"/>
      <c r="K44" s="83" t="b">
        <v>0</v>
      </c>
      <c r="L44" s="83" t="b">
        <v>0</v>
      </c>
      <c r="M44" s="83" t="b">
        <v>0</v>
      </c>
      <c r="N44" s="45"/>
      <c r="O44" s="45"/>
      <c r="P44" s="55"/>
    </row>
    <row r="45" ht="22.5" customHeight="1">
      <c r="A45" s="84">
        <v>44.0</v>
      </c>
      <c r="B45" s="85" t="s">
        <v>271</v>
      </c>
      <c r="C45" s="87"/>
      <c r="D45" s="85" t="s">
        <v>15</v>
      </c>
      <c r="E45" s="86" t="s">
        <v>272</v>
      </c>
      <c r="F45" s="87"/>
      <c r="G45" s="41"/>
      <c r="H45" s="41"/>
      <c r="I45" s="41"/>
      <c r="J45" s="41"/>
      <c r="K45" s="88" t="b">
        <v>0</v>
      </c>
      <c r="L45" s="88" t="b">
        <v>0</v>
      </c>
      <c r="M45" s="88" t="b">
        <v>0</v>
      </c>
      <c r="N45" s="41"/>
      <c r="O45" s="41"/>
      <c r="P45" s="56"/>
    </row>
    <row r="46" ht="22.5" customHeight="1">
      <c r="A46" s="79">
        <v>45.0</v>
      </c>
      <c r="B46" s="80" t="s">
        <v>273</v>
      </c>
      <c r="C46" s="82"/>
      <c r="D46" s="80" t="s">
        <v>17</v>
      </c>
      <c r="E46" s="81" t="s">
        <v>274</v>
      </c>
      <c r="F46" s="82"/>
      <c r="G46" s="45"/>
      <c r="H46" s="45"/>
      <c r="I46" s="45"/>
      <c r="J46" s="45"/>
      <c r="K46" s="83" t="b">
        <v>0</v>
      </c>
      <c r="L46" s="83" t="b">
        <v>0</v>
      </c>
      <c r="M46" s="83" t="b">
        <v>0</v>
      </c>
      <c r="N46" s="45"/>
      <c r="O46" s="45"/>
      <c r="P46" s="55"/>
    </row>
    <row r="47" ht="22.5" customHeight="1">
      <c r="A47" s="84">
        <v>46.0</v>
      </c>
      <c r="B47" s="85" t="s">
        <v>275</v>
      </c>
      <c r="C47" s="87"/>
      <c r="D47" s="85" t="s">
        <v>17</v>
      </c>
      <c r="E47" s="86" t="s">
        <v>276</v>
      </c>
      <c r="F47" s="87"/>
      <c r="G47" s="41"/>
      <c r="H47" s="41"/>
      <c r="I47" s="41"/>
      <c r="J47" s="41"/>
      <c r="K47" s="88" t="b">
        <v>0</v>
      </c>
      <c r="L47" s="88" t="b">
        <v>0</v>
      </c>
      <c r="M47" s="88" t="b">
        <v>0</v>
      </c>
      <c r="N47" s="41"/>
      <c r="O47" s="41"/>
      <c r="P47" s="56"/>
    </row>
    <row r="48" ht="22.5" customHeight="1">
      <c r="A48" s="79">
        <v>47.0</v>
      </c>
      <c r="B48" s="80" t="s">
        <v>277</v>
      </c>
      <c r="C48" s="82"/>
      <c r="D48" s="80" t="s">
        <v>15</v>
      </c>
      <c r="E48" s="81" t="s">
        <v>278</v>
      </c>
      <c r="F48" s="82"/>
      <c r="G48" s="45"/>
      <c r="H48" s="45"/>
      <c r="I48" s="45"/>
      <c r="J48" s="45"/>
      <c r="K48" s="83" t="b">
        <v>0</v>
      </c>
      <c r="L48" s="83" t="b">
        <v>0</v>
      </c>
      <c r="M48" s="83" t="b">
        <v>0</v>
      </c>
      <c r="N48" s="45"/>
      <c r="O48" s="45"/>
      <c r="P48" s="55"/>
    </row>
    <row r="49" ht="22.5" customHeight="1">
      <c r="A49" s="84">
        <v>48.0</v>
      </c>
      <c r="B49" s="85" t="s">
        <v>279</v>
      </c>
      <c r="C49" s="87"/>
      <c r="D49" s="85" t="s">
        <v>15</v>
      </c>
      <c r="E49" s="86" t="s">
        <v>280</v>
      </c>
      <c r="F49" s="87"/>
      <c r="G49" s="41"/>
      <c r="H49" s="41"/>
      <c r="I49" s="41"/>
      <c r="J49" s="41"/>
      <c r="K49" s="88" t="b">
        <v>0</v>
      </c>
      <c r="L49" s="88" t="b">
        <v>0</v>
      </c>
      <c r="M49" s="88" t="b">
        <v>0</v>
      </c>
      <c r="N49" s="41"/>
      <c r="O49" s="41"/>
      <c r="P49" s="56"/>
    </row>
    <row r="50" ht="22.5" customHeight="1">
      <c r="A50" s="79">
        <v>49.0</v>
      </c>
      <c r="B50" s="80" t="s">
        <v>281</v>
      </c>
      <c r="C50" s="82"/>
      <c r="D50" s="80" t="s">
        <v>15</v>
      </c>
      <c r="E50" s="81" t="s">
        <v>282</v>
      </c>
      <c r="F50" s="82"/>
      <c r="G50" s="45"/>
      <c r="H50" s="45"/>
      <c r="I50" s="45"/>
      <c r="J50" s="45"/>
      <c r="K50" s="83" t="b">
        <v>0</v>
      </c>
      <c r="L50" s="83" t="b">
        <v>0</v>
      </c>
      <c r="M50" s="83" t="b">
        <v>0</v>
      </c>
      <c r="N50" s="45"/>
      <c r="O50" s="45"/>
      <c r="P50" s="55"/>
    </row>
    <row r="51" ht="22.5" customHeight="1">
      <c r="A51" s="84">
        <v>50.0</v>
      </c>
      <c r="B51" s="85" t="s">
        <v>283</v>
      </c>
      <c r="C51" s="87"/>
      <c r="D51" s="85" t="s">
        <v>15</v>
      </c>
      <c r="E51" s="86" t="s">
        <v>284</v>
      </c>
      <c r="F51" s="87"/>
      <c r="G51" s="41"/>
      <c r="H51" s="41"/>
      <c r="I51" s="41"/>
      <c r="J51" s="41"/>
      <c r="K51" s="88" t="b">
        <v>0</v>
      </c>
      <c r="L51" s="88" t="b">
        <v>0</v>
      </c>
      <c r="M51" s="88" t="b">
        <v>0</v>
      </c>
      <c r="N51" s="41"/>
      <c r="O51" s="41"/>
      <c r="P51" s="56"/>
    </row>
    <row r="52" ht="22.5" customHeight="1">
      <c r="A52" s="79">
        <v>51.0</v>
      </c>
      <c r="B52" s="80" t="s">
        <v>285</v>
      </c>
      <c r="C52" s="82"/>
      <c r="D52" s="80" t="s">
        <v>15</v>
      </c>
      <c r="E52" s="81" t="s">
        <v>286</v>
      </c>
      <c r="F52" s="82"/>
      <c r="G52" s="45"/>
      <c r="H52" s="45"/>
      <c r="I52" s="45"/>
      <c r="J52" s="45"/>
      <c r="K52" s="83" t="b">
        <v>0</v>
      </c>
      <c r="L52" s="83" t="b">
        <v>0</v>
      </c>
      <c r="M52" s="83" t="b">
        <v>0</v>
      </c>
      <c r="N52" s="45"/>
      <c r="O52" s="45"/>
      <c r="P52" s="55"/>
    </row>
    <row r="53" ht="22.5" customHeight="1">
      <c r="A53" s="84">
        <v>52.0</v>
      </c>
      <c r="B53" s="85" t="s">
        <v>287</v>
      </c>
      <c r="C53" s="87"/>
      <c r="D53" s="85" t="s">
        <v>15</v>
      </c>
      <c r="E53" s="86" t="s">
        <v>288</v>
      </c>
      <c r="F53" s="87"/>
      <c r="G53" s="41"/>
      <c r="H53" s="41"/>
      <c r="I53" s="41"/>
      <c r="J53" s="41"/>
      <c r="K53" s="88" t="b">
        <v>0</v>
      </c>
      <c r="L53" s="88" t="b">
        <v>0</v>
      </c>
      <c r="M53" s="88" t="b">
        <v>0</v>
      </c>
      <c r="N53" s="41"/>
      <c r="O53" s="41"/>
      <c r="P53" s="56"/>
    </row>
    <row r="54" ht="22.5" customHeight="1">
      <c r="A54" s="79">
        <v>53.0</v>
      </c>
      <c r="B54" s="80" t="s">
        <v>289</v>
      </c>
      <c r="C54" s="82"/>
      <c r="D54" s="80" t="s">
        <v>15</v>
      </c>
      <c r="E54" s="81" t="s">
        <v>290</v>
      </c>
      <c r="F54" s="82"/>
      <c r="G54" s="45"/>
      <c r="H54" s="45"/>
      <c r="I54" s="45"/>
      <c r="J54" s="45"/>
      <c r="K54" s="83" t="b">
        <v>0</v>
      </c>
      <c r="L54" s="83" t="b">
        <v>0</v>
      </c>
      <c r="M54" s="83" t="b">
        <v>0</v>
      </c>
      <c r="N54" s="45"/>
      <c r="O54" s="45"/>
      <c r="P54" s="55"/>
    </row>
    <row r="55" ht="22.5" customHeight="1">
      <c r="A55" s="84">
        <v>54.0</v>
      </c>
      <c r="B55" s="85" t="s">
        <v>291</v>
      </c>
      <c r="C55" s="87"/>
      <c r="D55" s="85" t="s">
        <v>17</v>
      </c>
      <c r="E55" s="86" t="s">
        <v>292</v>
      </c>
      <c r="F55" s="87"/>
      <c r="G55" s="41"/>
      <c r="H55" s="41"/>
      <c r="I55" s="41"/>
      <c r="J55" s="41"/>
      <c r="K55" s="88" t="b">
        <v>0</v>
      </c>
      <c r="L55" s="88" t="b">
        <v>0</v>
      </c>
      <c r="M55" s="88" t="b">
        <v>0</v>
      </c>
      <c r="N55" s="41"/>
      <c r="O55" s="41"/>
      <c r="P55" s="56"/>
    </row>
    <row r="56" ht="22.5" customHeight="1">
      <c r="A56" s="79">
        <v>55.0</v>
      </c>
      <c r="B56" s="80" t="s">
        <v>293</v>
      </c>
      <c r="C56" s="82"/>
      <c r="D56" s="80" t="s">
        <v>17</v>
      </c>
      <c r="E56" s="81" t="s">
        <v>294</v>
      </c>
      <c r="F56" s="82"/>
      <c r="G56" s="45"/>
      <c r="H56" s="45"/>
      <c r="I56" s="45"/>
      <c r="J56" s="45"/>
      <c r="K56" s="83" t="b">
        <v>0</v>
      </c>
      <c r="L56" s="83" t="b">
        <v>0</v>
      </c>
      <c r="M56" s="83" t="b">
        <v>0</v>
      </c>
      <c r="N56" s="45"/>
      <c r="O56" s="45"/>
      <c r="P56" s="55"/>
    </row>
    <row r="57" ht="22.5" customHeight="1">
      <c r="A57" s="84">
        <v>56.0</v>
      </c>
      <c r="B57" s="85" t="s">
        <v>295</v>
      </c>
      <c r="C57" s="87"/>
      <c r="D57" s="85" t="s">
        <v>17</v>
      </c>
      <c r="E57" s="86" t="s">
        <v>296</v>
      </c>
      <c r="F57" s="87"/>
      <c r="G57" s="41"/>
      <c r="H57" s="41"/>
      <c r="I57" s="41"/>
      <c r="J57" s="41"/>
      <c r="K57" s="88" t="b">
        <v>0</v>
      </c>
      <c r="L57" s="88" t="b">
        <v>0</v>
      </c>
      <c r="M57" s="88" t="b">
        <v>0</v>
      </c>
      <c r="N57" s="41"/>
      <c r="O57" s="41"/>
      <c r="P57" s="56"/>
    </row>
    <row r="58" ht="22.5" customHeight="1">
      <c r="A58" s="79">
        <v>57.0</v>
      </c>
      <c r="B58" s="80" t="s">
        <v>297</v>
      </c>
      <c r="C58" s="82"/>
      <c r="D58" s="80" t="s">
        <v>17</v>
      </c>
      <c r="E58" s="81" t="s">
        <v>298</v>
      </c>
      <c r="F58" s="82"/>
      <c r="G58" s="45"/>
      <c r="H58" s="45"/>
      <c r="I58" s="45"/>
      <c r="J58" s="45"/>
      <c r="K58" s="83" t="b">
        <v>0</v>
      </c>
      <c r="L58" s="83" t="b">
        <v>0</v>
      </c>
      <c r="M58" s="83" t="b">
        <v>0</v>
      </c>
      <c r="N58" s="45"/>
      <c r="O58" s="45"/>
      <c r="P58" s="55"/>
    </row>
    <row r="59" ht="22.5" customHeight="1">
      <c r="A59" s="84">
        <v>59.0</v>
      </c>
      <c r="B59" s="85" t="s">
        <v>299</v>
      </c>
      <c r="C59" s="87"/>
      <c r="D59" s="85" t="s">
        <v>15</v>
      </c>
      <c r="E59" s="86" t="s">
        <v>300</v>
      </c>
      <c r="F59" s="87"/>
      <c r="G59" s="41"/>
      <c r="H59" s="41"/>
      <c r="I59" s="41"/>
      <c r="J59" s="41"/>
      <c r="K59" s="88" t="b">
        <v>0</v>
      </c>
      <c r="L59" s="88" t="b">
        <v>0</v>
      </c>
      <c r="M59" s="88" t="b">
        <v>0</v>
      </c>
      <c r="N59" s="41"/>
      <c r="O59" s="41"/>
      <c r="P59" s="56"/>
    </row>
    <row r="60" ht="22.5" customHeight="1">
      <c r="A60" s="79">
        <v>60.0</v>
      </c>
      <c r="B60" s="80" t="s">
        <v>301</v>
      </c>
      <c r="C60" s="82"/>
      <c r="D60" s="80" t="s">
        <v>17</v>
      </c>
      <c r="E60" s="81" t="s">
        <v>302</v>
      </c>
      <c r="F60" s="82"/>
      <c r="G60" s="45"/>
      <c r="H60" s="45"/>
      <c r="I60" s="45"/>
      <c r="J60" s="45"/>
      <c r="K60" s="83" t="b">
        <v>0</v>
      </c>
      <c r="L60" s="83" t="b">
        <v>0</v>
      </c>
      <c r="M60" s="83" t="b">
        <v>0</v>
      </c>
      <c r="N60" s="45"/>
      <c r="O60" s="45"/>
      <c r="P60" s="55"/>
    </row>
    <row r="61" ht="22.5" customHeight="1">
      <c r="A61" s="84">
        <v>61.0</v>
      </c>
      <c r="B61" s="85" t="s">
        <v>303</v>
      </c>
      <c r="C61" s="87"/>
      <c r="D61" s="85" t="s">
        <v>15</v>
      </c>
      <c r="E61" s="86" t="s">
        <v>304</v>
      </c>
      <c r="F61" s="87"/>
      <c r="G61" s="41"/>
      <c r="H61" s="41"/>
      <c r="I61" s="41"/>
      <c r="J61" s="41"/>
      <c r="K61" s="88" t="b">
        <v>0</v>
      </c>
      <c r="L61" s="88" t="b">
        <v>0</v>
      </c>
      <c r="M61" s="88" t="b">
        <v>0</v>
      </c>
      <c r="N61" s="41"/>
      <c r="O61" s="41"/>
      <c r="P61" s="56"/>
    </row>
    <row r="62" ht="22.5" customHeight="1">
      <c r="A62" s="79">
        <v>62.0</v>
      </c>
      <c r="B62" s="80" t="s">
        <v>305</v>
      </c>
      <c r="C62" s="82"/>
      <c r="D62" s="80" t="s">
        <v>17</v>
      </c>
      <c r="E62" s="81" t="s">
        <v>306</v>
      </c>
      <c r="F62" s="82"/>
      <c r="G62" s="45"/>
      <c r="H62" s="45"/>
      <c r="I62" s="45"/>
      <c r="J62" s="45"/>
      <c r="K62" s="83" t="b">
        <v>0</v>
      </c>
      <c r="L62" s="83" t="b">
        <v>0</v>
      </c>
      <c r="M62" s="83" t="b">
        <v>0</v>
      </c>
      <c r="N62" s="45"/>
      <c r="O62" s="45"/>
      <c r="P62" s="55"/>
    </row>
    <row r="63" ht="22.5" customHeight="1">
      <c r="A63" s="84">
        <v>63.0</v>
      </c>
      <c r="B63" s="85" t="s">
        <v>307</v>
      </c>
      <c r="C63" s="87"/>
      <c r="D63" s="85" t="s">
        <v>15</v>
      </c>
      <c r="E63" s="86" t="s">
        <v>308</v>
      </c>
      <c r="F63" s="87"/>
      <c r="G63" s="41"/>
      <c r="H63" s="41"/>
      <c r="I63" s="41"/>
      <c r="J63" s="41"/>
      <c r="K63" s="88" t="b">
        <v>0</v>
      </c>
      <c r="L63" s="88" t="b">
        <v>0</v>
      </c>
      <c r="M63" s="88" t="b">
        <v>0</v>
      </c>
      <c r="N63" s="41"/>
      <c r="O63" s="41"/>
      <c r="P63" s="56"/>
    </row>
    <row r="64" ht="22.5" customHeight="1">
      <c r="A64" s="79">
        <v>64.0</v>
      </c>
      <c r="B64" s="80" t="s">
        <v>309</v>
      </c>
      <c r="C64" s="82"/>
      <c r="D64" s="80" t="s">
        <v>17</v>
      </c>
      <c r="E64" s="81" t="s">
        <v>310</v>
      </c>
      <c r="F64" s="82"/>
      <c r="G64" s="89">
        <v>9.650675507E9</v>
      </c>
      <c r="H64" s="45"/>
      <c r="I64" s="45"/>
      <c r="J64" s="45"/>
      <c r="K64" s="83" t="b">
        <v>0</v>
      </c>
      <c r="L64" s="83" t="b">
        <v>0</v>
      </c>
      <c r="M64" s="83" t="b">
        <v>0</v>
      </c>
      <c r="N64" s="45"/>
      <c r="O64" s="45"/>
      <c r="P64" s="55"/>
    </row>
    <row r="65" ht="22.5" customHeight="1">
      <c r="A65" s="84">
        <v>65.0</v>
      </c>
      <c r="B65" s="85" t="s">
        <v>311</v>
      </c>
      <c r="C65" s="87"/>
      <c r="D65" s="85" t="s">
        <v>15</v>
      </c>
      <c r="E65" s="86" t="s">
        <v>312</v>
      </c>
      <c r="F65" s="87"/>
      <c r="G65" s="41"/>
      <c r="H65" s="41"/>
      <c r="I65" s="41"/>
      <c r="J65" s="41"/>
      <c r="K65" s="88" t="b">
        <v>0</v>
      </c>
      <c r="L65" s="88" t="b">
        <v>0</v>
      </c>
      <c r="M65" s="88" t="b">
        <v>0</v>
      </c>
      <c r="N65" s="41"/>
      <c r="O65" s="41"/>
      <c r="P65" s="56"/>
    </row>
    <row r="66" ht="22.5" customHeight="1">
      <c r="A66" s="79">
        <v>66.0</v>
      </c>
      <c r="B66" s="80" t="s">
        <v>313</v>
      </c>
      <c r="C66" s="82"/>
      <c r="D66" s="80" t="s">
        <v>17</v>
      </c>
      <c r="E66" s="81" t="s">
        <v>314</v>
      </c>
      <c r="F66" s="82"/>
      <c r="G66" s="45"/>
      <c r="H66" s="45"/>
      <c r="I66" s="45"/>
      <c r="J66" s="45"/>
      <c r="K66" s="83" t="b">
        <v>0</v>
      </c>
      <c r="L66" s="83" t="b">
        <v>0</v>
      </c>
      <c r="M66" s="83" t="b">
        <v>0</v>
      </c>
      <c r="N66" s="45"/>
      <c r="O66" s="45"/>
      <c r="P66" s="55"/>
    </row>
    <row r="67" ht="22.5" customHeight="1">
      <c r="A67" s="84">
        <v>67.0</v>
      </c>
      <c r="B67" s="85" t="s">
        <v>315</v>
      </c>
      <c r="C67" s="87"/>
      <c r="D67" s="85" t="s">
        <v>15</v>
      </c>
      <c r="E67" s="86" t="s">
        <v>316</v>
      </c>
      <c r="F67" s="87"/>
      <c r="G67" s="41"/>
      <c r="H67" s="41"/>
      <c r="I67" s="41"/>
      <c r="J67" s="41"/>
      <c r="K67" s="88" t="b">
        <v>0</v>
      </c>
      <c r="L67" s="88" t="b">
        <v>0</v>
      </c>
      <c r="M67" s="88" t="b">
        <v>0</v>
      </c>
      <c r="N67" s="41"/>
      <c r="O67" s="41"/>
      <c r="P67" s="56"/>
    </row>
    <row r="68" ht="22.5" customHeight="1">
      <c r="A68" s="79">
        <v>68.0</v>
      </c>
      <c r="B68" s="80" t="s">
        <v>317</v>
      </c>
      <c r="C68" s="82"/>
      <c r="D68" s="80" t="s">
        <v>15</v>
      </c>
      <c r="E68" s="81" t="s">
        <v>318</v>
      </c>
      <c r="F68" s="82"/>
      <c r="G68" s="45"/>
      <c r="H68" s="45"/>
      <c r="I68" s="45"/>
      <c r="J68" s="45"/>
      <c r="K68" s="83" t="b">
        <v>0</v>
      </c>
      <c r="L68" s="83" t="b">
        <v>0</v>
      </c>
      <c r="M68" s="83" t="b">
        <v>0</v>
      </c>
      <c r="N68" s="45"/>
      <c r="O68" s="45"/>
      <c r="P68" s="55"/>
    </row>
    <row r="69" ht="22.5" customHeight="1">
      <c r="A69" s="84">
        <v>69.0</v>
      </c>
      <c r="B69" s="85" t="s">
        <v>319</v>
      </c>
      <c r="C69" s="87"/>
      <c r="D69" s="85" t="s">
        <v>17</v>
      </c>
      <c r="E69" s="86" t="s">
        <v>320</v>
      </c>
      <c r="F69" s="87"/>
      <c r="G69" s="41"/>
      <c r="H69" s="41"/>
      <c r="I69" s="41"/>
      <c r="J69" s="41"/>
      <c r="K69" s="88" t="b">
        <v>0</v>
      </c>
      <c r="L69" s="88" t="b">
        <v>0</v>
      </c>
      <c r="M69" s="88" t="b">
        <v>0</v>
      </c>
      <c r="N69" s="41"/>
      <c r="O69" s="41"/>
      <c r="P69" s="56"/>
    </row>
    <row r="70" ht="22.5" customHeight="1">
      <c r="A70" s="79">
        <v>70.0</v>
      </c>
      <c r="B70" s="80" t="s">
        <v>151</v>
      </c>
      <c r="C70" s="80" t="s">
        <v>118</v>
      </c>
      <c r="D70" s="80" t="s">
        <v>15</v>
      </c>
      <c r="E70" s="81" t="s">
        <v>321</v>
      </c>
      <c r="F70" s="80" t="s">
        <v>94</v>
      </c>
      <c r="G70" s="45"/>
      <c r="H70" s="45"/>
      <c r="I70" s="45"/>
      <c r="J70" s="45"/>
      <c r="K70" s="83" t="b">
        <v>0</v>
      </c>
      <c r="L70" s="83" t="b">
        <v>0</v>
      </c>
      <c r="M70" s="83" t="b">
        <v>0</v>
      </c>
      <c r="N70" s="45"/>
      <c r="O70" s="45"/>
      <c r="P70" s="55"/>
    </row>
    <row r="71" ht="22.5" customHeight="1">
      <c r="A71" s="84">
        <v>71.0</v>
      </c>
      <c r="B71" s="85" t="s">
        <v>322</v>
      </c>
      <c r="C71" s="87"/>
      <c r="D71" s="85" t="s">
        <v>15</v>
      </c>
      <c r="E71" s="86" t="s">
        <v>323</v>
      </c>
      <c r="F71" s="87"/>
      <c r="G71" s="41"/>
      <c r="H71" s="41"/>
      <c r="I71" s="41"/>
      <c r="J71" s="41"/>
      <c r="K71" s="88" t="b">
        <v>0</v>
      </c>
      <c r="L71" s="88" t="b">
        <v>0</v>
      </c>
      <c r="M71" s="88" t="b">
        <v>0</v>
      </c>
      <c r="N71" s="41"/>
      <c r="O71" s="41"/>
      <c r="P71" s="56"/>
    </row>
    <row r="72" ht="22.5" customHeight="1">
      <c r="A72" s="79">
        <v>72.0</v>
      </c>
      <c r="B72" s="80" t="s">
        <v>324</v>
      </c>
      <c r="C72" s="82"/>
      <c r="D72" s="80" t="s">
        <v>15</v>
      </c>
      <c r="E72" s="81" t="s">
        <v>325</v>
      </c>
      <c r="F72" s="82"/>
      <c r="G72" s="45"/>
      <c r="H72" s="45"/>
      <c r="I72" s="45"/>
      <c r="J72" s="45"/>
      <c r="K72" s="83" t="b">
        <v>0</v>
      </c>
      <c r="L72" s="83" t="b">
        <v>0</v>
      </c>
      <c r="M72" s="83" t="b">
        <v>0</v>
      </c>
      <c r="N72" s="45"/>
      <c r="O72" s="45"/>
      <c r="P72" s="55"/>
    </row>
    <row r="73" ht="22.5" customHeight="1">
      <c r="A73" s="84">
        <v>73.0</v>
      </c>
      <c r="B73" s="85" t="s">
        <v>326</v>
      </c>
      <c r="C73" s="87"/>
      <c r="D73" s="85" t="s">
        <v>15</v>
      </c>
      <c r="E73" s="86" t="s">
        <v>327</v>
      </c>
      <c r="F73" s="87"/>
      <c r="G73" s="41"/>
      <c r="H73" s="41"/>
      <c r="I73" s="41"/>
      <c r="J73" s="41"/>
      <c r="K73" s="88" t="b">
        <v>0</v>
      </c>
      <c r="L73" s="88" t="b">
        <v>0</v>
      </c>
      <c r="M73" s="88" t="b">
        <v>0</v>
      </c>
      <c r="N73" s="41"/>
      <c r="O73" s="41"/>
      <c r="P73" s="56"/>
    </row>
    <row r="74" ht="22.5" customHeight="1">
      <c r="A74" s="79">
        <v>74.0</v>
      </c>
      <c r="B74" s="80" t="s">
        <v>328</v>
      </c>
      <c r="C74" s="82"/>
      <c r="D74" s="80" t="s">
        <v>19</v>
      </c>
      <c r="E74" s="81" t="s">
        <v>329</v>
      </c>
      <c r="F74" s="82"/>
      <c r="G74" s="45"/>
      <c r="H74" s="45"/>
      <c r="I74" s="45"/>
      <c r="J74" s="45"/>
      <c r="K74" s="83" t="b">
        <v>0</v>
      </c>
      <c r="L74" s="83" t="b">
        <v>0</v>
      </c>
      <c r="M74" s="83" t="b">
        <v>0</v>
      </c>
      <c r="N74" s="45"/>
      <c r="O74" s="45"/>
      <c r="P74" s="55"/>
    </row>
    <row r="75" ht="22.5" customHeight="1">
      <c r="A75" s="84">
        <v>75.0</v>
      </c>
      <c r="B75" s="85" t="s">
        <v>330</v>
      </c>
      <c r="C75" s="87"/>
      <c r="D75" s="85" t="s">
        <v>17</v>
      </c>
      <c r="E75" s="86" t="s">
        <v>331</v>
      </c>
      <c r="F75" s="87"/>
      <c r="G75" s="41"/>
      <c r="H75" s="41"/>
      <c r="I75" s="41"/>
      <c r="J75" s="41"/>
      <c r="K75" s="88" t="b">
        <v>0</v>
      </c>
      <c r="L75" s="88" t="b">
        <v>0</v>
      </c>
      <c r="M75" s="88" t="b">
        <v>0</v>
      </c>
      <c r="N75" s="41"/>
      <c r="O75" s="41"/>
      <c r="P75" s="56"/>
    </row>
    <row r="76" ht="22.5" customHeight="1">
      <c r="A76" s="79">
        <v>76.0</v>
      </c>
      <c r="B76" s="80" t="s">
        <v>332</v>
      </c>
      <c r="C76" s="82"/>
      <c r="D76" s="80" t="s">
        <v>15</v>
      </c>
      <c r="E76" s="81" t="s">
        <v>333</v>
      </c>
      <c r="F76" s="82"/>
      <c r="G76" s="45"/>
      <c r="H76" s="45"/>
      <c r="I76" s="45"/>
      <c r="J76" s="45"/>
      <c r="K76" s="83" t="b">
        <v>0</v>
      </c>
      <c r="L76" s="83" t="b">
        <v>0</v>
      </c>
      <c r="M76" s="83" t="b">
        <v>0</v>
      </c>
      <c r="N76" s="45"/>
      <c r="O76" s="45"/>
      <c r="P76" s="55"/>
    </row>
    <row r="77" ht="22.5" customHeight="1">
      <c r="A77" s="84">
        <v>77.0</v>
      </c>
      <c r="B77" s="85" t="s">
        <v>334</v>
      </c>
      <c r="C77" s="87"/>
      <c r="D77" s="85" t="s">
        <v>15</v>
      </c>
      <c r="E77" s="86" t="s">
        <v>335</v>
      </c>
      <c r="F77" s="87"/>
      <c r="G77" s="41"/>
      <c r="H77" s="41"/>
      <c r="I77" s="41"/>
      <c r="J77" s="41"/>
      <c r="K77" s="88" t="b">
        <v>0</v>
      </c>
      <c r="L77" s="88" t="b">
        <v>0</v>
      </c>
      <c r="M77" s="88" t="b">
        <v>0</v>
      </c>
      <c r="N77" s="41"/>
      <c r="O77" s="41"/>
      <c r="P77" s="56"/>
    </row>
    <row r="78" ht="22.5" customHeight="1">
      <c r="A78" s="79">
        <v>78.0</v>
      </c>
      <c r="B78" s="80" t="s">
        <v>336</v>
      </c>
      <c r="C78" s="82"/>
      <c r="D78" s="80" t="s">
        <v>17</v>
      </c>
      <c r="E78" s="81" t="s">
        <v>337</v>
      </c>
      <c r="F78" s="82"/>
      <c r="G78" s="45"/>
      <c r="H78" s="45"/>
      <c r="I78" s="45"/>
      <c r="J78" s="45"/>
      <c r="K78" s="83" t="b">
        <v>0</v>
      </c>
      <c r="L78" s="83" t="b">
        <v>0</v>
      </c>
      <c r="M78" s="83" t="b">
        <v>0</v>
      </c>
      <c r="N78" s="45"/>
      <c r="O78" s="45"/>
      <c r="P78" s="55"/>
    </row>
    <row r="79" ht="22.5" customHeight="1">
      <c r="A79" s="84">
        <v>79.0</v>
      </c>
      <c r="B79" s="85" t="s">
        <v>338</v>
      </c>
      <c r="C79" s="87"/>
      <c r="D79" s="85" t="s">
        <v>108</v>
      </c>
      <c r="E79" s="86" t="s">
        <v>339</v>
      </c>
      <c r="F79" s="87"/>
      <c r="G79" s="41"/>
      <c r="H79" s="41"/>
      <c r="I79" s="41"/>
      <c r="J79" s="41"/>
      <c r="K79" s="88" t="b">
        <v>0</v>
      </c>
      <c r="L79" s="88" t="b">
        <v>0</v>
      </c>
      <c r="M79" s="88" t="b">
        <v>0</v>
      </c>
      <c r="N79" s="41"/>
      <c r="O79" s="41"/>
      <c r="P79" s="56"/>
    </row>
    <row r="80" ht="22.5" customHeight="1">
      <c r="A80" s="79">
        <v>80.0</v>
      </c>
      <c r="B80" s="80" t="s">
        <v>340</v>
      </c>
      <c r="C80" s="82"/>
      <c r="D80" s="80" t="s">
        <v>16</v>
      </c>
      <c r="E80" s="81" t="s">
        <v>341</v>
      </c>
      <c r="F80" s="82"/>
      <c r="G80" s="45"/>
      <c r="H80" s="45"/>
      <c r="I80" s="45"/>
      <c r="J80" s="45"/>
      <c r="K80" s="83" t="b">
        <v>0</v>
      </c>
      <c r="L80" s="83" t="b">
        <v>0</v>
      </c>
      <c r="M80" s="83" t="b">
        <v>0</v>
      </c>
      <c r="N80" s="45"/>
      <c r="O80" s="45"/>
      <c r="P80" s="55"/>
    </row>
    <row r="81" ht="22.5" customHeight="1">
      <c r="A81" s="84">
        <v>81.0</v>
      </c>
      <c r="B81" s="85" t="s">
        <v>153</v>
      </c>
      <c r="C81" s="87"/>
      <c r="D81" s="85" t="s">
        <v>108</v>
      </c>
      <c r="E81" s="86" t="s">
        <v>342</v>
      </c>
      <c r="F81" s="87"/>
      <c r="G81" s="41"/>
      <c r="H81" s="41"/>
      <c r="I81" s="41"/>
      <c r="J81" s="41"/>
      <c r="K81" s="88" t="b">
        <v>0</v>
      </c>
      <c r="L81" s="88" t="b">
        <v>0</v>
      </c>
      <c r="M81" s="88" t="b">
        <v>0</v>
      </c>
      <c r="N81" s="41"/>
      <c r="O81" s="41"/>
      <c r="P81" s="56"/>
    </row>
    <row r="82" ht="22.5" customHeight="1">
      <c r="A82" s="79">
        <v>82.0</v>
      </c>
      <c r="B82" s="80" t="s">
        <v>343</v>
      </c>
      <c r="C82" s="82"/>
      <c r="D82" s="80" t="s">
        <v>15</v>
      </c>
      <c r="E82" s="81" t="s">
        <v>344</v>
      </c>
      <c r="F82" s="82"/>
      <c r="G82" s="45"/>
      <c r="H82" s="45"/>
      <c r="I82" s="45"/>
      <c r="J82" s="45"/>
      <c r="K82" s="83" t="b">
        <v>0</v>
      </c>
      <c r="L82" s="83" t="b">
        <v>0</v>
      </c>
      <c r="M82" s="83" t="b">
        <v>0</v>
      </c>
      <c r="N82" s="45"/>
      <c r="O82" s="45"/>
      <c r="P82" s="55"/>
    </row>
    <row r="83" ht="22.5" customHeight="1">
      <c r="A83" s="84">
        <v>83.0</v>
      </c>
      <c r="B83" s="85" t="s">
        <v>345</v>
      </c>
      <c r="C83" s="87"/>
      <c r="D83" s="85" t="s">
        <v>17</v>
      </c>
      <c r="E83" s="86" t="s">
        <v>346</v>
      </c>
      <c r="F83" s="87"/>
      <c r="G83" s="41"/>
      <c r="H83" s="41"/>
      <c r="I83" s="41"/>
      <c r="J83" s="41"/>
      <c r="K83" s="88" t="b">
        <v>0</v>
      </c>
      <c r="L83" s="88" t="b">
        <v>0</v>
      </c>
      <c r="M83" s="88" t="b">
        <v>0</v>
      </c>
      <c r="N83" s="41"/>
      <c r="O83" s="41"/>
      <c r="P83" s="56"/>
    </row>
    <row r="84" ht="22.5" customHeight="1">
      <c r="A84" s="79">
        <v>84.0</v>
      </c>
      <c r="B84" s="80" t="s">
        <v>347</v>
      </c>
      <c r="C84" s="82"/>
      <c r="D84" s="80" t="s">
        <v>17</v>
      </c>
      <c r="E84" s="81" t="s">
        <v>348</v>
      </c>
      <c r="F84" s="82"/>
      <c r="G84" s="45"/>
      <c r="H84" s="45"/>
      <c r="I84" s="45"/>
      <c r="J84" s="45"/>
      <c r="K84" s="83" t="b">
        <v>0</v>
      </c>
      <c r="L84" s="83" t="b">
        <v>0</v>
      </c>
      <c r="M84" s="83" t="b">
        <v>0</v>
      </c>
      <c r="N84" s="45"/>
      <c r="O84" s="45"/>
      <c r="P84" s="55"/>
    </row>
    <row r="85" ht="22.5" customHeight="1">
      <c r="A85" s="84">
        <v>85.0</v>
      </c>
      <c r="B85" s="85" t="s">
        <v>349</v>
      </c>
      <c r="C85" s="87"/>
      <c r="D85" s="85" t="s">
        <v>100</v>
      </c>
      <c r="E85" s="86" t="s">
        <v>350</v>
      </c>
      <c r="F85" s="87"/>
      <c r="G85" s="41"/>
      <c r="H85" s="41"/>
      <c r="I85" s="41"/>
      <c r="J85" s="41"/>
      <c r="K85" s="88" t="b">
        <v>0</v>
      </c>
      <c r="L85" s="88" t="b">
        <v>0</v>
      </c>
      <c r="M85" s="88" t="b">
        <v>0</v>
      </c>
      <c r="N85" s="41"/>
      <c r="O85" s="41"/>
      <c r="P85" s="56"/>
    </row>
    <row r="86" ht="22.5" customHeight="1">
      <c r="A86" s="79">
        <v>86.0</v>
      </c>
      <c r="B86" s="80" t="s">
        <v>351</v>
      </c>
      <c r="C86" s="82"/>
      <c r="D86" s="80" t="s">
        <v>22</v>
      </c>
      <c r="E86" s="81" t="s">
        <v>352</v>
      </c>
      <c r="F86" s="82"/>
      <c r="G86" s="45"/>
      <c r="H86" s="45"/>
      <c r="I86" s="45"/>
      <c r="J86" s="45"/>
      <c r="K86" s="83" t="b">
        <v>0</v>
      </c>
      <c r="L86" s="83" t="b">
        <v>0</v>
      </c>
      <c r="M86" s="83" t="b">
        <v>0</v>
      </c>
      <c r="N86" s="45"/>
      <c r="O86" s="45"/>
      <c r="P86" s="55"/>
    </row>
    <row r="87" ht="22.5" customHeight="1">
      <c r="A87" s="84">
        <v>87.0</v>
      </c>
      <c r="B87" s="85" t="s">
        <v>353</v>
      </c>
      <c r="C87" s="87"/>
      <c r="D87" s="85" t="s">
        <v>15</v>
      </c>
      <c r="E87" s="86" t="s">
        <v>354</v>
      </c>
      <c r="F87" s="87"/>
      <c r="G87" s="41"/>
      <c r="H87" s="41"/>
      <c r="I87" s="41"/>
      <c r="J87" s="41"/>
      <c r="K87" s="88" t="b">
        <v>0</v>
      </c>
      <c r="L87" s="88" t="b">
        <v>0</v>
      </c>
      <c r="M87" s="88" t="b">
        <v>0</v>
      </c>
      <c r="N87" s="41"/>
      <c r="O87" s="41"/>
      <c r="P87" s="56"/>
    </row>
    <row r="88" ht="22.5" customHeight="1">
      <c r="A88" s="79">
        <v>88.0</v>
      </c>
      <c r="B88" s="80" t="s">
        <v>355</v>
      </c>
      <c r="C88" s="82"/>
      <c r="D88" s="80" t="s">
        <v>17</v>
      </c>
      <c r="E88" s="81" t="s">
        <v>356</v>
      </c>
      <c r="F88" s="82"/>
      <c r="G88" s="45"/>
      <c r="H88" s="45"/>
      <c r="I88" s="45"/>
      <c r="J88" s="45"/>
      <c r="K88" s="83" t="b">
        <v>0</v>
      </c>
      <c r="L88" s="83" t="b">
        <v>0</v>
      </c>
      <c r="M88" s="83" t="b">
        <v>0</v>
      </c>
      <c r="N88" s="45"/>
      <c r="O88" s="45"/>
      <c r="P88" s="55"/>
    </row>
    <row r="89" ht="22.5" customHeight="1">
      <c r="A89" s="84">
        <v>89.0</v>
      </c>
      <c r="B89" s="85" t="s">
        <v>357</v>
      </c>
      <c r="C89" s="87"/>
      <c r="D89" s="85" t="s">
        <v>15</v>
      </c>
      <c r="E89" s="86" t="s">
        <v>358</v>
      </c>
      <c r="F89" s="87"/>
      <c r="G89" s="41"/>
      <c r="H89" s="41"/>
      <c r="I89" s="41"/>
      <c r="J89" s="41"/>
      <c r="K89" s="88" t="b">
        <v>0</v>
      </c>
      <c r="L89" s="88" t="b">
        <v>0</v>
      </c>
      <c r="M89" s="88" t="b">
        <v>0</v>
      </c>
      <c r="N89" s="41"/>
      <c r="O89" s="41"/>
      <c r="P89" s="56"/>
    </row>
    <row r="90" ht="22.5" customHeight="1">
      <c r="A90" s="79">
        <v>90.0</v>
      </c>
      <c r="B90" s="80" t="s">
        <v>359</v>
      </c>
      <c r="C90" s="82"/>
      <c r="D90" s="80" t="s">
        <v>15</v>
      </c>
      <c r="E90" s="81" t="s">
        <v>360</v>
      </c>
      <c r="F90" s="82"/>
      <c r="G90" s="45"/>
      <c r="H90" s="45"/>
      <c r="I90" s="45"/>
      <c r="J90" s="45"/>
      <c r="K90" s="83" t="b">
        <v>0</v>
      </c>
      <c r="L90" s="83" t="b">
        <v>0</v>
      </c>
      <c r="M90" s="83" t="b">
        <v>0</v>
      </c>
      <c r="N90" s="45"/>
      <c r="O90" s="45"/>
      <c r="P90" s="55"/>
    </row>
    <row r="91" ht="22.5" customHeight="1">
      <c r="A91" s="84">
        <v>91.0</v>
      </c>
      <c r="B91" s="85" t="s">
        <v>361</v>
      </c>
      <c r="C91" s="87"/>
      <c r="D91" s="85" t="s">
        <v>17</v>
      </c>
      <c r="E91" s="86" t="s">
        <v>362</v>
      </c>
      <c r="F91" s="87"/>
      <c r="G91" s="41"/>
      <c r="H91" s="41"/>
      <c r="I91" s="41"/>
      <c r="J91" s="41"/>
      <c r="K91" s="88" t="b">
        <v>0</v>
      </c>
      <c r="L91" s="88" t="b">
        <v>0</v>
      </c>
      <c r="M91" s="88" t="b">
        <v>0</v>
      </c>
      <c r="N91" s="41"/>
      <c r="O91" s="41"/>
      <c r="P91" s="56"/>
    </row>
    <row r="92" ht="22.5" customHeight="1">
      <c r="A92" s="79">
        <v>92.0</v>
      </c>
      <c r="B92" s="80" t="s">
        <v>363</v>
      </c>
      <c r="C92" s="82"/>
      <c r="D92" s="80" t="s">
        <v>19</v>
      </c>
      <c r="E92" s="81" t="s">
        <v>364</v>
      </c>
      <c r="F92" s="82"/>
      <c r="G92" s="45"/>
      <c r="H92" s="45"/>
      <c r="I92" s="45"/>
      <c r="J92" s="45"/>
      <c r="K92" s="83" t="b">
        <v>0</v>
      </c>
      <c r="L92" s="83" t="b">
        <v>0</v>
      </c>
      <c r="M92" s="83" t="b">
        <v>0</v>
      </c>
      <c r="N92" s="45"/>
      <c r="O92" s="45"/>
      <c r="P92" s="55"/>
    </row>
    <row r="93" ht="22.5" customHeight="1">
      <c r="A93" s="84">
        <v>93.0</v>
      </c>
      <c r="B93" s="85" t="s">
        <v>365</v>
      </c>
      <c r="C93" s="87"/>
      <c r="D93" s="85" t="s">
        <v>19</v>
      </c>
      <c r="E93" s="86" t="s">
        <v>366</v>
      </c>
      <c r="F93" s="87"/>
      <c r="G93" s="41"/>
      <c r="H93" s="41"/>
      <c r="I93" s="41"/>
      <c r="J93" s="41"/>
      <c r="K93" s="88" t="b">
        <v>0</v>
      </c>
      <c r="L93" s="88" t="b">
        <v>0</v>
      </c>
      <c r="M93" s="88" t="b">
        <v>0</v>
      </c>
      <c r="N93" s="41"/>
      <c r="O93" s="41"/>
      <c r="P93" s="56"/>
    </row>
    <row r="94" ht="22.5" customHeight="1">
      <c r="A94" s="79">
        <v>94.0</v>
      </c>
      <c r="B94" s="80" t="s">
        <v>367</v>
      </c>
      <c r="C94" s="82"/>
      <c r="D94" s="80" t="s">
        <v>15</v>
      </c>
      <c r="E94" s="81" t="s">
        <v>368</v>
      </c>
      <c r="F94" s="82"/>
      <c r="G94" s="45"/>
      <c r="H94" s="45"/>
      <c r="I94" s="45"/>
      <c r="J94" s="45"/>
      <c r="K94" s="83" t="b">
        <v>0</v>
      </c>
      <c r="L94" s="83" t="b">
        <v>0</v>
      </c>
      <c r="M94" s="83" t="b">
        <v>0</v>
      </c>
      <c r="N94" s="45"/>
      <c r="O94" s="45"/>
      <c r="P94" s="55"/>
    </row>
    <row r="95" ht="22.5" customHeight="1">
      <c r="A95" s="84">
        <v>95.0</v>
      </c>
      <c r="B95" s="85" t="s">
        <v>369</v>
      </c>
      <c r="C95" s="87"/>
      <c r="D95" s="85" t="s">
        <v>19</v>
      </c>
      <c r="E95" s="86" t="s">
        <v>370</v>
      </c>
      <c r="F95" s="87"/>
      <c r="G95" s="41"/>
      <c r="H95" s="41"/>
      <c r="I95" s="41"/>
      <c r="J95" s="41"/>
      <c r="K95" s="88" t="b">
        <v>0</v>
      </c>
      <c r="L95" s="88" t="b">
        <v>0</v>
      </c>
      <c r="M95" s="88" t="b">
        <v>0</v>
      </c>
      <c r="N95" s="41"/>
      <c r="O95" s="41"/>
      <c r="P95" s="56"/>
    </row>
    <row r="96" ht="22.5" customHeight="1">
      <c r="A96" s="79">
        <v>96.0</v>
      </c>
      <c r="B96" s="80" t="s">
        <v>371</v>
      </c>
      <c r="C96" s="82"/>
      <c r="D96" s="80" t="s">
        <v>19</v>
      </c>
      <c r="E96" s="81" t="s">
        <v>372</v>
      </c>
      <c r="F96" s="82"/>
      <c r="G96" s="45"/>
      <c r="H96" s="45"/>
      <c r="I96" s="45"/>
      <c r="J96" s="45"/>
      <c r="K96" s="83" t="b">
        <v>0</v>
      </c>
      <c r="L96" s="83" t="b">
        <v>0</v>
      </c>
      <c r="M96" s="83" t="b">
        <v>0</v>
      </c>
      <c r="N96" s="45"/>
      <c r="O96" s="90" t="s">
        <v>373</v>
      </c>
      <c r="P96" s="55"/>
    </row>
    <row r="97" ht="22.5" customHeight="1">
      <c r="A97" s="84">
        <v>97.0</v>
      </c>
      <c r="B97" s="85" t="s">
        <v>374</v>
      </c>
      <c r="C97" s="87"/>
      <c r="D97" s="85" t="s">
        <v>17</v>
      </c>
      <c r="E97" s="86" t="s">
        <v>375</v>
      </c>
      <c r="F97" s="87"/>
      <c r="G97" s="41"/>
      <c r="H97" s="41"/>
      <c r="I97" s="41"/>
      <c r="J97" s="41"/>
      <c r="K97" s="88" t="b">
        <v>0</v>
      </c>
      <c r="L97" s="88" t="b">
        <v>0</v>
      </c>
      <c r="M97" s="88" t="b">
        <v>0</v>
      </c>
      <c r="N97" s="41"/>
      <c r="O97" s="41"/>
      <c r="P97" s="56"/>
    </row>
    <row r="98" ht="22.5" customHeight="1">
      <c r="A98" s="79">
        <v>98.0</v>
      </c>
      <c r="B98" s="80" t="s">
        <v>147</v>
      </c>
      <c r="C98" s="82"/>
      <c r="D98" s="80" t="s">
        <v>19</v>
      </c>
      <c r="E98" s="81" t="s">
        <v>376</v>
      </c>
      <c r="F98" s="82"/>
      <c r="G98" s="45"/>
      <c r="H98" s="45"/>
      <c r="I98" s="45"/>
      <c r="J98" s="45"/>
      <c r="K98" s="83" t="b">
        <v>0</v>
      </c>
      <c r="L98" s="83" t="b">
        <v>0</v>
      </c>
      <c r="M98" s="83" t="b">
        <v>0</v>
      </c>
      <c r="N98" s="45"/>
      <c r="O98" s="45"/>
      <c r="P98" s="55"/>
    </row>
    <row r="99" ht="22.5" customHeight="1">
      <c r="A99" s="84">
        <v>100.0</v>
      </c>
      <c r="B99" s="85" t="s">
        <v>148</v>
      </c>
      <c r="C99" s="85" t="s">
        <v>74</v>
      </c>
      <c r="D99" s="85" t="s">
        <v>19</v>
      </c>
      <c r="E99" s="86" t="s">
        <v>377</v>
      </c>
      <c r="F99" s="87"/>
      <c r="G99" s="41"/>
      <c r="H99" s="41"/>
      <c r="I99" s="41"/>
      <c r="J99" s="41"/>
      <c r="K99" s="88" t="b">
        <v>0</v>
      </c>
      <c r="L99" s="88" t="b">
        <v>0</v>
      </c>
      <c r="M99" s="88" t="b">
        <v>0</v>
      </c>
      <c r="N99" s="41"/>
      <c r="O99" s="41"/>
      <c r="P99" s="56"/>
    </row>
    <row r="100" ht="22.5" customHeight="1">
      <c r="A100" s="79">
        <v>101.0</v>
      </c>
      <c r="B100" s="82"/>
      <c r="C100" s="82"/>
      <c r="D100" s="82"/>
      <c r="E100" s="82"/>
      <c r="F100" s="82"/>
      <c r="G100" s="45"/>
      <c r="H100" s="45"/>
      <c r="I100" s="45"/>
      <c r="J100" s="45"/>
      <c r="K100" s="83" t="b">
        <v>0</v>
      </c>
      <c r="L100" s="83" t="b">
        <v>0</v>
      </c>
      <c r="M100" s="83" t="b">
        <v>0</v>
      </c>
      <c r="N100" s="45"/>
      <c r="O100" s="45"/>
      <c r="P100" s="55"/>
    </row>
    <row r="101" ht="22.5" customHeight="1">
      <c r="A101" s="84">
        <v>104.0</v>
      </c>
      <c r="B101" s="85" t="s">
        <v>378</v>
      </c>
      <c r="C101" s="85" t="s">
        <v>55</v>
      </c>
      <c r="D101" s="85" t="s">
        <v>108</v>
      </c>
      <c r="E101" s="86" t="s">
        <v>379</v>
      </c>
      <c r="F101" s="85" t="s">
        <v>380</v>
      </c>
      <c r="G101" s="91">
        <f>+6583875620</f>
        <v>6583875620</v>
      </c>
      <c r="H101" s="91">
        <f>+919959488964</f>
        <v>919959488964</v>
      </c>
      <c r="I101" s="16" t="s">
        <v>381</v>
      </c>
      <c r="J101" s="41"/>
      <c r="K101" s="88" t="b">
        <v>0</v>
      </c>
      <c r="L101" s="88" t="b">
        <v>0</v>
      </c>
      <c r="M101" s="88" t="b">
        <v>0</v>
      </c>
      <c r="N101" s="41"/>
      <c r="O101" s="41"/>
      <c r="P101" s="56"/>
    </row>
    <row r="102" ht="22.5" customHeight="1">
      <c r="A102" s="79">
        <v>105.0</v>
      </c>
      <c r="B102" s="80" t="s">
        <v>382</v>
      </c>
      <c r="C102" s="80" t="s">
        <v>9</v>
      </c>
      <c r="D102" s="80" t="s">
        <v>17</v>
      </c>
      <c r="E102" s="81" t="s">
        <v>383</v>
      </c>
      <c r="F102" s="80" t="s">
        <v>384</v>
      </c>
      <c r="G102" s="89">
        <f>+917020872236</f>
        <v>917020872236</v>
      </c>
      <c r="H102" s="89">
        <v>7.020872236E9</v>
      </c>
      <c r="I102" s="9" t="s">
        <v>385</v>
      </c>
      <c r="J102" s="45"/>
      <c r="K102" s="83" t="b">
        <v>0</v>
      </c>
      <c r="L102" s="83" t="b">
        <v>0</v>
      </c>
      <c r="M102" s="83" t="b">
        <v>0</v>
      </c>
      <c r="N102" s="45"/>
      <c r="O102" s="45"/>
      <c r="P102" s="55"/>
    </row>
    <row r="103" ht="22.5" customHeight="1">
      <c r="A103" s="84">
        <v>106.0</v>
      </c>
      <c r="B103" s="85" t="s">
        <v>386</v>
      </c>
      <c r="C103" s="85" t="s">
        <v>9</v>
      </c>
      <c r="D103" s="85" t="s">
        <v>19</v>
      </c>
      <c r="E103" s="86" t="s">
        <v>387</v>
      </c>
      <c r="F103" s="85" t="s">
        <v>388</v>
      </c>
      <c r="G103" s="91">
        <f t="shared" ref="G103:H103" si="1">+971556477216</f>
        <v>971556477216</v>
      </c>
      <c r="H103" s="91">
        <f t="shared" si="1"/>
        <v>971556477216</v>
      </c>
      <c r="I103" s="92" t="s">
        <v>389</v>
      </c>
      <c r="J103" s="41"/>
      <c r="K103" s="88" t="b">
        <v>0</v>
      </c>
      <c r="L103" s="88" t="b">
        <v>0</v>
      </c>
      <c r="M103" s="88" t="b">
        <v>0</v>
      </c>
      <c r="N103" s="41"/>
      <c r="O103" s="41"/>
      <c r="P103" s="56"/>
    </row>
    <row r="104" ht="22.5" customHeight="1">
      <c r="A104" s="79">
        <v>107.0</v>
      </c>
      <c r="B104" s="80" t="s">
        <v>390</v>
      </c>
      <c r="C104" s="80" t="s">
        <v>9</v>
      </c>
      <c r="D104" s="80" t="s">
        <v>17</v>
      </c>
      <c r="E104" s="81" t="s">
        <v>391</v>
      </c>
      <c r="F104" s="80" t="s">
        <v>384</v>
      </c>
      <c r="G104" s="89">
        <f t="shared" ref="G104:H104" si="2">+917888040074</f>
        <v>917888040074</v>
      </c>
      <c r="H104" s="89">
        <f t="shared" si="2"/>
        <v>917888040074</v>
      </c>
      <c r="I104" s="9" t="s">
        <v>392</v>
      </c>
      <c r="J104" s="45"/>
      <c r="K104" s="83" t="b">
        <v>0</v>
      </c>
      <c r="L104" s="83" t="b">
        <v>0</v>
      </c>
      <c r="M104" s="83" t="b">
        <v>0</v>
      </c>
      <c r="N104" s="45"/>
      <c r="O104" s="45"/>
      <c r="P104" s="55"/>
    </row>
    <row r="105" ht="22.5" customHeight="1">
      <c r="A105" s="84">
        <v>108.0</v>
      </c>
      <c r="B105" s="85" t="s">
        <v>393</v>
      </c>
      <c r="C105" s="85" t="s">
        <v>76</v>
      </c>
      <c r="D105" s="85" t="s">
        <v>19</v>
      </c>
      <c r="E105" s="86" t="s">
        <v>394</v>
      </c>
      <c r="F105" s="85" t="s">
        <v>384</v>
      </c>
      <c r="G105" s="91">
        <f t="shared" ref="G105:H105" si="3">+917045846725</f>
        <v>917045846725</v>
      </c>
      <c r="H105" s="91">
        <f t="shared" si="3"/>
        <v>917045846725</v>
      </c>
      <c r="I105" s="16" t="s">
        <v>395</v>
      </c>
      <c r="J105" s="41"/>
      <c r="K105" s="88" t="b">
        <v>0</v>
      </c>
      <c r="L105" s="88" t="b">
        <v>0</v>
      </c>
      <c r="M105" s="88" t="b">
        <v>0</v>
      </c>
      <c r="N105" s="41"/>
      <c r="O105" s="41"/>
      <c r="P105" s="56"/>
    </row>
    <row r="106" ht="22.5" customHeight="1">
      <c r="A106" s="79">
        <v>109.0</v>
      </c>
      <c r="B106" s="80" t="s">
        <v>396</v>
      </c>
      <c r="C106" s="80" t="s">
        <v>55</v>
      </c>
      <c r="D106" s="80" t="s">
        <v>15</v>
      </c>
      <c r="E106" s="81" t="s">
        <v>397</v>
      </c>
      <c r="F106" s="80" t="s">
        <v>388</v>
      </c>
      <c r="G106" s="89">
        <f>+966562307366</f>
        <v>966562307366</v>
      </c>
      <c r="H106" s="89">
        <f>+966563685464</f>
        <v>966563685464</v>
      </c>
      <c r="I106" s="9" t="s">
        <v>398</v>
      </c>
      <c r="J106" s="45"/>
      <c r="K106" s="83" t="b">
        <v>0</v>
      </c>
      <c r="L106" s="83" t="b">
        <v>0</v>
      </c>
      <c r="M106" s="83" t="b">
        <v>0</v>
      </c>
      <c r="N106" s="45"/>
      <c r="O106" s="45"/>
      <c r="P106" s="55"/>
    </row>
    <row r="107" ht="22.5" customHeight="1">
      <c r="A107" s="84">
        <v>110.0</v>
      </c>
      <c r="B107" s="85" t="s">
        <v>399</v>
      </c>
      <c r="C107" s="85" t="s">
        <v>55</v>
      </c>
      <c r="D107" s="85" t="s">
        <v>17</v>
      </c>
      <c r="E107" s="86" t="s">
        <v>400</v>
      </c>
      <c r="F107" s="85" t="s">
        <v>384</v>
      </c>
      <c r="G107" s="91">
        <f>+971505924573</f>
        <v>971505924573</v>
      </c>
      <c r="H107" s="91">
        <f>+971505923542</f>
        <v>971505923542</v>
      </c>
      <c r="I107" s="16" t="s">
        <v>401</v>
      </c>
      <c r="J107" s="41"/>
      <c r="K107" s="88" t="b">
        <v>0</v>
      </c>
      <c r="L107" s="88" t="b">
        <v>0</v>
      </c>
      <c r="M107" s="88" t="b">
        <v>0</v>
      </c>
      <c r="N107" s="41"/>
      <c r="O107" s="41"/>
      <c r="P107" s="56"/>
    </row>
    <row r="108" ht="22.5" customHeight="1">
      <c r="A108" s="79">
        <v>111.0</v>
      </c>
      <c r="B108" s="80" t="s">
        <v>402</v>
      </c>
      <c r="C108" s="80" t="s">
        <v>9</v>
      </c>
      <c r="D108" s="80" t="s">
        <v>15</v>
      </c>
      <c r="E108" s="81" t="s">
        <v>403</v>
      </c>
      <c r="F108" s="80" t="s">
        <v>388</v>
      </c>
      <c r="G108" s="89">
        <v>9.66542541377E11</v>
      </c>
      <c r="H108" s="89">
        <v>9.66542541377E11</v>
      </c>
      <c r="I108" s="9" t="s">
        <v>404</v>
      </c>
      <c r="J108" s="45"/>
      <c r="K108" s="83" t="b">
        <v>0</v>
      </c>
      <c r="L108" s="83" t="b">
        <v>0</v>
      </c>
      <c r="M108" s="83" t="b">
        <v>0</v>
      </c>
      <c r="N108" s="45"/>
      <c r="O108" s="45"/>
      <c r="P108" s="55"/>
    </row>
    <row r="109" ht="22.5" customHeight="1">
      <c r="A109" s="84">
        <v>112.0</v>
      </c>
      <c r="B109" s="85" t="s">
        <v>405</v>
      </c>
      <c r="C109" s="85" t="s">
        <v>111</v>
      </c>
      <c r="D109" s="85" t="s">
        <v>15</v>
      </c>
      <c r="E109" s="86" t="s">
        <v>406</v>
      </c>
      <c r="F109" s="85" t="s">
        <v>388</v>
      </c>
      <c r="G109" s="91">
        <v>9.66542541377E11</v>
      </c>
      <c r="H109" s="91">
        <v>9.66542541377E11</v>
      </c>
      <c r="I109" s="16" t="s">
        <v>404</v>
      </c>
      <c r="J109" s="41"/>
      <c r="K109" s="88" t="b">
        <v>0</v>
      </c>
      <c r="L109" s="88" t="b">
        <v>0</v>
      </c>
      <c r="M109" s="88" t="b">
        <v>0</v>
      </c>
      <c r="N109" s="41"/>
      <c r="O109" s="41"/>
      <c r="P109" s="56"/>
    </row>
    <row r="110" ht="22.5" customHeight="1">
      <c r="A110" s="79">
        <v>113.0</v>
      </c>
      <c r="B110" s="80" t="s">
        <v>407</v>
      </c>
      <c r="C110" s="80" t="s">
        <v>51</v>
      </c>
      <c r="D110" s="80" t="s">
        <v>19</v>
      </c>
      <c r="E110" s="81" t="s">
        <v>408</v>
      </c>
      <c r="F110" s="80" t="s">
        <v>388</v>
      </c>
      <c r="G110" s="89">
        <f t="shared" ref="G110:H110" si="4">+971509437292</f>
        <v>971509437292</v>
      </c>
      <c r="H110" s="89">
        <f t="shared" si="4"/>
        <v>971509437292</v>
      </c>
      <c r="I110" s="9" t="s">
        <v>409</v>
      </c>
      <c r="J110" s="9" t="s">
        <v>410</v>
      </c>
      <c r="K110" s="83" t="b">
        <v>0</v>
      </c>
      <c r="L110" s="83" t="b">
        <v>1</v>
      </c>
      <c r="M110" s="83" t="b">
        <v>1</v>
      </c>
      <c r="N110" s="45"/>
      <c r="O110" s="45"/>
      <c r="P110" s="55"/>
    </row>
    <row r="111" ht="22.5" customHeight="1">
      <c r="A111" s="84">
        <v>114.0</v>
      </c>
      <c r="B111" s="85" t="s">
        <v>411</v>
      </c>
      <c r="C111" s="85" t="s">
        <v>9</v>
      </c>
      <c r="D111" s="85" t="s">
        <v>17</v>
      </c>
      <c r="E111" s="86" t="s">
        <v>412</v>
      </c>
      <c r="F111" s="85" t="s">
        <v>380</v>
      </c>
      <c r="G111" s="91">
        <f t="shared" ref="G111:H111" si="5">+919790931802</f>
        <v>919790931802</v>
      </c>
      <c r="H111" s="91">
        <f t="shared" si="5"/>
        <v>919790931802</v>
      </c>
      <c r="I111" s="16" t="s">
        <v>413</v>
      </c>
      <c r="J111" s="41"/>
      <c r="K111" s="88" t="b">
        <v>0</v>
      </c>
      <c r="L111" s="88" t="b">
        <v>1</v>
      </c>
      <c r="M111" s="88" t="b">
        <v>1</v>
      </c>
      <c r="N111" s="41"/>
      <c r="O111" s="41"/>
      <c r="P111" s="56"/>
    </row>
    <row r="112" ht="22.5" customHeight="1">
      <c r="A112" s="79">
        <v>115.0</v>
      </c>
      <c r="B112" s="80" t="s">
        <v>414</v>
      </c>
      <c r="C112" s="80" t="s">
        <v>9</v>
      </c>
      <c r="D112" s="80" t="s">
        <v>17</v>
      </c>
      <c r="E112" s="81" t="s">
        <v>415</v>
      </c>
      <c r="F112" s="80" t="s">
        <v>384</v>
      </c>
      <c r="G112" s="89">
        <v>9.346696747E9</v>
      </c>
      <c r="H112" s="89">
        <v>8.985195828E9</v>
      </c>
      <c r="I112" s="9" t="s">
        <v>416</v>
      </c>
      <c r="J112" s="45"/>
      <c r="K112" s="83" t="b">
        <v>1</v>
      </c>
      <c r="L112" s="83" t="b">
        <v>1</v>
      </c>
      <c r="M112" s="83" t="b">
        <v>1</v>
      </c>
      <c r="N112" s="45"/>
      <c r="O112" s="45"/>
      <c r="P112" s="55"/>
    </row>
    <row r="113" ht="22.5" customHeight="1">
      <c r="A113" s="84">
        <v>116.0</v>
      </c>
      <c r="B113" s="85" t="s">
        <v>417</v>
      </c>
      <c r="C113" s="85" t="s">
        <v>9</v>
      </c>
      <c r="D113" s="85" t="s">
        <v>19</v>
      </c>
      <c r="E113" s="86" t="s">
        <v>418</v>
      </c>
      <c r="F113" s="85" t="s">
        <v>384</v>
      </c>
      <c r="G113" s="91">
        <f t="shared" ref="G113:H113" si="6">+918448780669</f>
        <v>918448780669</v>
      </c>
      <c r="H113" s="91">
        <f t="shared" si="6"/>
        <v>918448780669</v>
      </c>
      <c r="I113" s="16" t="s">
        <v>419</v>
      </c>
      <c r="J113" s="16" t="s">
        <v>420</v>
      </c>
      <c r="K113" s="88" t="b">
        <v>0</v>
      </c>
      <c r="L113" s="88" t="b">
        <v>0</v>
      </c>
      <c r="M113" s="88" t="b">
        <v>0</v>
      </c>
      <c r="N113" s="41"/>
      <c r="O113" s="41"/>
      <c r="P113" s="56"/>
    </row>
    <row r="114" ht="22.5" customHeight="1">
      <c r="A114" s="79">
        <v>117.0</v>
      </c>
      <c r="B114" s="80" t="s">
        <v>421</v>
      </c>
      <c r="C114" s="80" t="s">
        <v>111</v>
      </c>
      <c r="D114" s="80" t="s">
        <v>17</v>
      </c>
      <c r="E114" s="81" t="s">
        <v>422</v>
      </c>
      <c r="F114" s="80" t="s">
        <v>384</v>
      </c>
      <c r="G114" s="89">
        <f t="shared" ref="G114:H114" si="7">+919990632294</f>
        <v>919990632294</v>
      </c>
      <c r="H114" s="89">
        <f t="shared" si="7"/>
        <v>919990632294</v>
      </c>
      <c r="I114" s="9" t="s">
        <v>423</v>
      </c>
      <c r="J114" s="9" t="s">
        <v>424</v>
      </c>
      <c r="K114" s="83" t="b">
        <v>0</v>
      </c>
      <c r="L114" s="83" t="b">
        <v>0</v>
      </c>
      <c r="M114" s="83" t="b">
        <v>0</v>
      </c>
      <c r="N114" s="45"/>
      <c r="O114" s="45"/>
      <c r="P114" s="55"/>
    </row>
    <row r="115" ht="22.5" customHeight="1">
      <c r="A115" s="84">
        <v>118.0</v>
      </c>
      <c r="B115" s="85" t="s">
        <v>425</v>
      </c>
      <c r="C115" s="85" t="s">
        <v>111</v>
      </c>
      <c r="D115" s="85" t="s">
        <v>15</v>
      </c>
      <c r="E115" s="86" t="s">
        <v>426</v>
      </c>
      <c r="F115" s="85" t="s">
        <v>388</v>
      </c>
      <c r="G115" s="91">
        <v>9.66556059054E11</v>
      </c>
      <c r="H115" s="91">
        <v>9.6656378241E11</v>
      </c>
      <c r="I115" s="16" t="s">
        <v>427</v>
      </c>
      <c r="J115" s="16" t="s">
        <v>428</v>
      </c>
      <c r="K115" s="88" t="b">
        <v>0</v>
      </c>
      <c r="L115" s="88" t="b">
        <v>0</v>
      </c>
      <c r="M115" s="88" t="b">
        <v>0</v>
      </c>
      <c r="N115" s="41"/>
      <c r="O115" s="41"/>
      <c r="P115" s="56"/>
    </row>
    <row r="116" ht="22.5" customHeight="1">
      <c r="A116" s="79">
        <v>119.0</v>
      </c>
      <c r="B116" s="80" t="s">
        <v>429</v>
      </c>
      <c r="C116" s="80" t="s">
        <v>78</v>
      </c>
      <c r="D116" s="80" t="s">
        <v>430</v>
      </c>
      <c r="E116" s="81" t="s">
        <v>431</v>
      </c>
      <c r="F116" s="80" t="s">
        <v>432</v>
      </c>
      <c r="G116" s="89">
        <f>19012371504</f>
        <v>19012371504</v>
      </c>
      <c r="H116" s="45"/>
      <c r="I116" s="45"/>
      <c r="J116" s="45"/>
      <c r="K116" s="83" t="b">
        <v>0</v>
      </c>
      <c r="L116" s="83" t="b">
        <v>0</v>
      </c>
      <c r="M116" s="83" t="b">
        <v>0</v>
      </c>
      <c r="N116" s="45"/>
      <c r="O116" s="45"/>
      <c r="P116" s="55"/>
    </row>
    <row r="117" ht="22.5" customHeight="1">
      <c r="A117" s="84">
        <v>120.0</v>
      </c>
      <c r="B117" s="85" t="s">
        <v>433</v>
      </c>
      <c r="C117" s="85" t="s">
        <v>9</v>
      </c>
      <c r="D117" s="85" t="s">
        <v>434</v>
      </c>
      <c r="E117" s="86" t="s">
        <v>435</v>
      </c>
      <c r="F117" s="85" t="s">
        <v>436</v>
      </c>
      <c r="G117" s="41"/>
      <c r="H117" s="41"/>
      <c r="I117" s="41"/>
      <c r="J117" s="41"/>
      <c r="K117" s="88" t="b">
        <v>1</v>
      </c>
      <c r="L117" s="88" t="b">
        <v>0</v>
      </c>
      <c r="M117" s="88" t="b">
        <v>1</v>
      </c>
      <c r="N117" s="41"/>
      <c r="O117" s="41"/>
      <c r="P117" s="56"/>
    </row>
    <row r="118" ht="22.5" customHeight="1">
      <c r="A118" s="79">
        <v>121.0</v>
      </c>
      <c r="B118" s="80" t="s">
        <v>152</v>
      </c>
      <c r="C118" s="80" t="s">
        <v>119</v>
      </c>
      <c r="D118" s="80" t="s">
        <v>19</v>
      </c>
      <c r="E118" s="81" t="s">
        <v>437</v>
      </c>
      <c r="F118" s="80" t="s">
        <v>94</v>
      </c>
      <c r="G118" s="45"/>
      <c r="H118" s="45"/>
      <c r="I118" s="45"/>
      <c r="J118" s="45"/>
      <c r="K118" s="83" t="b">
        <v>0</v>
      </c>
      <c r="L118" s="83" t="b">
        <v>0</v>
      </c>
      <c r="M118" s="83" t="b">
        <v>0</v>
      </c>
      <c r="N118" s="45"/>
      <c r="O118" s="45"/>
      <c r="P118" s="55"/>
    </row>
    <row r="119" ht="22.5" customHeight="1">
      <c r="A119" s="84">
        <v>122.0</v>
      </c>
      <c r="B119" s="93" t="s">
        <v>438</v>
      </c>
      <c r="C119" s="85" t="s">
        <v>55</v>
      </c>
      <c r="D119" s="85" t="s">
        <v>17</v>
      </c>
      <c r="E119" s="94" t="s">
        <v>439</v>
      </c>
      <c r="F119" s="85" t="s">
        <v>384</v>
      </c>
      <c r="G119" s="41"/>
      <c r="H119" s="41"/>
      <c r="I119" s="41"/>
      <c r="J119" s="41"/>
      <c r="K119" s="95" t="b">
        <v>0</v>
      </c>
      <c r="L119" s="95" t="b">
        <v>0</v>
      </c>
      <c r="M119" s="95" t="b">
        <v>0</v>
      </c>
      <c r="N119" s="41"/>
      <c r="O119" s="41"/>
      <c r="P119" s="56"/>
    </row>
    <row r="120" ht="22.5" customHeight="1">
      <c r="A120" s="79">
        <v>123.0</v>
      </c>
      <c r="B120" s="80" t="s">
        <v>440</v>
      </c>
      <c r="C120" s="80" t="s">
        <v>55</v>
      </c>
      <c r="D120" s="80" t="s">
        <v>19</v>
      </c>
      <c r="E120" s="81" t="s">
        <v>441</v>
      </c>
      <c r="F120" s="80" t="s">
        <v>94</v>
      </c>
      <c r="G120" s="45"/>
      <c r="H120" s="45"/>
      <c r="I120" s="45"/>
      <c r="J120" s="45"/>
      <c r="K120" s="83" t="b">
        <v>0</v>
      </c>
      <c r="L120" s="83" t="b">
        <v>0</v>
      </c>
      <c r="M120" s="83" t="b">
        <v>0</v>
      </c>
      <c r="N120" s="45"/>
      <c r="O120" s="45"/>
      <c r="P120" s="55"/>
    </row>
    <row r="121" ht="22.5" customHeight="1">
      <c r="A121" s="84">
        <v>124.0</v>
      </c>
      <c r="B121" s="85" t="s">
        <v>160</v>
      </c>
      <c r="C121" s="85" t="s">
        <v>35</v>
      </c>
      <c r="D121" s="85" t="s">
        <v>17</v>
      </c>
      <c r="E121" s="86" t="s">
        <v>442</v>
      </c>
      <c r="F121" s="85" t="s">
        <v>384</v>
      </c>
      <c r="G121" s="41"/>
      <c r="H121" s="41"/>
      <c r="I121" s="41"/>
      <c r="J121" s="41"/>
      <c r="K121" s="88" t="b">
        <v>0</v>
      </c>
      <c r="L121" s="88" t="b">
        <v>0</v>
      </c>
      <c r="M121" s="88" t="b">
        <v>0</v>
      </c>
      <c r="N121" s="41"/>
      <c r="O121" s="41"/>
      <c r="P121" s="56"/>
    </row>
    <row r="122" ht="22.5" customHeight="1">
      <c r="A122" s="79">
        <v>125.0</v>
      </c>
      <c r="B122" s="80" t="s">
        <v>443</v>
      </c>
      <c r="C122" s="80" t="s">
        <v>9</v>
      </c>
      <c r="D122" s="80" t="s">
        <v>17</v>
      </c>
      <c r="E122" s="81" t="s">
        <v>444</v>
      </c>
      <c r="F122" s="80" t="s">
        <v>384</v>
      </c>
      <c r="G122" s="45"/>
      <c r="H122" s="45"/>
      <c r="I122" s="45"/>
      <c r="J122" s="45"/>
      <c r="K122" s="83" t="b">
        <v>0</v>
      </c>
      <c r="L122" s="83" t="b">
        <v>0</v>
      </c>
      <c r="M122" s="83" t="b">
        <v>0</v>
      </c>
      <c r="N122" s="45"/>
      <c r="O122" s="45"/>
      <c r="P122" s="55"/>
    </row>
    <row r="123" ht="22.5" customHeight="1">
      <c r="A123" s="84">
        <v>126.0</v>
      </c>
      <c r="B123" s="85" t="s">
        <v>445</v>
      </c>
      <c r="C123" s="85" t="s">
        <v>9</v>
      </c>
      <c r="D123" s="85" t="s">
        <v>16</v>
      </c>
      <c r="E123" s="86" t="s">
        <v>446</v>
      </c>
      <c r="F123" s="85" t="s">
        <v>447</v>
      </c>
      <c r="G123" s="96" t="s">
        <v>448</v>
      </c>
      <c r="H123" s="41"/>
      <c r="I123" s="16" t="s">
        <v>449</v>
      </c>
      <c r="J123" s="41"/>
      <c r="K123" s="88" t="b">
        <v>0</v>
      </c>
      <c r="L123" s="88" t="b">
        <v>0</v>
      </c>
      <c r="M123" s="88" t="b">
        <v>0</v>
      </c>
      <c r="N123" s="41"/>
      <c r="O123" s="41"/>
      <c r="P123" s="56"/>
    </row>
    <row r="124" ht="22.5" customHeight="1">
      <c r="A124" s="79">
        <v>127.0</v>
      </c>
      <c r="B124" s="80" t="s">
        <v>450</v>
      </c>
      <c r="C124" s="80" t="s">
        <v>9</v>
      </c>
      <c r="D124" s="80" t="s">
        <v>17</v>
      </c>
      <c r="E124" s="81" t="s">
        <v>451</v>
      </c>
      <c r="F124" s="80" t="s">
        <v>384</v>
      </c>
      <c r="G124" s="97" t="s">
        <v>452</v>
      </c>
      <c r="H124" s="45"/>
      <c r="I124" s="9" t="s">
        <v>453</v>
      </c>
      <c r="J124" s="45"/>
      <c r="K124" s="83" t="b">
        <v>0</v>
      </c>
      <c r="L124" s="83" t="b">
        <v>0</v>
      </c>
      <c r="M124" s="83" t="b">
        <v>0</v>
      </c>
      <c r="N124" s="45"/>
      <c r="O124" s="45"/>
      <c r="P124" s="55"/>
    </row>
    <row r="125" ht="22.5" customHeight="1">
      <c r="A125" s="84">
        <v>128.0</v>
      </c>
      <c r="B125" s="85" t="s">
        <v>454</v>
      </c>
      <c r="C125" s="85" t="s">
        <v>9</v>
      </c>
      <c r="D125" s="85" t="s">
        <v>17</v>
      </c>
      <c r="E125" s="86" t="s">
        <v>455</v>
      </c>
      <c r="F125" s="85" t="s">
        <v>384</v>
      </c>
      <c r="G125" s="98" t="s">
        <v>456</v>
      </c>
      <c r="H125" s="41"/>
      <c r="I125" s="41"/>
      <c r="J125" s="41"/>
      <c r="K125" s="88" t="b">
        <v>0</v>
      </c>
      <c r="L125" s="88" t="b">
        <v>0</v>
      </c>
      <c r="M125" s="88" t="b">
        <v>0</v>
      </c>
      <c r="N125" s="41"/>
      <c r="O125" s="41"/>
      <c r="P125" s="56"/>
    </row>
    <row r="126" ht="22.5" customHeight="1">
      <c r="A126" s="79">
        <v>129.0</v>
      </c>
      <c r="B126" s="80" t="s">
        <v>457</v>
      </c>
      <c r="C126" s="80" t="s">
        <v>9</v>
      </c>
      <c r="D126" s="80" t="s">
        <v>17</v>
      </c>
      <c r="E126" s="81" t="s">
        <v>458</v>
      </c>
      <c r="F126" s="80" t="s">
        <v>384</v>
      </c>
      <c r="G126" s="97" t="s">
        <v>459</v>
      </c>
      <c r="H126" s="45"/>
      <c r="I126" s="45"/>
      <c r="J126" s="45"/>
      <c r="K126" s="83" t="b">
        <v>0</v>
      </c>
      <c r="L126" s="83" t="b">
        <v>0</v>
      </c>
      <c r="M126" s="83" t="b">
        <v>0</v>
      </c>
      <c r="N126" s="45"/>
      <c r="O126" s="45"/>
      <c r="P126" s="55"/>
    </row>
    <row r="127" ht="22.5" customHeight="1">
      <c r="A127" s="84">
        <v>130.0</v>
      </c>
      <c r="B127" s="85" t="s">
        <v>460</v>
      </c>
      <c r="C127" s="85" t="s">
        <v>9</v>
      </c>
      <c r="D127" s="85" t="s">
        <v>17</v>
      </c>
      <c r="E127" s="86" t="s">
        <v>461</v>
      </c>
      <c r="F127" s="85" t="s">
        <v>384</v>
      </c>
      <c r="G127" s="41"/>
      <c r="H127" s="41"/>
      <c r="I127" s="41"/>
      <c r="J127" s="41"/>
      <c r="K127" s="88" t="b">
        <v>0</v>
      </c>
      <c r="L127" s="88" t="b">
        <v>0</v>
      </c>
      <c r="M127" s="88" t="b">
        <v>0</v>
      </c>
      <c r="N127" s="41"/>
      <c r="O127" s="41"/>
      <c r="P127" s="56"/>
    </row>
    <row r="128" ht="22.5" customHeight="1">
      <c r="A128" s="79">
        <v>131.0</v>
      </c>
      <c r="B128" s="80" t="s">
        <v>462</v>
      </c>
      <c r="C128" s="80" t="s">
        <v>51</v>
      </c>
      <c r="D128" s="80" t="s">
        <v>17</v>
      </c>
      <c r="E128" s="81" t="s">
        <v>463</v>
      </c>
      <c r="F128" s="80" t="s">
        <v>384</v>
      </c>
      <c r="G128" s="45"/>
      <c r="H128" s="45"/>
      <c r="I128" s="45"/>
      <c r="J128" s="45"/>
      <c r="K128" s="83" t="b">
        <v>0</v>
      </c>
      <c r="L128" s="83" t="b">
        <v>0</v>
      </c>
      <c r="M128" s="83" t="b">
        <v>0</v>
      </c>
      <c r="N128" s="45"/>
      <c r="O128" s="45"/>
      <c r="P128" s="55"/>
    </row>
    <row r="129" ht="22.5" customHeight="1">
      <c r="A129" s="84">
        <v>132.0</v>
      </c>
      <c r="B129" s="85" t="s">
        <v>464</v>
      </c>
      <c r="C129" s="85" t="s">
        <v>9</v>
      </c>
      <c r="D129" s="85" t="s">
        <v>15</v>
      </c>
      <c r="E129" s="86" t="s">
        <v>465</v>
      </c>
      <c r="F129" s="85" t="s">
        <v>466</v>
      </c>
      <c r="G129" s="96" t="s">
        <v>467</v>
      </c>
      <c r="H129" s="99">
        <v>9.66503369652E11</v>
      </c>
      <c r="I129" s="100" t="s">
        <v>468</v>
      </c>
      <c r="J129" s="99" t="s">
        <v>469</v>
      </c>
      <c r="K129" s="88" t="b">
        <v>0</v>
      </c>
      <c r="L129" s="88" t="b">
        <v>0</v>
      </c>
      <c r="M129" s="88" t="b">
        <v>0</v>
      </c>
      <c r="N129" s="41"/>
      <c r="O129" s="41"/>
      <c r="P129" s="56"/>
    </row>
    <row r="130" ht="22.5" customHeight="1">
      <c r="A130" s="79">
        <v>133.0</v>
      </c>
      <c r="B130" s="80" t="s">
        <v>470</v>
      </c>
      <c r="C130" s="80" t="s">
        <v>9</v>
      </c>
      <c r="D130" s="80" t="s">
        <v>15</v>
      </c>
      <c r="E130" s="81" t="s">
        <v>471</v>
      </c>
      <c r="F130" s="80" t="s">
        <v>466</v>
      </c>
      <c r="G130" s="96" t="s">
        <v>467</v>
      </c>
      <c r="H130" s="99">
        <v>9.66503369652E11</v>
      </c>
      <c r="I130" s="101" t="s">
        <v>468</v>
      </c>
      <c r="J130" s="99" t="s">
        <v>469</v>
      </c>
      <c r="K130" s="83" t="b">
        <v>0</v>
      </c>
      <c r="L130" s="83" t="b">
        <v>0</v>
      </c>
      <c r="M130" s="83" t="b">
        <v>0</v>
      </c>
      <c r="N130" s="45"/>
      <c r="O130" s="45"/>
      <c r="P130" s="55"/>
    </row>
    <row r="131" ht="22.5" customHeight="1">
      <c r="A131" s="84">
        <v>134.0</v>
      </c>
      <c r="B131" s="85" t="s">
        <v>472</v>
      </c>
      <c r="C131" s="85" t="s">
        <v>51</v>
      </c>
      <c r="D131" s="85" t="s">
        <v>17</v>
      </c>
      <c r="E131" s="86" t="s">
        <v>473</v>
      </c>
      <c r="F131" s="85" t="s">
        <v>384</v>
      </c>
      <c r="G131" s="98" t="s">
        <v>474</v>
      </c>
      <c r="H131" s="98" t="s">
        <v>474</v>
      </c>
      <c r="I131" s="92" t="s">
        <v>475</v>
      </c>
      <c r="J131" s="41"/>
      <c r="K131" s="102"/>
      <c r="L131" s="102"/>
      <c r="M131" s="102"/>
      <c r="N131" s="16" t="s">
        <v>476</v>
      </c>
      <c r="O131" s="41"/>
      <c r="P131" s="56"/>
    </row>
    <row r="132" ht="22.5" customHeight="1">
      <c r="A132" s="79">
        <v>135.0</v>
      </c>
      <c r="B132" s="103" t="s">
        <v>477</v>
      </c>
      <c r="C132" s="80" t="s">
        <v>55</v>
      </c>
      <c r="D132" s="80" t="s">
        <v>100</v>
      </c>
      <c r="E132" s="81" t="s">
        <v>478</v>
      </c>
      <c r="F132" s="80" t="s">
        <v>479</v>
      </c>
      <c r="G132" s="96" t="s">
        <v>480</v>
      </c>
      <c r="H132" s="99">
        <v>8.17788704E8</v>
      </c>
      <c r="I132" s="90" t="s">
        <v>481</v>
      </c>
      <c r="J132" s="45"/>
      <c r="K132" s="104"/>
      <c r="L132" s="104"/>
      <c r="M132" s="104"/>
      <c r="N132" s="99" t="s">
        <v>482</v>
      </c>
      <c r="O132" s="45"/>
      <c r="P132" s="55"/>
    </row>
    <row r="133" ht="22.5" customHeight="1">
      <c r="A133" s="84">
        <v>136.0</v>
      </c>
      <c r="B133" s="103" t="s">
        <v>483</v>
      </c>
      <c r="C133" s="85" t="s">
        <v>9</v>
      </c>
      <c r="D133" s="85" t="s">
        <v>15</v>
      </c>
      <c r="E133" s="86" t="s">
        <v>484</v>
      </c>
      <c r="F133" s="85" t="s">
        <v>466</v>
      </c>
      <c r="G133" s="91">
        <f t="shared" ref="G133:H133" si="8">966546383308</f>
        <v>966546383308</v>
      </c>
      <c r="H133" s="91">
        <f t="shared" si="8"/>
        <v>966546383308</v>
      </c>
      <c r="I133" s="16" t="s">
        <v>485</v>
      </c>
      <c r="J133" s="16" t="s">
        <v>486</v>
      </c>
      <c r="K133" s="88" t="b">
        <v>0</v>
      </c>
      <c r="L133" s="88" t="b">
        <v>0</v>
      </c>
      <c r="M133" s="88" t="b">
        <v>0</v>
      </c>
      <c r="N133" s="16" t="s">
        <v>487</v>
      </c>
      <c r="O133" s="41"/>
      <c r="P133" s="56"/>
    </row>
    <row r="134" ht="22.5" customHeight="1">
      <c r="A134" s="79">
        <v>137.0</v>
      </c>
      <c r="B134" s="80" t="s">
        <v>488</v>
      </c>
      <c r="C134" s="63" t="s">
        <v>489</v>
      </c>
      <c r="D134" s="80" t="s">
        <v>19</v>
      </c>
      <c r="E134" s="81" t="s">
        <v>490</v>
      </c>
      <c r="F134" s="82"/>
      <c r="G134" s="45"/>
      <c r="H134" s="45"/>
      <c r="I134" s="45"/>
      <c r="J134" s="45"/>
      <c r="K134" s="83" t="b">
        <v>0</v>
      </c>
      <c r="L134" s="83" t="b">
        <v>0</v>
      </c>
      <c r="M134" s="83" t="b">
        <v>0</v>
      </c>
      <c r="N134" s="45"/>
      <c r="O134" s="45"/>
      <c r="P134" s="55"/>
    </row>
    <row r="135" ht="22.5" customHeight="1">
      <c r="A135" s="84">
        <v>138.0</v>
      </c>
      <c r="B135" s="85" t="s">
        <v>154</v>
      </c>
      <c r="C135" s="66" t="s">
        <v>9</v>
      </c>
      <c r="D135" s="85" t="s">
        <v>19</v>
      </c>
      <c r="E135" s="87"/>
      <c r="F135" s="105" t="s">
        <v>491</v>
      </c>
      <c r="G135" s="106">
        <f t="shared" ref="G135:H135" si="9">+27844046043</f>
        <v>27844046043</v>
      </c>
      <c r="H135" s="106">
        <f t="shared" si="9"/>
        <v>27844046043</v>
      </c>
      <c r="I135" s="107" t="s">
        <v>492</v>
      </c>
      <c r="J135" s="41"/>
      <c r="K135" s="102"/>
      <c r="L135" s="102"/>
      <c r="M135" s="102"/>
      <c r="N135" s="107" t="s">
        <v>493</v>
      </c>
      <c r="O135" s="41"/>
      <c r="P135" s="108" t="s">
        <v>494</v>
      </c>
    </row>
    <row r="136" ht="22.5" customHeight="1">
      <c r="A136" s="79">
        <v>139.0</v>
      </c>
      <c r="B136" s="80" t="s">
        <v>495</v>
      </c>
      <c r="C136" s="109" t="s">
        <v>51</v>
      </c>
      <c r="D136" s="80" t="s">
        <v>19</v>
      </c>
      <c r="E136" s="82"/>
      <c r="F136" s="110" t="s">
        <v>496</v>
      </c>
      <c r="G136" s="111">
        <f>+6282110120821</f>
        <v>6282110120821</v>
      </c>
      <c r="H136" s="111">
        <f>+62816979185</f>
        <v>62816979185</v>
      </c>
      <c r="I136" s="112" t="s">
        <v>497</v>
      </c>
      <c r="J136" s="112" t="s">
        <v>498</v>
      </c>
      <c r="K136" s="104"/>
      <c r="L136" s="104"/>
      <c r="M136" s="104"/>
      <c r="N136" s="112" t="s">
        <v>499</v>
      </c>
      <c r="O136" s="45"/>
      <c r="P136" s="113" t="s">
        <v>479</v>
      </c>
    </row>
    <row r="137" ht="22.5" customHeight="1">
      <c r="A137" s="114"/>
      <c r="B137" s="87"/>
      <c r="C137" s="87"/>
      <c r="D137" s="87"/>
      <c r="E137" s="87"/>
      <c r="F137" s="87"/>
      <c r="G137" s="41"/>
      <c r="H137" s="41"/>
      <c r="I137" s="41"/>
      <c r="J137" s="41"/>
      <c r="K137" s="88" t="b">
        <v>0</v>
      </c>
      <c r="L137" s="88" t="b">
        <v>0</v>
      </c>
      <c r="M137" s="88" t="b">
        <v>0</v>
      </c>
      <c r="N137" s="41"/>
      <c r="O137" s="41"/>
      <c r="P137" s="56"/>
    </row>
    <row r="138" ht="22.5" customHeight="1">
      <c r="A138" s="115"/>
      <c r="B138" s="82"/>
      <c r="C138" s="82"/>
      <c r="D138" s="82"/>
      <c r="E138" s="82"/>
      <c r="F138" s="82"/>
      <c r="G138" s="45"/>
      <c r="H138" s="45"/>
      <c r="I138" s="45"/>
      <c r="J138" s="45"/>
      <c r="K138" s="83" t="b">
        <v>0</v>
      </c>
      <c r="L138" s="83" t="b">
        <v>0</v>
      </c>
      <c r="M138" s="83" t="b">
        <v>0</v>
      </c>
      <c r="N138" s="45"/>
      <c r="O138" s="45"/>
      <c r="P138" s="55"/>
    </row>
    <row r="139" ht="22.5" customHeight="1">
      <c r="A139" s="114"/>
      <c r="B139" s="87"/>
      <c r="C139" s="87"/>
      <c r="D139" s="87"/>
      <c r="E139" s="87"/>
      <c r="F139" s="87"/>
      <c r="G139" s="41"/>
      <c r="H139" s="41"/>
      <c r="I139" s="41"/>
      <c r="J139" s="41"/>
      <c r="K139" s="88" t="b">
        <v>0</v>
      </c>
      <c r="L139" s="88" t="b">
        <v>0</v>
      </c>
      <c r="M139" s="88" t="b">
        <v>0</v>
      </c>
      <c r="N139" s="41"/>
      <c r="O139" s="41"/>
      <c r="P139" s="56"/>
    </row>
    <row r="140" ht="22.5" customHeight="1">
      <c r="A140" s="115"/>
      <c r="B140" s="82"/>
      <c r="C140" s="82"/>
      <c r="D140" s="82"/>
      <c r="E140" s="82"/>
      <c r="F140" s="82"/>
      <c r="G140" s="45"/>
      <c r="H140" s="45"/>
      <c r="I140" s="45"/>
      <c r="J140" s="45"/>
      <c r="K140" s="83" t="b">
        <v>0</v>
      </c>
      <c r="L140" s="83" t="b">
        <v>0</v>
      </c>
      <c r="M140" s="83" t="b">
        <v>0</v>
      </c>
      <c r="N140" s="45"/>
      <c r="O140" s="45"/>
      <c r="P140" s="55"/>
    </row>
    <row r="141" ht="22.5" customHeight="1">
      <c r="A141" s="114"/>
      <c r="B141" s="87"/>
      <c r="C141" s="87"/>
      <c r="D141" s="87"/>
      <c r="E141" s="87"/>
      <c r="F141" s="87"/>
      <c r="G141" s="41"/>
      <c r="H141" s="41"/>
      <c r="I141" s="41"/>
      <c r="J141" s="41"/>
      <c r="K141" s="88" t="b">
        <v>0</v>
      </c>
      <c r="L141" s="88" t="b">
        <v>0</v>
      </c>
      <c r="M141" s="88" t="b">
        <v>0</v>
      </c>
      <c r="N141" s="41"/>
      <c r="O141" s="41"/>
      <c r="P141" s="56"/>
    </row>
    <row r="142" ht="22.5" customHeight="1">
      <c r="A142" s="115"/>
      <c r="B142" s="82"/>
      <c r="C142" s="82"/>
      <c r="D142" s="82"/>
      <c r="E142" s="82"/>
      <c r="F142" s="82"/>
      <c r="G142" s="45"/>
      <c r="H142" s="45"/>
      <c r="I142" s="45"/>
      <c r="J142" s="45"/>
      <c r="K142" s="83" t="b">
        <v>0</v>
      </c>
      <c r="L142" s="83" t="b">
        <v>0</v>
      </c>
      <c r="M142" s="83" t="b">
        <v>0</v>
      </c>
      <c r="N142" s="45"/>
      <c r="O142" s="45"/>
      <c r="P142" s="55"/>
    </row>
    <row r="143" ht="22.5" customHeight="1">
      <c r="A143" s="114"/>
      <c r="B143" s="87"/>
      <c r="C143" s="87"/>
      <c r="D143" s="87"/>
      <c r="E143" s="87"/>
      <c r="F143" s="87"/>
      <c r="G143" s="41"/>
      <c r="H143" s="41"/>
      <c r="I143" s="41"/>
      <c r="J143" s="41"/>
      <c r="K143" s="88" t="b">
        <v>0</v>
      </c>
      <c r="L143" s="88" t="b">
        <v>0</v>
      </c>
      <c r="M143" s="88" t="b">
        <v>0</v>
      </c>
      <c r="N143" s="41"/>
      <c r="O143" s="41"/>
      <c r="P143" s="56"/>
    </row>
    <row r="144" ht="22.5" customHeight="1">
      <c r="A144" s="115"/>
      <c r="B144" s="82"/>
      <c r="C144" s="82"/>
      <c r="D144" s="82"/>
      <c r="E144" s="82"/>
      <c r="F144" s="82"/>
      <c r="G144" s="45"/>
      <c r="H144" s="45"/>
      <c r="I144" s="45"/>
      <c r="J144" s="45"/>
      <c r="K144" s="83" t="b">
        <v>0</v>
      </c>
      <c r="L144" s="83" t="b">
        <v>0</v>
      </c>
      <c r="M144" s="83" t="b">
        <v>0</v>
      </c>
      <c r="N144" s="45"/>
      <c r="O144" s="45"/>
      <c r="P144" s="55"/>
    </row>
    <row r="145" ht="22.5" customHeight="1">
      <c r="A145" s="114"/>
      <c r="B145" s="87"/>
      <c r="C145" s="87"/>
      <c r="D145" s="87"/>
      <c r="E145" s="87"/>
      <c r="F145" s="87"/>
      <c r="G145" s="41"/>
      <c r="H145" s="41"/>
      <c r="I145" s="41"/>
      <c r="J145" s="41"/>
      <c r="K145" s="88" t="b">
        <v>0</v>
      </c>
      <c r="L145" s="88" t="b">
        <v>0</v>
      </c>
      <c r="M145" s="88" t="b">
        <v>0</v>
      </c>
      <c r="N145" s="41"/>
      <c r="O145" s="41"/>
      <c r="P145" s="56"/>
    </row>
    <row r="146" ht="22.5" customHeight="1">
      <c r="A146" s="115"/>
      <c r="B146" s="82"/>
      <c r="C146" s="82"/>
      <c r="D146" s="82"/>
      <c r="E146" s="82"/>
      <c r="F146" s="82"/>
      <c r="G146" s="45"/>
      <c r="H146" s="45"/>
      <c r="I146" s="45"/>
      <c r="J146" s="45"/>
      <c r="K146" s="83" t="b">
        <v>0</v>
      </c>
      <c r="L146" s="83" t="b">
        <v>0</v>
      </c>
      <c r="M146" s="83" t="b">
        <v>0</v>
      </c>
      <c r="N146" s="45"/>
      <c r="O146" s="45"/>
      <c r="P146" s="55"/>
    </row>
    <row r="147" ht="22.5" customHeight="1">
      <c r="A147" s="114"/>
      <c r="B147" s="87"/>
      <c r="C147" s="87"/>
      <c r="D147" s="87"/>
      <c r="E147" s="87"/>
      <c r="F147" s="87"/>
      <c r="G147" s="41"/>
      <c r="H147" s="41"/>
      <c r="I147" s="41"/>
      <c r="J147" s="41"/>
      <c r="K147" s="88" t="b">
        <v>0</v>
      </c>
      <c r="L147" s="88" t="b">
        <v>0</v>
      </c>
      <c r="M147" s="88" t="b">
        <v>0</v>
      </c>
      <c r="N147" s="41"/>
      <c r="O147" s="41"/>
      <c r="P147" s="56"/>
    </row>
    <row r="148" ht="22.5" customHeight="1">
      <c r="A148" s="115"/>
      <c r="B148" s="82"/>
      <c r="C148" s="82"/>
      <c r="D148" s="82"/>
      <c r="E148" s="82"/>
      <c r="F148" s="82"/>
      <c r="G148" s="45"/>
      <c r="H148" s="45"/>
      <c r="I148" s="45"/>
      <c r="J148" s="45"/>
      <c r="K148" s="83" t="b">
        <v>0</v>
      </c>
      <c r="L148" s="83" t="b">
        <v>0</v>
      </c>
      <c r="M148" s="83" t="b">
        <v>0</v>
      </c>
      <c r="N148" s="45"/>
      <c r="O148" s="45"/>
      <c r="P148" s="55"/>
    </row>
    <row r="149" ht="22.5" customHeight="1">
      <c r="A149" s="114"/>
      <c r="B149" s="87"/>
      <c r="C149" s="87"/>
      <c r="D149" s="87"/>
      <c r="E149" s="87"/>
      <c r="F149" s="87"/>
      <c r="G149" s="41"/>
      <c r="H149" s="41"/>
      <c r="I149" s="41"/>
      <c r="J149" s="41"/>
      <c r="K149" s="88" t="b">
        <v>0</v>
      </c>
      <c r="L149" s="88" t="b">
        <v>0</v>
      </c>
      <c r="M149" s="88" t="b">
        <v>0</v>
      </c>
      <c r="N149" s="41"/>
      <c r="O149" s="41"/>
      <c r="P149" s="56"/>
    </row>
    <row r="150" ht="22.5" customHeight="1">
      <c r="A150" s="115"/>
      <c r="B150" s="82"/>
      <c r="C150" s="82"/>
      <c r="D150" s="82"/>
      <c r="E150" s="82"/>
      <c r="F150" s="82"/>
      <c r="G150" s="45"/>
      <c r="H150" s="45"/>
      <c r="I150" s="45"/>
      <c r="J150" s="45"/>
      <c r="K150" s="83" t="b">
        <v>0</v>
      </c>
      <c r="L150" s="83" t="b">
        <v>0</v>
      </c>
      <c r="M150" s="83" t="b">
        <v>0</v>
      </c>
      <c r="N150" s="45"/>
      <c r="O150" s="45"/>
      <c r="P150" s="55"/>
    </row>
    <row r="151" ht="22.5" customHeight="1">
      <c r="A151" s="114"/>
      <c r="B151" s="87"/>
      <c r="C151" s="87"/>
      <c r="D151" s="87"/>
      <c r="E151" s="87"/>
      <c r="F151" s="87"/>
      <c r="G151" s="41"/>
      <c r="H151" s="41"/>
      <c r="I151" s="41"/>
      <c r="J151" s="41"/>
      <c r="K151" s="88" t="b">
        <v>0</v>
      </c>
      <c r="L151" s="88" t="b">
        <v>0</v>
      </c>
      <c r="M151" s="88" t="b">
        <v>0</v>
      </c>
      <c r="N151" s="41"/>
      <c r="O151" s="41"/>
      <c r="P151" s="56"/>
    </row>
    <row r="152" ht="22.5" customHeight="1">
      <c r="A152" s="115"/>
      <c r="B152" s="82"/>
      <c r="C152" s="82"/>
      <c r="D152" s="82"/>
      <c r="E152" s="82"/>
      <c r="F152" s="82"/>
      <c r="G152" s="45"/>
      <c r="H152" s="45"/>
      <c r="I152" s="45"/>
      <c r="J152" s="45"/>
      <c r="K152" s="83" t="b">
        <v>0</v>
      </c>
      <c r="L152" s="83" t="b">
        <v>0</v>
      </c>
      <c r="M152" s="83" t="b">
        <v>0</v>
      </c>
      <c r="N152" s="45"/>
      <c r="O152" s="45"/>
      <c r="P152" s="55"/>
    </row>
    <row r="153" ht="22.5" customHeight="1">
      <c r="A153" s="114"/>
      <c r="B153" s="87"/>
      <c r="C153" s="87"/>
      <c r="D153" s="87"/>
      <c r="E153" s="87"/>
      <c r="F153" s="87"/>
      <c r="G153" s="41"/>
      <c r="H153" s="41"/>
      <c r="I153" s="41"/>
      <c r="J153" s="41"/>
      <c r="K153" s="88" t="b">
        <v>0</v>
      </c>
      <c r="L153" s="88" t="b">
        <v>0</v>
      </c>
      <c r="M153" s="88" t="b">
        <v>0</v>
      </c>
      <c r="N153" s="41"/>
      <c r="O153" s="41"/>
      <c r="P153" s="56"/>
    </row>
    <row r="154" ht="22.5" customHeight="1">
      <c r="A154" s="115"/>
      <c r="B154" s="82"/>
      <c r="C154" s="82"/>
      <c r="D154" s="82"/>
      <c r="E154" s="82"/>
      <c r="F154" s="82"/>
      <c r="G154" s="45"/>
      <c r="H154" s="45"/>
      <c r="I154" s="45"/>
      <c r="J154" s="45"/>
      <c r="K154" s="83" t="b">
        <v>0</v>
      </c>
      <c r="L154" s="83" t="b">
        <v>0</v>
      </c>
      <c r="M154" s="83" t="b">
        <v>0</v>
      </c>
      <c r="N154" s="45"/>
      <c r="O154" s="45"/>
      <c r="P154" s="55"/>
    </row>
    <row r="155" ht="22.5" customHeight="1">
      <c r="A155" s="114"/>
      <c r="B155" s="87"/>
      <c r="C155" s="87"/>
      <c r="D155" s="87"/>
      <c r="E155" s="87"/>
      <c r="F155" s="87"/>
      <c r="G155" s="41"/>
      <c r="H155" s="41"/>
      <c r="I155" s="41"/>
      <c r="J155" s="41"/>
      <c r="K155" s="88" t="b">
        <v>0</v>
      </c>
      <c r="L155" s="88" t="b">
        <v>0</v>
      </c>
      <c r="M155" s="88" t="b">
        <v>0</v>
      </c>
      <c r="N155" s="41"/>
      <c r="O155" s="41"/>
      <c r="P155" s="56"/>
    </row>
    <row r="156" ht="22.5" customHeight="1">
      <c r="A156" s="115"/>
      <c r="B156" s="82"/>
      <c r="C156" s="82"/>
      <c r="D156" s="82"/>
      <c r="E156" s="82"/>
      <c r="F156" s="82"/>
      <c r="G156" s="45"/>
      <c r="H156" s="45"/>
      <c r="I156" s="45"/>
      <c r="J156" s="45"/>
      <c r="K156" s="83" t="b">
        <v>0</v>
      </c>
      <c r="L156" s="83" t="b">
        <v>0</v>
      </c>
      <c r="M156" s="83" t="b">
        <v>0</v>
      </c>
      <c r="N156" s="45"/>
      <c r="O156" s="45"/>
      <c r="P156" s="55"/>
    </row>
    <row r="157" ht="22.5" customHeight="1">
      <c r="A157" s="114"/>
      <c r="B157" s="87"/>
      <c r="C157" s="87"/>
      <c r="D157" s="87"/>
      <c r="E157" s="87"/>
      <c r="F157" s="87"/>
      <c r="G157" s="41"/>
      <c r="H157" s="41"/>
      <c r="I157" s="41"/>
      <c r="J157" s="41"/>
      <c r="K157" s="88" t="b">
        <v>0</v>
      </c>
      <c r="L157" s="88" t="b">
        <v>0</v>
      </c>
      <c r="M157" s="88" t="b">
        <v>0</v>
      </c>
      <c r="N157" s="41"/>
      <c r="O157" s="41"/>
      <c r="P157" s="56"/>
    </row>
    <row r="158" ht="22.5" customHeight="1">
      <c r="A158" s="115"/>
      <c r="B158" s="82"/>
      <c r="C158" s="82"/>
      <c r="D158" s="82"/>
      <c r="E158" s="82"/>
      <c r="F158" s="82"/>
      <c r="G158" s="45"/>
      <c r="H158" s="45"/>
      <c r="I158" s="45"/>
      <c r="J158" s="45"/>
      <c r="K158" s="83" t="b">
        <v>0</v>
      </c>
      <c r="L158" s="83" t="b">
        <v>0</v>
      </c>
      <c r="M158" s="83" t="b">
        <v>0</v>
      </c>
      <c r="N158" s="45"/>
      <c r="O158" s="45"/>
      <c r="P158" s="55"/>
    </row>
    <row r="159" ht="22.5" customHeight="1">
      <c r="A159" s="114"/>
      <c r="B159" s="87"/>
      <c r="C159" s="87"/>
      <c r="D159" s="87"/>
      <c r="E159" s="87"/>
      <c r="F159" s="87"/>
      <c r="G159" s="41"/>
      <c r="H159" s="41"/>
      <c r="I159" s="41"/>
      <c r="J159" s="41"/>
      <c r="K159" s="88" t="b">
        <v>0</v>
      </c>
      <c r="L159" s="88" t="b">
        <v>0</v>
      </c>
      <c r="M159" s="88" t="b">
        <v>0</v>
      </c>
      <c r="N159" s="41"/>
      <c r="O159" s="41"/>
      <c r="P159" s="56"/>
    </row>
    <row r="160" ht="22.5" customHeight="1">
      <c r="A160" s="115"/>
      <c r="B160" s="82"/>
      <c r="C160" s="82"/>
      <c r="D160" s="82"/>
      <c r="E160" s="82"/>
      <c r="F160" s="82"/>
      <c r="G160" s="45"/>
      <c r="H160" s="45"/>
      <c r="I160" s="45"/>
      <c r="J160" s="45"/>
      <c r="K160" s="83" t="b">
        <v>0</v>
      </c>
      <c r="L160" s="83" t="b">
        <v>0</v>
      </c>
      <c r="M160" s="83" t="b">
        <v>0</v>
      </c>
      <c r="N160" s="45"/>
      <c r="O160" s="45"/>
      <c r="P160" s="55"/>
    </row>
    <row r="161" ht="22.5" customHeight="1">
      <c r="A161" s="114"/>
      <c r="B161" s="87"/>
      <c r="C161" s="87"/>
      <c r="D161" s="87"/>
      <c r="E161" s="87"/>
      <c r="F161" s="87"/>
      <c r="G161" s="41"/>
      <c r="H161" s="41"/>
      <c r="I161" s="41"/>
      <c r="J161" s="41"/>
      <c r="K161" s="88" t="b">
        <v>0</v>
      </c>
      <c r="L161" s="88" t="b">
        <v>0</v>
      </c>
      <c r="M161" s="88" t="b">
        <v>0</v>
      </c>
      <c r="N161" s="41"/>
      <c r="O161" s="41"/>
      <c r="P161" s="56"/>
    </row>
    <row r="162" ht="22.5" customHeight="1">
      <c r="A162" s="115"/>
      <c r="B162" s="82"/>
      <c r="C162" s="82"/>
      <c r="D162" s="82"/>
      <c r="E162" s="82"/>
      <c r="F162" s="82"/>
      <c r="G162" s="45"/>
      <c r="H162" s="45"/>
      <c r="I162" s="45"/>
      <c r="J162" s="45"/>
      <c r="K162" s="83" t="b">
        <v>0</v>
      </c>
      <c r="L162" s="83" t="b">
        <v>0</v>
      </c>
      <c r="M162" s="83" t="b">
        <v>0</v>
      </c>
      <c r="N162" s="45"/>
      <c r="O162" s="45"/>
      <c r="P162" s="55"/>
    </row>
    <row r="163" ht="22.5" customHeight="1">
      <c r="A163" s="114"/>
      <c r="B163" s="87"/>
      <c r="C163" s="87"/>
      <c r="D163" s="87"/>
      <c r="E163" s="87"/>
      <c r="F163" s="87"/>
      <c r="G163" s="41"/>
      <c r="H163" s="41"/>
      <c r="I163" s="41"/>
      <c r="J163" s="41"/>
      <c r="K163" s="88" t="b">
        <v>0</v>
      </c>
      <c r="L163" s="88" t="b">
        <v>0</v>
      </c>
      <c r="M163" s="88" t="b">
        <v>0</v>
      </c>
      <c r="N163" s="41"/>
      <c r="O163" s="41"/>
      <c r="P163" s="56"/>
    </row>
    <row r="164" ht="22.5" customHeight="1">
      <c r="A164" s="115"/>
      <c r="B164" s="82"/>
      <c r="C164" s="82"/>
      <c r="D164" s="82"/>
      <c r="E164" s="82"/>
      <c r="F164" s="82"/>
      <c r="G164" s="45"/>
      <c r="H164" s="45"/>
      <c r="I164" s="45"/>
      <c r="J164" s="45"/>
      <c r="K164" s="83" t="b">
        <v>0</v>
      </c>
      <c r="L164" s="83" t="b">
        <v>0</v>
      </c>
      <c r="M164" s="83" t="b">
        <v>0</v>
      </c>
      <c r="N164" s="45"/>
      <c r="O164" s="45"/>
      <c r="P164" s="55"/>
    </row>
    <row r="165" ht="22.5" customHeight="1">
      <c r="A165" s="114"/>
      <c r="B165" s="87"/>
      <c r="C165" s="87"/>
      <c r="D165" s="87"/>
      <c r="E165" s="87"/>
      <c r="F165" s="87"/>
      <c r="G165" s="41"/>
      <c r="H165" s="41"/>
      <c r="I165" s="41"/>
      <c r="J165" s="41"/>
      <c r="K165" s="88" t="b">
        <v>0</v>
      </c>
      <c r="L165" s="88" t="b">
        <v>0</v>
      </c>
      <c r="M165" s="88" t="b">
        <v>0</v>
      </c>
      <c r="N165" s="41"/>
      <c r="O165" s="41"/>
      <c r="P165" s="56"/>
    </row>
    <row r="166" ht="22.5" customHeight="1">
      <c r="A166" s="116"/>
      <c r="B166" s="117"/>
      <c r="C166" s="117"/>
      <c r="D166" s="117"/>
      <c r="E166" s="117"/>
      <c r="F166" s="117"/>
      <c r="G166" s="118"/>
      <c r="H166" s="118"/>
      <c r="I166" s="118"/>
      <c r="J166" s="118"/>
      <c r="K166" s="119" t="b">
        <v>0</v>
      </c>
      <c r="L166" s="119" t="b">
        <v>0</v>
      </c>
      <c r="M166" s="119" t="b">
        <v>0</v>
      </c>
      <c r="N166" s="118"/>
      <c r="O166" s="118"/>
      <c r="P166" s="120"/>
    </row>
  </sheetData>
  <dataValidations>
    <dataValidation type="custom" allowBlank="1" showDropDown="1" sqref="A2:A166">
      <formula1>AND(ISNUMBER(A2),(NOT(OR(NOT(ISERROR(DATEVALUE(A2))), AND(ISNUMBER(A2), LEFT(CELL("format", A2))="D")))))</formula1>
    </dataValidation>
    <dataValidation allowBlank="1" showDropDown="1" sqref="B2:F166"/>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O96"/>
    <hyperlink r:id="rId97" ref="E97"/>
    <hyperlink r:id="rId98" ref="E98"/>
    <hyperlink r:id="rId99" ref="E99"/>
    <hyperlink r:id="rId100" ref="E101"/>
    <hyperlink r:id="rId101" ref="E102"/>
    <hyperlink r:id="rId102" ref="E103"/>
    <hyperlink r:id="rId103" ref="I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I131"/>
    <hyperlink r:id="rId133" ref="E132"/>
    <hyperlink r:id="rId134" ref="I132"/>
    <hyperlink r:id="rId135" ref="E133"/>
    <hyperlink r:id="rId136" ref="E134"/>
  </hyperlinks>
  <drawing r:id="rId137"/>
  <tableParts count="1">
    <tablePart r:id="rId13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21" t="s">
        <v>500</v>
      </c>
      <c r="B1" s="122" t="s">
        <v>501</v>
      </c>
      <c r="C1" s="122" t="s">
        <v>502</v>
      </c>
      <c r="D1" s="123" t="s">
        <v>503</v>
      </c>
      <c r="E1" s="123" t="s">
        <v>504</v>
      </c>
    </row>
    <row r="2" ht="22.5" customHeight="1">
      <c r="A2" s="124" t="s">
        <v>505</v>
      </c>
      <c r="B2" s="125" t="s">
        <v>506</v>
      </c>
      <c r="C2" s="45"/>
      <c r="D2" s="45"/>
      <c r="E2" s="55"/>
    </row>
    <row r="3" ht="22.5" customHeight="1">
      <c r="A3" s="126" t="s">
        <v>507</v>
      </c>
      <c r="B3" s="127" t="s">
        <v>508</v>
      </c>
      <c r="C3" s="41"/>
      <c r="D3" s="41"/>
      <c r="E3" s="56"/>
    </row>
    <row r="4" ht="22.5" customHeight="1">
      <c r="A4" s="124" t="s">
        <v>509</v>
      </c>
      <c r="B4" s="125" t="s">
        <v>510</v>
      </c>
      <c r="C4" s="125" t="s">
        <v>511</v>
      </c>
      <c r="D4" s="45"/>
      <c r="E4" s="55"/>
    </row>
    <row r="5" ht="22.5" customHeight="1">
      <c r="A5" s="126" t="s">
        <v>512</v>
      </c>
      <c r="B5" s="127" t="s">
        <v>513</v>
      </c>
      <c r="C5" s="41"/>
      <c r="D5" s="41"/>
      <c r="E5" s="56"/>
    </row>
    <row r="6" ht="22.5" customHeight="1">
      <c r="A6" s="128"/>
      <c r="B6" s="45"/>
      <c r="C6" s="45"/>
      <c r="D6" s="45"/>
      <c r="E6" s="55"/>
    </row>
    <row r="7" ht="22.5" customHeight="1">
      <c r="A7" s="126" t="s">
        <v>514</v>
      </c>
      <c r="B7" s="127" t="s">
        <v>515</v>
      </c>
      <c r="C7" s="41"/>
      <c r="D7" s="41"/>
      <c r="E7" s="56"/>
    </row>
    <row r="8" ht="22.5" customHeight="1">
      <c r="A8" s="124" t="s">
        <v>516</v>
      </c>
      <c r="B8" s="125" t="s">
        <v>517</v>
      </c>
      <c r="C8" s="45"/>
      <c r="D8" s="45"/>
      <c r="E8" s="55"/>
    </row>
    <row r="9" ht="22.5" customHeight="1">
      <c r="A9" s="126" t="s">
        <v>518</v>
      </c>
      <c r="B9" s="127" t="s">
        <v>519</v>
      </c>
      <c r="C9" s="41"/>
      <c r="D9" s="41"/>
      <c r="E9" s="56"/>
    </row>
    <row r="10" ht="22.5" customHeight="1">
      <c r="A10" s="124" t="s">
        <v>520</v>
      </c>
      <c r="B10" s="125" t="s">
        <v>521</v>
      </c>
      <c r="C10" s="45"/>
      <c r="D10" s="45"/>
      <c r="E10" s="55"/>
    </row>
    <row r="11" ht="22.5" customHeight="1">
      <c r="A11" s="126" t="s">
        <v>522</v>
      </c>
      <c r="B11" s="41"/>
      <c r="C11" s="41"/>
      <c r="D11" s="41"/>
      <c r="E11" s="56"/>
    </row>
    <row r="12" ht="22.5" customHeight="1">
      <c r="A12" s="124" t="s">
        <v>523</v>
      </c>
      <c r="B12" s="45"/>
      <c r="C12" s="45"/>
      <c r="D12" s="45"/>
      <c r="E12" s="55"/>
    </row>
    <row r="13" ht="22.5" customHeight="1">
      <c r="A13" s="126" t="s">
        <v>524</v>
      </c>
      <c r="B13" s="127" t="s">
        <v>525</v>
      </c>
      <c r="C13" s="41"/>
      <c r="D13" s="41"/>
      <c r="E13" s="56"/>
    </row>
    <row r="14" ht="22.5" customHeight="1">
      <c r="A14" s="124" t="s">
        <v>526</v>
      </c>
      <c r="B14" s="45"/>
      <c r="C14" s="45"/>
      <c r="D14" s="45"/>
      <c r="E14" s="55"/>
    </row>
    <row r="15" ht="22.5" customHeight="1">
      <c r="A15" s="126" t="s">
        <v>527</v>
      </c>
      <c r="B15" s="127" t="s">
        <v>528</v>
      </c>
      <c r="C15" s="41"/>
      <c r="D15" s="41"/>
      <c r="E15" s="56"/>
    </row>
    <row r="16" ht="22.5" customHeight="1">
      <c r="A16" s="128"/>
      <c r="B16" s="45"/>
      <c r="C16" s="45"/>
      <c r="D16" s="45"/>
      <c r="E16" s="55"/>
    </row>
    <row r="17" ht="22.5" customHeight="1">
      <c r="A17" s="126" t="s">
        <v>529</v>
      </c>
      <c r="B17" s="127" t="s">
        <v>530</v>
      </c>
      <c r="C17" s="41"/>
      <c r="D17" s="41"/>
      <c r="E17" s="56"/>
    </row>
    <row r="18" ht="22.5" customHeight="1">
      <c r="A18" s="124" t="s">
        <v>531</v>
      </c>
      <c r="B18" s="125" t="s">
        <v>532</v>
      </c>
      <c r="C18" s="45"/>
      <c r="D18" s="45"/>
      <c r="E18" s="55"/>
    </row>
    <row r="19" ht="22.5" customHeight="1">
      <c r="A19" s="126" t="s">
        <v>533</v>
      </c>
      <c r="B19" s="127" t="s">
        <v>534</v>
      </c>
      <c r="C19" s="41"/>
      <c r="D19" s="41"/>
      <c r="E19" s="56"/>
    </row>
    <row r="20" ht="22.5" customHeight="1">
      <c r="A20" s="124" t="s">
        <v>535</v>
      </c>
      <c r="B20" s="125" t="s">
        <v>536</v>
      </c>
      <c r="C20" s="45"/>
      <c r="D20" s="45"/>
      <c r="E20" s="55"/>
    </row>
    <row r="21" ht="22.5" customHeight="1">
      <c r="A21" s="129"/>
      <c r="B21" s="41"/>
      <c r="C21" s="41"/>
      <c r="D21" s="41"/>
      <c r="E21" s="56"/>
    </row>
    <row r="22" ht="22.5" customHeight="1">
      <c r="A22" s="124" t="s">
        <v>537</v>
      </c>
      <c r="B22" s="125" t="s">
        <v>538</v>
      </c>
      <c r="C22" s="45"/>
      <c r="D22" s="45"/>
      <c r="E22" s="55"/>
    </row>
    <row r="23" ht="22.5" customHeight="1">
      <c r="A23" s="126" t="s">
        <v>539</v>
      </c>
      <c r="B23" s="127" t="s">
        <v>540</v>
      </c>
      <c r="C23" s="41"/>
      <c r="D23" s="41"/>
      <c r="E23" s="56"/>
    </row>
    <row r="24" ht="22.5" customHeight="1">
      <c r="A24" s="124" t="s">
        <v>541</v>
      </c>
      <c r="B24" s="125" t="s">
        <v>542</v>
      </c>
      <c r="C24" s="45"/>
      <c r="D24" s="45"/>
      <c r="E24" s="55"/>
    </row>
    <row r="25" ht="22.5" customHeight="1">
      <c r="A25" s="130" t="s">
        <v>543</v>
      </c>
      <c r="B25" s="131" t="s">
        <v>544</v>
      </c>
      <c r="C25" s="39"/>
      <c r="D25" s="41"/>
      <c r="E25" s="56"/>
    </row>
    <row r="26" ht="22.5" customHeight="1">
      <c r="A26" s="132" t="s">
        <v>545</v>
      </c>
      <c r="B26" s="133" t="s">
        <v>546</v>
      </c>
      <c r="C26" s="42"/>
      <c r="D26" s="45"/>
      <c r="E26" s="55"/>
    </row>
    <row r="27" ht="22.5" customHeight="1">
      <c r="A27" s="130" t="s">
        <v>547</v>
      </c>
      <c r="B27" s="98" t="s">
        <v>548</v>
      </c>
      <c r="C27" s="41"/>
      <c r="D27" s="41"/>
      <c r="E27" s="56"/>
    </row>
    <row r="28" ht="22.5" customHeight="1">
      <c r="A28" s="132" t="s">
        <v>549</v>
      </c>
      <c r="B28" s="133" t="s">
        <v>550</v>
      </c>
      <c r="C28" s="45"/>
      <c r="D28" s="45"/>
      <c r="E28" s="55"/>
    </row>
    <row r="29" ht="22.5" customHeight="1">
      <c r="A29" s="134" t="s">
        <v>551</v>
      </c>
      <c r="B29" s="135" t="s">
        <v>552</v>
      </c>
      <c r="C29" s="60"/>
      <c r="D29" s="60"/>
      <c r="E29" s="136">
        <v>45725.0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7</v>
      </c>
      <c r="B1" s="137" t="s">
        <v>553</v>
      </c>
      <c r="C1" s="4" t="s">
        <v>8</v>
      </c>
      <c r="D1" s="4" t="s">
        <v>554</v>
      </c>
    </row>
    <row r="2" ht="22.5" customHeight="1">
      <c r="A2" s="138" t="s">
        <v>100</v>
      </c>
      <c r="B2" s="80" t="s">
        <v>17</v>
      </c>
      <c r="C2" s="139">
        <f>IFERROR(__xludf.DUMMYFUNCTION("GOOGLEFINANCE(""Currency:""&amp;A2&amp;B2)"),95.7005)</f>
        <v>95.7005</v>
      </c>
      <c r="D2" s="140">
        <f>IFERROR(__xludf.DUMMYFUNCTION("GOOGLEFINANCE(""Currency:""&amp;B2&amp;A2)"),0.01044927)</f>
        <v>0.01044927</v>
      </c>
    </row>
    <row r="3" ht="22.5" customHeight="1">
      <c r="A3" s="141" t="s">
        <v>41</v>
      </c>
      <c r="B3" s="142" t="s">
        <v>17</v>
      </c>
      <c r="C3" s="143">
        <f>IFERROR(__xludf.DUMMYFUNCTION("GOOGLEFINANCE(""Currency:""&amp;A3&amp;B3)"),24.22137)</f>
        <v>24.22137</v>
      </c>
      <c r="D3" s="144">
        <f>IFERROR(__xludf.DUMMYFUNCTION("GOOGLEFINANCE(""Currency:""&amp;B3&amp;A3)"),0.0415)</f>
        <v>0.0415</v>
      </c>
    </row>
    <row r="4" ht="22.5" customHeight="1">
      <c r="A4" s="138" t="s">
        <v>22</v>
      </c>
      <c r="B4" s="80" t="s">
        <v>17</v>
      </c>
      <c r="C4" s="139">
        <f>IFERROR(__xludf.DUMMYFUNCTION("GOOGLEFINANCE(""Currency:""&amp;A4&amp;B4)"),0.34329281700000003)</f>
        <v>0.343292817</v>
      </c>
      <c r="D4" s="140">
        <f>IFERROR(__xludf.DUMMYFUNCTION("GOOGLEFINANCE(""Currency:""&amp;B4&amp;A4)"),2.913036806)</f>
        <v>2.913036806</v>
      </c>
    </row>
    <row r="5" ht="22.5" customHeight="1">
      <c r="A5" s="141" t="s">
        <v>15</v>
      </c>
      <c r="B5" s="142" t="s">
        <v>17</v>
      </c>
      <c r="C5" s="143">
        <f>IFERROR(__xludf.DUMMYFUNCTION("GOOGLEFINANCE(""Currency:""&amp;A5&amp;B5)"),25.46836013)</f>
        <v>25.46836013</v>
      </c>
      <c r="D5" s="144">
        <f>IFERROR(__xludf.DUMMYFUNCTION("GOOGLEFINANCE(""Currency:""&amp;B5&amp;A5)"),0.039264407700000004)</f>
        <v>0.0392644077</v>
      </c>
    </row>
    <row r="6" ht="22.5" customHeight="1">
      <c r="A6" s="138" t="s">
        <v>555</v>
      </c>
      <c r="B6" s="80" t="s">
        <v>17</v>
      </c>
      <c r="C6" s="139">
        <f>IFERROR(__xludf.DUMMYFUNCTION("GOOGLEFINANCE(""Currency:""&amp;A6&amp;B6)"),253.40361779999998)</f>
        <v>253.4036178</v>
      </c>
      <c r="D6" s="140">
        <f>IFERROR(__xludf.DUMMYFUNCTION("GOOGLEFINANCE(""Currency:""&amp;B6&amp;A6)"),0.0039462739)</f>
        <v>0.0039462739</v>
      </c>
    </row>
    <row r="7" ht="22.5" customHeight="1">
      <c r="A7" s="141" t="s">
        <v>19</v>
      </c>
      <c r="B7" s="142" t="s">
        <v>17</v>
      </c>
      <c r="C7" s="143">
        <f>IFERROR(__xludf.DUMMYFUNCTION("GOOGLEFINANCE(""Currency:""&amp;A7&amp;B7)"),128.6215)</f>
        <v>128.6215</v>
      </c>
      <c r="D7" s="144">
        <f>IFERROR(__xludf.DUMMYFUNCTION("GOOGLEFINANCE(""Currency:""&amp;B7&amp;A7)"),0.007774752)</f>
        <v>0.007774752</v>
      </c>
    </row>
    <row r="8" ht="22.5" customHeight="1">
      <c r="A8" s="138" t="s">
        <v>187</v>
      </c>
      <c r="B8" s="80" t="s">
        <v>17</v>
      </c>
      <c r="C8" s="139">
        <f>IFERROR(__xludf.DUMMYFUNCTION("GOOGLEFINANCE(""Currency:""&amp;A8&amp;B8)"),7.104216234000001)</f>
        <v>7.104216234</v>
      </c>
      <c r="D8" s="140">
        <f>IFERROR(__xludf.DUMMYFUNCTION("GOOGLEFINANCE(""Currency:""&amp;B8&amp;A8)"),0.14133606910000002)</f>
        <v>0.1413360691</v>
      </c>
    </row>
    <row r="9" ht="22.5" customHeight="1">
      <c r="A9" s="141" t="s">
        <v>16</v>
      </c>
      <c r="B9" s="142" t="s">
        <v>17</v>
      </c>
      <c r="C9" s="143">
        <f>IFERROR(__xludf.DUMMYFUNCTION("GOOGLEFINANCE(""Currency:""&amp;A9&amp;B9)"),26.063920000000003)</f>
        <v>26.06392</v>
      </c>
      <c r="D9" s="144">
        <f>IFERROR(__xludf.DUMMYFUNCTION("GOOGLEFINANCE(""Currency:""&amp;B9&amp;A9)"),0.0383672141)</f>
        <v>0.0383672141</v>
      </c>
    </row>
    <row r="10" ht="22.5" customHeight="1">
      <c r="A10" s="138" t="s">
        <v>108</v>
      </c>
      <c r="B10" s="80" t="s">
        <v>17</v>
      </c>
      <c r="C10" s="139">
        <f>IFERROR(__xludf.DUMMYFUNCTION("GOOGLEFINANCE(""Currency:""&amp;A10&amp;B10)"),74.89016000000001)</f>
        <v>74.89016</v>
      </c>
      <c r="D10" s="140">
        <f>IFERROR(__xludf.DUMMYFUNCTION("GOOGLEFINANCE(""Currency:""&amp;B10&amp;A10)"),0.013352900000000001)</f>
        <v>0.0133529</v>
      </c>
    </row>
    <row r="11" ht="22.5" customHeight="1">
      <c r="A11" s="141" t="s">
        <v>556</v>
      </c>
      <c r="B11" s="142" t="s">
        <v>17</v>
      </c>
      <c r="C11" s="143">
        <f>IFERROR(__xludf.DUMMYFUNCTION("GOOGLEFINANCE(""Currency:""&amp;A11&amp;B11)"),0.7777295672000001)</f>
        <v>0.7777295672</v>
      </c>
      <c r="D11" s="144">
        <f>IFERROR(__xludf.DUMMYFUNCTION("GOOGLEFINANCE(""Currency:""&amp;B11&amp;A11)"),1.285999415)</f>
        <v>1.285999415</v>
      </c>
    </row>
    <row r="12" ht="22.5" customHeight="1">
      <c r="A12" s="138" t="s">
        <v>17</v>
      </c>
      <c r="B12" s="80" t="s">
        <v>17</v>
      </c>
      <c r="C12" s="139">
        <v>1.0</v>
      </c>
      <c r="D12" s="140">
        <v>1.0</v>
      </c>
    </row>
    <row r="13" ht="22.5" customHeight="1">
      <c r="A13" s="145"/>
      <c r="B13" s="146"/>
      <c r="C13" s="147"/>
      <c r="D13" s="148"/>
    </row>
    <row r="14" ht="22.5" customHeight="1">
      <c r="A14" s="149"/>
      <c r="B14" s="82"/>
      <c r="C14" s="150"/>
      <c r="D14" s="151"/>
    </row>
    <row r="15" ht="22.5" customHeight="1">
      <c r="A15" s="145"/>
      <c r="B15" s="146"/>
      <c r="C15" s="147"/>
      <c r="D15" s="148"/>
    </row>
    <row r="16" ht="22.5" customHeight="1">
      <c r="A16" s="149"/>
      <c r="B16" s="82"/>
      <c r="C16" s="150"/>
      <c r="D16" s="151"/>
    </row>
    <row r="17" ht="22.5" customHeight="1">
      <c r="A17" s="152"/>
      <c r="B17" s="153"/>
      <c r="C17" s="154"/>
      <c r="D17" s="155"/>
    </row>
  </sheetData>
  <dataValidations>
    <dataValidation type="custom" allowBlank="1" showDropDown="1" sqref="C2:D17">
      <formula1>AND(ISNUMBER(C2),(NOT(OR(NOT(ISERROR(DATEVALUE(C2))), AND(ISNUMBER(C2), LEFT(CELL("format", C2))="D")))))</formula1>
    </dataValidation>
    <dataValidation allowBlank="1" showDropDown="1" sqref="A2:B17"/>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557</v>
      </c>
      <c r="B1" s="137" t="s">
        <v>558</v>
      </c>
    </row>
    <row r="2" ht="22.5" customHeight="1">
      <c r="A2" s="138" t="s">
        <v>559</v>
      </c>
      <c r="B2" s="156" t="s">
        <v>560</v>
      </c>
    </row>
    <row r="3" ht="22.5" customHeight="1">
      <c r="A3" s="141" t="s">
        <v>561</v>
      </c>
      <c r="B3" s="157" t="s">
        <v>562</v>
      </c>
    </row>
    <row r="4" ht="22.5" customHeight="1">
      <c r="A4" s="138" t="s">
        <v>563</v>
      </c>
      <c r="B4" s="156" t="s">
        <v>564</v>
      </c>
    </row>
    <row r="5" ht="22.5" customHeight="1">
      <c r="A5" s="141" t="s">
        <v>565</v>
      </c>
      <c r="B5" s="157" t="s">
        <v>566</v>
      </c>
    </row>
    <row r="6" ht="22.5" customHeight="1">
      <c r="A6" s="138" t="s">
        <v>567</v>
      </c>
      <c r="B6" s="156" t="s">
        <v>568</v>
      </c>
    </row>
    <row r="7" ht="22.5" customHeight="1">
      <c r="A7" s="141" t="s">
        <v>569</v>
      </c>
      <c r="B7" s="157" t="s">
        <v>570</v>
      </c>
    </row>
    <row r="8" ht="22.5" customHeight="1">
      <c r="A8" s="138" t="s">
        <v>571</v>
      </c>
      <c r="B8" s="156" t="s">
        <v>572</v>
      </c>
    </row>
    <row r="9" ht="22.5" customHeight="1">
      <c r="A9" s="141" t="s">
        <v>573</v>
      </c>
      <c r="B9" s="157" t="s">
        <v>574</v>
      </c>
    </row>
    <row r="10" ht="22.5" customHeight="1">
      <c r="A10" s="138" t="s">
        <v>575</v>
      </c>
      <c r="B10" s="156" t="s">
        <v>576</v>
      </c>
    </row>
    <row r="11" ht="22.5" customHeight="1">
      <c r="A11" s="141" t="s">
        <v>577</v>
      </c>
      <c r="B11" s="157" t="s">
        <v>578</v>
      </c>
    </row>
    <row r="12" ht="22.5" customHeight="1">
      <c r="A12" s="138" t="s">
        <v>579</v>
      </c>
      <c r="B12" s="156" t="s">
        <v>580</v>
      </c>
    </row>
    <row r="13" ht="22.5" customHeight="1">
      <c r="A13" s="141" t="s">
        <v>581</v>
      </c>
      <c r="B13" s="157" t="s">
        <v>582</v>
      </c>
    </row>
    <row r="14" ht="22.5" customHeight="1">
      <c r="A14" s="138" t="s">
        <v>583</v>
      </c>
      <c r="B14" s="156" t="s">
        <v>584</v>
      </c>
    </row>
    <row r="15" ht="22.5" customHeight="1">
      <c r="A15" s="141" t="s">
        <v>585</v>
      </c>
      <c r="B15" s="157" t="s">
        <v>586</v>
      </c>
    </row>
    <row r="16" ht="22.5" customHeight="1">
      <c r="A16" s="138" t="s">
        <v>587</v>
      </c>
      <c r="B16" s="156" t="s">
        <v>588</v>
      </c>
    </row>
    <row r="17" ht="22.5" customHeight="1">
      <c r="A17" s="141" t="s">
        <v>589</v>
      </c>
      <c r="B17" s="157" t="s">
        <v>590</v>
      </c>
    </row>
    <row r="18" ht="22.5" customHeight="1">
      <c r="A18" s="138" t="s">
        <v>591</v>
      </c>
      <c r="B18" s="156" t="s">
        <v>592</v>
      </c>
    </row>
    <row r="19" ht="22.5" customHeight="1">
      <c r="A19" s="141" t="s">
        <v>593</v>
      </c>
      <c r="B19" s="157" t="s">
        <v>594</v>
      </c>
    </row>
    <row r="20" ht="22.5" customHeight="1">
      <c r="A20" s="138" t="s">
        <v>595</v>
      </c>
      <c r="B20" s="156" t="s">
        <v>596</v>
      </c>
    </row>
    <row r="21" ht="22.5" customHeight="1">
      <c r="A21" s="141" t="s">
        <v>597</v>
      </c>
      <c r="B21" s="157" t="s">
        <v>598</v>
      </c>
    </row>
    <row r="22" ht="22.5" customHeight="1">
      <c r="A22" s="138" t="s">
        <v>599</v>
      </c>
      <c r="B22" s="156" t="s">
        <v>600</v>
      </c>
    </row>
    <row r="23" ht="22.5" customHeight="1">
      <c r="A23" s="141" t="s">
        <v>601</v>
      </c>
      <c r="B23" s="157" t="s">
        <v>602</v>
      </c>
    </row>
    <row r="24" ht="22.5" customHeight="1">
      <c r="A24" s="138" t="s">
        <v>603</v>
      </c>
      <c r="B24" s="156" t="s">
        <v>604</v>
      </c>
    </row>
    <row r="25" ht="22.5" customHeight="1">
      <c r="A25" s="141" t="s">
        <v>605</v>
      </c>
      <c r="B25" s="157" t="s">
        <v>606</v>
      </c>
    </row>
    <row r="26" ht="22.5" customHeight="1">
      <c r="A26" s="138" t="s">
        <v>607</v>
      </c>
      <c r="B26" s="156" t="s">
        <v>608</v>
      </c>
    </row>
    <row r="27" ht="22.5" customHeight="1">
      <c r="A27" s="141" t="s">
        <v>609</v>
      </c>
      <c r="B27" s="157" t="s">
        <v>610</v>
      </c>
    </row>
    <row r="28" ht="22.5" customHeight="1">
      <c r="A28" s="138" t="s">
        <v>611</v>
      </c>
      <c r="B28" s="156" t="s">
        <v>612</v>
      </c>
    </row>
    <row r="29" ht="22.5" customHeight="1">
      <c r="A29" s="141" t="s">
        <v>613</v>
      </c>
      <c r="B29" s="157" t="s">
        <v>614</v>
      </c>
    </row>
    <row r="30" ht="22.5" customHeight="1">
      <c r="A30" s="138" t="s">
        <v>615</v>
      </c>
      <c r="B30" s="156" t="s">
        <v>616</v>
      </c>
    </row>
    <row r="31" ht="22.5" customHeight="1">
      <c r="A31" s="141" t="s">
        <v>617</v>
      </c>
      <c r="B31" s="157" t="s">
        <v>618</v>
      </c>
    </row>
    <row r="32" ht="22.5" customHeight="1">
      <c r="A32" s="138" t="s">
        <v>619</v>
      </c>
      <c r="B32" s="156" t="s">
        <v>620</v>
      </c>
    </row>
    <row r="33" ht="22.5" customHeight="1">
      <c r="A33" s="141" t="s">
        <v>621</v>
      </c>
      <c r="B33" s="157" t="s">
        <v>622</v>
      </c>
    </row>
    <row r="34" ht="22.5" customHeight="1">
      <c r="A34" s="138" t="s">
        <v>623</v>
      </c>
      <c r="B34" s="156" t="s">
        <v>624</v>
      </c>
    </row>
    <row r="35" ht="22.5" customHeight="1">
      <c r="A35" s="141" t="s">
        <v>625</v>
      </c>
      <c r="B35" s="157" t="s">
        <v>626</v>
      </c>
    </row>
    <row r="36" ht="22.5" customHeight="1">
      <c r="A36" s="138" t="s">
        <v>627</v>
      </c>
      <c r="B36" s="156" t="s">
        <v>628</v>
      </c>
    </row>
    <row r="37" ht="22.5" customHeight="1">
      <c r="A37" s="141" t="s">
        <v>629</v>
      </c>
      <c r="B37" s="157" t="s">
        <v>630</v>
      </c>
    </row>
    <row r="38" ht="22.5" customHeight="1">
      <c r="A38" s="138" t="s">
        <v>631</v>
      </c>
      <c r="B38" s="156" t="s">
        <v>632</v>
      </c>
    </row>
    <row r="39" ht="22.5" customHeight="1">
      <c r="A39" s="141" t="s">
        <v>633</v>
      </c>
      <c r="B39" s="157" t="s">
        <v>634</v>
      </c>
    </row>
    <row r="40" ht="22.5" customHeight="1">
      <c r="A40" s="138" t="s">
        <v>635</v>
      </c>
      <c r="B40" s="156" t="s">
        <v>636</v>
      </c>
    </row>
    <row r="41" ht="22.5" customHeight="1">
      <c r="A41" s="141" t="s">
        <v>637</v>
      </c>
      <c r="B41" s="157" t="s">
        <v>638</v>
      </c>
    </row>
    <row r="42" ht="22.5" customHeight="1">
      <c r="A42" s="138" t="s">
        <v>639</v>
      </c>
      <c r="B42" s="156" t="s">
        <v>640</v>
      </c>
    </row>
    <row r="43" ht="22.5" customHeight="1">
      <c r="A43" s="141" t="s">
        <v>641</v>
      </c>
      <c r="B43" s="157" t="s">
        <v>642</v>
      </c>
    </row>
    <row r="44" ht="22.5" customHeight="1">
      <c r="A44" s="138" t="s">
        <v>643</v>
      </c>
      <c r="B44" s="156" t="s">
        <v>644</v>
      </c>
    </row>
    <row r="45" ht="22.5" customHeight="1">
      <c r="A45" s="141" t="s">
        <v>645</v>
      </c>
      <c r="B45" s="157" t="s">
        <v>646</v>
      </c>
    </row>
    <row r="46" ht="22.5" customHeight="1">
      <c r="A46" s="138" t="s">
        <v>647</v>
      </c>
      <c r="B46" s="156" t="s">
        <v>648</v>
      </c>
    </row>
    <row r="47" ht="22.5" customHeight="1">
      <c r="A47" s="141" t="s">
        <v>649</v>
      </c>
      <c r="B47" s="157" t="s">
        <v>650</v>
      </c>
    </row>
    <row r="48" ht="22.5" customHeight="1">
      <c r="A48" s="138" t="s">
        <v>651</v>
      </c>
      <c r="B48" s="158"/>
    </row>
    <row r="49" ht="22.5" customHeight="1">
      <c r="A49" s="141" t="s">
        <v>652</v>
      </c>
      <c r="B49" s="159"/>
    </row>
    <row r="50" ht="22.5" customHeight="1">
      <c r="A50" s="138" t="s">
        <v>653</v>
      </c>
      <c r="B50" s="158"/>
    </row>
    <row r="51" ht="22.5" customHeight="1">
      <c r="A51" s="141" t="s">
        <v>654</v>
      </c>
      <c r="B51" s="159"/>
    </row>
    <row r="52" ht="22.5" customHeight="1">
      <c r="A52" s="138" t="s">
        <v>655</v>
      </c>
      <c r="B52" s="158"/>
    </row>
    <row r="53" ht="22.5" customHeight="1">
      <c r="A53" s="141" t="s">
        <v>656</v>
      </c>
      <c r="B53" s="159"/>
    </row>
    <row r="54" ht="22.5" customHeight="1">
      <c r="A54" s="138" t="s">
        <v>657</v>
      </c>
      <c r="B54" s="158"/>
    </row>
    <row r="55" ht="22.5" customHeight="1">
      <c r="A55" s="141" t="s">
        <v>658</v>
      </c>
      <c r="B55" s="159"/>
    </row>
    <row r="56" ht="22.5" customHeight="1">
      <c r="A56" s="138" t="s">
        <v>659</v>
      </c>
      <c r="B56" s="158"/>
    </row>
    <row r="57" ht="22.5" customHeight="1">
      <c r="A57" s="141" t="s">
        <v>660</v>
      </c>
      <c r="B57" s="159"/>
    </row>
    <row r="58" ht="22.5" customHeight="1">
      <c r="A58" s="138" t="s">
        <v>661</v>
      </c>
      <c r="B58" s="158"/>
    </row>
    <row r="59" ht="22.5" customHeight="1">
      <c r="A59" s="141" t="s">
        <v>662</v>
      </c>
      <c r="B59" s="159"/>
    </row>
    <row r="60" ht="22.5" customHeight="1">
      <c r="A60" s="138" t="s">
        <v>663</v>
      </c>
      <c r="B60" s="158"/>
    </row>
    <row r="61" ht="22.5" customHeight="1">
      <c r="A61" s="141" t="s">
        <v>664</v>
      </c>
      <c r="B61" s="159"/>
    </row>
    <row r="62" ht="22.5" customHeight="1">
      <c r="A62" s="138" t="s">
        <v>665</v>
      </c>
      <c r="B62" s="158"/>
    </row>
    <row r="63" ht="22.5" customHeight="1">
      <c r="A63" s="141" t="s">
        <v>666</v>
      </c>
      <c r="B63" s="159"/>
    </row>
    <row r="64" ht="22.5" customHeight="1">
      <c r="A64" s="138" t="s">
        <v>667</v>
      </c>
      <c r="B64" s="158"/>
    </row>
    <row r="65" ht="22.5" customHeight="1">
      <c r="A65" s="141" t="s">
        <v>668</v>
      </c>
      <c r="B65" s="159"/>
    </row>
    <row r="66" ht="22.5" customHeight="1">
      <c r="A66" s="138" t="s">
        <v>669</v>
      </c>
      <c r="B66" s="158"/>
    </row>
    <row r="67" ht="22.5" customHeight="1">
      <c r="A67" s="141" t="s">
        <v>670</v>
      </c>
      <c r="B67" s="159"/>
    </row>
    <row r="68" ht="22.5" customHeight="1">
      <c r="A68" s="138" t="s">
        <v>671</v>
      </c>
      <c r="B68" s="158"/>
    </row>
    <row r="69" ht="22.5" customHeight="1">
      <c r="A69" s="141" t="s">
        <v>672</v>
      </c>
      <c r="B69" s="159"/>
    </row>
    <row r="70" ht="22.5" customHeight="1">
      <c r="A70" s="138" t="s">
        <v>673</v>
      </c>
      <c r="B70" s="158"/>
    </row>
    <row r="71" ht="22.5" customHeight="1">
      <c r="A71" s="141" t="s">
        <v>674</v>
      </c>
      <c r="B71" s="159"/>
    </row>
    <row r="72" ht="22.5" customHeight="1">
      <c r="A72" s="138" t="s">
        <v>675</v>
      </c>
      <c r="B72" s="158"/>
    </row>
    <row r="73" ht="22.5" customHeight="1">
      <c r="A73" s="141" t="s">
        <v>676</v>
      </c>
      <c r="B73" s="159"/>
    </row>
    <row r="74" ht="22.5" customHeight="1">
      <c r="A74" s="138" t="s">
        <v>677</v>
      </c>
      <c r="B74" s="158"/>
    </row>
    <row r="75" ht="22.5" customHeight="1">
      <c r="A75" s="141" t="s">
        <v>678</v>
      </c>
      <c r="B75" s="159"/>
    </row>
    <row r="76" ht="22.5" customHeight="1">
      <c r="A76" s="138" t="s">
        <v>679</v>
      </c>
      <c r="B76" s="158"/>
    </row>
    <row r="77" ht="22.5" customHeight="1">
      <c r="A77" s="141" t="s">
        <v>680</v>
      </c>
      <c r="B77" s="159"/>
    </row>
    <row r="78" ht="22.5" customHeight="1">
      <c r="A78" s="160" t="s">
        <v>681</v>
      </c>
      <c r="B78" s="161"/>
    </row>
  </sheetData>
  <dataValidations>
    <dataValidation allowBlank="1" showDropDown="1" sqref="A2:B78"/>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682</v>
      </c>
      <c r="B1" s="137" t="s">
        <v>683</v>
      </c>
    </row>
    <row r="2" ht="22.5" customHeight="1">
      <c r="A2" s="138" t="s">
        <v>136</v>
      </c>
      <c r="B2" s="158"/>
    </row>
    <row r="3" ht="22.5" customHeight="1">
      <c r="A3" s="141" t="s">
        <v>684</v>
      </c>
      <c r="B3" s="159"/>
    </row>
    <row r="4" ht="22.5" customHeight="1">
      <c r="A4" s="138" t="s">
        <v>685</v>
      </c>
      <c r="B4" s="158"/>
    </row>
    <row r="5" ht="22.5" customHeight="1">
      <c r="A5" s="141" t="s">
        <v>489</v>
      </c>
      <c r="B5" s="159"/>
    </row>
    <row r="6" ht="22.5" customHeight="1">
      <c r="A6" s="138" t="s">
        <v>686</v>
      </c>
      <c r="B6" s="158"/>
    </row>
    <row r="7" ht="22.5" customHeight="1">
      <c r="A7" s="141" t="s">
        <v>687</v>
      </c>
      <c r="B7" s="159"/>
    </row>
    <row r="8" ht="22.5" customHeight="1">
      <c r="A8" s="138" t="s">
        <v>688</v>
      </c>
      <c r="B8" s="158"/>
    </row>
    <row r="9" ht="22.5" customHeight="1">
      <c r="A9" s="141" t="s">
        <v>689</v>
      </c>
      <c r="B9" s="159"/>
    </row>
    <row r="10" ht="22.5" customHeight="1">
      <c r="A10" s="138" t="s">
        <v>690</v>
      </c>
      <c r="B10" s="158"/>
    </row>
    <row r="11" ht="22.5" customHeight="1">
      <c r="A11" s="141" t="s">
        <v>691</v>
      </c>
      <c r="B11" s="159"/>
    </row>
    <row r="12" ht="22.5" customHeight="1">
      <c r="A12" s="138" t="s">
        <v>178</v>
      </c>
      <c r="B12" s="158"/>
    </row>
    <row r="13" ht="22.5" customHeight="1">
      <c r="A13" s="141" t="s">
        <v>692</v>
      </c>
      <c r="B13" s="159"/>
    </row>
    <row r="14" ht="22.5" customHeight="1">
      <c r="A14" s="138" t="s">
        <v>693</v>
      </c>
      <c r="B14" s="158"/>
    </row>
    <row r="15" ht="22.5" customHeight="1">
      <c r="A15" s="141" t="s">
        <v>694</v>
      </c>
      <c r="B15" s="159"/>
    </row>
    <row r="16" ht="22.5" customHeight="1">
      <c r="A16" s="138" t="s">
        <v>695</v>
      </c>
      <c r="B16" s="158"/>
    </row>
    <row r="17" ht="22.5" customHeight="1">
      <c r="A17" s="152"/>
      <c r="B17" s="162"/>
    </row>
  </sheetData>
  <dataValidations>
    <dataValidation allowBlank="1" showDropDown="1" sqref="A2:B17"/>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682</v>
      </c>
      <c r="B1" s="163" t="s">
        <v>696</v>
      </c>
      <c r="C1" s="137" t="s">
        <v>697</v>
      </c>
    </row>
    <row r="2" ht="22.5" customHeight="1">
      <c r="A2" s="138" t="s">
        <v>698</v>
      </c>
      <c r="B2" s="164" t="s">
        <v>699</v>
      </c>
      <c r="C2" s="165" t="s">
        <v>700</v>
      </c>
    </row>
    <row r="3" ht="22.5" customHeight="1">
      <c r="A3" s="145"/>
      <c r="B3" s="146"/>
      <c r="C3" s="166"/>
    </row>
    <row r="4" ht="22.5" customHeight="1">
      <c r="A4" s="149"/>
      <c r="B4" s="82"/>
      <c r="C4" s="167"/>
    </row>
    <row r="5" ht="22.5" customHeight="1">
      <c r="A5" s="145"/>
      <c r="B5" s="146"/>
      <c r="C5" s="166"/>
    </row>
    <row r="6" ht="22.5" customHeight="1">
      <c r="A6" s="149"/>
      <c r="B6" s="82"/>
      <c r="C6" s="167"/>
    </row>
    <row r="7" ht="22.5" customHeight="1">
      <c r="A7" s="145"/>
      <c r="B7" s="146"/>
      <c r="C7" s="166"/>
    </row>
    <row r="8" ht="22.5" customHeight="1">
      <c r="A8" s="149"/>
      <c r="B8" s="82"/>
      <c r="C8" s="167"/>
    </row>
    <row r="9" ht="22.5" customHeight="1">
      <c r="A9" s="145"/>
      <c r="B9" s="146"/>
      <c r="C9" s="166"/>
    </row>
    <row r="10" ht="22.5" customHeight="1">
      <c r="A10" s="149"/>
      <c r="B10" s="82"/>
      <c r="C10" s="167"/>
    </row>
    <row r="11" ht="22.5" customHeight="1">
      <c r="A11" s="145"/>
      <c r="B11" s="146"/>
      <c r="C11" s="166"/>
    </row>
    <row r="12" ht="22.5" customHeight="1">
      <c r="A12" s="149"/>
      <c r="B12" s="82"/>
      <c r="C12" s="167"/>
    </row>
    <row r="13" ht="22.5" customHeight="1">
      <c r="A13" s="152"/>
      <c r="B13" s="153"/>
      <c r="C13" s="168"/>
    </row>
  </sheetData>
  <dataValidations>
    <dataValidation allowBlank="1" showDropDown="1" sqref="A2:B13"/>
  </dataValidations>
  <hyperlinks>
    <hyperlink r:id="rId1" ref="C2"/>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682</v>
      </c>
      <c r="B1" s="163" t="s">
        <v>696</v>
      </c>
      <c r="C1" s="137" t="s">
        <v>697</v>
      </c>
    </row>
    <row r="2" ht="22.5" customHeight="1">
      <c r="A2" s="8" t="s">
        <v>701</v>
      </c>
      <c r="B2" s="169" t="s">
        <v>702</v>
      </c>
      <c r="C2" s="167"/>
    </row>
    <row r="3" ht="22.5" customHeight="1">
      <c r="A3" s="170" t="s">
        <v>703</v>
      </c>
      <c r="B3" s="171" t="s">
        <v>704</v>
      </c>
      <c r="C3" s="166"/>
    </row>
    <row r="4" ht="22.5" customHeight="1">
      <c r="A4" s="8" t="s">
        <v>705</v>
      </c>
      <c r="B4" s="172" t="s">
        <v>706</v>
      </c>
      <c r="C4" s="167"/>
    </row>
    <row r="5" ht="22.5" customHeight="1">
      <c r="A5" s="170" t="s">
        <v>707</v>
      </c>
      <c r="B5" s="171" t="s">
        <v>708</v>
      </c>
      <c r="C5" s="166"/>
    </row>
    <row r="6" ht="22.5" customHeight="1">
      <c r="A6" s="8" t="s">
        <v>709</v>
      </c>
      <c r="B6" s="172" t="s">
        <v>710</v>
      </c>
      <c r="C6" s="167"/>
    </row>
    <row r="7" ht="22.5" customHeight="1">
      <c r="A7" s="142" t="s">
        <v>711</v>
      </c>
      <c r="B7" s="171" t="s">
        <v>712</v>
      </c>
      <c r="C7" s="166"/>
    </row>
    <row r="8" ht="22.5" customHeight="1">
      <c r="A8" s="80" t="s">
        <v>713</v>
      </c>
      <c r="B8" s="172" t="s">
        <v>714</v>
      </c>
      <c r="C8" s="167"/>
    </row>
    <row r="9" ht="22.5" customHeight="1">
      <c r="A9" s="142" t="s">
        <v>715</v>
      </c>
      <c r="B9" s="171" t="s">
        <v>716</v>
      </c>
      <c r="C9" s="166"/>
    </row>
    <row r="10" ht="22.5" customHeight="1">
      <c r="A10" s="80" t="s">
        <v>717</v>
      </c>
      <c r="B10" s="172" t="s">
        <v>718</v>
      </c>
      <c r="C10" s="167"/>
    </row>
    <row r="11" ht="22.5" customHeight="1">
      <c r="A11" s="142" t="s">
        <v>719</v>
      </c>
      <c r="B11" s="171" t="s">
        <v>720</v>
      </c>
      <c r="C11" s="166"/>
    </row>
    <row r="12" ht="22.5" customHeight="1">
      <c r="A12" s="80" t="s">
        <v>721</v>
      </c>
      <c r="B12" s="172" t="s">
        <v>722</v>
      </c>
      <c r="C12" s="167"/>
    </row>
    <row r="13" ht="22.5" customHeight="1">
      <c r="A13" s="142" t="s">
        <v>723</v>
      </c>
      <c r="B13" s="171" t="s">
        <v>724</v>
      </c>
      <c r="C13" s="166"/>
    </row>
    <row r="14" ht="22.5" customHeight="1">
      <c r="A14" s="80" t="s">
        <v>725</v>
      </c>
      <c r="B14" s="172" t="s">
        <v>726</v>
      </c>
      <c r="C14" s="167"/>
    </row>
    <row r="15" ht="22.5" customHeight="1">
      <c r="A15" s="173" t="s">
        <v>727</v>
      </c>
      <c r="B15" s="174" t="s">
        <v>728</v>
      </c>
      <c r="C15" s="166"/>
    </row>
    <row r="16" ht="22.5" customHeight="1">
      <c r="A16" s="175" t="s">
        <v>729</v>
      </c>
      <c r="B16" s="176" t="s">
        <v>730</v>
      </c>
      <c r="C16" s="167"/>
    </row>
    <row r="17" ht="22.5" customHeight="1">
      <c r="A17" s="142" t="s">
        <v>731</v>
      </c>
      <c r="B17" s="171" t="s">
        <v>732</v>
      </c>
      <c r="C17" s="166"/>
    </row>
    <row r="18" ht="22.5" customHeight="1">
      <c r="A18" s="80" t="s">
        <v>733</v>
      </c>
      <c r="B18" s="172" t="s">
        <v>734</v>
      </c>
      <c r="C18" s="167"/>
    </row>
    <row r="19" ht="22.5" customHeight="1">
      <c r="A19" s="173" t="s">
        <v>735</v>
      </c>
      <c r="B19" s="174" t="s">
        <v>736</v>
      </c>
      <c r="C19" s="166"/>
    </row>
    <row r="20" ht="22.5" customHeight="1">
      <c r="A20" s="175" t="s">
        <v>737</v>
      </c>
      <c r="B20" s="176" t="s">
        <v>738</v>
      </c>
      <c r="C20" s="167"/>
    </row>
    <row r="21" ht="22.5" customHeight="1">
      <c r="A21" s="142" t="s">
        <v>739</v>
      </c>
      <c r="B21" s="171" t="s">
        <v>740</v>
      </c>
      <c r="C21" s="166"/>
    </row>
    <row r="22" ht="22.5" customHeight="1">
      <c r="A22" s="80" t="s">
        <v>741</v>
      </c>
      <c r="B22" s="172" t="s">
        <v>742</v>
      </c>
      <c r="C22" s="167"/>
    </row>
    <row r="23" ht="22.5" customHeight="1">
      <c r="A23" s="142" t="s">
        <v>743</v>
      </c>
      <c r="B23" s="171" t="s">
        <v>744</v>
      </c>
      <c r="C23" s="166"/>
    </row>
    <row r="24" ht="22.5" customHeight="1">
      <c r="A24" s="80" t="s">
        <v>745</v>
      </c>
      <c r="B24" s="172" t="s">
        <v>746</v>
      </c>
      <c r="C24" s="167"/>
    </row>
    <row r="25" ht="22.5" customHeight="1">
      <c r="A25" s="142" t="s">
        <v>747</v>
      </c>
      <c r="B25" s="171" t="s">
        <v>748</v>
      </c>
      <c r="C25" s="166"/>
    </row>
    <row r="26" ht="22.5" customHeight="1">
      <c r="A26" s="80" t="s">
        <v>749</v>
      </c>
      <c r="B26" s="172" t="s">
        <v>750</v>
      </c>
      <c r="C26" s="167"/>
    </row>
    <row r="27" ht="22.5" customHeight="1">
      <c r="A27" s="142" t="s">
        <v>751</v>
      </c>
      <c r="B27" s="171" t="s">
        <v>752</v>
      </c>
      <c r="C27" s="166"/>
    </row>
    <row r="28" ht="22.5" customHeight="1">
      <c r="A28" s="175" t="s">
        <v>753</v>
      </c>
      <c r="B28" s="176" t="s">
        <v>754</v>
      </c>
      <c r="C28" s="167"/>
    </row>
    <row r="29" ht="22.5" customHeight="1">
      <c r="A29" s="173" t="s">
        <v>755</v>
      </c>
      <c r="B29" s="174" t="s">
        <v>756</v>
      </c>
      <c r="C29" s="166"/>
    </row>
    <row r="30" ht="22.5" customHeight="1">
      <c r="A30" s="175" t="s">
        <v>757</v>
      </c>
      <c r="B30" s="176" t="s">
        <v>758</v>
      </c>
      <c r="C30" s="167"/>
    </row>
    <row r="31" ht="22.5" customHeight="1">
      <c r="A31" s="173" t="s">
        <v>759</v>
      </c>
      <c r="B31" s="174" t="s">
        <v>760</v>
      </c>
      <c r="C31" s="166"/>
    </row>
    <row r="32" ht="22.5" customHeight="1">
      <c r="A32" s="80" t="s">
        <v>761</v>
      </c>
      <c r="B32" s="172" t="s">
        <v>762</v>
      </c>
      <c r="C32" s="167"/>
    </row>
    <row r="33" ht="22.5" customHeight="1">
      <c r="A33" s="142" t="s">
        <v>763</v>
      </c>
      <c r="B33" s="171" t="s">
        <v>764</v>
      </c>
      <c r="C33" s="166"/>
    </row>
    <row r="34" ht="22.5" customHeight="1">
      <c r="A34" s="80" t="s">
        <v>765</v>
      </c>
      <c r="B34" s="172" t="s">
        <v>766</v>
      </c>
      <c r="C34" s="167"/>
    </row>
    <row r="35" ht="22.5" customHeight="1">
      <c r="A35" s="142" t="s">
        <v>767</v>
      </c>
      <c r="B35" s="171" t="s">
        <v>768</v>
      </c>
      <c r="C35" s="166"/>
    </row>
    <row r="36" ht="22.5" customHeight="1">
      <c r="A36" s="80" t="s">
        <v>769</v>
      </c>
      <c r="B36" s="172" t="s">
        <v>770</v>
      </c>
      <c r="C36" s="167"/>
    </row>
    <row r="37" ht="22.5" customHeight="1">
      <c r="A37" s="142" t="s">
        <v>771</v>
      </c>
      <c r="B37" s="171" t="s">
        <v>772</v>
      </c>
      <c r="C37" s="166"/>
    </row>
    <row r="38" ht="22.5" customHeight="1">
      <c r="A38" s="80" t="s">
        <v>773</v>
      </c>
      <c r="B38" s="172" t="s">
        <v>774</v>
      </c>
      <c r="C38" s="167"/>
    </row>
    <row r="39" ht="22.5" customHeight="1">
      <c r="A39" s="142" t="s">
        <v>775</v>
      </c>
      <c r="B39" s="171" t="s">
        <v>776</v>
      </c>
      <c r="C39" s="166"/>
    </row>
    <row r="40" ht="22.5" customHeight="1">
      <c r="A40" s="80" t="s">
        <v>777</v>
      </c>
      <c r="B40" s="172" t="s">
        <v>778</v>
      </c>
      <c r="C40" s="167"/>
    </row>
    <row r="41" ht="22.5" customHeight="1">
      <c r="A41" s="142" t="s">
        <v>779</v>
      </c>
      <c r="B41" s="171" t="s">
        <v>780</v>
      </c>
      <c r="C41" s="166"/>
    </row>
    <row r="42" ht="22.5" customHeight="1">
      <c r="A42" s="80" t="s">
        <v>781</v>
      </c>
      <c r="B42" s="172" t="s">
        <v>782</v>
      </c>
      <c r="C42" s="167"/>
    </row>
    <row r="43" ht="22.5" customHeight="1">
      <c r="A43" s="142" t="s">
        <v>783</v>
      </c>
      <c r="B43" s="171" t="s">
        <v>784</v>
      </c>
      <c r="C43" s="166"/>
    </row>
    <row r="44" ht="22.5" customHeight="1">
      <c r="A44" s="80" t="s">
        <v>785</v>
      </c>
      <c r="B44" s="172" t="s">
        <v>786</v>
      </c>
      <c r="C44" s="167"/>
    </row>
    <row r="45" ht="22.5" customHeight="1">
      <c r="A45" s="142" t="s">
        <v>787</v>
      </c>
      <c r="B45" s="171" t="s">
        <v>788</v>
      </c>
      <c r="C45" s="166"/>
    </row>
    <row r="46" ht="22.5" customHeight="1">
      <c r="A46" s="80" t="s">
        <v>789</v>
      </c>
      <c r="B46" s="172" t="s">
        <v>790</v>
      </c>
      <c r="C46" s="167"/>
    </row>
    <row r="47" ht="22.5" customHeight="1">
      <c r="A47" s="142" t="s">
        <v>791</v>
      </c>
      <c r="B47" s="171" t="s">
        <v>792</v>
      </c>
      <c r="C47" s="166"/>
    </row>
    <row r="48" ht="22.5" customHeight="1">
      <c r="A48" s="80" t="s">
        <v>793</v>
      </c>
      <c r="B48" s="172" t="s">
        <v>794</v>
      </c>
      <c r="C48" s="167"/>
    </row>
    <row r="49" ht="22.5" customHeight="1">
      <c r="A49" s="142" t="s">
        <v>795</v>
      </c>
      <c r="B49" s="171" t="s">
        <v>796</v>
      </c>
      <c r="C49" s="166"/>
    </row>
    <row r="50" ht="22.5" customHeight="1">
      <c r="A50" s="80" t="s">
        <v>797</v>
      </c>
      <c r="B50" s="172" t="s">
        <v>798</v>
      </c>
      <c r="C50" s="167"/>
    </row>
    <row r="51" ht="22.5" customHeight="1">
      <c r="A51" s="142" t="s">
        <v>799</v>
      </c>
      <c r="B51" s="171" t="s">
        <v>800</v>
      </c>
      <c r="C51" s="166"/>
    </row>
    <row r="52" ht="22.5" customHeight="1">
      <c r="A52" s="80" t="s">
        <v>801</v>
      </c>
      <c r="B52" s="172" t="s">
        <v>802</v>
      </c>
      <c r="C52" s="167"/>
    </row>
    <row r="53" ht="22.5" customHeight="1">
      <c r="A53" s="142" t="s">
        <v>803</v>
      </c>
      <c r="B53" s="171" t="s">
        <v>804</v>
      </c>
      <c r="C53" s="166"/>
    </row>
    <row r="54" ht="22.5" customHeight="1">
      <c r="A54" s="80" t="s">
        <v>805</v>
      </c>
      <c r="B54" s="172" t="s">
        <v>806</v>
      </c>
      <c r="C54" s="167"/>
    </row>
    <row r="55" ht="22.5" customHeight="1">
      <c r="A55" s="142" t="s">
        <v>807</v>
      </c>
      <c r="B55" s="171" t="s">
        <v>808</v>
      </c>
      <c r="C55" s="166"/>
    </row>
    <row r="56" ht="22.5" customHeight="1">
      <c r="A56" s="80" t="s">
        <v>809</v>
      </c>
      <c r="B56" s="172" t="s">
        <v>810</v>
      </c>
      <c r="C56" s="167"/>
    </row>
    <row r="57" ht="22.5" customHeight="1">
      <c r="A57" s="142" t="s">
        <v>811</v>
      </c>
      <c r="B57" s="171" t="s">
        <v>812</v>
      </c>
      <c r="C57" s="166"/>
    </row>
    <row r="58" ht="22.5" customHeight="1">
      <c r="A58" s="80" t="s">
        <v>813</v>
      </c>
      <c r="B58" s="172" t="s">
        <v>814</v>
      </c>
      <c r="C58" s="167"/>
    </row>
    <row r="59" ht="22.5" customHeight="1">
      <c r="A59" s="177" t="s">
        <v>815</v>
      </c>
      <c r="B59" s="178" t="s">
        <v>816</v>
      </c>
      <c r="C59" s="168"/>
    </row>
  </sheetData>
  <dataValidations>
    <dataValidation allowBlank="1" showDropDown="1" sqref="A2:B59"/>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s>
  <drawing r:id="rId59"/>
  <tableParts count="1">
    <tablePart r:id="rId6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78" t="s">
        <v>682</v>
      </c>
      <c r="B1" s="78" t="s">
        <v>697</v>
      </c>
      <c r="C1" s="179" t="s">
        <v>696</v>
      </c>
      <c r="D1" s="78" t="s">
        <v>557</v>
      </c>
    </row>
    <row r="2" ht="22.5" customHeight="1">
      <c r="A2" s="180" t="s">
        <v>817</v>
      </c>
      <c r="B2" s="181" t="s">
        <v>818</v>
      </c>
      <c r="C2" s="42"/>
      <c r="D2" s="11">
        <v>1.0</v>
      </c>
    </row>
    <row r="3" ht="22.5" customHeight="1">
      <c r="A3" s="182" t="s">
        <v>819</v>
      </c>
      <c r="B3" s="183" t="s">
        <v>820</v>
      </c>
      <c r="C3" s="184"/>
      <c r="D3" s="185">
        <v>2.0</v>
      </c>
    </row>
    <row r="4" ht="22.5" customHeight="1">
      <c r="A4" s="180" t="s">
        <v>821</v>
      </c>
      <c r="B4" s="181" t="s">
        <v>822</v>
      </c>
      <c r="C4" s="42"/>
      <c r="D4" s="11">
        <v>3.0</v>
      </c>
    </row>
    <row r="5" ht="22.5" customHeight="1">
      <c r="A5" s="182" t="s">
        <v>823</v>
      </c>
      <c r="B5" s="183" t="s">
        <v>824</v>
      </c>
      <c r="C5" s="184"/>
      <c r="D5" s="185">
        <v>4.0</v>
      </c>
    </row>
    <row r="6" ht="22.5" customHeight="1">
      <c r="A6" s="180" t="s">
        <v>825</v>
      </c>
      <c r="B6" s="181" t="s">
        <v>826</v>
      </c>
      <c r="C6" s="42"/>
      <c r="D6" s="11">
        <v>5.0</v>
      </c>
    </row>
    <row r="7" ht="22.5" customHeight="1">
      <c r="A7" s="182" t="s">
        <v>827</v>
      </c>
      <c r="B7" s="183" t="s">
        <v>828</v>
      </c>
      <c r="C7" s="184"/>
      <c r="D7" s="185">
        <v>6.0</v>
      </c>
    </row>
    <row r="8" ht="22.5" customHeight="1">
      <c r="A8" s="180" t="s">
        <v>829</v>
      </c>
      <c r="B8" s="181" t="s">
        <v>830</v>
      </c>
      <c r="C8" s="42"/>
      <c r="D8" s="11">
        <v>7.0</v>
      </c>
    </row>
    <row r="9" ht="22.5" customHeight="1">
      <c r="A9" s="182" t="s">
        <v>831</v>
      </c>
      <c r="B9" s="183" t="s">
        <v>832</v>
      </c>
      <c r="C9" s="184"/>
      <c r="D9" s="185">
        <v>8.0</v>
      </c>
    </row>
    <row r="10" ht="22.5" customHeight="1">
      <c r="A10" s="180" t="s">
        <v>833</v>
      </c>
      <c r="B10" s="181" t="s">
        <v>834</v>
      </c>
      <c r="C10" s="42"/>
      <c r="D10" s="11">
        <v>9.0</v>
      </c>
    </row>
    <row r="11" ht="22.5" customHeight="1">
      <c r="A11" s="182" t="s">
        <v>835</v>
      </c>
      <c r="B11" s="183" t="s">
        <v>836</v>
      </c>
      <c r="C11" s="184"/>
      <c r="D11" s="185">
        <v>10.0</v>
      </c>
    </row>
    <row r="12" ht="22.5" customHeight="1">
      <c r="A12" s="180" t="s">
        <v>837</v>
      </c>
      <c r="B12" s="181" t="s">
        <v>838</v>
      </c>
      <c r="C12" s="42"/>
      <c r="D12" s="11">
        <v>11.0</v>
      </c>
    </row>
    <row r="13" ht="22.5" customHeight="1">
      <c r="A13" s="182" t="s">
        <v>839</v>
      </c>
      <c r="B13" s="183" t="s">
        <v>840</v>
      </c>
      <c r="C13" s="184"/>
      <c r="D13" s="185">
        <v>12.0</v>
      </c>
    </row>
    <row r="14" ht="22.5" customHeight="1">
      <c r="A14" s="180" t="s">
        <v>841</v>
      </c>
      <c r="B14" s="181" t="s">
        <v>842</v>
      </c>
      <c r="C14" s="42"/>
      <c r="D14" s="11">
        <v>13.0</v>
      </c>
    </row>
    <row r="15" ht="22.5" customHeight="1">
      <c r="A15" s="182" t="s">
        <v>843</v>
      </c>
      <c r="B15" s="183" t="s">
        <v>844</v>
      </c>
      <c r="C15" s="184"/>
      <c r="D15" s="185">
        <v>14.0</v>
      </c>
    </row>
    <row r="16" ht="22.5" customHeight="1">
      <c r="A16" s="180" t="s">
        <v>95</v>
      </c>
      <c r="B16" s="181" t="s">
        <v>845</v>
      </c>
      <c r="C16" s="42"/>
      <c r="D16" s="11">
        <v>15.0</v>
      </c>
    </row>
    <row r="17" ht="22.5" customHeight="1">
      <c r="A17" s="182" t="s">
        <v>846</v>
      </c>
      <c r="B17" s="183" t="s">
        <v>847</v>
      </c>
      <c r="C17" s="186"/>
      <c r="D17" s="185">
        <v>16.0</v>
      </c>
    </row>
    <row r="18" ht="22.5" customHeight="1">
      <c r="A18" s="180" t="s">
        <v>848</v>
      </c>
      <c r="B18" s="181" t="s">
        <v>849</v>
      </c>
      <c r="C18" s="45"/>
      <c r="D18" s="11">
        <v>17.0</v>
      </c>
    </row>
    <row r="19" ht="22.5" customHeight="1">
      <c r="A19" s="182" t="s">
        <v>850</v>
      </c>
      <c r="B19" s="183" t="s">
        <v>851</v>
      </c>
      <c r="C19" s="186"/>
      <c r="D19" s="185">
        <v>18.0</v>
      </c>
    </row>
    <row r="20" ht="22.5" customHeight="1">
      <c r="A20" s="180" t="s">
        <v>852</v>
      </c>
      <c r="B20" s="181" t="s">
        <v>853</v>
      </c>
      <c r="C20" s="45"/>
      <c r="D20" s="11">
        <v>19.0</v>
      </c>
    </row>
    <row r="21" ht="22.5" customHeight="1">
      <c r="A21" s="182" t="s">
        <v>854</v>
      </c>
      <c r="B21" s="183" t="s">
        <v>855</v>
      </c>
      <c r="C21" s="186"/>
      <c r="D21" s="185">
        <v>20.0</v>
      </c>
    </row>
    <row r="22" ht="22.5" customHeight="1">
      <c r="A22" s="180" t="s">
        <v>856</v>
      </c>
      <c r="B22" s="181" t="s">
        <v>857</v>
      </c>
      <c r="C22" s="45"/>
      <c r="D22" s="11">
        <v>21.0</v>
      </c>
    </row>
    <row r="23" ht="22.5" customHeight="1">
      <c r="A23" s="182" t="s">
        <v>858</v>
      </c>
      <c r="B23" s="183" t="s">
        <v>859</v>
      </c>
      <c r="C23" s="186"/>
      <c r="D23" s="185">
        <v>22.0</v>
      </c>
    </row>
    <row r="24" ht="22.5" customHeight="1">
      <c r="A24" s="180" t="s">
        <v>860</v>
      </c>
      <c r="B24" s="181" t="s">
        <v>861</v>
      </c>
      <c r="C24" s="45"/>
      <c r="D24" s="11">
        <v>23.0</v>
      </c>
    </row>
    <row r="25" ht="22.5" customHeight="1">
      <c r="A25" s="182" t="s">
        <v>862</v>
      </c>
      <c r="B25" s="183" t="s">
        <v>863</v>
      </c>
      <c r="C25" s="186"/>
      <c r="D25" s="185">
        <v>24.0</v>
      </c>
    </row>
    <row r="26" ht="22.5" customHeight="1">
      <c r="A26" s="180" t="s">
        <v>864</v>
      </c>
      <c r="B26" s="181" t="s">
        <v>865</v>
      </c>
      <c r="C26" s="45"/>
      <c r="D26" s="11">
        <v>25.0</v>
      </c>
    </row>
    <row r="27" ht="22.5" customHeight="1">
      <c r="A27" s="182" t="s">
        <v>866</v>
      </c>
      <c r="B27" s="183" t="s">
        <v>867</v>
      </c>
      <c r="C27" s="186"/>
      <c r="D27" s="185">
        <v>26.0</v>
      </c>
    </row>
    <row r="28" ht="22.5" customHeight="1">
      <c r="A28" s="180" t="s">
        <v>868</v>
      </c>
      <c r="B28" s="181" t="s">
        <v>869</v>
      </c>
      <c r="C28" s="45"/>
      <c r="D28" s="11">
        <v>27.0</v>
      </c>
    </row>
    <row r="29" ht="22.5" customHeight="1">
      <c r="A29" s="145"/>
      <c r="B29" s="146"/>
      <c r="C29" s="184"/>
      <c r="D29" s="187"/>
    </row>
    <row r="30" ht="22.5" customHeight="1">
      <c r="A30" s="149"/>
      <c r="B30" s="82"/>
      <c r="C30" s="42"/>
      <c r="D30" s="55"/>
    </row>
    <row r="31" ht="22.5" customHeight="1">
      <c r="A31" s="145"/>
      <c r="B31" s="146"/>
      <c r="C31" s="184"/>
      <c r="D31" s="187"/>
    </row>
    <row r="32" ht="22.5" customHeight="1">
      <c r="A32" s="149"/>
      <c r="B32" s="82"/>
      <c r="C32" s="42"/>
      <c r="D32" s="55"/>
    </row>
    <row r="33" ht="22.5" customHeight="1">
      <c r="A33" s="145"/>
      <c r="B33" s="146"/>
      <c r="C33" s="184"/>
      <c r="D33" s="187"/>
    </row>
    <row r="34" ht="22.5" customHeight="1">
      <c r="A34" s="149"/>
      <c r="B34" s="82"/>
      <c r="C34" s="42"/>
      <c r="D34" s="55"/>
    </row>
    <row r="35" ht="22.5" customHeight="1">
      <c r="A35" s="145"/>
      <c r="B35" s="146"/>
      <c r="C35" s="184"/>
      <c r="D35" s="187"/>
    </row>
    <row r="36" ht="22.5" customHeight="1">
      <c r="A36" s="149"/>
      <c r="B36" s="82"/>
      <c r="C36" s="42"/>
      <c r="D36" s="55"/>
    </row>
    <row r="37" ht="22.5" customHeight="1">
      <c r="A37" s="145"/>
      <c r="B37" s="146"/>
      <c r="C37" s="184"/>
      <c r="D37" s="187"/>
    </row>
    <row r="38" ht="22.5" customHeight="1">
      <c r="A38" s="188"/>
      <c r="B38" s="117"/>
      <c r="C38" s="189"/>
      <c r="D38" s="120"/>
    </row>
  </sheetData>
  <dataValidations>
    <dataValidation allowBlank="1" showDropDown="1" sqref="A2:B38"/>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s>
  <drawing r:id="rId28"/>
  <tableParts count="1">
    <tablePart r:id="rId3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181</v>
      </c>
      <c r="B1" s="4" t="s">
        <v>132</v>
      </c>
      <c r="C1" s="190" t="s">
        <v>131</v>
      </c>
      <c r="D1" s="4" t="s">
        <v>870</v>
      </c>
      <c r="E1" s="190" t="s">
        <v>7</v>
      </c>
      <c r="F1" s="190" t="s">
        <v>871</v>
      </c>
      <c r="G1" s="190" t="s">
        <v>872</v>
      </c>
      <c r="H1" s="4" t="s">
        <v>8</v>
      </c>
      <c r="I1" s="4" t="s">
        <v>873</v>
      </c>
      <c r="J1" s="4" t="s">
        <v>17</v>
      </c>
      <c r="K1" s="4" t="s">
        <v>874</v>
      </c>
      <c r="L1" s="4" t="s">
        <v>875</v>
      </c>
      <c r="M1" s="4" t="s">
        <v>876</v>
      </c>
      <c r="N1" s="4" t="s">
        <v>877</v>
      </c>
      <c r="O1" s="4" t="s">
        <v>878</v>
      </c>
      <c r="P1" s="4" t="s">
        <v>879</v>
      </c>
      <c r="Q1" s="4" t="s">
        <v>880</v>
      </c>
      <c r="R1" s="4" t="s">
        <v>881</v>
      </c>
      <c r="S1" s="4" t="s">
        <v>882</v>
      </c>
      <c r="T1" s="4" t="s">
        <v>557</v>
      </c>
      <c r="U1" s="191" t="s">
        <v>551</v>
      </c>
    </row>
    <row r="2" ht="22.5" hidden="1" customHeight="1">
      <c r="A2" s="192"/>
      <c r="B2" s="193"/>
      <c r="C2" s="194"/>
      <c r="D2" s="194"/>
      <c r="E2" s="194"/>
      <c r="F2" s="195"/>
      <c r="G2" s="196"/>
      <c r="H2" s="197"/>
      <c r="I2" s="197"/>
      <c r="J2" s="197"/>
      <c r="K2" s="197"/>
      <c r="L2" s="196"/>
      <c r="M2" s="196"/>
      <c r="N2" s="195"/>
      <c r="O2" s="195"/>
      <c r="P2" s="195"/>
      <c r="Q2" s="196"/>
      <c r="R2" s="196"/>
      <c r="S2" s="196"/>
      <c r="T2" s="195"/>
      <c r="U2" s="198"/>
    </row>
    <row r="3" ht="22.5" hidden="1" customHeight="1">
      <c r="A3" s="199"/>
      <c r="B3" s="146"/>
      <c r="C3" s="200"/>
      <c r="D3" s="200"/>
      <c r="E3" s="200"/>
      <c r="F3" s="147"/>
      <c r="G3" s="147"/>
      <c r="H3" s="201"/>
      <c r="I3" s="201"/>
      <c r="J3" s="201"/>
      <c r="K3" s="201"/>
      <c r="L3" s="202"/>
      <c r="M3" s="202"/>
      <c r="N3" s="147"/>
      <c r="O3" s="147"/>
      <c r="P3" s="147"/>
      <c r="Q3" s="203"/>
      <c r="R3" s="186"/>
      <c r="S3" s="186"/>
      <c r="T3" s="147"/>
      <c r="U3" s="204"/>
    </row>
    <row r="4" ht="22.5" hidden="1" customHeight="1">
      <c r="A4" s="205"/>
      <c r="B4" s="82"/>
      <c r="C4" s="206"/>
      <c r="D4" s="206"/>
      <c r="E4" s="206"/>
      <c r="F4" s="150"/>
      <c r="G4" s="150"/>
      <c r="H4" s="207"/>
      <c r="I4" s="207"/>
      <c r="J4" s="207"/>
      <c r="K4" s="207"/>
      <c r="L4" s="208"/>
      <c r="M4" s="208"/>
      <c r="N4" s="150"/>
      <c r="O4" s="150"/>
      <c r="P4" s="150"/>
      <c r="Q4" s="209"/>
      <c r="R4" s="45"/>
      <c r="S4" s="45"/>
      <c r="T4" s="150"/>
      <c r="U4" s="198"/>
    </row>
    <row r="5" ht="22.5" hidden="1" customHeight="1">
      <c r="A5" s="199"/>
      <c r="B5" s="146"/>
      <c r="C5" s="200"/>
      <c r="D5" s="200"/>
      <c r="E5" s="200"/>
      <c r="F5" s="147"/>
      <c r="G5" s="210"/>
      <c r="H5" s="201"/>
      <c r="I5" s="201"/>
      <c r="J5" s="201"/>
      <c r="K5" s="201"/>
      <c r="L5" s="202"/>
      <c r="M5" s="202"/>
      <c r="N5" s="147"/>
      <c r="O5" s="147"/>
      <c r="P5" s="147"/>
      <c r="Q5" s="203"/>
      <c r="R5" s="186"/>
      <c r="S5" s="186"/>
      <c r="T5" s="147"/>
      <c r="U5" s="204"/>
    </row>
    <row r="6" ht="22.5" hidden="1" customHeight="1">
      <c r="A6" s="192" t="s">
        <v>181</v>
      </c>
      <c r="B6" s="193" t="s">
        <v>132</v>
      </c>
      <c r="C6" s="193" t="s">
        <v>131</v>
      </c>
      <c r="D6" s="194" t="s">
        <v>870</v>
      </c>
      <c r="E6" s="193" t="s">
        <v>7</v>
      </c>
      <c r="F6" s="195" t="s">
        <v>871</v>
      </c>
      <c r="G6" s="195" t="s">
        <v>872</v>
      </c>
      <c r="H6" s="197" t="s">
        <v>8</v>
      </c>
      <c r="I6" s="197" t="s">
        <v>873</v>
      </c>
      <c r="J6" s="197" t="s">
        <v>17</v>
      </c>
      <c r="K6" s="197" t="s">
        <v>874</v>
      </c>
      <c r="L6" s="196" t="s">
        <v>875</v>
      </c>
      <c r="M6" s="196" t="s">
        <v>876</v>
      </c>
      <c r="N6" s="195" t="s">
        <v>877</v>
      </c>
      <c r="O6" s="195" t="s">
        <v>878</v>
      </c>
      <c r="P6" s="195" t="s">
        <v>879</v>
      </c>
      <c r="Q6" s="196" t="s">
        <v>880</v>
      </c>
      <c r="R6" s="196" t="s">
        <v>881</v>
      </c>
      <c r="S6" s="196" t="s">
        <v>882</v>
      </c>
      <c r="T6" s="195" t="s">
        <v>557</v>
      </c>
      <c r="U6" s="198"/>
    </row>
    <row r="7" ht="22.5" customHeight="1">
      <c r="A7" s="211" t="s">
        <v>883</v>
      </c>
      <c r="B7" s="212" t="s">
        <v>402</v>
      </c>
      <c r="C7" s="213" t="s">
        <v>136</v>
      </c>
      <c r="D7" s="214" t="s">
        <v>884</v>
      </c>
      <c r="E7" s="212" t="s">
        <v>15</v>
      </c>
      <c r="F7" s="215">
        <v>1.0</v>
      </c>
      <c r="G7" s="210"/>
      <c r="H7" s="216">
        <v>200.0</v>
      </c>
      <c r="I7" s="216">
        <v>200.0</v>
      </c>
      <c r="J7" s="216">
        <v>4930.58</v>
      </c>
      <c r="K7" s="216">
        <v>4930.58</v>
      </c>
      <c r="L7" s="217">
        <v>46113.0</v>
      </c>
      <c r="M7" s="217">
        <v>46143.0</v>
      </c>
      <c r="N7" s="215">
        <v>0.0</v>
      </c>
      <c r="O7" s="215">
        <v>-23.0</v>
      </c>
      <c r="P7" s="215">
        <v>53.0</v>
      </c>
      <c r="Q7" s="203"/>
      <c r="R7" s="218" t="s">
        <v>885</v>
      </c>
      <c r="S7" s="186"/>
      <c r="T7" s="215">
        <v>734.0</v>
      </c>
      <c r="U7" s="204"/>
    </row>
    <row r="8" ht="22.5" customHeight="1">
      <c r="A8" s="205"/>
      <c r="B8" s="193" t="s">
        <v>454</v>
      </c>
      <c r="C8" s="219" t="s">
        <v>684</v>
      </c>
      <c r="D8" s="194" t="s">
        <v>886</v>
      </c>
      <c r="E8" s="193" t="s">
        <v>17</v>
      </c>
      <c r="F8" s="220">
        <v>3.0</v>
      </c>
      <c r="G8" s="221"/>
      <c r="H8" s="222">
        <v>3000.0</v>
      </c>
      <c r="I8" s="222">
        <v>5000.0</v>
      </c>
      <c r="J8" s="207"/>
      <c r="K8" s="207"/>
      <c r="L8" s="223">
        <v>46113.0</v>
      </c>
      <c r="M8" s="223">
        <v>46143.0</v>
      </c>
      <c r="N8" s="150"/>
      <c r="O8" s="220">
        <v>-23.0</v>
      </c>
      <c r="P8" s="220">
        <v>53.0</v>
      </c>
      <c r="Q8" s="209"/>
      <c r="R8" s="196" t="s">
        <v>887</v>
      </c>
      <c r="S8" s="45"/>
      <c r="T8" s="220">
        <v>735.0</v>
      </c>
      <c r="U8" s="198"/>
    </row>
    <row r="9" ht="22.5" customHeight="1">
      <c r="A9" s="199"/>
      <c r="B9" s="212" t="s">
        <v>414</v>
      </c>
      <c r="C9" s="213" t="s">
        <v>136</v>
      </c>
      <c r="D9" s="214" t="s">
        <v>888</v>
      </c>
      <c r="E9" s="212" t="s">
        <v>17</v>
      </c>
      <c r="F9" s="215">
        <v>3.0</v>
      </c>
      <c r="G9" s="224">
        <v>0.38</v>
      </c>
      <c r="H9" s="216">
        <v>4000.0</v>
      </c>
      <c r="I9" s="216">
        <v>7500.0</v>
      </c>
      <c r="J9" s="216">
        <v>7500.0</v>
      </c>
      <c r="K9" s="216">
        <v>7500.0</v>
      </c>
      <c r="L9" s="217">
        <v>46113.0</v>
      </c>
      <c r="M9" s="217">
        <v>46143.0</v>
      </c>
      <c r="N9" s="215">
        <v>0.0</v>
      </c>
      <c r="O9" s="215">
        <v>-23.0</v>
      </c>
      <c r="P9" s="215">
        <v>53.0</v>
      </c>
      <c r="Q9" s="203"/>
      <c r="R9" s="218" t="s">
        <v>889</v>
      </c>
      <c r="S9" s="225" t="s">
        <v>890</v>
      </c>
      <c r="T9" s="215">
        <v>736.0</v>
      </c>
      <c r="U9" s="204"/>
    </row>
    <row r="10" ht="22.5" customHeight="1">
      <c r="A10" s="205"/>
      <c r="B10" s="193" t="s">
        <v>154</v>
      </c>
      <c r="C10" s="226" t="s">
        <v>136</v>
      </c>
      <c r="D10" s="194" t="s">
        <v>891</v>
      </c>
      <c r="E10" s="193" t="s">
        <v>19</v>
      </c>
      <c r="F10" s="195" t="s">
        <v>892</v>
      </c>
      <c r="G10" s="221"/>
      <c r="H10" s="222">
        <v>10.0</v>
      </c>
      <c r="I10" s="222">
        <v>40.0</v>
      </c>
      <c r="J10" s="222">
        <v>4935.82</v>
      </c>
      <c r="K10" s="222">
        <v>4935.82</v>
      </c>
      <c r="L10" s="223">
        <v>46113.0</v>
      </c>
      <c r="M10" s="223">
        <v>46143.0</v>
      </c>
      <c r="N10" s="220">
        <v>0.0</v>
      </c>
      <c r="O10" s="220">
        <v>-23.0</v>
      </c>
      <c r="P10" s="220">
        <v>53.0</v>
      </c>
      <c r="Q10" s="209"/>
      <c r="R10" s="196" t="s">
        <v>893</v>
      </c>
      <c r="S10" s="227" t="s">
        <v>894</v>
      </c>
      <c r="T10" s="220">
        <v>737.0</v>
      </c>
      <c r="U10" s="198"/>
    </row>
    <row r="11" ht="22.5" customHeight="1">
      <c r="A11" s="199"/>
      <c r="B11" s="212" t="s">
        <v>495</v>
      </c>
      <c r="C11" s="214" t="s">
        <v>693</v>
      </c>
      <c r="D11" s="214" t="s">
        <v>895</v>
      </c>
      <c r="E11" s="212" t="s">
        <v>19</v>
      </c>
      <c r="F11" s="228" t="s">
        <v>892</v>
      </c>
      <c r="G11" s="210"/>
      <c r="H11" s="216">
        <v>15.0</v>
      </c>
      <c r="I11" s="216">
        <v>60.0</v>
      </c>
      <c r="J11" s="201"/>
      <c r="K11" s="201"/>
      <c r="L11" s="217">
        <v>46113.0</v>
      </c>
      <c r="M11" s="217">
        <v>46143.0</v>
      </c>
      <c r="N11" s="147"/>
      <c r="O11" s="215">
        <v>-23.0</v>
      </c>
      <c r="P11" s="215">
        <v>53.0</v>
      </c>
      <c r="Q11" s="203"/>
      <c r="R11" s="218" t="s">
        <v>896</v>
      </c>
      <c r="S11" s="186"/>
      <c r="T11" s="215">
        <v>738.0</v>
      </c>
      <c r="U11" s="204"/>
    </row>
    <row r="12" ht="22.5" customHeight="1">
      <c r="A12" s="205"/>
      <c r="B12" s="193" t="s">
        <v>477</v>
      </c>
      <c r="C12" s="226" t="s">
        <v>136</v>
      </c>
      <c r="D12" s="194" t="s">
        <v>897</v>
      </c>
      <c r="E12" s="193" t="s">
        <v>100</v>
      </c>
      <c r="F12" s="220">
        <v>2.0</v>
      </c>
      <c r="G12" s="221"/>
      <c r="H12" s="222">
        <v>40.0</v>
      </c>
      <c r="I12" s="222">
        <v>80.0</v>
      </c>
      <c r="J12" s="207"/>
      <c r="K12" s="207"/>
      <c r="L12" s="223">
        <v>46113.0</v>
      </c>
      <c r="M12" s="223">
        <v>46143.0</v>
      </c>
      <c r="N12" s="150"/>
      <c r="O12" s="220">
        <v>-23.0</v>
      </c>
      <c r="P12" s="220">
        <v>53.0</v>
      </c>
      <c r="Q12" s="209"/>
      <c r="R12" s="196" t="s">
        <v>898</v>
      </c>
      <c r="S12" s="45"/>
      <c r="T12" s="220">
        <v>739.0</v>
      </c>
      <c r="U12" s="198"/>
    </row>
    <row r="13" ht="22.5" customHeight="1">
      <c r="A13" s="199"/>
      <c r="B13" s="212" t="s">
        <v>472</v>
      </c>
      <c r="C13" s="229" t="s">
        <v>685</v>
      </c>
      <c r="D13" s="214" t="s">
        <v>899</v>
      </c>
      <c r="E13" s="212" t="s">
        <v>17</v>
      </c>
      <c r="F13" s="215">
        <v>3.0</v>
      </c>
      <c r="G13" s="224">
        <v>0.25</v>
      </c>
      <c r="H13" s="216">
        <v>8000.0</v>
      </c>
      <c r="I13" s="216">
        <v>18000.0</v>
      </c>
      <c r="J13" s="201"/>
      <c r="K13" s="201"/>
      <c r="L13" s="217">
        <v>46113.0</v>
      </c>
      <c r="M13" s="217">
        <v>46143.0</v>
      </c>
      <c r="N13" s="147"/>
      <c r="O13" s="215">
        <v>-23.0</v>
      </c>
      <c r="P13" s="215">
        <v>53.0</v>
      </c>
      <c r="Q13" s="203"/>
      <c r="R13" s="218" t="s">
        <v>900</v>
      </c>
      <c r="S13" s="186"/>
      <c r="T13" s="215">
        <v>740.0</v>
      </c>
      <c r="U13" s="204"/>
    </row>
    <row r="14" ht="22.5" customHeight="1">
      <c r="A14" s="205"/>
      <c r="B14" s="193" t="s">
        <v>359</v>
      </c>
      <c r="C14" s="226" t="s">
        <v>136</v>
      </c>
      <c r="D14" s="194" t="s">
        <v>901</v>
      </c>
      <c r="E14" s="193" t="s">
        <v>15</v>
      </c>
      <c r="F14" s="220">
        <v>6.0</v>
      </c>
      <c r="G14" s="230">
        <v>0.5</v>
      </c>
      <c r="H14" s="222">
        <v>200.0</v>
      </c>
      <c r="I14" s="222">
        <v>600.0</v>
      </c>
      <c r="J14" s="222">
        <v>14664.51</v>
      </c>
      <c r="K14" s="222">
        <v>14664.51</v>
      </c>
      <c r="L14" s="223">
        <v>46113.0</v>
      </c>
      <c r="M14" s="223">
        <v>46143.0</v>
      </c>
      <c r="N14" s="220">
        <v>0.0</v>
      </c>
      <c r="O14" s="220">
        <v>-23.0</v>
      </c>
      <c r="P14" s="220">
        <v>53.0</v>
      </c>
      <c r="Q14" s="209"/>
      <c r="R14" s="196" t="s">
        <v>902</v>
      </c>
      <c r="S14" s="227" t="s">
        <v>903</v>
      </c>
      <c r="T14" s="220">
        <v>741.0</v>
      </c>
      <c r="U14" s="198"/>
    </row>
    <row r="15" ht="22.5" customHeight="1">
      <c r="A15" s="199"/>
      <c r="B15" s="212" t="s">
        <v>464</v>
      </c>
      <c r="C15" s="231" t="s">
        <v>684</v>
      </c>
      <c r="D15" s="214" t="s">
        <v>904</v>
      </c>
      <c r="E15" s="212" t="s">
        <v>15</v>
      </c>
      <c r="F15" s="215">
        <v>4.0</v>
      </c>
      <c r="G15" s="215">
        <v>0.166</v>
      </c>
      <c r="H15" s="216">
        <v>200.0</v>
      </c>
      <c r="I15" s="216">
        <v>667.2</v>
      </c>
      <c r="J15" s="201"/>
      <c r="K15" s="201"/>
      <c r="L15" s="217">
        <v>46113.0</v>
      </c>
      <c r="M15" s="217">
        <v>46143.0</v>
      </c>
      <c r="N15" s="147"/>
      <c r="O15" s="215">
        <v>-23.0</v>
      </c>
      <c r="P15" s="215">
        <v>53.0</v>
      </c>
      <c r="Q15" s="203"/>
      <c r="R15" s="218" t="s">
        <v>905</v>
      </c>
      <c r="S15" s="186"/>
      <c r="T15" s="215">
        <v>742.0</v>
      </c>
      <c r="U15" s="204"/>
    </row>
    <row r="16" ht="22.5" customHeight="1">
      <c r="A16" s="205"/>
      <c r="B16" s="193" t="s">
        <v>438</v>
      </c>
      <c r="C16" s="226" t="s">
        <v>136</v>
      </c>
      <c r="D16" s="194" t="s">
        <v>906</v>
      </c>
      <c r="E16" s="193" t="s">
        <v>17</v>
      </c>
      <c r="F16" s="220">
        <v>4.0</v>
      </c>
      <c r="G16" s="220">
        <v>0.43</v>
      </c>
      <c r="H16" s="222">
        <v>8000.0</v>
      </c>
      <c r="I16" s="222">
        <v>18240.0</v>
      </c>
      <c r="J16" s="222">
        <v>18240.0</v>
      </c>
      <c r="K16" s="222">
        <v>18240.0</v>
      </c>
      <c r="L16" s="223">
        <v>46113.0</v>
      </c>
      <c r="M16" s="223">
        <v>46143.0</v>
      </c>
      <c r="N16" s="220">
        <v>0.0</v>
      </c>
      <c r="O16" s="220">
        <v>-23.0</v>
      </c>
      <c r="P16" s="220">
        <v>53.0</v>
      </c>
      <c r="Q16" s="209"/>
      <c r="R16" s="196" t="s">
        <v>907</v>
      </c>
      <c r="S16" s="45"/>
      <c r="T16" s="220">
        <v>743.0</v>
      </c>
      <c r="U16" s="198"/>
    </row>
    <row r="17" ht="22.5" customHeight="1">
      <c r="A17" s="199"/>
      <c r="B17" s="212" t="s">
        <v>440</v>
      </c>
      <c r="C17" s="213" t="s">
        <v>136</v>
      </c>
      <c r="D17" s="214" t="s">
        <v>908</v>
      </c>
      <c r="E17" s="212" t="s">
        <v>19</v>
      </c>
      <c r="F17" s="228" t="s">
        <v>909</v>
      </c>
      <c r="G17" s="147"/>
      <c r="H17" s="216">
        <v>15.0</v>
      </c>
      <c r="I17" s="216">
        <v>270.0</v>
      </c>
      <c r="J17" s="216">
        <v>0.0</v>
      </c>
      <c r="K17" s="216">
        <v>0.0</v>
      </c>
      <c r="L17" s="217">
        <v>46113.0</v>
      </c>
      <c r="M17" s="217">
        <v>46143.0</v>
      </c>
      <c r="N17" s="215">
        <v>1.0</v>
      </c>
      <c r="O17" s="215">
        <v>-23.0</v>
      </c>
      <c r="P17" s="215">
        <v>53.0</v>
      </c>
      <c r="Q17" s="203"/>
      <c r="R17" s="218" t="s">
        <v>910</v>
      </c>
      <c r="S17" s="186"/>
      <c r="T17" s="215">
        <v>744.0</v>
      </c>
      <c r="U17" s="204"/>
    </row>
    <row r="18" ht="22.5" customHeight="1">
      <c r="A18" s="205"/>
      <c r="B18" s="193" t="s">
        <v>483</v>
      </c>
      <c r="C18" s="226" t="s">
        <v>136</v>
      </c>
      <c r="D18" s="194" t="s">
        <v>911</v>
      </c>
      <c r="E18" s="193" t="s">
        <v>15</v>
      </c>
      <c r="F18" s="220">
        <v>5.0</v>
      </c>
      <c r="G18" s="230">
        <v>0.5</v>
      </c>
      <c r="H18" s="222">
        <v>200.0</v>
      </c>
      <c r="I18" s="222">
        <v>500.0</v>
      </c>
      <c r="J18" s="222">
        <v>12326.45</v>
      </c>
      <c r="K18" s="222">
        <v>12326.45</v>
      </c>
      <c r="L18" s="223">
        <v>46113.0</v>
      </c>
      <c r="M18" s="223">
        <v>46143.0</v>
      </c>
      <c r="N18" s="220">
        <v>0.0</v>
      </c>
      <c r="O18" s="220">
        <v>-23.0</v>
      </c>
      <c r="P18" s="220">
        <v>53.0</v>
      </c>
      <c r="Q18" s="209"/>
      <c r="R18" s="196" t="s">
        <v>912</v>
      </c>
      <c r="S18" s="45"/>
      <c r="T18" s="220">
        <v>745.0</v>
      </c>
      <c r="U18" s="198"/>
    </row>
    <row r="19" ht="22.5" customHeight="1">
      <c r="A19" s="199"/>
      <c r="B19" s="212" t="s">
        <v>160</v>
      </c>
      <c r="C19" s="213" t="s">
        <v>136</v>
      </c>
      <c r="D19" s="214" t="s">
        <v>913</v>
      </c>
      <c r="E19" s="212" t="s">
        <v>17</v>
      </c>
      <c r="F19" s="215">
        <v>1.0</v>
      </c>
      <c r="G19" s="147"/>
      <c r="H19" s="216">
        <v>2000.0</v>
      </c>
      <c r="I19" s="216">
        <v>2000.0</v>
      </c>
      <c r="J19" s="216">
        <v>2000.0</v>
      </c>
      <c r="K19" s="216">
        <v>0.0</v>
      </c>
      <c r="L19" s="217">
        <v>46113.0</v>
      </c>
      <c r="M19" s="217">
        <v>46143.0</v>
      </c>
      <c r="N19" s="215">
        <v>1.0</v>
      </c>
      <c r="O19" s="215">
        <v>-23.0</v>
      </c>
      <c r="P19" s="215">
        <v>53.0</v>
      </c>
      <c r="Q19" s="232">
        <v>46052.0</v>
      </c>
      <c r="R19" s="218" t="s">
        <v>914</v>
      </c>
      <c r="S19" s="186"/>
      <c r="T19" s="215">
        <v>746.0</v>
      </c>
      <c r="U19" s="204"/>
    </row>
    <row r="20" ht="22.5" customHeight="1">
      <c r="A20" s="205"/>
      <c r="B20" s="193" t="s">
        <v>915</v>
      </c>
      <c r="C20" s="219" t="s">
        <v>684</v>
      </c>
      <c r="D20" s="194" t="s">
        <v>916</v>
      </c>
      <c r="E20" s="193" t="s">
        <v>17</v>
      </c>
      <c r="F20" s="220">
        <v>3.0</v>
      </c>
      <c r="G20" s="230">
        <v>0.25</v>
      </c>
      <c r="H20" s="197" t="s">
        <v>917</v>
      </c>
      <c r="I20" s="222">
        <v>9000.0</v>
      </c>
      <c r="J20" s="207"/>
      <c r="K20" s="207"/>
      <c r="L20" s="223">
        <v>46113.0</v>
      </c>
      <c r="M20" s="223">
        <v>46143.0</v>
      </c>
      <c r="N20" s="150"/>
      <c r="O20" s="220">
        <v>-23.0</v>
      </c>
      <c r="P20" s="220">
        <v>53.0</v>
      </c>
      <c r="Q20" s="209"/>
      <c r="R20" s="196" t="s">
        <v>918</v>
      </c>
      <c r="S20" s="45"/>
      <c r="T20" s="220">
        <v>747.0</v>
      </c>
      <c r="U20" s="198"/>
    </row>
    <row r="21" ht="22.5" customHeight="1">
      <c r="A21" s="199"/>
      <c r="B21" s="212" t="s">
        <v>153</v>
      </c>
      <c r="C21" s="213" t="s">
        <v>136</v>
      </c>
      <c r="D21" s="214" t="s">
        <v>919</v>
      </c>
      <c r="E21" s="212" t="s">
        <v>108</v>
      </c>
      <c r="F21" s="228" t="s">
        <v>920</v>
      </c>
      <c r="G21" s="210"/>
      <c r="H21" s="216">
        <v>30.0</v>
      </c>
      <c r="I21" s="216">
        <v>2507.4</v>
      </c>
      <c r="J21" s="216">
        <v>182031.27</v>
      </c>
      <c r="K21" s="216">
        <v>182031.27</v>
      </c>
      <c r="L21" s="217">
        <v>46113.0</v>
      </c>
      <c r="M21" s="217">
        <v>46143.0</v>
      </c>
      <c r="N21" s="215">
        <v>0.0</v>
      </c>
      <c r="O21" s="215">
        <v>-23.0</v>
      </c>
      <c r="P21" s="215">
        <v>53.0</v>
      </c>
      <c r="Q21" s="203"/>
      <c r="R21" s="218" t="s">
        <v>921</v>
      </c>
      <c r="S21" s="225" t="s">
        <v>922</v>
      </c>
      <c r="T21" s="215">
        <v>748.0</v>
      </c>
      <c r="U21" s="204"/>
    </row>
    <row r="22" ht="22.5" hidden="1" customHeight="1">
      <c r="A22" s="205"/>
      <c r="B22" s="193" t="s">
        <v>923</v>
      </c>
      <c r="C22" s="233" t="s">
        <v>577</v>
      </c>
      <c r="D22" s="234"/>
      <c r="E22" s="209"/>
      <c r="F22" s="150"/>
      <c r="G22" s="221"/>
      <c r="H22" s="207"/>
      <c r="I22" s="197" t="s">
        <v>924</v>
      </c>
      <c r="J22" s="222">
        <v>246628.63</v>
      </c>
      <c r="K22" s="222">
        <v>244628.63</v>
      </c>
      <c r="L22" s="208"/>
      <c r="M22" s="208"/>
      <c r="N22" s="150"/>
      <c r="O22" s="150"/>
      <c r="P22" s="150"/>
      <c r="Q22" s="209"/>
      <c r="R22" s="45"/>
      <c r="S22" s="45"/>
      <c r="T22" s="150"/>
      <c r="U22" s="198"/>
    </row>
    <row r="23" ht="22.5" hidden="1" customHeight="1">
      <c r="A23" s="199"/>
      <c r="B23" s="212" t="s">
        <v>558</v>
      </c>
      <c r="C23" s="235" t="s">
        <v>648</v>
      </c>
      <c r="D23" s="236"/>
      <c r="E23" s="236"/>
      <c r="F23" s="147"/>
      <c r="G23" s="210"/>
      <c r="H23" s="201"/>
      <c r="I23" s="237" t="s">
        <v>925</v>
      </c>
      <c r="J23" s="216">
        <v>2935543.56</v>
      </c>
      <c r="K23" s="201"/>
      <c r="L23" s="202"/>
      <c r="M23" s="218" t="s">
        <v>926</v>
      </c>
      <c r="N23" s="147"/>
      <c r="O23" s="147"/>
      <c r="P23" s="147"/>
      <c r="Q23" s="203"/>
      <c r="R23" s="236"/>
      <c r="S23" s="236"/>
      <c r="T23" s="215">
        <v>748.0</v>
      </c>
      <c r="U23" s="204"/>
    </row>
    <row r="24" ht="22.5" hidden="1" customHeight="1">
      <c r="A24" s="205"/>
      <c r="B24" s="193" t="s">
        <v>696</v>
      </c>
      <c r="C24" s="238" t="s">
        <v>927</v>
      </c>
      <c r="D24" s="234"/>
      <c r="E24" s="234"/>
      <c r="F24" s="150"/>
      <c r="G24" s="221"/>
      <c r="H24" s="207"/>
      <c r="I24" s="197" t="s">
        <v>928</v>
      </c>
      <c r="J24" s="222">
        <v>1298112.52</v>
      </c>
      <c r="K24" s="207"/>
      <c r="L24" s="208"/>
      <c r="M24" s="208"/>
      <c r="N24" s="150"/>
      <c r="O24" s="150"/>
      <c r="P24" s="150"/>
      <c r="Q24" s="209"/>
      <c r="R24" s="234"/>
      <c r="S24" s="234"/>
      <c r="T24" s="150"/>
      <c r="U24" s="198"/>
    </row>
    <row r="25" ht="22.5" hidden="1" customHeight="1">
      <c r="A25" s="199"/>
      <c r="B25" s="146"/>
      <c r="C25" s="200"/>
      <c r="D25" s="200"/>
      <c r="E25" s="200"/>
      <c r="F25" s="147"/>
      <c r="G25" s="147"/>
      <c r="H25" s="201"/>
      <c r="I25" s="201"/>
      <c r="J25" s="201"/>
      <c r="K25" s="201"/>
      <c r="L25" s="202"/>
      <c r="M25" s="202"/>
      <c r="N25" s="147"/>
      <c r="O25" s="147"/>
      <c r="P25" s="147"/>
      <c r="Q25" s="203"/>
      <c r="R25" s="186"/>
      <c r="S25" s="186"/>
      <c r="T25" s="147"/>
      <c r="U25" s="204"/>
    </row>
    <row r="26" ht="22.5" hidden="1" customHeight="1">
      <c r="A26" s="205"/>
      <c r="B26" s="82"/>
      <c r="C26" s="206"/>
      <c r="D26" s="206"/>
      <c r="E26" s="206"/>
      <c r="F26" s="150"/>
      <c r="G26" s="239"/>
      <c r="H26" s="207"/>
      <c r="I26" s="207"/>
      <c r="J26" s="207"/>
      <c r="K26" s="207"/>
      <c r="L26" s="208"/>
      <c r="M26" s="208"/>
      <c r="N26" s="150"/>
      <c r="O26" s="150"/>
      <c r="P26" s="150"/>
      <c r="Q26" s="209"/>
      <c r="R26" s="45"/>
      <c r="S26" s="45"/>
      <c r="T26" s="150"/>
      <c r="U26" s="198"/>
    </row>
    <row r="27" ht="22.5" hidden="1" customHeight="1">
      <c r="A27" s="199"/>
      <c r="B27" s="146"/>
      <c r="C27" s="200"/>
      <c r="D27" s="200"/>
      <c r="E27" s="200"/>
      <c r="F27" s="147"/>
      <c r="G27" s="210"/>
      <c r="H27" s="201"/>
      <c r="I27" s="201"/>
      <c r="J27" s="201"/>
      <c r="K27" s="201"/>
      <c r="L27" s="202"/>
      <c r="M27" s="202"/>
      <c r="N27" s="147"/>
      <c r="O27" s="147"/>
      <c r="P27" s="147"/>
      <c r="Q27" s="203"/>
      <c r="R27" s="186"/>
      <c r="S27" s="186"/>
      <c r="T27" s="147"/>
      <c r="U27" s="204"/>
    </row>
    <row r="28" ht="22.5" hidden="1" customHeight="1">
      <c r="A28" s="205"/>
      <c r="B28" s="82"/>
      <c r="C28" s="82"/>
      <c r="D28" s="206"/>
      <c r="E28" s="82"/>
      <c r="F28" s="150"/>
      <c r="G28" s="221"/>
      <c r="H28" s="207"/>
      <c r="I28" s="207"/>
      <c r="J28" s="207"/>
      <c r="K28" s="207"/>
      <c r="L28" s="208"/>
      <c r="M28" s="208"/>
      <c r="N28" s="150"/>
      <c r="O28" s="150"/>
      <c r="P28" s="150"/>
      <c r="Q28" s="209"/>
      <c r="R28" s="45"/>
      <c r="S28" s="45"/>
      <c r="T28" s="150"/>
      <c r="U28" s="198"/>
    </row>
    <row r="29" ht="22.5" hidden="1" customHeight="1">
      <c r="A29" s="211" t="s">
        <v>181</v>
      </c>
      <c r="B29" s="212" t="s">
        <v>132</v>
      </c>
      <c r="C29" s="212" t="s">
        <v>131</v>
      </c>
      <c r="D29" s="214" t="s">
        <v>870</v>
      </c>
      <c r="E29" s="212" t="s">
        <v>7</v>
      </c>
      <c r="F29" s="228" t="s">
        <v>871</v>
      </c>
      <c r="G29" s="228" t="s">
        <v>872</v>
      </c>
      <c r="H29" s="237" t="s">
        <v>8</v>
      </c>
      <c r="I29" s="237" t="s">
        <v>873</v>
      </c>
      <c r="J29" s="237" t="s">
        <v>17</v>
      </c>
      <c r="K29" s="237" t="s">
        <v>874</v>
      </c>
      <c r="L29" s="218" t="s">
        <v>875</v>
      </c>
      <c r="M29" s="218" t="s">
        <v>876</v>
      </c>
      <c r="N29" s="228" t="s">
        <v>877</v>
      </c>
      <c r="O29" s="228" t="s">
        <v>878</v>
      </c>
      <c r="P29" s="228" t="s">
        <v>879</v>
      </c>
      <c r="Q29" s="218" t="s">
        <v>880</v>
      </c>
      <c r="R29" s="218" t="s">
        <v>881</v>
      </c>
      <c r="S29" s="218" t="s">
        <v>882</v>
      </c>
      <c r="T29" s="228" t="s">
        <v>557</v>
      </c>
      <c r="U29" s="204"/>
    </row>
    <row r="30" ht="22.5" customHeight="1">
      <c r="A30" s="192" t="s">
        <v>929</v>
      </c>
      <c r="B30" s="193" t="s">
        <v>402</v>
      </c>
      <c r="C30" s="226" t="s">
        <v>136</v>
      </c>
      <c r="D30" s="194" t="s">
        <v>930</v>
      </c>
      <c r="E30" s="193" t="s">
        <v>15</v>
      </c>
      <c r="F30" s="220">
        <v>1.0</v>
      </c>
      <c r="G30" s="221"/>
      <c r="H30" s="222">
        <v>200.0</v>
      </c>
      <c r="I30" s="222">
        <v>200.0</v>
      </c>
      <c r="J30" s="222">
        <v>4897.7</v>
      </c>
      <c r="K30" s="222">
        <v>4897.7</v>
      </c>
      <c r="L30" s="223">
        <v>46082.0</v>
      </c>
      <c r="M30" s="223">
        <v>46113.0</v>
      </c>
      <c r="N30" s="220">
        <v>0.0</v>
      </c>
      <c r="O30" s="220">
        <v>-53.0</v>
      </c>
      <c r="P30" s="220">
        <v>83.0</v>
      </c>
      <c r="Q30" s="209"/>
      <c r="R30" s="196" t="s">
        <v>931</v>
      </c>
      <c r="S30" s="227" t="s">
        <v>932</v>
      </c>
      <c r="T30" s="220">
        <v>719.0</v>
      </c>
      <c r="U30" s="198"/>
    </row>
    <row r="31" ht="22.5" customHeight="1">
      <c r="A31" s="199"/>
      <c r="B31" s="212" t="s">
        <v>454</v>
      </c>
      <c r="C31" s="231" t="s">
        <v>684</v>
      </c>
      <c r="D31" s="214" t="s">
        <v>886</v>
      </c>
      <c r="E31" s="212" t="s">
        <v>17</v>
      </c>
      <c r="F31" s="215">
        <v>3.0</v>
      </c>
      <c r="G31" s="147"/>
      <c r="H31" s="216">
        <v>3000.0</v>
      </c>
      <c r="I31" s="216">
        <v>5000.0</v>
      </c>
      <c r="J31" s="201"/>
      <c r="K31" s="201"/>
      <c r="L31" s="217">
        <v>46082.0</v>
      </c>
      <c r="M31" s="217">
        <v>46113.0</v>
      </c>
      <c r="N31" s="147"/>
      <c r="O31" s="215">
        <v>-53.0</v>
      </c>
      <c r="P31" s="215">
        <v>83.0</v>
      </c>
      <c r="Q31" s="203"/>
      <c r="R31" s="218" t="s">
        <v>933</v>
      </c>
      <c r="S31" s="186"/>
      <c r="T31" s="215">
        <v>720.0</v>
      </c>
      <c r="U31" s="204"/>
    </row>
    <row r="32" ht="22.5" customHeight="1">
      <c r="A32" s="205"/>
      <c r="B32" s="193" t="s">
        <v>414</v>
      </c>
      <c r="C32" s="226" t="s">
        <v>136</v>
      </c>
      <c r="D32" s="194" t="s">
        <v>888</v>
      </c>
      <c r="E32" s="193" t="s">
        <v>17</v>
      </c>
      <c r="F32" s="220">
        <v>3.0</v>
      </c>
      <c r="G32" s="220">
        <v>0.375</v>
      </c>
      <c r="H32" s="222">
        <v>4000.0</v>
      </c>
      <c r="I32" s="222">
        <v>7500.0</v>
      </c>
      <c r="J32" s="222">
        <v>7500.0</v>
      </c>
      <c r="K32" s="222">
        <v>7500.0</v>
      </c>
      <c r="L32" s="223">
        <v>46082.0</v>
      </c>
      <c r="M32" s="223">
        <v>46113.0</v>
      </c>
      <c r="N32" s="220">
        <v>0.0</v>
      </c>
      <c r="O32" s="220">
        <v>-53.0</v>
      </c>
      <c r="P32" s="220">
        <v>83.0</v>
      </c>
      <c r="Q32" s="209"/>
      <c r="R32" s="196" t="s">
        <v>934</v>
      </c>
      <c r="S32" s="227" t="s">
        <v>935</v>
      </c>
      <c r="T32" s="220">
        <v>721.0</v>
      </c>
      <c r="U32" s="198"/>
    </row>
    <row r="33" ht="22.5" customHeight="1">
      <c r="A33" s="199"/>
      <c r="B33" s="212" t="s">
        <v>154</v>
      </c>
      <c r="C33" s="213" t="s">
        <v>136</v>
      </c>
      <c r="D33" s="214" t="s">
        <v>891</v>
      </c>
      <c r="E33" s="212" t="s">
        <v>19</v>
      </c>
      <c r="F33" s="228" t="s">
        <v>892</v>
      </c>
      <c r="G33" s="147"/>
      <c r="H33" s="216">
        <v>10.0</v>
      </c>
      <c r="I33" s="216">
        <v>40.0</v>
      </c>
      <c r="J33" s="216">
        <v>4911.53</v>
      </c>
      <c r="K33" s="216">
        <v>0.0</v>
      </c>
      <c r="L33" s="217">
        <v>46082.0</v>
      </c>
      <c r="M33" s="217">
        <v>46113.0</v>
      </c>
      <c r="N33" s="215">
        <v>1.0</v>
      </c>
      <c r="O33" s="215">
        <v>-53.0</v>
      </c>
      <c r="P33" s="215">
        <v>83.0</v>
      </c>
      <c r="Q33" s="232">
        <v>46081.0</v>
      </c>
      <c r="R33" s="218" t="s">
        <v>936</v>
      </c>
      <c r="S33" s="225" t="s">
        <v>937</v>
      </c>
      <c r="T33" s="215">
        <v>722.0</v>
      </c>
      <c r="U33" s="204"/>
    </row>
    <row r="34" ht="22.5" customHeight="1">
      <c r="A34" s="205"/>
      <c r="B34" s="193" t="s">
        <v>495</v>
      </c>
      <c r="C34" s="194" t="s">
        <v>693</v>
      </c>
      <c r="D34" s="194" t="s">
        <v>895</v>
      </c>
      <c r="E34" s="193" t="s">
        <v>19</v>
      </c>
      <c r="F34" s="195" t="s">
        <v>892</v>
      </c>
      <c r="G34" s="221"/>
      <c r="H34" s="222">
        <v>15.0</v>
      </c>
      <c r="I34" s="222">
        <v>60.0</v>
      </c>
      <c r="J34" s="207"/>
      <c r="K34" s="207"/>
      <c r="L34" s="223">
        <v>46082.0</v>
      </c>
      <c r="M34" s="223">
        <v>46113.0</v>
      </c>
      <c r="N34" s="150"/>
      <c r="O34" s="220">
        <v>-53.0</v>
      </c>
      <c r="P34" s="220">
        <v>83.0</v>
      </c>
      <c r="Q34" s="209"/>
      <c r="R34" s="196" t="s">
        <v>938</v>
      </c>
      <c r="S34" s="45"/>
      <c r="T34" s="220">
        <v>723.0</v>
      </c>
      <c r="U34" s="198"/>
    </row>
    <row r="35" ht="22.5" customHeight="1">
      <c r="A35" s="199"/>
      <c r="B35" s="212" t="s">
        <v>477</v>
      </c>
      <c r="C35" s="213" t="s">
        <v>136</v>
      </c>
      <c r="D35" s="214" t="s">
        <v>897</v>
      </c>
      <c r="E35" s="212" t="s">
        <v>100</v>
      </c>
      <c r="F35" s="215">
        <v>2.0</v>
      </c>
      <c r="G35" s="147"/>
      <c r="H35" s="216">
        <v>40.0</v>
      </c>
      <c r="I35" s="216">
        <v>80.0</v>
      </c>
      <c r="J35" s="216">
        <v>9169.45</v>
      </c>
      <c r="K35" s="216">
        <v>9169.45</v>
      </c>
      <c r="L35" s="217">
        <v>46082.0</v>
      </c>
      <c r="M35" s="217">
        <v>46113.0</v>
      </c>
      <c r="N35" s="215">
        <v>0.0</v>
      </c>
      <c r="O35" s="215">
        <v>-53.0</v>
      </c>
      <c r="P35" s="215">
        <v>83.0</v>
      </c>
      <c r="Q35" s="203"/>
      <c r="R35" s="218" t="s">
        <v>939</v>
      </c>
      <c r="S35" s="225" t="s">
        <v>940</v>
      </c>
      <c r="T35" s="215">
        <v>724.0</v>
      </c>
      <c r="U35" s="204"/>
    </row>
    <row r="36" ht="22.5" customHeight="1">
      <c r="A36" s="205"/>
      <c r="B36" s="193" t="s">
        <v>472</v>
      </c>
      <c r="C36" s="226" t="s">
        <v>136</v>
      </c>
      <c r="D36" s="194" t="s">
        <v>899</v>
      </c>
      <c r="E36" s="193" t="s">
        <v>17</v>
      </c>
      <c r="F36" s="220">
        <v>3.0</v>
      </c>
      <c r="G36" s="220">
        <v>0.25</v>
      </c>
      <c r="H36" s="222">
        <v>8000.0</v>
      </c>
      <c r="I36" s="222">
        <v>18000.0</v>
      </c>
      <c r="J36" s="222">
        <v>18000.0</v>
      </c>
      <c r="K36" s="222">
        <v>18000.0</v>
      </c>
      <c r="L36" s="223">
        <v>46082.0</v>
      </c>
      <c r="M36" s="223">
        <v>46113.0</v>
      </c>
      <c r="N36" s="220">
        <v>0.0</v>
      </c>
      <c r="O36" s="220">
        <v>-53.0</v>
      </c>
      <c r="P36" s="220">
        <v>83.0</v>
      </c>
      <c r="Q36" s="209"/>
      <c r="R36" s="196" t="s">
        <v>941</v>
      </c>
      <c r="S36" s="227" t="s">
        <v>942</v>
      </c>
      <c r="T36" s="220">
        <v>725.0</v>
      </c>
      <c r="U36" s="198"/>
    </row>
    <row r="37" ht="22.5" customHeight="1">
      <c r="A37" s="199"/>
      <c r="B37" s="212" t="s">
        <v>359</v>
      </c>
      <c r="C37" s="213" t="s">
        <v>136</v>
      </c>
      <c r="D37" s="214" t="s">
        <v>901</v>
      </c>
      <c r="E37" s="212" t="s">
        <v>15</v>
      </c>
      <c r="F37" s="215">
        <v>6.0</v>
      </c>
      <c r="G37" s="215">
        <v>0.5</v>
      </c>
      <c r="H37" s="216">
        <v>200.0</v>
      </c>
      <c r="I37" s="216">
        <v>600.0</v>
      </c>
      <c r="J37" s="216">
        <v>14664.51</v>
      </c>
      <c r="K37" s="216">
        <v>0.0</v>
      </c>
      <c r="L37" s="217">
        <v>46082.0</v>
      </c>
      <c r="M37" s="217">
        <v>46113.0</v>
      </c>
      <c r="N37" s="215">
        <v>1.0</v>
      </c>
      <c r="O37" s="215">
        <v>-53.0</v>
      </c>
      <c r="P37" s="215">
        <v>83.0</v>
      </c>
      <c r="Q37" s="232">
        <v>46082.0</v>
      </c>
      <c r="R37" s="218" t="s">
        <v>943</v>
      </c>
      <c r="S37" s="225" t="s">
        <v>944</v>
      </c>
      <c r="T37" s="215">
        <v>726.0</v>
      </c>
      <c r="U37" s="204"/>
    </row>
    <row r="38" ht="22.5" customHeight="1">
      <c r="A38" s="205"/>
      <c r="B38" s="193" t="s">
        <v>464</v>
      </c>
      <c r="C38" s="219" t="s">
        <v>684</v>
      </c>
      <c r="D38" s="194" t="s">
        <v>904</v>
      </c>
      <c r="E38" s="193" t="s">
        <v>15</v>
      </c>
      <c r="F38" s="220">
        <v>4.0</v>
      </c>
      <c r="G38" s="230">
        <v>0.17</v>
      </c>
      <c r="H38" s="222">
        <v>200.0</v>
      </c>
      <c r="I38" s="222">
        <v>667.2</v>
      </c>
      <c r="J38" s="207"/>
      <c r="K38" s="207"/>
      <c r="L38" s="223">
        <v>46082.0</v>
      </c>
      <c r="M38" s="223">
        <v>46113.0</v>
      </c>
      <c r="N38" s="150"/>
      <c r="O38" s="220">
        <v>-53.0</v>
      </c>
      <c r="P38" s="220">
        <v>83.0</v>
      </c>
      <c r="Q38" s="209"/>
      <c r="R38" s="196" t="s">
        <v>945</v>
      </c>
      <c r="S38" s="45"/>
      <c r="T38" s="220">
        <v>727.0</v>
      </c>
      <c r="U38" s="198"/>
    </row>
    <row r="39" ht="22.5" customHeight="1">
      <c r="A39" s="199"/>
      <c r="B39" s="212" t="s">
        <v>438</v>
      </c>
      <c r="C39" s="213" t="s">
        <v>136</v>
      </c>
      <c r="D39" s="214" t="s">
        <v>906</v>
      </c>
      <c r="E39" s="212" t="s">
        <v>17</v>
      </c>
      <c r="F39" s="215">
        <v>4.0</v>
      </c>
      <c r="G39" s="224">
        <v>0.43</v>
      </c>
      <c r="H39" s="216">
        <v>8000.0</v>
      </c>
      <c r="I39" s="216">
        <v>18240.0</v>
      </c>
      <c r="J39" s="216">
        <v>18240.0</v>
      </c>
      <c r="K39" s="216">
        <v>18240.0</v>
      </c>
      <c r="L39" s="217">
        <v>46082.0</v>
      </c>
      <c r="M39" s="217">
        <v>46113.0</v>
      </c>
      <c r="N39" s="215">
        <v>0.0</v>
      </c>
      <c r="O39" s="215">
        <v>-53.0</v>
      </c>
      <c r="P39" s="215">
        <v>83.0</v>
      </c>
      <c r="Q39" s="203"/>
      <c r="R39" s="218" t="s">
        <v>946</v>
      </c>
      <c r="S39" s="225" t="s">
        <v>947</v>
      </c>
      <c r="T39" s="215">
        <v>728.0</v>
      </c>
      <c r="U39" s="204"/>
    </row>
    <row r="40" ht="22.5" customHeight="1">
      <c r="A40" s="205"/>
      <c r="B40" s="193" t="s">
        <v>440</v>
      </c>
      <c r="C40" s="226" t="s">
        <v>136</v>
      </c>
      <c r="D40" s="194" t="s">
        <v>908</v>
      </c>
      <c r="E40" s="193" t="s">
        <v>19</v>
      </c>
      <c r="F40" s="220">
        <v>8.0</v>
      </c>
      <c r="G40" s="221"/>
      <c r="H40" s="222">
        <v>15.0</v>
      </c>
      <c r="I40" s="222">
        <v>120.0</v>
      </c>
      <c r="J40" s="222">
        <v>14734.6</v>
      </c>
      <c r="K40" s="222">
        <v>14734.6</v>
      </c>
      <c r="L40" s="223">
        <v>46082.0</v>
      </c>
      <c r="M40" s="223">
        <v>46113.0</v>
      </c>
      <c r="N40" s="220">
        <v>0.0</v>
      </c>
      <c r="O40" s="220">
        <v>-53.0</v>
      </c>
      <c r="P40" s="220">
        <v>83.0</v>
      </c>
      <c r="Q40" s="209"/>
      <c r="R40" s="196" t="s">
        <v>948</v>
      </c>
      <c r="S40" s="227" t="s">
        <v>949</v>
      </c>
      <c r="T40" s="220">
        <v>729.0</v>
      </c>
      <c r="U40" s="198"/>
    </row>
    <row r="41" ht="22.5" customHeight="1">
      <c r="A41" s="199"/>
      <c r="B41" s="212" t="s">
        <v>483</v>
      </c>
      <c r="C41" s="213" t="s">
        <v>136</v>
      </c>
      <c r="D41" s="214" t="s">
        <v>911</v>
      </c>
      <c r="E41" s="212" t="s">
        <v>15</v>
      </c>
      <c r="F41" s="215">
        <v>5.0</v>
      </c>
      <c r="G41" s="215">
        <v>0.5</v>
      </c>
      <c r="H41" s="216">
        <v>200.0</v>
      </c>
      <c r="I41" s="216">
        <v>500.0</v>
      </c>
      <c r="J41" s="216">
        <v>12244.26</v>
      </c>
      <c r="K41" s="216">
        <v>12244.26</v>
      </c>
      <c r="L41" s="217">
        <v>46082.0</v>
      </c>
      <c r="M41" s="217">
        <v>46113.0</v>
      </c>
      <c r="N41" s="215">
        <v>0.0</v>
      </c>
      <c r="O41" s="215">
        <v>-53.0</v>
      </c>
      <c r="P41" s="215">
        <v>83.0</v>
      </c>
      <c r="Q41" s="203"/>
      <c r="R41" s="218" t="s">
        <v>950</v>
      </c>
      <c r="S41" s="225" t="s">
        <v>951</v>
      </c>
      <c r="T41" s="215">
        <v>730.0</v>
      </c>
      <c r="U41" s="204"/>
    </row>
    <row r="42" ht="22.5" customHeight="1">
      <c r="A42" s="205"/>
      <c r="B42" s="193" t="s">
        <v>160</v>
      </c>
      <c r="C42" s="226" t="s">
        <v>136</v>
      </c>
      <c r="D42" s="194" t="s">
        <v>913</v>
      </c>
      <c r="E42" s="193" t="s">
        <v>17</v>
      </c>
      <c r="F42" s="220">
        <v>1.0</v>
      </c>
      <c r="G42" s="221"/>
      <c r="H42" s="222">
        <v>2000.0</v>
      </c>
      <c r="I42" s="222">
        <v>2000.0</v>
      </c>
      <c r="J42" s="222">
        <v>2000.0</v>
      </c>
      <c r="K42" s="222">
        <v>0.0</v>
      </c>
      <c r="L42" s="223">
        <v>46082.0</v>
      </c>
      <c r="M42" s="223">
        <v>46113.0</v>
      </c>
      <c r="N42" s="220">
        <v>1.0</v>
      </c>
      <c r="O42" s="220">
        <v>-53.0</v>
      </c>
      <c r="P42" s="220">
        <v>83.0</v>
      </c>
      <c r="Q42" s="238">
        <v>46052.0</v>
      </c>
      <c r="R42" s="196" t="s">
        <v>952</v>
      </c>
      <c r="S42" s="227" t="s">
        <v>953</v>
      </c>
      <c r="T42" s="220">
        <v>731.0</v>
      </c>
      <c r="U42" s="198"/>
    </row>
    <row r="43" ht="22.5" customHeight="1">
      <c r="A43" s="199"/>
      <c r="B43" s="212" t="s">
        <v>915</v>
      </c>
      <c r="C43" s="231" t="s">
        <v>684</v>
      </c>
      <c r="D43" s="214" t="s">
        <v>916</v>
      </c>
      <c r="E43" s="212" t="s">
        <v>17</v>
      </c>
      <c r="F43" s="215">
        <v>3.0</v>
      </c>
      <c r="G43" s="215">
        <v>0.25</v>
      </c>
      <c r="H43" s="237" t="s">
        <v>917</v>
      </c>
      <c r="I43" s="216">
        <v>9000.0</v>
      </c>
      <c r="J43" s="201"/>
      <c r="K43" s="201"/>
      <c r="L43" s="217">
        <v>46082.0</v>
      </c>
      <c r="M43" s="217">
        <v>46113.0</v>
      </c>
      <c r="N43" s="147"/>
      <c r="O43" s="215">
        <v>-53.0</v>
      </c>
      <c r="P43" s="215">
        <v>83.0</v>
      </c>
      <c r="Q43" s="203"/>
      <c r="R43" s="218" t="s">
        <v>954</v>
      </c>
      <c r="S43" s="186"/>
      <c r="T43" s="215">
        <v>732.0</v>
      </c>
      <c r="U43" s="204"/>
    </row>
    <row r="44" ht="22.5" customHeight="1">
      <c r="A44" s="205"/>
      <c r="B44" s="193" t="s">
        <v>153</v>
      </c>
      <c r="C44" s="226" t="s">
        <v>136</v>
      </c>
      <c r="D44" s="194" t="s">
        <v>919</v>
      </c>
      <c r="E44" s="193" t="s">
        <v>108</v>
      </c>
      <c r="F44" s="195" t="s">
        <v>955</v>
      </c>
      <c r="G44" s="221"/>
      <c r="H44" s="222">
        <v>30.0</v>
      </c>
      <c r="I44" s="222">
        <v>1128.0</v>
      </c>
      <c r="J44" s="222">
        <v>81244.15</v>
      </c>
      <c r="K44" s="222">
        <v>81244.15</v>
      </c>
      <c r="L44" s="223">
        <v>46082.0</v>
      </c>
      <c r="M44" s="223">
        <v>46113.0</v>
      </c>
      <c r="N44" s="220">
        <v>0.0</v>
      </c>
      <c r="O44" s="220">
        <v>-53.0</v>
      </c>
      <c r="P44" s="220">
        <v>83.0</v>
      </c>
      <c r="Q44" s="209"/>
      <c r="R44" s="196" t="s">
        <v>956</v>
      </c>
      <c r="S44" s="227" t="s">
        <v>957</v>
      </c>
      <c r="T44" s="220">
        <v>733.0</v>
      </c>
      <c r="U44" s="198"/>
    </row>
    <row r="45" ht="22.5" hidden="1" customHeight="1">
      <c r="A45" s="199"/>
      <c r="B45" s="212" t="s">
        <v>923</v>
      </c>
      <c r="C45" s="240" t="s">
        <v>579</v>
      </c>
      <c r="D45" s="236"/>
      <c r="E45" s="203"/>
      <c r="F45" s="147"/>
      <c r="G45" s="210"/>
      <c r="H45" s="201"/>
      <c r="I45" s="237" t="s">
        <v>924</v>
      </c>
      <c r="J45" s="216">
        <v>187606.2</v>
      </c>
      <c r="K45" s="216">
        <v>166030.16</v>
      </c>
      <c r="L45" s="202"/>
      <c r="M45" s="202"/>
      <c r="N45" s="147"/>
      <c r="O45" s="147"/>
      <c r="P45" s="147"/>
      <c r="Q45" s="203"/>
      <c r="R45" s="186"/>
      <c r="S45" s="186"/>
      <c r="T45" s="147"/>
      <c r="U45" s="204"/>
    </row>
    <row r="46" ht="22.5" hidden="1" customHeight="1">
      <c r="A46" s="205"/>
      <c r="B46" s="193" t="s">
        <v>558</v>
      </c>
      <c r="C46" s="241" t="s">
        <v>646</v>
      </c>
      <c r="D46" s="234"/>
      <c r="E46" s="234"/>
      <c r="F46" s="150"/>
      <c r="G46" s="221"/>
      <c r="H46" s="207"/>
      <c r="I46" s="197" t="s">
        <v>925</v>
      </c>
      <c r="J46" s="222">
        <v>1992361.96</v>
      </c>
      <c r="K46" s="207"/>
      <c r="L46" s="208"/>
      <c r="M46" s="196" t="s">
        <v>926</v>
      </c>
      <c r="N46" s="150"/>
      <c r="O46" s="150"/>
      <c r="P46" s="150"/>
      <c r="Q46" s="209"/>
      <c r="R46" s="234"/>
      <c r="S46" s="234"/>
      <c r="T46" s="220">
        <v>733.0</v>
      </c>
      <c r="U46" s="198"/>
    </row>
    <row r="47" ht="22.5" hidden="1" customHeight="1">
      <c r="A47" s="199"/>
      <c r="B47" s="212" t="s">
        <v>696</v>
      </c>
      <c r="C47" s="232" t="s">
        <v>958</v>
      </c>
      <c r="D47" s="236"/>
      <c r="E47" s="236"/>
      <c r="F47" s="147"/>
      <c r="G47" s="210"/>
      <c r="H47" s="201"/>
      <c r="I47" s="237" t="s">
        <v>928</v>
      </c>
      <c r="J47" s="216">
        <v>1053483.89</v>
      </c>
      <c r="K47" s="201"/>
      <c r="L47" s="202"/>
      <c r="M47" s="202"/>
      <c r="N47" s="147"/>
      <c r="O47" s="147"/>
      <c r="P47" s="147"/>
      <c r="Q47" s="203"/>
      <c r="R47" s="236"/>
      <c r="S47" s="236"/>
      <c r="T47" s="147"/>
      <c r="U47" s="204"/>
    </row>
    <row r="48" ht="22.5" hidden="1" customHeight="1">
      <c r="A48" s="205"/>
      <c r="B48" s="82"/>
      <c r="C48" s="206"/>
      <c r="D48" s="206"/>
      <c r="E48" s="206"/>
      <c r="F48" s="150"/>
      <c r="G48" s="150"/>
      <c r="H48" s="207"/>
      <c r="I48" s="207"/>
      <c r="J48" s="207"/>
      <c r="K48" s="207"/>
      <c r="L48" s="208"/>
      <c r="M48" s="208"/>
      <c r="N48" s="150"/>
      <c r="O48" s="150"/>
      <c r="P48" s="150"/>
      <c r="Q48" s="209"/>
      <c r="R48" s="45"/>
      <c r="S48" s="45"/>
      <c r="T48" s="150"/>
      <c r="U48" s="198"/>
    </row>
    <row r="49" ht="22.5" hidden="1" customHeight="1">
      <c r="A49" s="199"/>
      <c r="B49" s="146"/>
      <c r="C49" s="200"/>
      <c r="D49" s="200"/>
      <c r="E49" s="200"/>
      <c r="F49" s="147"/>
      <c r="G49" s="147"/>
      <c r="H49" s="201"/>
      <c r="I49" s="201"/>
      <c r="J49" s="201"/>
      <c r="K49" s="201"/>
      <c r="L49" s="202"/>
      <c r="M49" s="202"/>
      <c r="N49" s="147"/>
      <c r="O49" s="147"/>
      <c r="P49" s="147"/>
      <c r="Q49" s="203"/>
      <c r="R49" s="186"/>
      <c r="S49" s="186"/>
      <c r="T49" s="147"/>
      <c r="U49" s="204"/>
    </row>
    <row r="50" ht="22.5" hidden="1" customHeight="1">
      <c r="A50" s="205"/>
      <c r="B50" s="82"/>
      <c r="C50" s="206"/>
      <c r="D50" s="206"/>
      <c r="E50" s="206"/>
      <c r="F50" s="150"/>
      <c r="G50" s="221"/>
      <c r="H50" s="207"/>
      <c r="I50" s="207"/>
      <c r="J50" s="207"/>
      <c r="K50" s="207"/>
      <c r="L50" s="208"/>
      <c r="M50" s="208"/>
      <c r="N50" s="150"/>
      <c r="O50" s="150"/>
      <c r="P50" s="150"/>
      <c r="Q50" s="209"/>
      <c r="R50" s="45"/>
      <c r="S50" s="45"/>
      <c r="T50" s="150"/>
      <c r="U50" s="198"/>
    </row>
    <row r="51" ht="22.5" hidden="1" customHeight="1">
      <c r="A51" s="199"/>
      <c r="B51" s="146"/>
      <c r="C51" s="200"/>
      <c r="D51" s="200"/>
      <c r="E51" s="200"/>
      <c r="F51" s="147"/>
      <c r="G51" s="147"/>
      <c r="H51" s="201"/>
      <c r="I51" s="201"/>
      <c r="J51" s="201"/>
      <c r="K51" s="201"/>
      <c r="L51" s="202"/>
      <c r="M51" s="202"/>
      <c r="N51" s="147"/>
      <c r="O51" s="147"/>
      <c r="P51" s="147"/>
      <c r="Q51" s="203"/>
      <c r="R51" s="186"/>
      <c r="S51" s="186"/>
      <c r="T51" s="147"/>
      <c r="U51" s="204"/>
    </row>
    <row r="52" ht="22.5" hidden="1" customHeight="1">
      <c r="A52" s="192" t="s">
        <v>181</v>
      </c>
      <c r="B52" s="193" t="s">
        <v>132</v>
      </c>
      <c r="C52" s="193" t="s">
        <v>131</v>
      </c>
      <c r="D52" s="194" t="s">
        <v>870</v>
      </c>
      <c r="E52" s="193" t="s">
        <v>7</v>
      </c>
      <c r="F52" s="195" t="s">
        <v>871</v>
      </c>
      <c r="G52" s="196" t="s">
        <v>872</v>
      </c>
      <c r="H52" s="197" t="s">
        <v>8</v>
      </c>
      <c r="I52" s="197" t="s">
        <v>873</v>
      </c>
      <c r="J52" s="197" t="s">
        <v>17</v>
      </c>
      <c r="K52" s="197" t="s">
        <v>874</v>
      </c>
      <c r="L52" s="196" t="s">
        <v>875</v>
      </c>
      <c r="M52" s="196" t="s">
        <v>876</v>
      </c>
      <c r="N52" s="195" t="s">
        <v>877</v>
      </c>
      <c r="O52" s="195" t="s">
        <v>878</v>
      </c>
      <c r="P52" s="195" t="s">
        <v>879</v>
      </c>
      <c r="Q52" s="196" t="s">
        <v>880</v>
      </c>
      <c r="R52" s="196" t="s">
        <v>881</v>
      </c>
      <c r="S52" s="196" t="s">
        <v>882</v>
      </c>
      <c r="T52" s="195" t="s">
        <v>557</v>
      </c>
      <c r="U52" s="198"/>
    </row>
    <row r="53" ht="22.5" customHeight="1">
      <c r="A53" s="199"/>
      <c r="B53" s="212" t="s">
        <v>402</v>
      </c>
      <c r="C53" s="213" t="s">
        <v>136</v>
      </c>
      <c r="D53" s="214" t="s">
        <v>930</v>
      </c>
      <c r="E53" s="212" t="s">
        <v>15</v>
      </c>
      <c r="F53" s="215">
        <v>1.0</v>
      </c>
      <c r="G53" s="210"/>
      <c r="H53" s="216">
        <v>200.0</v>
      </c>
      <c r="I53" s="216">
        <v>200.0</v>
      </c>
      <c r="J53" s="216">
        <v>4859.84</v>
      </c>
      <c r="K53" s="216">
        <v>0.0</v>
      </c>
      <c r="L53" s="217">
        <v>46054.0</v>
      </c>
      <c r="M53" s="217">
        <v>46082.0</v>
      </c>
      <c r="N53" s="215">
        <v>1.0</v>
      </c>
      <c r="O53" s="215">
        <v>-84.0</v>
      </c>
      <c r="P53" s="215">
        <v>114.0</v>
      </c>
      <c r="Q53" s="232">
        <v>46081.0</v>
      </c>
      <c r="R53" s="218" t="s">
        <v>959</v>
      </c>
      <c r="S53" s="225" t="s">
        <v>960</v>
      </c>
      <c r="T53" s="215">
        <v>704.0</v>
      </c>
      <c r="U53" s="204"/>
    </row>
    <row r="54" ht="22.5" customHeight="1">
      <c r="A54" s="205"/>
      <c r="B54" s="193" t="s">
        <v>454</v>
      </c>
      <c r="C54" s="219" t="s">
        <v>684</v>
      </c>
      <c r="D54" s="194" t="s">
        <v>886</v>
      </c>
      <c r="E54" s="193" t="s">
        <v>17</v>
      </c>
      <c r="F54" s="220">
        <v>3.0</v>
      </c>
      <c r="G54" s="221"/>
      <c r="H54" s="222">
        <v>3000.0</v>
      </c>
      <c r="I54" s="222">
        <v>5000.0</v>
      </c>
      <c r="J54" s="207"/>
      <c r="K54" s="207"/>
      <c r="L54" s="223">
        <v>46054.0</v>
      </c>
      <c r="M54" s="223">
        <v>46082.0</v>
      </c>
      <c r="N54" s="150"/>
      <c r="O54" s="220">
        <v>-84.0</v>
      </c>
      <c r="P54" s="220">
        <v>114.0</v>
      </c>
      <c r="Q54" s="209"/>
      <c r="R54" s="196" t="s">
        <v>961</v>
      </c>
      <c r="S54" s="45"/>
      <c r="T54" s="220">
        <v>705.0</v>
      </c>
      <c r="U54" s="198"/>
    </row>
    <row r="55" ht="22.5" customHeight="1">
      <c r="A55" s="199"/>
      <c r="B55" s="212" t="s">
        <v>414</v>
      </c>
      <c r="C55" s="213" t="s">
        <v>136</v>
      </c>
      <c r="D55" s="214" t="s">
        <v>888</v>
      </c>
      <c r="E55" s="212" t="s">
        <v>17</v>
      </c>
      <c r="F55" s="215">
        <v>3.0</v>
      </c>
      <c r="G55" s="224">
        <v>0.38</v>
      </c>
      <c r="H55" s="216">
        <v>4000.0</v>
      </c>
      <c r="I55" s="216">
        <v>7500.0</v>
      </c>
      <c r="J55" s="216">
        <v>7500.0</v>
      </c>
      <c r="K55" s="216">
        <v>7500.0</v>
      </c>
      <c r="L55" s="217">
        <v>46054.0</v>
      </c>
      <c r="M55" s="217">
        <v>46082.0</v>
      </c>
      <c r="N55" s="215">
        <v>0.0</v>
      </c>
      <c r="O55" s="215">
        <v>-84.0</v>
      </c>
      <c r="P55" s="215">
        <v>114.0</v>
      </c>
      <c r="Q55" s="203"/>
      <c r="R55" s="218" t="s">
        <v>962</v>
      </c>
      <c r="S55" s="225" t="s">
        <v>963</v>
      </c>
      <c r="T55" s="215">
        <v>706.0</v>
      </c>
      <c r="U55" s="204"/>
    </row>
    <row r="56" ht="22.5" customHeight="1">
      <c r="A56" s="205"/>
      <c r="B56" s="193" t="s">
        <v>460</v>
      </c>
      <c r="C56" s="219" t="s">
        <v>684</v>
      </c>
      <c r="D56" s="194" t="s">
        <v>964</v>
      </c>
      <c r="E56" s="193" t="s">
        <v>17</v>
      </c>
      <c r="F56" s="220">
        <v>1.0</v>
      </c>
      <c r="G56" s="150"/>
      <c r="H56" s="222">
        <v>4000.0</v>
      </c>
      <c r="I56" s="222">
        <v>4000.0</v>
      </c>
      <c r="J56" s="207"/>
      <c r="K56" s="207"/>
      <c r="L56" s="223">
        <v>46054.0</v>
      </c>
      <c r="M56" s="223">
        <v>46082.0</v>
      </c>
      <c r="N56" s="150"/>
      <c r="O56" s="220">
        <v>-84.0</v>
      </c>
      <c r="P56" s="220">
        <v>114.0</v>
      </c>
      <c r="Q56" s="209"/>
      <c r="R56" s="196" t="s">
        <v>965</v>
      </c>
      <c r="S56" s="45"/>
      <c r="T56" s="220">
        <v>707.0</v>
      </c>
      <c r="U56" s="198"/>
    </row>
    <row r="57" ht="22.5" customHeight="1">
      <c r="A57" s="199"/>
      <c r="B57" s="212" t="s">
        <v>301</v>
      </c>
      <c r="C57" s="214" t="s">
        <v>694</v>
      </c>
      <c r="D57" s="214" t="s">
        <v>895</v>
      </c>
      <c r="E57" s="212" t="s">
        <v>17</v>
      </c>
      <c r="F57" s="215">
        <v>6.35</v>
      </c>
      <c r="G57" s="210"/>
      <c r="H57" s="216">
        <v>1250.0</v>
      </c>
      <c r="I57" s="216">
        <v>7937.5</v>
      </c>
      <c r="J57" s="201"/>
      <c r="K57" s="201"/>
      <c r="L57" s="217">
        <v>46054.0</v>
      </c>
      <c r="M57" s="217">
        <v>46082.0</v>
      </c>
      <c r="N57" s="147"/>
      <c r="O57" s="215">
        <v>-84.0</v>
      </c>
      <c r="P57" s="215">
        <v>114.0</v>
      </c>
      <c r="Q57" s="203"/>
      <c r="R57" s="218" t="s">
        <v>966</v>
      </c>
      <c r="S57" s="186"/>
      <c r="T57" s="215">
        <v>708.0</v>
      </c>
      <c r="U57" s="204"/>
    </row>
    <row r="58" ht="22.5" customHeight="1">
      <c r="A58" s="205"/>
      <c r="B58" s="193" t="s">
        <v>477</v>
      </c>
      <c r="C58" s="226" t="s">
        <v>136</v>
      </c>
      <c r="D58" s="194" t="s">
        <v>897</v>
      </c>
      <c r="E58" s="193" t="s">
        <v>100</v>
      </c>
      <c r="F58" s="220">
        <v>2.0</v>
      </c>
      <c r="G58" s="221"/>
      <c r="H58" s="222">
        <v>40.0</v>
      </c>
      <c r="I58" s="222">
        <v>80.0</v>
      </c>
      <c r="J58" s="222">
        <v>7334.96</v>
      </c>
      <c r="K58" s="222">
        <v>7334.96</v>
      </c>
      <c r="L58" s="223">
        <v>46054.0</v>
      </c>
      <c r="M58" s="223">
        <v>46082.0</v>
      </c>
      <c r="N58" s="220">
        <v>0.0</v>
      </c>
      <c r="O58" s="220">
        <v>-84.0</v>
      </c>
      <c r="P58" s="220">
        <v>114.0</v>
      </c>
      <c r="Q58" s="209"/>
      <c r="R58" s="196" t="s">
        <v>967</v>
      </c>
      <c r="S58" s="227" t="s">
        <v>968</v>
      </c>
      <c r="T58" s="220">
        <v>709.0</v>
      </c>
      <c r="U58" s="198"/>
    </row>
    <row r="59" ht="22.5" customHeight="1">
      <c r="A59" s="199"/>
      <c r="B59" s="212" t="s">
        <v>472</v>
      </c>
      <c r="C59" s="213" t="s">
        <v>136</v>
      </c>
      <c r="D59" s="214" t="s">
        <v>899</v>
      </c>
      <c r="E59" s="212" t="s">
        <v>17</v>
      </c>
      <c r="F59" s="215">
        <v>3.0</v>
      </c>
      <c r="G59" s="224">
        <v>0.25</v>
      </c>
      <c r="H59" s="216">
        <v>8000.0</v>
      </c>
      <c r="I59" s="216">
        <v>18000.0</v>
      </c>
      <c r="J59" s="216">
        <v>18000.0</v>
      </c>
      <c r="K59" s="216">
        <v>0.0</v>
      </c>
      <c r="L59" s="217">
        <v>46054.0</v>
      </c>
      <c r="M59" s="217">
        <v>46082.0</v>
      </c>
      <c r="N59" s="215">
        <v>1.0</v>
      </c>
      <c r="O59" s="215">
        <v>-84.0</v>
      </c>
      <c r="P59" s="215">
        <v>114.0</v>
      </c>
      <c r="Q59" s="232">
        <v>46077.0</v>
      </c>
      <c r="R59" s="218" t="s">
        <v>969</v>
      </c>
      <c r="S59" s="225" t="s">
        <v>970</v>
      </c>
      <c r="T59" s="215">
        <v>710.0</v>
      </c>
      <c r="U59" s="204"/>
    </row>
    <row r="60" ht="22.5" customHeight="1">
      <c r="A60" s="205"/>
      <c r="B60" s="193" t="s">
        <v>359</v>
      </c>
      <c r="C60" s="219" t="s">
        <v>684</v>
      </c>
      <c r="D60" s="194" t="s">
        <v>911</v>
      </c>
      <c r="E60" s="193" t="s">
        <v>15</v>
      </c>
      <c r="F60" s="220">
        <v>5.0</v>
      </c>
      <c r="G60" s="230">
        <v>0.5</v>
      </c>
      <c r="H60" s="222">
        <v>200.0</v>
      </c>
      <c r="I60" s="222">
        <v>500.0</v>
      </c>
      <c r="J60" s="207"/>
      <c r="K60" s="207"/>
      <c r="L60" s="223">
        <v>46054.0</v>
      </c>
      <c r="M60" s="223">
        <v>46082.0</v>
      </c>
      <c r="N60" s="150"/>
      <c r="O60" s="220">
        <v>-84.0</v>
      </c>
      <c r="P60" s="220">
        <v>114.0</v>
      </c>
      <c r="Q60" s="238">
        <v>46082.0</v>
      </c>
      <c r="R60" s="196" t="s">
        <v>971</v>
      </c>
      <c r="S60" s="45"/>
      <c r="T60" s="220">
        <v>711.0</v>
      </c>
      <c r="U60" s="198"/>
    </row>
    <row r="61" ht="22.5" customHeight="1">
      <c r="A61" s="211" t="s">
        <v>972</v>
      </c>
      <c r="B61" s="212" t="s">
        <v>464</v>
      </c>
      <c r="C61" s="213" t="s">
        <v>136</v>
      </c>
      <c r="D61" s="214" t="s">
        <v>904</v>
      </c>
      <c r="E61" s="212" t="s">
        <v>15</v>
      </c>
      <c r="F61" s="215">
        <v>4.0</v>
      </c>
      <c r="G61" s="215">
        <v>0.166</v>
      </c>
      <c r="H61" s="216">
        <v>200.0</v>
      </c>
      <c r="I61" s="216">
        <v>667.2</v>
      </c>
      <c r="J61" s="216">
        <v>16212.43</v>
      </c>
      <c r="K61" s="216">
        <v>16212.43</v>
      </c>
      <c r="L61" s="217">
        <v>46054.0</v>
      </c>
      <c r="M61" s="217">
        <v>46082.0</v>
      </c>
      <c r="N61" s="215">
        <v>0.0</v>
      </c>
      <c r="O61" s="215">
        <v>-84.0</v>
      </c>
      <c r="P61" s="215">
        <v>114.0</v>
      </c>
      <c r="Q61" s="203"/>
      <c r="R61" s="218" t="s">
        <v>973</v>
      </c>
      <c r="S61" s="225" t="s">
        <v>974</v>
      </c>
      <c r="T61" s="215">
        <v>712.0</v>
      </c>
      <c r="U61" s="204"/>
    </row>
    <row r="62" ht="22.5" customHeight="1">
      <c r="A62" s="192" t="s">
        <v>975</v>
      </c>
      <c r="B62" s="193" t="s">
        <v>438</v>
      </c>
      <c r="C62" s="226" t="s">
        <v>136</v>
      </c>
      <c r="D62" s="194" t="s">
        <v>906</v>
      </c>
      <c r="E62" s="193" t="s">
        <v>17</v>
      </c>
      <c r="F62" s="220">
        <v>4.0</v>
      </c>
      <c r="G62" s="230">
        <v>0.43</v>
      </c>
      <c r="H62" s="222">
        <v>8000.0</v>
      </c>
      <c r="I62" s="222">
        <v>18240.0</v>
      </c>
      <c r="J62" s="222">
        <v>18240.0</v>
      </c>
      <c r="K62" s="222">
        <v>18240.0</v>
      </c>
      <c r="L62" s="223">
        <v>46054.0</v>
      </c>
      <c r="M62" s="223">
        <v>46082.0</v>
      </c>
      <c r="N62" s="220">
        <v>0.0</v>
      </c>
      <c r="O62" s="220">
        <v>-84.0</v>
      </c>
      <c r="P62" s="220">
        <v>114.0</v>
      </c>
      <c r="Q62" s="209"/>
      <c r="R62" s="196" t="s">
        <v>976</v>
      </c>
      <c r="S62" s="227" t="s">
        <v>977</v>
      </c>
      <c r="T62" s="220">
        <v>713.0</v>
      </c>
      <c r="U62" s="198"/>
    </row>
    <row r="63" ht="22.5" customHeight="1">
      <c r="A63" s="199"/>
      <c r="B63" s="212" t="s">
        <v>440</v>
      </c>
      <c r="C63" s="213" t="s">
        <v>136</v>
      </c>
      <c r="D63" s="214" t="s">
        <v>908</v>
      </c>
      <c r="E63" s="212" t="s">
        <v>19</v>
      </c>
      <c r="F63" s="228" t="s">
        <v>978</v>
      </c>
      <c r="G63" s="210"/>
      <c r="H63" s="216">
        <v>15.0</v>
      </c>
      <c r="I63" s="216">
        <v>210.0</v>
      </c>
      <c r="J63" s="216">
        <v>26350.7</v>
      </c>
      <c r="K63" s="216">
        <v>26350.7</v>
      </c>
      <c r="L63" s="217">
        <v>46054.0</v>
      </c>
      <c r="M63" s="217">
        <v>46082.0</v>
      </c>
      <c r="N63" s="215">
        <v>0.0</v>
      </c>
      <c r="O63" s="215">
        <v>-84.0</v>
      </c>
      <c r="P63" s="215">
        <v>114.0</v>
      </c>
      <c r="Q63" s="203"/>
      <c r="R63" s="218" t="s">
        <v>979</v>
      </c>
      <c r="S63" s="225" t="s">
        <v>980</v>
      </c>
      <c r="T63" s="215">
        <v>714.0</v>
      </c>
      <c r="U63" s="204"/>
    </row>
    <row r="64" ht="22.5" customHeight="1">
      <c r="A64" s="205"/>
      <c r="B64" s="193" t="s">
        <v>483</v>
      </c>
      <c r="C64" s="226" t="s">
        <v>136</v>
      </c>
      <c r="D64" s="194" t="s">
        <v>911</v>
      </c>
      <c r="E64" s="193" t="s">
        <v>15</v>
      </c>
      <c r="F64" s="220">
        <v>5.0</v>
      </c>
      <c r="G64" s="220">
        <v>0.75</v>
      </c>
      <c r="H64" s="222">
        <v>200.0</v>
      </c>
      <c r="I64" s="222">
        <v>250.0</v>
      </c>
      <c r="J64" s="222">
        <v>6061.24</v>
      </c>
      <c r="K64" s="222">
        <v>0.0</v>
      </c>
      <c r="L64" s="223">
        <v>46068.0</v>
      </c>
      <c r="M64" s="223">
        <v>46096.0</v>
      </c>
      <c r="N64" s="220">
        <v>1.0</v>
      </c>
      <c r="O64" s="220">
        <v>-70.0</v>
      </c>
      <c r="P64" s="220">
        <v>100.0</v>
      </c>
      <c r="Q64" s="238">
        <v>46078.0</v>
      </c>
      <c r="R64" s="196" t="s">
        <v>981</v>
      </c>
      <c r="S64" s="227" t="s">
        <v>982</v>
      </c>
      <c r="T64" s="220">
        <v>715.0</v>
      </c>
      <c r="U64" s="198"/>
    </row>
    <row r="65" ht="22.5" customHeight="1">
      <c r="A65" s="199"/>
      <c r="B65" s="212" t="s">
        <v>160</v>
      </c>
      <c r="C65" s="213" t="s">
        <v>136</v>
      </c>
      <c r="D65" s="214" t="s">
        <v>913</v>
      </c>
      <c r="E65" s="212" t="s">
        <v>17</v>
      </c>
      <c r="F65" s="215">
        <v>1.0</v>
      </c>
      <c r="G65" s="210"/>
      <c r="H65" s="216">
        <v>2000.0</v>
      </c>
      <c r="I65" s="216">
        <v>2000.0</v>
      </c>
      <c r="J65" s="216">
        <v>2000.0</v>
      </c>
      <c r="K65" s="216">
        <v>0.0</v>
      </c>
      <c r="L65" s="217">
        <v>46054.0</v>
      </c>
      <c r="M65" s="217">
        <v>46082.0</v>
      </c>
      <c r="N65" s="215">
        <v>1.0</v>
      </c>
      <c r="O65" s="215">
        <v>-84.0</v>
      </c>
      <c r="P65" s="215">
        <v>114.0</v>
      </c>
      <c r="Q65" s="232">
        <v>46052.0</v>
      </c>
      <c r="R65" s="218" t="s">
        <v>983</v>
      </c>
      <c r="S65" s="225" t="s">
        <v>984</v>
      </c>
      <c r="T65" s="215">
        <v>716.0</v>
      </c>
      <c r="U65" s="204"/>
    </row>
    <row r="66" ht="22.5" customHeight="1">
      <c r="A66" s="205"/>
      <c r="B66" s="193" t="s">
        <v>915</v>
      </c>
      <c r="C66" s="219" t="s">
        <v>684</v>
      </c>
      <c r="D66" s="194" t="s">
        <v>916</v>
      </c>
      <c r="E66" s="193" t="s">
        <v>17</v>
      </c>
      <c r="F66" s="220">
        <v>3.0</v>
      </c>
      <c r="G66" s="230">
        <v>0.25</v>
      </c>
      <c r="H66" s="197" t="s">
        <v>917</v>
      </c>
      <c r="I66" s="222">
        <v>9000.0</v>
      </c>
      <c r="J66" s="207"/>
      <c r="K66" s="207"/>
      <c r="L66" s="223">
        <v>46054.0</v>
      </c>
      <c r="M66" s="223">
        <v>46082.0</v>
      </c>
      <c r="N66" s="150"/>
      <c r="O66" s="220">
        <v>-84.0</v>
      </c>
      <c r="P66" s="220">
        <v>114.0</v>
      </c>
      <c r="Q66" s="209"/>
      <c r="R66" s="196" t="s">
        <v>985</v>
      </c>
      <c r="S66" s="45"/>
      <c r="T66" s="220">
        <v>717.0</v>
      </c>
      <c r="U66" s="198"/>
    </row>
    <row r="67" ht="22.5" customHeight="1">
      <c r="A67" s="199"/>
      <c r="B67" s="212" t="s">
        <v>153</v>
      </c>
      <c r="C67" s="213" t="s">
        <v>136</v>
      </c>
      <c r="D67" s="214" t="s">
        <v>919</v>
      </c>
      <c r="E67" s="212" t="s">
        <v>108</v>
      </c>
      <c r="F67" s="228" t="s">
        <v>986</v>
      </c>
      <c r="G67" s="210"/>
      <c r="H67" s="216">
        <v>25.0</v>
      </c>
      <c r="I67" s="216">
        <v>820.0</v>
      </c>
      <c r="J67" s="216">
        <v>59222.74</v>
      </c>
      <c r="K67" s="216">
        <v>0.0</v>
      </c>
      <c r="L67" s="217">
        <v>46054.0</v>
      </c>
      <c r="M67" s="217">
        <v>46082.0</v>
      </c>
      <c r="N67" s="215">
        <v>1.0</v>
      </c>
      <c r="O67" s="215">
        <v>-84.0</v>
      </c>
      <c r="P67" s="215">
        <v>114.0</v>
      </c>
      <c r="Q67" s="232">
        <v>46046.0</v>
      </c>
      <c r="R67" s="218" t="s">
        <v>987</v>
      </c>
      <c r="S67" s="225" t="s">
        <v>988</v>
      </c>
      <c r="T67" s="215">
        <v>718.0</v>
      </c>
      <c r="U67" s="204"/>
    </row>
    <row r="68" ht="22.5" hidden="1" customHeight="1">
      <c r="A68" s="205"/>
      <c r="B68" s="193" t="s">
        <v>923</v>
      </c>
      <c r="C68" s="233" t="s">
        <v>577</v>
      </c>
      <c r="D68" s="234"/>
      <c r="E68" s="209"/>
      <c r="F68" s="150"/>
      <c r="G68" s="221"/>
      <c r="H68" s="207"/>
      <c r="I68" s="197" t="s">
        <v>924</v>
      </c>
      <c r="J68" s="222">
        <v>165781.91</v>
      </c>
      <c r="K68" s="222">
        <v>75638.09</v>
      </c>
      <c r="L68" s="208"/>
      <c r="M68" s="208"/>
      <c r="N68" s="150"/>
      <c r="O68" s="150"/>
      <c r="P68" s="150"/>
      <c r="Q68" s="209"/>
      <c r="R68" s="45"/>
      <c r="S68" s="45"/>
      <c r="T68" s="150"/>
      <c r="U68" s="198"/>
    </row>
    <row r="69" ht="22.5" hidden="1" customHeight="1">
      <c r="A69" s="199"/>
      <c r="B69" s="212" t="s">
        <v>558</v>
      </c>
      <c r="C69" s="235" t="s">
        <v>644</v>
      </c>
      <c r="D69" s="236"/>
      <c r="E69" s="236"/>
      <c r="F69" s="147"/>
      <c r="G69" s="210"/>
      <c r="H69" s="201"/>
      <c r="I69" s="237" t="s">
        <v>925</v>
      </c>
      <c r="J69" s="216">
        <v>907657.05</v>
      </c>
      <c r="K69" s="201"/>
      <c r="L69" s="202"/>
      <c r="M69" s="218" t="s">
        <v>926</v>
      </c>
      <c r="N69" s="147"/>
      <c r="O69" s="147"/>
      <c r="P69" s="147"/>
      <c r="Q69" s="203"/>
      <c r="R69" s="236"/>
      <c r="S69" s="236"/>
      <c r="T69" s="215">
        <v>718.0</v>
      </c>
      <c r="U69" s="204"/>
    </row>
    <row r="70" ht="22.5" hidden="1" customHeight="1">
      <c r="A70" s="205"/>
      <c r="B70" s="193" t="s">
        <v>696</v>
      </c>
      <c r="C70" s="238" t="s">
        <v>989</v>
      </c>
      <c r="D70" s="234"/>
      <c r="E70" s="234"/>
      <c r="F70" s="150"/>
      <c r="G70" s="150"/>
      <c r="H70" s="207"/>
      <c r="I70" s="197" t="s">
        <v>928</v>
      </c>
      <c r="J70" s="222">
        <v>887453.72</v>
      </c>
      <c r="K70" s="207"/>
      <c r="L70" s="208"/>
      <c r="M70" s="208"/>
      <c r="N70" s="150"/>
      <c r="O70" s="150"/>
      <c r="P70" s="150"/>
      <c r="Q70" s="209"/>
      <c r="R70" s="234"/>
      <c r="S70" s="234"/>
      <c r="T70" s="150"/>
      <c r="U70" s="198"/>
    </row>
    <row r="71" ht="22.5" hidden="1" customHeight="1">
      <c r="A71" s="199"/>
      <c r="B71" s="146"/>
      <c r="C71" s="200"/>
      <c r="D71" s="200"/>
      <c r="E71" s="200"/>
      <c r="F71" s="147"/>
      <c r="G71" s="147"/>
      <c r="H71" s="201"/>
      <c r="I71" s="201"/>
      <c r="J71" s="201"/>
      <c r="K71" s="201"/>
      <c r="L71" s="202"/>
      <c r="M71" s="202"/>
      <c r="N71" s="147"/>
      <c r="O71" s="147"/>
      <c r="P71" s="147"/>
      <c r="Q71" s="203"/>
      <c r="R71" s="186"/>
      <c r="S71" s="186"/>
      <c r="T71" s="147"/>
      <c r="U71" s="204"/>
    </row>
    <row r="72" ht="22.5" hidden="1" customHeight="1">
      <c r="A72" s="205"/>
      <c r="B72" s="82"/>
      <c r="C72" s="206"/>
      <c r="D72" s="206"/>
      <c r="E72" s="206"/>
      <c r="F72" s="150"/>
      <c r="G72" s="221"/>
      <c r="H72" s="207"/>
      <c r="I72" s="207"/>
      <c r="J72" s="207"/>
      <c r="K72" s="207"/>
      <c r="L72" s="208"/>
      <c r="M72" s="208"/>
      <c r="N72" s="150"/>
      <c r="O72" s="150"/>
      <c r="P72" s="150"/>
      <c r="Q72" s="209"/>
      <c r="R72" s="45"/>
      <c r="S72" s="45"/>
      <c r="T72" s="150"/>
      <c r="U72" s="198"/>
    </row>
    <row r="73" ht="22.5" hidden="1" customHeight="1">
      <c r="A73" s="199"/>
      <c r="B73" s="146"/>
      <c r="C73" s="200"/>
      <c r="D73" s="200"/>
      <c r="E73" s="200"/>
      <c r="F73" s="147"/>
      <c r="G73" s="210"/>
      <c r="H73" s="201"/>
      <c r="I73" s="201"/>
      <c r="J73" s="201"/>
      <c r="K73" s="201"/>
      <c r="L73" s="202"/>
      <c r="M73" s="202"/>
      <c r="N73" s="147"/>
      <c r="O73" s="147"/>
      <c r="P73" s="147"/>
      <c r="Q73" s="203"/>
      <c r="R73" s="186"/>
      <c r="S73" s="186"/>
      <c r="T73" s="147"/>
      <c r="U73" s="204"/>
    </row>
    <row r="74" ht="22.5" hidden="1" customHeight="1">
      <c r="A74" s="205"/>
      <c r="B74" s="82"/>
      <c r="C74" s="206"/>
      <c r="D74" s="206"/>
      <c r="E74" s="206"/>
      <c r="F74" s="150"/>
      <c r="G74" s="221"/>
      <c r="H74" s="207"/>
      <c r="I74" s="207"/>
      <c r="J74" s="207"/>
      <c r="K74" s="207"/>
      <c r="L74" s="208"/>
      <c r="M74" s="208"/>
      <c r="N74" s="150"/>
      <c r="O74" s="150"/>
      <c r="P74" s="150"/>
      <c r="Q74" s="209"/>
      <c r="R74" s="45"/>
      <c r="S74" s="45"/>
      <c r="T74" s="150"/>
      <c r="U74" s="198"/>
    </row>
    <row r="75" ht="22.5" hidden="1" customHeight="1">
      <c r="A75" s="211" t="s">
        <v>181</v>
      </c>
      <c r="B75" s="212" t="s">
        <v>132</v>
      </c>
      <c r="C75" s="212" t="s">
        <v>131</v>
      </c>
      <c r="D75" s="214" t="s">
        <v>870</v>
      </c>
      <c r="E75" s="212" t="s">
        <v>7</v>
      </c>
      <c r="F75" s="228" t="s">
        <v>871</v>
      </c>
      <c r="G75" s="218" t="s">
        <v>872</v>
      </c>
      <c r="H75" s="237" t="s">
        <v>8</v>
      </c>
      <c r="I75" s="237" t="s">
        <v>873</v>
      </c>
      <c r="J75" s="237" t="s">
        <v>17</v>
      </c>
      <c r="K75" s="237" t="s">
        <v>874</v>
      </c>
      <c r="L75" s="218" t="s">
        <v>875</v>
      </c>
      <c r="M75" s="218" t="s">
        <v>876</v>
      </c>
      <c r="N75" s="228" t="s">
        <v>877</v>
      </c>
      <c r="O75" s="228" t="s">
        <v>878</v>
      </c>
      <c r="P75" s="228" t="s">
        <v>879</v>
      </c>
      <c r="Q75" s="218" t="s">
        <v>880</v>
      </c>
      <c r="R75" s="218" t="s">
        <v>881</v>
      </c>
      <c r="S75" s="218" t="s">
        <v>882</v>
      </c>
      <c r="T75" s="228" t="s">
        <v>557</v>
      </c>
      <c r="U75" s="204"/>
    </row>
    <row r="76" ht="22.5" customHeight="1">
      <c r="A76" s="192" t="s">
        <v>990</v>
      </c>
      <c r="B76" s="193" t="s">
        <v>402</v>
      </c>
      <c r="C76" s="226" t="s">
        <v>136</v>
      </c>
      <c r="D76" s="194" t="s">
        <v>991</v>
      </c>
      <c r="E76" s="193" t="s">
        <v>15</v>
      </c>
      <c r="F76" s="220">
        <v>3.0</v>
      </c>
      <c r="G76" s="150"/>
      <c r="H76" s="222">
        <v>200.0</v>
      </c>
      <c r="I76" s="222">
        <v>600.0</v>
      </c>
      <c r="J76" s="222">
        <v>14375.75</v>
      </c>
      <c r="K76" s="222">
        <v>4785.0</v>
      </c>
      <c r="L76" s="223">
        <v>46023.0</v>
      </c>
      <c r="M76" s="223">
        <v>46054.0</v>
      </c>
      <c r="N76" s="220">
        <v>1.0</v>
      </c>
      <c r="O76" s="220">
        <v>-112.0</v>
      </c>
      <c r="P76" s="220">
        <v>142.0</v>
      </c>
      <c r="Q76" s="238">
        <v>46050.0</v>
      </c>
      <c r="R76" s="196" t="s">
        <v>992</v>
      </c>
      <c r="S76" s="227" t="s">
        <v>993</v>
      </c>
      <c r="T76" s="220">
        <v>689.0</v>
      </c>
      <c r="U76" s="198"/>
    </row>
    <row r="77" ht="22.5" customHeight="1">
      <c r="A77" s="199"/>
      <c r="B77" s="212" t="s">
        <v>454</v>
      </c>
      <c r="C77" s="231" t="s">
        <v>684</v>
      </c>
      <c r="D77" s="214" t="s">
        <v>886</v>
      </c>
      <c r="E77" s="212" t="s">
        <v>17</v>
      </c>
      <c r="F77" s="215">
        <v>3.0</v>
      </c>
      <c r="G77" s="147"/>
      <c r="H77" s="216">
        <v>3000.0</v>
      </c>
      <c r="I77" s="216">
        <v>5000.0</v>
      </c>
      <c r="J77" s="201"/>
      <c r="K77" s="201"/>
      <c r="L77" s="217">
        <v>46023.0</v>
      </c>
      <c r="M77" s="217">
        <v>46054.0</v>
      </c>
      <c r="N77" s="147"/>
      <c r="O77" s="215">
        <v>-112.0</v>
      </c>
      <c r="P77" s="215">
        <v>142.0</v>
      </c>
      <c r="Q77" s="203"/>
      <c r="R77" s="218" t="s">
        <v>994</v>
      </c>
      <c r="S77" s="186"/>
      <c r="T77" s="215">
        <v>690.0</v>
      </c>
      <c r="U77" s="204"/>
    </row>
    <row r="78" ht="22.5" customHeight="1">
      <c r="A78" s="205"/>
      <c r="B78" s="193" t="s">
        <v>414</v>
      </c>
      <c r="C78" s="226" t="s">
        <v>136</v>
      </c>
      <c r="D78" s="194" t="s">
        <v>888</v>
      </c>
      <c r="E78" s="193" t="s">
        <v>17</v>
      </c>
      <c r="F78" s="220">
        <v>3.0</v>
      </c>
      <c r="G78" s="230">
        <v>0.38</v>
      </c>
      <c r="H78" s="222">
        <v>4000.0</v>
      </c>
      <c r="I78" s="222">
        <v>7500.0</v>
      </c>
      <c r="J78" s="222">
        <v>7500.0</v>
      </c>
      <c r="K78" s="222">
        <v>7500.0</v>
      </c>
      <c r="L78" s="223">
        <v>46023.0</v>
      </c>
      <c r="M78" s="223">
        <v>46054.0</v>
      </c>
      <c r="N78" s="220">
        <v>0.0</v>
      </c>
      <c r="O78" s="220">
        <v>-112.0</v>
      </c>
      <c r="P78" s="220">
        <v>142.0</v>
      </c>
      <c r="Q78" s="209"/>
      <c r="R78" s="196" t="s">
        <v>995</v>
      </c>
      <c r="S78" s="227" t="s">
        <v>996</v>
      </c>
      <c r="T78" s="220">
        <v>691.0</v>
      </c>
      <c r="U78" s="198"/>
    </row>
    <row r="79" ht="22.5" customHeight="1">
      <c r="A79" s="199"/>
      <c r="B79" s="212" t="s">
        <v>460</v>
      </c>
      <c r="C79" s="231" t="s">
        <v>684</v>
      </c>
      <c r="D79" s="214" t="s">
        <v>964</v>
      </c>
      <c r="E79" s="212" t="s">
        <v>17</v>
      </c>
      <c r="F79" s="215">
        <v>1.0</v>
      </c>
      <c r="G79" s="147"/>
      <c r="H79" s="216">
        <v>4000.0</v>
      </c>
      <c r="I79" s="216">
        <v>4000.0</v>
      </c>
      <c r="J79" s="201"/>
      <c r="K79" s="201"/>
      <c r="L79" s="217">
        <v>46023.0</v>
      </c>
      <c r="M79" s="217">
        <v>46054.0</v>
      </c>
      <c r="N79" s="147"/>
      <c r="O79" s="215">
        <v>-112.0</v>
      </c>
      <c r="P79" s="215">
        <v>142.0</v>
      </c>
      <c r="Q79" s="203"/>
      <c r="R79" s="218" t="s">
        <v>997</v>
      </c>
      <c r="S79" s="186"/>
      <c r="T79" s="215">
        <v>692.0</v>
      </c>
      <c r="U79" s="204"/>
    </row>
    <row r="80" ht="22.5" customHeight="1">
      <c r="A80" s="205"/>
      <c r="B80" s="193" t="s">
        <v>301</v>
      </c>
      <c r="C80" s="194" t="s">
        <v>694</v>
      </c>
      <c r="D80" s="194" t="s">
        <v>895</v>
      </c>
      <c r="E80" s="193" t="s">
        <v>17</v>
      </c>
      <c r="F80" s="220">
        <v>6.35</v>
      </c>
      <c r="G80" s="150"/>
      <c r="H80" s="222">
        <v>1250.0</v>
      </c>
      <c r="I80" s="222">
        <v>7937.5</v>
      </c>
      <c r="J80" s="207"/>
      <c r="K80" s="207"/>
      <c r="L80" s="223">
        <v>46023.0</v>
      </c>
      <c r="M80" s="223">
        <v>46054.0</v>
      </c>
      <c r="N80" s="150"/>
      <c r="O80" s="220">
        <v>-112.0</v>
      </c>
      <c r="P80" s="220">
        <v>142.0</v>
      </c>
      <c r="Q80" s="209"/>
      <c r="R80" s="196" t="s">
        <v>998</v>
      </c>
      <c r="S80" s="45"/>
      <c r="T80" s="220">
        <v>693.0</v>
      </c>
      <c r="U80" s="198"/>
    </row>
    <row r="81" ht="22.5" customHeight="1">
      <c r="A81" s="199"/>
      <c r="B81" s="212" t="s">
        <v>477</v>
      </c>
      <c r="C81" s="213" t="s">
        <v>136</v>
      </c>
      <c r="D81" s="214" t="s">
        <v>897</v>
      </c>
      <c r="E81" s="212" t="s">
        <v>100</v>
      </c>
      <c r="F81" s="215">
        <v>2.0</v>
      </c>
      <c r="G81" s="147"/>
      <c r="H81" s="216">
        <v>40.0</v>
      </c>
      <c r="I81" s="216">
        <v>80.0</v>
      </c>
      <c r="J81" s="216">
        <v>7196.95</v>
      </c>
      <c r="K81" s="216">
        <v>0.0</v>
      </c>
      <c r="L81" s="217">
        <v>46023.0</v>
      </c>
      <c r="M81" s="217">
        <v>46054.0</v>
      </c>
      <c r="N81" s="215">
        <v>1.0</v>
      </c>
      <c r="O81" s="215">
        <v>-112.0</v>
      </c>
      <c r="P81" s="215">
        <v>142.0</v>
      </c>
      <c r="Q81" s="232">
        <v>46062.0</v>
      </c>
      <c r="R81" s="218" t="s">
        <v>999</v>
      </c>
      <c r="S81" s="225" t="s">
        <v>1000</v>
      </c>
      <c r="T81" s="215">
        <v>694.0</v>
      </c>
      <c r="U81" s="204"/>
    </row>
    <row r="82" ht="22.5" customHeight="1">
      <c r="A82" s="205"/>
      <c r="B82" s="193" t="s">
        <v>472</v>
      </c>
      <c r="C82" s="226" t="s">
        <v>136</v>
      </c>
      <c r="D82" s="194" t="s">
        <v>899</v>
      </c>
      <c r="E82" s="193" t="s">
        <v>17</v>
      </c>
      <c r="F82" s="220">
        <v>3.0</v>
      </c>
      <c r="G82" s="230">
        <v>0.25</v>
      </c>
      <c r="H82" s="222">
        <v>8000.0</v>
      </c>
      <c r="I82" s="222">
        <v>18000.0</v>
      </c>
      <c r="J82" s="222">
        <v>18000.0</v>
      </c>
      <c r="K82" s="222">
        <v>0.0</v>
      </c>
      <c r="L82" s="223">
        <v>46023.0</v>
      </c>
      <c r="M82" s="223">
        <v>46054.0</v>
      </c>
      <c r="N82" s="220">
        <v>1.0</v>
      </c>
      <c r="O82" s="220">
        <v>-112.0</v>
      </c>
      <c r="P82" s="220">
        <v>142.0</v>
      </c>
      <c r="Q82" s="238">
        <v>46038.0</v>
      </c>
      <c r="R82" s="196" t="s">
        <v>1001</v>
      </c>
      <c r="S82" s="227" t="s">
        <v>1002</v>
      </c>
      <c r="T82" s="220">
        <v>695.0</v>
      </c>
      <c r="U82" s="198"/>
    </row>
    <row r="83" ht="22.5" customHeight="1">
      <c r="A83" s="199"/>
      <c r="B83" s="212" t="s">
        <v>470</v>
      </c>
      <c r="C83" s="214" t="s">
        <v>1003</v>
      </c>
      <c r="D83" s="214" t="s">
        <v>1004</v>
      </c>
      <c r="E83" s="212" t="s">
        <v>15</v>
      </c>
      <c r="F83" s="215">
        <v>1.0</v>
      </c>
      <c r="G83" s="210"/>
      <c r="H83" s="216">
        <v>26000.0</v>
      </c>
      <c r="I83" s="216">
        <v>26000.0</v>
      </c>
      <c r="J83" s="201"/>
      <c r="K83" s="201"/>
      <c r="L83" s="217">
        <v>46023.0</v>
      </c>
      <c r="M83" s="217">
        <v>46054.0</v>
      </c>
      <c r="N83" s="147"/>
      <c r="O83" s="215">
        <v>-112.0</v>
      </c>
      <c r="P83" s="215">
        <v>142.0</v>
      </c>
      <c r="Q83" s="203"/>
      <c r="R83" s="218" t="s">
        <v>1005</v>
      </c>
      <c r="S83" s="186"/>
      <c r="T83" s="215">
        <v>696.0</v>
      </c>
      <c r="U83" s="204"/>
    </row>
    <row r="84" ht="22.5" customHeight="1">
      <c r="A84" s="205"/>
      <c r="B84" s="193" t="s">
        <v>464</v>
      </c>
      <c r="C84" s="226" t="s">
        <v>136</v>
      </c>
      <c r="D84" s="194" t="s">
        <v>904</v>
      </c>
      <c r="E84" s="193" t="s">
        <v>15</v>
      </c>
      <c r="F84" s="220">
        <v>4.0</v>
      </c>
      <c r="G84" s="230">
        <v>0.17</v>
      </c>
      <c r="H84" s="222">
        <v>200.0</v>
      </c>
      <c r="I84" s="222">
        <v>667.2</v>
      </c>
      <c r="J84" s="222">
        <v>15985.84</v>
      </c>
      <c r="K84" s="222">
        <v>15985.84</v>
      </c>
      <c r="L84" s="223">
        <v>46023.0</v>
      </c>
      <c r="M84" s="223">
        <v>46054.0</v>
      </c>
      <c r="N84" s="220">
        <v>0.0</v>
      </c>
      <c r="O84" s="220">
        <v>-112.0</v>
      </c>
      <c r="P84" s="220">
        <v>142.0</v>
      </c>
      <c r="Q84" s="209"/>
      <c r="R84" s="196" t="s">
        <v>1006</v>
      </c>
      <c r="S84" s="227" t="s">
        <v>1007</v>
      </c>
      <c r="T84" s="220">
        <v>697.0</v>
      </c>
      <c r="U84" s="198"/>
    </row>
    <row r="85" ht="22.5" customHeight="1">
      <c r="A85" s="211" t="s">
        <v>975</v>
      </c>
      <c r="B85" s="212" t="s">
        <v>438</v>
      </c>
      <c r="C85" s="213" t="s">
        <v>136</v>
      </c>
      <c r="D85" s="214" t="s">
        <v>906</v>
      </c>
      <c r="E85" s="212" t="s">
        <v>17</v>
      </c>
      <c r="F85" s="215">
        <v>4.0</v>
      </c>
      <c r="G85" s="224">
        <v>0.43</v>
      </c>
      <c r="H85" s="216">
        <v>8000.0</v>
      </c>
      <c r="I85" s="216">
        <v>18240.0</v>
      </c>
      <c r="J85" s="216">
        <v>18240.0</v>
      </c>
      <c r="K85" s="216">
        <v>18240.0</v>
      </c>
      <c r="L85" s="217">
        <v>46023.0</v>
      </c>
      <c r="M85" s="217">
        <v>46054.0</v>
      </c>
      <c r="N85" s="215">
        <v>0.0</v>
      </c>
      <c r="O85" s="215">
        <v>-112.0</v>
      </c>
      <c r="P85" s="215">
        <v>142.0</v>
      </c>
      <c r="Q85" s="203"/>
      <c r="R85" s="218" t="s">
        <v>1008</v>
      </c>
      <c r="S85" s="225" t="s">
        <v>1009</v>
      </c>
      <c r="T85" s="215">
        <v>698.0</v>
      </c>
      <c r="U85" s="204"/>
    </row>
    <row r="86" ht="22.5" customHeight="1">
      <c r="A86" s="205"/>
      <c r="B86" s="193" t="s">
        <v>440</v>
      </c>
      <c r="C86" s="226" t="s">
        <v>136</v>
      </c>
      <c r="D86" s="194" t="s">
        <v>908</v>
      </c>
      <c r="E86" s="193" t="s">
        <v>19</v>
      </c>
      <c r="F86" s="220">
        <v>8.0</v>
      </c>
      <c r="G86" s="150"/>
      <c r="H86" s="222">
        <v>15.0</v>
      </c>
      <c r="I86" s="222">
        <v>120.0</v>
      </c>
      <c r="J86" s="222">
        <v>14516.75</v>
      </c>
      <c r="K86" s="222">
        <v>14516.75</v>
      </c>
      <c r="L86" s="223">
        <v>46023.0</v>
      </c>
      <c r="M86" s="223">
        <v>46054.0</v>
      </c>
      <c r="N86" s="220">
        <v>0.0</v>
      </c>
      <c r="O86" s="220">
        <v>-112.0</v>
      </c>
      <c r="P86" s="220">
        <v>142.0</v>
      </c>
      <c r="Q86" s="209"/>
      <c r="R86" s="196" t="s">
        <v>1010</v>
      </c>
      <c r="S86" s="227" t="s">
        <v>1011</v>
      </c>
      <c r="T86" s="220">
        <v>699.0</v>
      </c>
      <c r="U86" s="198"/>
    </row>
    <row r="87" ht="22.5" customHeight="1">
      <c r="A87" s="199"/>
      <c r="B87" s="212" t="s">
        <v>186</v>
      </c>
      <c r="C87" s="229" t="s">
        <v>685</v>
      </c>
      <c r="D87" s="214" t="s">
        <v>1012</v>
      </c>
      <c r="E87" s="212" t="s">
        <v>187</v>
      </c>
      <c r="F87" s="215">
        <v>2.0</v>
      </c>
      <c r="G87" s="147"/>
      <c r="H87" s="216">
        <v>200.0</v>
      </c>
      <c r="I87" s="216">
        <v>400.0</v>
      </c>
      <c r="J87" s="201"/>
      <c r="K87" s="201"/>
      <c r="L87" s="217">
        <v>46023.0</v>
      </c>
      <c r="M87" s="217">
        <v>46054.0</v>
      </c>
      <c r="N87" s="147"/>
      <c r="O87" s="215">
        <v>-112.0</v>
      </c>
      <c r="P87" s="215">
        <v>142.0</v>
      </c>
      <c r="Q87" s="203"/>
      <c r="R87" s="218" t="s">
        <v>1013</v>
      </c>
      <c r="S87" s="186"/>
      <c r="T87" s="215">
        <v>700.0</v>
      </c>
      <c r="U87" s="204"/>
    </row>
    <row r="88" ht="22.5" customHeight="1">
      <c r="A88" s="205"/>
      <c r="B88" s="193" t="s">
        <v>160</v>
      </c>
      <c r="C88" s="226" t="s">
        <v>136</v>
      </c>
      <c r="D88" s="194" t="s">
        <v>913</v>
      </c>
      <c r="E88" s="193" t="s">
        <v>17</v>
      </c>
      <c r="F88" s="220">
        <v>1.0</v>
      </c>
      <c r="G88" s="221"/>
      <c r="H88" s="222">
        <v>2000.0</v>
      </c>
      <c r="I88" s="222">
        <v>2000.0</v>
      </c>
      <c r="J88" s="222">
        <v>2000.0</v>
      </c>
      <c r="K88" s="222">
        <v>0.0</v>
      </c>
      <c r="L88" s="223">
        <v>46023.0</v>
      </c>
      <c r="M88" s="223">
        <v>46054.0</v>
      </c>
      <c r="N88" s="220">
        <v>1.0</v>
      </c>
      <c r="O88" s="220">
        <v>-112.0</v>
      </c>
      <c r="P88" s="220">
        <v>142.0</v>
      </c>
      <c r="Q88" s="238">
        <v>46052.0</v>
      </c>
      <c r="R88" s="196" t="s">
        <v>1014</v>
      </c>
      <c r="S88" s="227" t="s">
        <v>1015</v>
      </c>
      <c r="T88" s="220">
        <v>701.0</v>
      </c>
      <c r="U88" s="198"/>
    </row>
    <row r="89" ht="22.5" customHeight="1">
      <c r="A89" s="199"/>
      <c r="B89" s="212" t="s">
        <v>915</v>
      </c>
      <c r="C89" s="231" t="s">
        <v>684</v>
      </c>
      <c r="D89" s="214" t="s">
        <v>916</v>
      </c>
      <c r="E89" s="212" t="s">
        <v>17</v>
      </c>
      <c r="F89" s="215">
        <v>3.0</v>
      </c>
      <c r="G89" s="215">
        <v>0.25</v>
      </c>
      <c r="H89" s="237" t="s">
        <v>917</v>
      </c>
      <c r="I89" s="216">
        <v>9000.0</v>
      </c>
      <c r="J89" s="201"/>
      <c r="K89" s="201"/>
      <c r="L89" s="217">
        <v>46023.0</v>
      </c>
      <c r="M89" s="217">
        <v>46054.0</v>
      </c>
      <c r="N89" s="147"/>
      <c r="O89" s="215">
        <v>-112.0</v>
      </c>
      <c r="P89" s="215">
        <v>142.0</v>
      </c>
      <c r="Q89" s="203"/>
      <c r="R89" s="218" t="s">
        <v>1016</v>
      </c>
      <c r="S89" s="186"/>
      <c r="T89" s="215">
        <v>702.0</v>
      </c>
      <c r="U89" s="204"/>
    </row>
    <row r="90" ht="22.5" customHeight="1">
      <c r="A90" s="205"/>
      <c r="B90" s="193" t="s">
        <v>153</v>
      </c>
      <c r="C90" s="226" t="s">
        <v>136</v>
      </c>
      <c r="D90" s="194" t="s">
        <v>919</v>
      </c>
      <c r="E90" s="193" t="s">
        <v>108</v>
      </c>
      <c r="F90" s="195" t="s">
        <v>1017</v>
      </c>
      <c r="G90" s="221"/>
      <c r="H90" s="222">
        <v>25.0</v>
      </c>
      <c r="I90" s="222">
        <v>56.25</v>
      </c>
      <c r="J90" s="222">
        <v>3929.8</v>
      </c>
      <c r="K90" s="222">
        <v>0.0</v>
      </c>
      <c r="L90" s="223">
        <v>46023.0</v>
      </c>
      <c r="M90" s="223">
        <v>46054.0</v>
      </c>
      <c r="N90" s="220">
        <v>1.0</v>
      </c>
      <c r="O90" s="220">
        <v>-112.0</v>
      </c>
      <c r="P90" s="220">
        <v>142.0</v>
      </c>
      <c r="Q90" s="238">
        <v>46046.0</v>
      </c>
      <c r="R90" s="196" t="s">
        <v>1018</v>
      </c>
      <c r="S90" s="227" t="s">
        <v>1019</v>
      </c>
      <c r="T90" s="220">
        <v>703.0</v>
      </c>
      <c r="U90" s="198"/>
    </row>
    <row r="91" ht="22.5" hidden="1" customHeight="1">
      <c r="A91" s="199"/>
      <c r="B91" s="212" t="s">
        <v>923</v>
      </c>
      <c r="C91" s="240" t="s">
        <v>575</v>
      </c>
      <c r="D91" s="236"/>
      <c r="E91" s="203"/>
      <c r="F91" s="147"/>
      <c r="G91" s="210"/>
      <c r="H91" s="201"/>
      <c r="I91" s="237" t="s">
        <v>924</v>
      </c>
      <c r="J91" s="216">
        <v>101745.09</v>
      </c>
      <c r="K91" s="216">
        <v>61027.59</v>
      </c>
      <c r="L91" s="202"/>
      <c r="M91" s="202"/>
      <c r="N91" s="147"/>
      <c r="O91" s="147"/>
      <c r="P91" s="147"/>
      <c r="Q91" s="203"/>
      <c r="R91" s="186"/>
      <c r="S91" s="186"/>
      <c r="T91" s="147"/>
      <c r="U91" s="204"/>
    </row>
    <row r="92" ht="22.5" hidden="1" customHeight="1">
      <c r="A92" s="205"/>
      <c r="B92" s="193" t="s">
        <v>558</v>
      </c>
      <c r="C92" s="241" t="s">
        <v>642</v>
      </c>
      <c r="D92" s="234"/>
      <c r="E92" s="234"/>
      <c r="F92" s="150"/>
      <c r="G92" s="150"/>
      <c r="H92" s="207"/>
      <c r="I92" s="197" t="s">
        <v>925</v>
      </c>
      <c r="J92" s="222">
        <v>732331.03</v>
      </c>
      <c r="K92" s="207"/>
      <c r="L92" s="208"/>
      <c r="M92" s="196" t="s">
        <v>926</v>
      </c>
      <c r="N92" s="150"/>
      <c r="O92" s="150"/>
      <c r="P92" s="150"/>
      <c r="Q92" s="209"/>
      <c r="R92" s="234"/>
      <c r="S92" s="234"/>
      <c r="T92" s="220">
        <v>703.0</v>
      </c>
      <c r="U92" s="198"/>
    </row>
    <row r="93" ht="22.5" hidden="1" customHeight="1">
      <c r="A93" s="199"/>
      <c r="B93" s="212" t="s">
        <v>696</v>
      </c>
      <c r="C93" s="232" t="s">
        <v>1020</v>
      </c>
      <c r="D93" s="236"/>
      <c r="E93" s="236"/>
      <c r="F93" s="147"/>
      <c r="G93" s="210"/>
      <c r="H93" s="201"/>
      <c r="I93" s="237" t="s">
        <v>928</v>
      </c>
      <c r="J93" s="216">
        <v>811815.64</v>
      </c>
      <c r="K93" s="201"/>
      <c r="L93" s="202"/>
      <c r="M93" s="202"/>
      <c r="N93" s="147"/>
      <c r="O93" s="147"/>
      <c r="P93" s="147"/>
      <c r="Q93" s="203"/>
      <c r="R93" s="236"/>
      <c r="S93" s="236"/>
      <c r="T93" s="147"/>
      <c r="U93" s="204"/>
    </row>
    <row r="94" ht="22.5" hidden="1" customHeight="1">
      <c r="A94" s="205"/>
      <c r="B94" s="82"/>
      <c r="C94" s="206"/>
      <c r="D94" s="206"/>
      <c r="E94" s="206"/>
      <c r="F94" s="150"/>
      <c r="G94" s="150"/>
      <c r="H94" s="207"/>
      <c r="I94" s="207"/>
      <c r="J94" s="207"/>
      <c r="K94" s="207"/>
      <c r="L94" s="208"/>
      <c r="M94" s="208"/>
      <c r="N94" s="150"/>
      <c r="O94" s="150"/>
      <c r="P94" s="150"/>
      <c r="Q94" s="209"/>
      <c r="R94" s="45"/>
      <c r="S94" s="45"/>
      <c r="T94" s="150"/>
      <c r="U94" s="198"/>
    </row>
    <row r="95" ht="22.5" hidden="1" customHeight="1">
      <c r="A95" s="199"/>
      <c r="B95" s="146"/>
      <c r="C95" s="200"/>
      <c r="D95" s="200"/>
      <c r="E95" s="200"/>
      <c r="F95" s="147"/>
      <c r="G95" s="210"/>
      <c r="H95" s="201"/>
      <c r="I95" s="201"/>
      <c r="J95" s="201"/>
      <c r="K95" s="201"/>
      <c r="L95" s="202"/>
      <c r="M95" s="202"/>
      <c r="N95" s="147"/>
      <c r="O95" s="147"/>
      <c r="P95" s="147"/>
      <c r="Q95" s="203"/>
      <c r="R95" s="186"/>
      <c r="S95" s="186"/>
      <c r="T95" s="147"/>
      <c r="U95" s="204"/>
    </row>
    <row r="96" ht="22.5" hidden="1" customHeight="1">
      <c r="A96" s="205"/>
      <c r="B96" s="82"/>
      <c r="C96" s="206"/>
      <c r="D96" s="206"/>
      <c r="E96" s="206"/>
      <c r="F96" s="150"/>
      <c r="G96" s="221"/>
      <c r="H96" s="207"/>
      <c r="I96" s="207"/>
      <c r="J96" s="207"/>
      <c r="K96" s="207"/>
      <c r="L96" s="208"/>
      <c r="M96" s="208"/>
      <c r="N96" s="150"/>
      <c r="O96" s="150"/>
      <c r="P96" s="150"/>
      <c r="Q96" s="209"/>
      <c r="R96" s="45"/>
      <c r="S96" s="45"/>
      <c r="T96" s="150"/>
      <c r="U96" s="198"/>
    </row>
    <row r="97" ht="22.5" hidden="1" customHeight="1">
      <c r="A97" s="199"/>
      <c r="B97" s="146"/>
      <c r="C97" s="200"/>
      <c r="D97" s="200"/>
      <c r="E97" s="200"/>
      <c r="F97" s="147"/>
      <c r="G97" s="210"/>
      <c r="H97" s="201"/>
      <c r="I97" s="201"/>
      <c r="J97" s="201"/>
      <c r="K97" s="201"/>
      <c r="L97" s="202"/>
      <c r="M97" s="202"/>
      <c r="N97" s="147"/>
      <c r="O97" s="147"/>
      <c r="P97" s="147"/>
      <c r="Q97" s="203"/>
      <c r="R97" s="186"/>
      <c r="S97" s="186"/>
      <c r="T97" s="147"/>
      <c r="U97" s="204"/>
    </row>
    <row r="98" ht="22.5" hidden="1" customHeight="1">
      <c r="A98" s="192" t="s">
        <v>181</v>
      </c>
      <c r="B98" s="193" t="s">
        <v>132</v>
      </c>
      <c r="C98" s="193" t="s">
        <v>131</v>
      </c>
      <c r="D98" s="194" t="s">
        <v>870</v>
      </c>
      <c r="E98" s="193" t="s">
        <v>7</v>
      </c>
      <c r="F98" s="195" t="s">
        <v>871</v>
      </c>
      <c r="G98" s="196" t="s">
        <v>872</v>
      </c>
      <c r="H98" s="197" t="s">
        <v>8</v>
      </c>
      <c r="I98" s="197" t="s">
        <v>873</v>
      </c>
      <c r="J98" s="197" t="s">
        <v>17</v>
      </c>
      <c r="K98" s="197" t="s">
        <v>874</v>
      </c>
      <c r="L98" s="196" t="s">
        <v>875</v>
      </c>
      <c r="M98" s="196" t="s">
        <v>876</v>
      </c>
      <c r="N98" s="195" t="s">
        <v>877</v>
      </c>
      <c r="O98" s="195" t="s">
        <v>878</v>
      </c>
      <c r="P98" s="195" t="s">
        <v>879</v>
      </c>
      <c r="Q98" s="196" t="s">
        <v>880</v>
      </c>
      <c r="R98" s="196" t="s">
        <v>881</v>
      </c>
      <c r="S98" s="196" t="s">
        <v>882</v>
      </c>
      <c r="T98" s="195" t="s">
        <v>557</v>
      </c>
      <c r="U98" s="198"/>
    </row>
    <row r="99" ht="22.5" customHeight="1">
      <c r="A99" s="211" t="s">
        <v>1021</v>
      </c>
      <c r="B99" s="212" t="s">
        <v>402</v>
      </c>
      <c r="C99" s="213" t="s">
        <v>136</v>
      </c>
      <c r="D99" s="214" t="s">
        <v>991</v>
      </c>
      <c r="E99" s="212" t="s">
        <v>15</v>
      </c>
      <c r="F99" s="215">
        <v>3.0</v>
      </c>
      <c r="G99" s="147"/>
      <c r="H99" s="216">
        <v>200.0</v>
      </c>
      <c r="I99" s="216">
        <v>600.0</v>
      </c>
      <c r="J99" s="216">
        <v>14278.65</v>
      </c>
      <c r="K99" s="216">
        <v>4785.0</v>
      </c>
      <c r="L99" s="217">
        <v>46376.0</v>
      </c>
      <c r="M99" s="217">
        <v>46042.0</v>
      </c>
      <c r="N99" s="215">
        <v>1.0</v>
      </c>
      <c r="O99" s="215">
        <v>-124.0</v>
      </c>
      <c r="P99" s="215">
        <v>154.0</v>
      </c>
      <c r="Q99" s="232">
        <v>46385.0</v>
      </c>
      <c r="R99" s="218" t="s">
        <v>1022</v>
      </c>
      <c r="S99" s="225" t="s">
        <v>1023</v>
      </c>
      <c r="T99" s="215">
        <v>674.0</v>
      </c>
      <c r="U99" s="204"/>
    </row>
    <row r="100" ht="22.5" customHeight="1">
      <c r="A100" s="192" t="s">
        <v>1024</v>
      </c>
      <c r="B100" s="193" t="s">
        <v>454</v>
      </c>
      <c r="C100" s="219" t="s">
        <v>684</v>
      </c>
      <c r="D100" s="194" t="s">
        <v>886</v>
      </c>
      <c r="E100" s="193" t="s">
        <v>17</v>
      </c>
      <c r="F100" s="220">
        <v>3.0</v>
      </c>
      <c r="G100" s="221"/>
      <c r="H100" s="222">
        <v>3000.0</v>
      </c>
      <c r="I100" s="222">
        <v>5000.0</v>
      </c>
      <c r="J100" s="207"/>
      <c r="K100" s="207"/>
      <c r="L100" s="223">
        <v>46372.0</v>
      </c>
      <c r="M100" s="223">
        <v>46038.0</v>
      </c>
      <c r="N100" s="150"/>
      <c r="O100" s="220">
        <v>-128.0</v>
      </c>
      <c r="P100" s="220">
        <v>158.0</v>
      </c>
      <c r="Q100" s="209"/>
      <c r="R100" s="196" t="s">
        <v>1025</v>
      </c>
      <c r="S100" s="45"/>
      <c r="T100" s="220">
        <v>675.0</v>
      </c>
      <c r="U100" s="198"/>
    </row>
    <row r="101" ht="22.5" customHeight="1">
      <c r="A101" s="199"/>
      <c r="B101" s="212" t="s">
        <v>414</v>
      </c>
      <c r="C101" s="213" t="s">
        <v>136</v>
      </c>
      <c r="D101" s="214" t="s">
        <v>888</v>
      </c>
      <c r="E101" s="212" t="s">
        <v>17</v>
      </c>
      <c r="F101" s="215">
        <v>3.0</v>
      </c>
      <c r="G101" s="215">
        <v>0.375</v>
      </c>
      <c r="H101" s="216">
        <v>4000.0</v>
      </c>
      <c r="I101" s="216">
        <v>7500.0</v>
      </c>
      <c r="J101" s="216">
        <v>7500.0</v>
      </c>
      <c r="K101" s="216">
        <v>7500.0</v>
      </c>
      <c r="L101" s="217">
        <v>46357.0</v>
      </c>
      <c r="M101" s="217">
        <v>46023.0</v>
      </c>
      <c r="N101" s="215">
        <v>0.0</v>
      </c>
      <c r="O101" s="215">
        <v>-143.0</v>
      </c>
      <c r="P101" s="215">
        <v>173.0</v>
      </c>
      <c r="Q101" s="203"/>
      <c r="R101" s="218" t="s">
        <v>1026</v>
      </c>
      <c r="S101" s="225" t="s">
        <v>1027</v>
      </c>
      <c r="T101" s="215">
        <v>676.0</v>
      </c>
      <c r="U101" s="204"/>
    </row>
    <row r="102" ht="22.5" customHeight="1">
      <c r="A102" s="205"/>
      <c r="B102" s="193" t="s">
        <v>460</v>
      </c>
      <c r="C102" s="219" t="s">
        <v>684</v>
      </c>
      <c r="D102" s="194" t="s">
        <v>964</v>
      </c>
      <c r="E102" s="193" t="s">
        <v>17</v>
      </c>
      <c r="F102" s="220">
        <v>1.0</v>
      </c>
      <c r="G102" s="221"/>
      <c r="H102" s="222">
        <v>4000.0</v>
      </c>
      <c r="I102" s="222">
        <v>4000.0</v>
      </c>
      <c r="J102" s="207"/>
      <c r="K102" s="207"/>
      <c r="L102" s="223">
        <v>46374.0</v>
      </c>
      <c r="M102" s="223">
        <v>46040.0</v>
      </c>
      <c r="N102" s="150"/>
      <c r="O102" s="220">
        <v>-126.0</v>
      </c>
      <c r="P102" s="220">
        <v>156.0</v>
      </c>
      <c r="Q102" s="209"/>
      <c r="R102" s="196" t="s">
        <v>1028</v>
      </c>
      <c r="S102" s="45"/>
      <c r="T102" s="220">
        <v>677.0</v>
      </c>
      <c r="U102" s="198"/>
    </row>
    <row r="103" ht="22.5" customHeight="1">
      <c r="A103" s="199"/>
      <c r="B103" s="212" t="s">
        <v>301</v>
      </c>
      <c r="C103" s="214" t="s">
        <v>694</v>
      </c>
      <c r="D103" s="214" t="s">
        <v>895</v>
      </c>
      <c r="E103" s="212" t="s">
        <v>17</v>
      </c>
      <c r="F103" s="215">
        <v>6.35</v>
      </c>
      <c r="G103" s="210"/>
      <c r="H103" s="216">
        <v>1250.0</v>
      </c>
      <c r="I103" s="216">
        <v>7937.5</v>
      </c>
      <c r="J103" s="201"/>
      <c r="K103" s="201"/>
      <c r="L103" s="217">
        <v>46374.0</v>
      </c>
      <c r="M103" s="217">
        <v>46040.0</v>
      </c>
      <c r="N103" s="147"/>
      <c r="O103" s="215">
        <v>-126.0</v>
      </c>
      <c r="P103" s="215">
        <v>156.0</v>
      </c>
      <c r="Q103" s="203"/>
      <c r="R103" s="218" t="s">
        <v>1029</v>
      </c>
      <c r="S103" s="186"/>
      <c r="T103" s="215">
        <v>678.0</v>
      </c>
      <c r="U103" s="204"/>
    </row>
    <row r="104" ht="22.5" customHeight="1">
      <c r="A104" s="205"/>
      <c r="B104" s="193" t="s">
        <v>147</v>
      </c>
      <c r="C104" s="219" t="s">
        <v>684</v>
      </c>
      <c r="D104" s="194" t="s">
        <v>1030</v>
      </c>
      <c r="E104" s="193" t="s">
        <v>19</v>
      </c>
      <c r="F104" s="195" t="s">
        <v>1031</v>
      </c>
      <c r="G104" s="150"/>
      <c r="H104" s="222">
        <v>15.0</v>
      </c>
      <c r="I104" s="222">
        <v>247.5</v>
      </c>
      <c r="J104" s="207"/>
      <c r="K104" s="207"/>
      <c r="L104" s="223">
        <v>46367.0</v>
      </c>
      <c r="M104" s="223">
        <v>46033.0</v>
      </c>
      <c r="N104" s="150"/>
      <c r="O104" s="220">
        <v>-133.0</v>
      </c>
      <c r="P104" s="220">
        <v>163.0</v>
      </c>
      <c r="Q104" s="209"/>
      <c r="R104" s="196" t="s">
        <v>1032</v>
      </c>
      <c r="S104" s="45"/>
      <c r="T104" s="220">
        <v>679.0</v>
      </c>
      <c r="U104" s="198"/>
    </row>
    <row r="105" ht="22.5" customHeight="1">
      <c r="A105" s="199"/>
      <c r="B105" s="212" t="s">
        <v>477</v>
      </c>
      <c r="C105" s="213" t="s">
        <v>136</v>
      </c>
      <c r="D105" s="214" t="s">
        <v>897</v>
      </c>
      <c r="E105" s="212" t="s">
        <v>100</v>
      </c>
      <c r="F105" s="215">
        <v>2.0</v>
      </c>
      <c r="G105" s="147"/>
      <c r="H105" s="216">
        <v>50.0</v>
      </c>
      <c r="I105" s="216">
        <v>100.0</v>
      </c>
      <c r="J105" s="216">
        <v>8961.27</v>
      </c>
      <c r="K105" s="216">
        <v>0.0</v>
      </c>
      <c r="L105" s="217">
        <v>46357.0</v>
      </c>
      <c r="M105" s="217">
        <v>46023.0</v>
      </c>
      <c r="N105" s="215">
        <v>1.0</v>
      </c>
      <c r="O105" s="215">
        <v>-143.0</v>
      </c>
      <c r="P105" s="215">
        <v>173.0</v>
      </c>
      <c r="Q105" s="232">
        <v>46034.0</v>
      </c>
      <c r="R105" s="218" t="s">
        <v>1033</v>
      </c>
      <c r="S105" s="225" t="s">
        <v>1034</v>
      </c>
      <c r="T105" s="215">
        <v>680.0</v>
      </c>
      <c r="U105" s="204"/>
    </row>
    <row r="106" ht="22.5" customHeight="1">
      <c r="A106" s="205"/>
      <c r="B106" s="193" t="s">
        <v>470</v>
      </c>
      <c r="C106" s="194" t="s">
        <v>1003</v>
      </c>
      <c r="D106" s="194" t="s">
        <v>1004</v>
      </c>
      <c r="E106" s="193" t="s">
        <v>15</v>
      </c>
      <c r="F106" s="220">
        <v>1.0</v>
      </c>
      <c r="G106" s="221"/>
      <c r="H106" s="222">
        <v>26000.0</v>
      </c>
      <c r="I106" s="222">
        <v>26000.0</v>
      </c>
      <c r="J106" s="207"/>
      <c r="K106" s="207"/>
      <c r="L106" s="223">
        <v>46360.0</v>
      </c>
      <c r="M106" s="223">
        <v>46026.0</v>
      </c>
      <c r="N106" s="150"/>
      <c r="O106" s="220">
        <v>-140.0</v>
      </c>
      <c r="P106" s="220">
        <v>170.0</v>
      </c>
      <c r="Q106" s="209"/>
      <c r="R106" s="196" t="s">
        <v>1035</v>
      </c>
      <c r="S106" s="45"/>
      <c r="T106" s="220">
        <v>681.0</v>
      </c>
      <c r="U106" s="198"/>
    </row>
    <row r="107" ht="22.5" customHeight="1">
      <c r="A107" s="199"/>
      <c r="B107" s="212" t="s">
        <v>464</v>
      </c>
      <c r="C107" s="213" t="s">
        <v>136</v>
      </c>
      <c r="D107" s="214" t="s">
        <v>904</v>
      </c>
      <c r="E107" s="212" t="s">
        <v>15</v>
      </c>
      <c r="F107" s="215">
        <v>4.0</v>
      </c>
      <c r="G107" s="215">
        <v>0.166</v>
      </c>
      <c r="H107" s="216">
        <v>200.0</v>
      </c>
      <c r="I107" s="216">
        <v>667.2</v>
      </c>
      <c r="J107" s="216">
        <v>15913.07</v>
      </c>
      <c r="K107" s="216">
        <v>0.0</v>
      </c>
      <c r="L107" s="217">
        <v>46357.0</v>
      </c>
      <c r="M107" s="217">
        <v>46023.0</v>
      </c>
      <c r="N107" s="215">
        <v>1.0</v>
      </c>
      <c r="O107" s="215">
        <v>-143.0</v>
      </c>
      <c r="P107" s="215">
        <v>173.0</v>
      </c>
      <c r="Q107" s="232">
        <v>46367.0</v>
      </c>
      <c r="R107" s="218" t="s">
        <v>1036</v>
      </c>
      <c r="S107" s="225" t="s">
        <v>1037</v>
      </c>
      <c r="T107" s="215">
        <v>682.0</v>
      </c>
      <c r="U107" s="204"/>
    </row>
    <row r="108" ht="22.5" customHeight="1">
      <c r="A108" s="192" t="s">
        <v>1038</v>
      </c>
      <c r="B108" s="193" t="s">
        <v>438</v>
      </c>
      <c r="C108" s="226" t="s">
        <v>136</v>
      </c>
      <c r="D108" s="194" t="s">
        <v>906</v>
      </c>
      <c r="E108" s="193" t="s">
        <v>17</v>
      </c>
      <c r="F108" s="220">
        <v>4.0</v>
      </c>
      <c r="G108" s="220">
        <v>0.43</v>
      </c>
      <c r="H108" s="222">
        <v>8000.0</v>
      </c>
      <c r="I108" s="222">
        <v>18240.0</v>
      </c>
      <c r="J108" s="222">
        <v>18240.0</v>
      </c>
      <c r="K108" s="222">
        <v>18240.0</v>
      </c>
      <c r="L108" s="223">
        <v>46381.0</v>
      </c>
      <c r="M108" s="223">
        <v>46047.0</v>
      </c>
      <c r="N108" s="220">
        <v>0.0</v>
      </c>
      <c r="O108" s="220">
        <v>-119.0</v>
      </c>
      <c r="P108" s="220">
        <v>149.0</v>
      </c>
      <c r="Q108" s="209"/>
      <c r="R108" s="196" t="s">
        <v>1039</v>
      </c>
      <c r="S108" s="227" t="s">
        <v>1040</v>
      </c>
      <c r="T108" s="220">
        <v>683.0</v>
      </c>
      <c r="U108" s="198"/>
    </row>
    <row r="109" ht="22.5" customHeight="1">
      <c r="A109" s="199"/>
      <c r="B109" s="212" t="s">
        <v>440</v>
      </c>
      <c r="C109" s="213" t="s">
        <v>136</v>
      </c>
      <c r="D109" s="214" t="s">
        <v>908</v>
      </c>
      <c r="E109" s="212" t="s">
        <v>19</v>
      </c>
      <c r="F109" s="215">
        <v>8.0</v>
      </c>
      <c r="G109" s="210"/>
      <c r="H109" s="216">
        <v>15.0</v>
      </c>
      <c r="I109" s="216">
        <v>120.0</v>
      </c>
      <c r="J109" s="216">
        <v>14591.39</v>
      </c>
      <c r="K109" s="216">
        <v>0.0</v>
      </c>
      <c r="L109" s="217">
        <v>46381.0</v>
      </c>
      <c r="M109" s="217">
        <v>46047.0</v>
      </c>
      <c r="N109" s="215">
        <v>1.0</v>
      </c>
      <c r="O109" s="215">
        <v>-119.0</v>
      </c>
      <c r="P109" s="215">
        <v>149.0</v>
      </c>
      <c r="Q109" s="232">
        <v>46086.0</v>
      </c>
      <c r="R109" s="218" t="s">
        <v>1041</v>
      </c>
      <c r="S109" s="225" t="s">
        <v>1042</v>
      </c>
      <c r="T109" s="215">
        <v>684.0</v>
      </c>
      <c r="U109" s="204"/>
    </row>
    <row r="110" ht="22.5" customHeight="1">
      <c r="A110" s="205"/>
      <c r="B110" s="193" t="s">
        <v>186</v>
      </c>
      <c r="C110" s="242" t="s">
        <v>685</v>
      </c>
      <c r="D110" s="194" t="s">
        <v>1012</v>
      </c>
      <c r="E110" s="193" t="s">
        <v>187</v>
      </c>
      <c r="F110" s="220">
        <v>2.0</v>
      </c>
      <c r="G110" s="150"/>
      <c r="H110" s="222">
        <v>200.0</v>
      </c>
      <c r="I110" s="222">
        <v>400.0</v>
      </c>
      <c r="J110" s="207"/>
      <c r="K110" s="207"/>
      <c r="L110" s="223">
        <v>46357.0</v>
      </c>
      <c r="M110" s="223">
        <v>46023.0</v>
      </c>
      <c r="N110" s="150"/>
      <c r="O110" s="220">
        <v>-143.0</v>
      </c>
      <c r="P110" s="220">
        <v>173.0</v>
      </c>
      <c r="Q110" s="209"/>
      <c r="R110" s="196" t="s">
        <v>1043</v>
      </c>
      <c r="S110" s="45"/>
      <c r="T110" s="220">
        <v>685.0</v>
      </c>
      <c r="U110" s="198"/>
    </row>
    <row r="111" ht="22.5" customHeight="1">
      <c r="A111" s="199"/>
      <c r="B111" s="212" t="s">
        <v>160</v>
      </c>
      <c r="C111" s="213" t="s">
        <v>136</v>
      </c>
      <c r="D111" s="214" t="s">
        <v>913</v>
      </c>
      <c r="E111" s="212" t="s">
        <v>17</v>
      </c>
      <c r="F111" s="215">
        <v>1.0</v>
      </c>
      <c r="G111" s="147"/>
      <c r="H111" s="216">
        <v>2000.0</v>
      </c>
      <c r="I111" s="216">
        <v>2000.0</v>
      </c>
      <c r="J111" s="216">
        <v>2000.0</v>
      </c>
      <c r="K111" s="216">
        <v>0.0</v>
      </c>
      <c r="L111" s="217">
        <v>46381.0</v>
      </c>
      <c r="M111" s="217">
        <v>46047.0</v>
      </c>
      <c r="N111" s="215">
        <v>1.0</v>
      </c>
      <c r="O111" s="215">
        <v>-119.0</v>
      </c>
      <c r="P111" s="215">
        <v>149.0</v>
      </c>
      <c r="Q111" s="232">
        <v>46052.0</v>
      </c>
      <c r="R111" s="218" t="s">
        <v>1044</v>
      </c>
      <c r="S111" s="225" t="s">
        <v>1045</v>
      </c>
      <c r="T111" s="215">
        <v>686.0</v>
      </c>
      <c r="U111" s="204"/>
    </row>
    <row r="112" ht="22.5" customHeight="1">
      <c r="A112" s="192" t="s">
        <v>1046</v>
      </c>
      <c r="B112" s="193" t="s">
        <v>915</v>
      </c>
      <c r="C112" s="219" t="s">
        <v>684</v>
      </c>
      <c r="D112" s="194" t="s">
        <v>916</v>
      </c>
      <c r="E112" s="193" t="s">
        <v>17</v>
      </c>
      <c r="F112" s="220">
        <v>3.0</v>
      </c>
      <c r="G112" s="230">
        <v>0.25</v>
      </c>
      <c r="H112" s="197" t="s">
        <v>917</v>
      </c>
      <c r="I112" s="222">
        <v>9000.0</v>
      </c>
      <c r="J112" s="207"/>
      <c r="K112" s="207"/>
      <c r="L112" s="223">
        <v>46357.0</v>
      </c>
      <c r="M112" s="223">
        <v>46023.0</v>
      </c>
      <c r="N112" s="150"/>
      <c r="O112" s="220">
        <v>-143.0</v>
      </c>
      <c r="P112" s="220">
        <v>173.0</v>
      </c>
      <c r="Q112" s="209"/>
      <c r="R112" s="196" t="s">
        <v>1047</v>
      </c>
      <c r="S112" s="45"/>
      <c r="T112" s="220">
        <v>687.0</v>
      </c>
      <c r="U112" s="198"/>
    </row>
    <row r="113" ht="22.5" customHeight="1">
      <c r="A113" s="199"/>
      <c r="B113" s="212" t="s">
        <v>153</v>
      </c>
      <c r="C113" s="213" t="s">
        <v>136</v>
      </c>
      <c r="D113" s="214" t="s">
        <v>919</v>
      </c>
      <c r="E113" s="212" t="s">
        <v>108</v>
      </c>
      <c r="F113" s="228" t="s">
        <v>1048</v>
      </c>
      <c r="G113" s="210"/>
      <c r="H113" s="216">
        <v>25.0</v>
      </c>
      <c r="I113" s="216">
        <v>50.0</v>
      </c>
      <c r="J113" s="216">
        <v>3496.58</v>
      </c>
      <c r="K113" s="216">
        <v>0.0</v>
      </c>
      <c r="L113" s="217">
        <v>46382.0</v>
      </c>
      <c r="M113" s="217">
        <v>46048.0</v>
      </c>
      <c r="N113" s="215">
        <v>1.0</v>
      </c>
      <c r="O113" s="215">
        <v>-118.0</v>
      </c>
      <c r="P113" s="215">
        <v>148.0</v>
      </c>
      <c r="Q113" s="232">
        <v>46046.0</v>
      </c>
      <c r="R113" s="218" t="s">
        <v>1049</v>
      </c>
      <c r="S113" s="186"/>
      <c r="T113" s="215">
        <v>688.0</v>
      </c>
      <c r="U113" s="204"/>
    </row>
    <row r="114" ht="22.5" hidden="1" customHeight="1">
      <c r="A114" s="205"/>
      <c r="B114" s="193" t="s">
        <v>923</v>
      </c>
      <c r="C114" s="233" t="s">
        <v>573</v>
      </c>
      <c r="D114" s="234"/>
      <c r="E114" s="209"/>
      <c r="F114" s="150"/>
      <c r="G114" s="221"/>
      <c r="H114" s="207"/>
      <c r="I114" s="197" t="s">
        <v>924</v>
      </c>
      <c r="J114" s="222">
        <v>84980.95</v>
      </c>
      <c r="K114" s="222">
        <v>30525.0</v>
      </c>
      <c r="L114" s="208"/>
      <c r="M114" s="208"/>
      <c r="N114" s="150"/>
      <c r="O114" s="150"/>
      <c r="P114" s="150"/>
      <c r="Q114" s="209"/>
      <c r="R114" s="45"/>
      <c r="S114" s="45"/>
      <c r="T114" s="150"/>
      <c r="U114" s="198"/>
    </row>
    <row r="115" ht="22.5" hidden="1" customHeight="1">
      <c r="A115" s="199"/>
      <c r="B115" s="212" t="s">
        <v>558</v>
      </c>
      <c r="C115" s="235" t="s">
        <v>640</v>
      </c>
      <c r="D115" s="236"/>
      <c r="E115" s="236"/>
      <c r="F115" s="147"/>
      <c r="G115" s="147"/>
      <c r="H115" s="201"/>
      <c r="I115" s="237" t="s">
        <v>925</v>
      </c>
      <c r="J115" s="216">
        <v>366300.0</v>
      </c>
      <c r="K115" s="201"/>
      <c r="L115" s="202"/>
      <c r="M115" s="218" t="s">
        <v>926</v>
      </c>
      <c r="N115" s="147"/>
      <c r="O115" s="147"/>
      <c r="P115" s="147"/>
      <c r="Q115" s="203"/>
      <c r="R115" s="236"/>
      <c r="S115" s="236"/>
      <c r="T115" s="215">
        <v>688.0</v>
      </c>
      <c r="U115" s="204"/>
    </row>
    <row r="116" ht="22.5" hidden="1" customHeight="1">
      <c r="A116" s="205"/>
      <c r="B116" s="193" t="s">
        <v>696</v>
      </c>
      <c r="C116" s="238" t="s">
        <v>1050</v>
      </c>
      <c r="D116" s="234"/>
      <c r="E116" s="234"/>
      <c r="F116" s="150"/>
      <c r="G116" s="221"/>
      <c r="H116" s="207"/>
      <c r="I116" s="197" t="s">
        <v>928</v>
      </c>
      <c r="J116" s="222">
        <v>750788.05</v>
      </c>
      <c r="K116" s="207"/>
      <c r="L116" s="208"/>
      <c r="M116" s="208"/>
      <c r="N116" s="150"/>
      <c r="O116" s="150"/>
      <c r="P116" s="150"/>
      <c r="Q116" s="209"/>
      <c r="R116" s="234"/>
      <c r="S116" s="234"/>
      <c r="T116" s="150"/>
      <c r="U116" s="198"/>
    </row>
    <row r="117" ht="22.5" hidden="1" customHeight="1">
      <c r="A117" s="199"/>
      <c r="B117" s="146"/>
      <c r="C117" s="200"/>
      <c r="D117" s="200"/>
      <c r="E117" s="200"/>
      <c r="F117" s="147"/>
      <c r="G117" s="210"/>
      <c r="H117" s="201"/>
      <c r="I117" s="201"/>
      <c r="J117" s="201"/>
      <c r="K117" s="201"/>
      <c r="L117" s="202"/>
      <c r="M117" s="202"/>
      <c r="N117" s="147"/>
      <c r="O117" s="147"/>
      <c r="P117" s="147"/>
      <c r="Q117" s="203"/>
      <c r="R117" s="186"/>
      <c r="S117" s="186"/>
      <c r="T117" s="147"/>
      <c r="U117" s="204"/>
    </row>
    <row r="118" ht="22.5" hidden="1" customHeight="1">
      <c r="A118" s="205"/>
      <c r="B118" s="82"/>
      <c r="C118" s="206"/>
      <c r="D118" s="206"/>
      <c r="E118" s="206"/>
      <c r="F118" s="150"/>
      <c r="G118" s="150"/>
      <c r="H118" s="207"/>
      <c r="I118" s="207"/>
      <c r="J118" s="207"/>
      <c r="K118" s="207"/>
      <c r="L118" s="208"/>
      <c r="M118" s="208"/>
      <c r="N118" s="150"/>
      <c r="O118" s="150"/>
      <c r="P118" s="150"/>
      <c r="Q118" s="209"/>
      <c r="R118" s="45"/>
      <c r="S118" s="45"/>
      <c r="T118" s="150"/>
      <c r="U118" s="198"/>
    </row>
    <row r="119" ht="22.5" hidden="1" customHeight="1">
      <c r="A119" s="199"/>
      <c r="B119" s="146"/>
      <c r="C119" s="200"/>
      <c r="D119" s="200"/>
      <c r="E119" s="200"/>
      <c r="F119" s="147"/>
      <c r="G119" s="147"/>
      <c r="H119" s="201"/>
      <c r="I119" s="201"/>
      <c r="J119" s="201"/>
      <c r="K119" s="201"/>
      <c r="L119" s="202"/>
      <c r="M119" s="202"/>
      <c r="N119" s="147"/>
      <c r="O119" s="147"/>
      <c r="P119" s="147"/>
      <c r="Q119" s="203"/>
      <c r="R119" s="186"/>
      <c r="S119" s="186"/>
      <c r="T119" s="147"/>
      <c r="U119" s="204"/>
    </row>
    <row r="120" ht="22.5" hidden="1" customHeight="1">
      <c r="A120" s="205"/>
      <c r="B120" s="82"/>
      <c r="C120" s="206"/>
      <c r="D120" s="206"/>
      <c r="E120" s="206"/>
      <c r="F120" s="150"/>
      <c r="G120" s="221"/>
      <c r="H120" s="207"/>
      <c r="I120" s="207"/>
      <c r="J120" s="207"/>
      <c r="K120" s="207"/>
      <c r="L120" s="208"/>
      <c r="M120" s="208"/>
      <c r="N120" s="150"/>
      <c r="O120" s="150"/>
      <c r="P120" s="150"/>
      <c r="Q120" s="209"/>
      <c r="R120" s="45"/>
      <c r="S120" s="45"/>
      <c r="T120" s="150"/>
      <c r="U120" s="198"/>
    </row>
    <row r="121" ht="22.5" hidden="1" customHeight="1">
      <c r="A121" s="211" t="s">
        <v>181</v>
      </c>
      <c r="B121" s="212" t="s">
        <v>132</v>
      </c>
      <c r="C121" s="212" t="s">
        <v>131</v>
      </c>
      <c r="D121" s="214" t="s">
        <v>870</v>
      </c>
      <c r="E121" s="212" t="s">
        <v>7</v>
      </c>
      <c r="F121" s="228" t="s">
        <v>871</v>
      </c>
      <c r="G121" s="228" t="s">
        <v>872</v>
      </c>
      <c r="H121" s="237" t="s">
        <v>8</v>
      </c>
      <c r="I121" s="237" t="s">
        <v>873</v>
      </c>
      <c r="J121" s="237" t="s">
        <v>17</v>
      </c>
      <c r="K121" s="237" t="s">
        <v>874</v>
      </c>
      <c r="L121" s="218" t="s">
        <v>875</v>
      </c>
      <c r="M121" s="218" t="s">
        <v>876</v>
      </c>
      <c r="N121" s="228" t="s">
        <v>877</v>
      </c>
      <c r="O121" s="228" t="s">
        <v>878</v>
      </c>
      <c r="P121" s="228" t="s">
        <v>879</v>
      </c>
      <c r="Q121" s="218" t="s">
        <v>880</v>
      </c>
      <c r="R121" s="218" t="s">
        <v>881</v>
      </c>
      <c r="S121" s="218" t="s">
        <v>882</v>
      </c>
      <c r="T121" s="228" t="s">
        <v>557</v>
      </c>
      <c r="U121" s="204"/>
    </row>
    <row r="122" ht="22.5" customHeight="1">
      <c r="A122" s="205"/>
      <c r="B122" s="193" t="s">
        <v>402</v>
      </c>
      <c r="C122" s="226" t="s">
        <v>136</v>
      </c>
      <c r="D122" s="194" t="s">
        <v>884</v>
      </c>
      <c r="E122" s="193" t="s">
        <v>15</v>
      </c>
      <c r="F122" s="220">
        <v>2.0</v>
      </c>
      <c r="G122" s="221"/>
      <c r="H122" s="222">
        <v>200.0</v>
      </c>
      <c r="I122" s="222">
        <v>400.0</v>
      </c>
      <c r="J122" s="222">
        <v>9448.5</v>
      </c>
      <c r="K122" s="222">
        <v>0.0</v>
      </c>
      <c r="L122" s="223">
        <v>46346.0</v>
      </c>
      <c r="M122" s="223">
        <v>46376.0</v>
      </c>
      <c r="N122" s="220">
        <v>1.0</v>
      </c>
      <c r="O122" s="220">
        <v>-155.0</v>
      </c>
      <c r="P122" s="220">
        <v>185.0</v>
      </c>
      <c r="Q122" s="238">
        <v>46353.0</v>
      </c>
      <c r="R122" s="196" t="s">
        <v>1051</v>
      </c>
      <c r="S122" s="227" t="s">
        <v>1052</v>
      </c>
      <c r="T122" s="220">
        <v>659.0</v>
      </c>
      <c r="U122" s="198"/>
    </row>
    <row r="123" ht="22.5" customHeight="1">
      <c r="A123" s="211" t="s">
        <v>1053</v>
      </c>
      <c r="B123" s="212" t="s">
        <v>454</v>
      </c>
      <c r="C123" s="213" t="s">
        <v>136</v>
      </c>
      <c r="D123" s="214" t="s">
        <v>886</v>
      </c>
      <c r="E123" s="212" t="s">
        <v>17</v>
      </c>
      <c r="F123" s="215">
        <v>1.0</v>
      </c>
      <c r="G123" s="215">
        <v>0.5</v>
      </c>
      <c r="H123" s="216">
        <v>4000.0</v>
      </c>
      <c r="I123" s="216">
        <v>2000.0</v>
      </c>
      <c r="J123" s="216">
        <v>2000.0</v>
      </c>
      <c r="K123" s="216">
        <v>2000.0</v>
      </c>
      <c r="L123" s="217">
        <v>46342.0</v>
      </c>
      <c r="M123" s="217">
        <v>46357.0</v>
      </c>
      <c r="N123" s="215">
        <v>0.0</v>
      </c>
      <c r="O123" s="215">
        <v>-174.0</v>
      </c>
      <c r="P123" s="215">
        <v>204.0</v>
      </c>
      <c r="Q123" s="203"/>
      <c r="R123" s="218" t="s">
        <v>1054</v>
      </c>
      <c r="S123" s="225" t="s">
        <v>1055</v>
      </c>
      <c r="T123" s="215">
        <v>660.0</v>
      </c>
      <c r="U123" s="204"/>
    </row>
    <row r="124" ht="22.5" customHeight="1">
      <c r="A124" s="205"/>
      <c r="B124" s="193" t="s">
        <v>414</v>
      </c>
      <c r="C124" s="226" t="s">
        <v>136</v>
      </c>
      <c r="D124" s="194" t="s">
        <v>888</v>
      </c>
      <c r="E124" s="193" t="s">
        <v>17</v>
      </c>
      <c r="F124" s="220">
        <v>3.0</v>
      </c>
      <c r="G124" s="230">
        <v>0.38</v>
      </c>
      <c r="H124" s="222">
        <v>4000.0</v>
      </c>
      <c r="I124" s="222">
        <v>7500.0</v>
      </c>
      <c r="J124" s="222">
        <v>7500.0</v>
      </c>
      <c r="K124" s="222">
        <v>7500.0</v>
      </c>
      <c r="L124" s="223">
        <v>46327.0</v>
      </c>
      <c r="M124" s="223">
        <v>46357.0</v>
      </c>
      <c r="N124" s="220">
        <v>0.0</v>
      </c>
      <c r="O124" s="220">
        <v>-174.0</v>
      </c>
      <c r="P124" s="220">
        <v>204.0</v>
      </c>
      <c r="Q124" s="209"/>
      <c r="R124" s="196" t="s">
        <v>1056</v>
      </c>
      <c r="S124" s="227" t="s">
        <v>1057</v>
      </c>
      <c r="T124" s="220">
        <v>661.0</v>
      </c>
      <c r="U124" s="198"/>
    </row>
    <row r="125" ht="22.5" customHeight="1">
      <c r="A125" s="199"/>
      <c r="B125" s="212" t="s">
        <v>460</v>
      </c>
      <c r="C125" s="213" t="s">
        <v>136</v>
      </c>
      <c r="D125" s="214" t="s">
        <v>964</v>
      </c>
      <c r="E125" s="212" t="s">
        <v>17</v>
      </c>
      <c r="F125" s="215">
        <v>1.0</v>
      </c>
      <c r="G125" s="210"/>
      <c r="H125" s="216">
        <v>4000.0</v>
      </c>
      <c r="I125" s="216">
        <v>4000.0</v>
      </c>
      <c r="J125" s="216">
        <v>4000.0</v>
      </c>
      <c r="K125" s="216">
        <v>4000.0</v>
      </c>
      <c r="L125" s="217">
        <v>46344.0</v>
      </c>
      <c r="M125" s="217">
        <v>46374.0</v>
      </c>
      <c r="N125" s="215">
        <v>0.0</v>
      </c>
      <c r="O125" s="215">
        <v>-157.0</v>
      </c>
      <c r="P125" s="215">
        <v>187.0</v>
      </c>
      <c r="Q125" s="203"/>
      <c r="R125" s="218" t="s">
        <v>1058</v>
      </c>
      <c r="S125" s="225" t="s">
        <v>1059</v>
      </c>
      <c r="T125" s="215">
        <v>662.0</v>
      </c>
      <c r="U125" s="204"/>
    </row>
    <row r="126" ht="22.5" customHeight="1">
      <c r="A126" s="205"/>
      <c r="B126" s="193" t="s">
        <v>301</v>
      </c>
      <c r="C126" s="194" t="s">
        <v>694</v>
      </c>
      <c r="D126" s="194" t="s">
        <v>895</v>
      </c>
      <c r="E126" s="193" t="s">
        <v>17</v>
      </c>
      <c r="F126" s="220">
        <v>6.35</v>
      </c>
      <c r="G126" s="150"/>
      <c r="H126" s="222">
        <v>1250.0</v>
      </c>
      <c r="I126" s="222">
        <v>7937.5</v>
      </c>
      <c r="J126" s="207"/>
      <c r="K126" s="207"/>
      <c r="L126" s="223">
        <v>46344.0</v>
      </c>
      <c r="M126" s="223">
        <v>46374.0</v>
      </c>
      <c r="N126" s="150"/>
      <c r="O126" s="220">
        <v>-157.0</v>
      </c>
      <c r="P126" s="220">
        <v>187.0</v>
      </c>
      <c r="Q126" s="209"/>
      <c r="R126" s="196" t="s">
        <v>1060</v>
      </c>
      <c r="S126" s="45"/>
      <c r="T126" s="220">
        <v>663.0</v>
      </c>
      <c r="U126" s="198"/>
    </row>
    <row r="127" ht="22.5" customHeight="1">
      <c r="A127" s="199"/>
      <c r="B127" s="212" t="s">
        <v>147</v>
      </c>
      <c r="C127" s="231" t="s">
        <v>684</v>
      </c>
      <c r="D127" s="214" t="s">
        <v>1030</v>
      </c>
      <c r="E127" s="212" t="s">
        <v>19</v>
      </c>
      <c r="F127" s="228" t="s">
        <v>1031</v>
      </c>
      <c r="G127" s="147"/>
      <c r="H127" s="216">
        <v>15.0</v>
      </c>
      <c r="I127" s="216">
        <v>247.5</v>
      </c>
      <c r="J127" s="201"/>
      <c r="K127" s="201"/>
      <c r="L127" s="217">
        <v>46337.0</v>
      </c>
      <c r="M127" s="217">
        <v>46367.0</v>
      </c>
      <c r="N127" s="147"/>
      <c r="O127" s="215">
        <v>-164.0</v>
      </c>
      <c r="P127" s="215">
        <v>194.0</v>
      </c>
      <c r="Q127" s="203"/>
      <c r="R127" s="218" t="s">
        <v>1061</v>
      </c>
      <c r="S127" s="186"/>
      <c r="T127" s="215">
        <v>664.0</v>
      </c>
      <c r="U127" s="204"/>
    </row>
    <row r="128" ht="22.5" customHeight="1">
      <c r="A128" s="205"/>
      <c r="B128" s="193" t="s">
        <v>477</v>
      </c>
      <c r="C128" s="226" t="s">
        <v>136</v>
      </c>
      <c r="D128" s="194" t="s">
        <v>897</v>
      </c>
      <c r="E128" s="193" t="s">
        <v>100</v>
      </c>
      <c r="F128" s="220">
        <v>2.0</v>
      </c>
      <c r="G128" s="150"/>
      <c r="H128" s="222">
        <v>50.0</v>
      </c>
      <c r="I128" s="222">
        <v>100.0</v>
      </c>
      <c r="J128" s="222">
        <v>8873.2</v>
      </c>
      <c r="K128" s="222">
        <v>0.0</v>
      </c>
      <c r="L128" s="223">
        <v>46330.0</v>
      </c>
      <c r="M128" s="223">
        <v>46360.0</v>
      </c>
      <c r="N128" s="220">
        <v>1.0</v>
      </c>
      <c r="O128" s="220">
        <v>-171.0</v>
      </c>
      <c r="P128" s="220">
        <v>201.0</v>
      </c>
      <c r="Q128" s="238">
        <v>46337.0</v>
      </c>
      <c r="R128" s="196" t="s">
        <v>1062</v>
      </c>
      <c r="S128" s="227" t="s">
        <v>1063</v>
      </c>
      <c r="T128" s="220">
        <v>665.0</v>
      </c>
      <c r="U128" s="198"/>
    </row>
    <row r="129" ht="22.5" customHeight="1">
      <c r="A129" s="199"/>
      <c r="B129" s="212" t="s">
        <v>470</v>
      </c>
      <c r="C129" s="214" t="s">
        <v>1003</v>
      </c>
      <c r="D129" s="214" t="s">
        <v>1004</v>
      </c>
      <c r="E129" s="212" t="s">
        <v>15</v>
      </c>
      <c r="F129" s="215">
        <v>1.0</v>
      </c>
      <c r="G129" s="210"/>
      <c r="H129" s="216">
        <v>26000.0</v>
      </c>
      <c r="I129" s="216">
        <v>26000.0</v>
      </c>
      <c r="J129" s="201"/>
      <c r="K129" s="201"/>
      <c r="L129" s="217">
        <v>46330.0</v>
      </c>
      <c r="M129" s="217">
        <v>46360.0</v>
      </c>
      <c r="N129" s="147"/>
      <c r="O129" s="215">
        <v>-171.0</v>
      </c>
      <c r="P129" s="215">
        <v>201.0</v>
      </c>
      <c r="Q129" s="203"/>
      <c r="R129" s="218" t="s">
        <v>1064</v>
      </c>
      <c r="S129" s="186"/>
      <c r="T129" s="215">
        <v>666.0</v>
      </c>
      <c r="U129" s="204"/>
    </row>
    <row r="130" ht="22.5" customHeight="1">
      <c r="A130" s="205"/>
      <c r="B130" s="193" t="s">
        <v>464</v>
      </c>
      <c r="C130" s="194" t="s">
        <v>1065</v>
      </c>
      <c r="D130" s="194" t="s">
        <v>904</v>
      </c>
      <c r="E130" s="193" t="s">
        <v>15</v>
      </c>
      <c r="F130" s="220">
        <v>4.0</v>
      </c>
      <c r="G130" s="220">
        <v>0.166</v>
      </c>
      <c r="H130" s="222">
        <v>200.0</v>
      </c>
      <c r="I130" s="222">
        <v>667.2</v>
      </c>
      <c r="J130" s="207"/>
      <c r="K130" s="207"/>
      <c r="L130" s="223">
        <v>46342.0</v>
      </c>
      <c r="M130" s="223">
        <v>46372.0</v>
      </c>
      <c r="N130" s="150"/>
      <c r="O130" s="220">
        <v>-159.0</v>
      </c>
      <c r="P130" s="220">
        <v>189.0</v>
      </c>
      <c r="Q130" s="209"/>
      <c r="R130" s="196" t="s">
        <v>1066</v>
      </c>
      <c r="S130" s="45"/>
      <c r="T130" s="220">
        <v>667.0</v>
      </c>
      <c r="U130" s="198"/>
    </row>
    <row r="131" ht="22.5" customHeight="1">
      <c r="A131" s="199"/>
      <c r="B131" s="212" t="s">
        <v>438</v>
      </c>
      <c r="C131" s="213" t="s">
        <v>136</v>
      </c>
      <c r="D131" s="214" t="s">
        <v>906</v>
      </c>
      <c r="E131" s="212" t="s">
        <v>17</v>
      </c>
      <c r="F131" s="215">
        <v>4.0</v>
      </c>
      <c r="G131" s="224">
        <v>0.43</v>
      </c>
      <c r="H131" s="216">
        <v>8000.0</v>
      </c>
      <c r="I131" s="216">
        <v>18240.0</v>
      </c>
      <c r="J131" s="216">
        <v>18240.0</v>
      </c>
      <c r="K131" s="216">
        <v>18240.0</v>
      </c>
      <c r="L131" s="217">
        <v>46351.0</v>
      </c>
      <c r="M131" s="217">
        <v>46381.0</v>
      </c>
      <c r="N131" s="215">
        <v>0.0</v>
      </c>
      <c r="O131" s="215">
        <v>-150.0</v>
      </c>
      <c r="P131" s="215">
        <v>180.0</v>
      </c>
      <c r="Q131" s="203"/>
      <c r="R131" s="218" t="s">
        <v>1067</v>
      </c>
      <c r="S131" s="225" t="s">
        <v>1068</v>
      </c>
      <c r="T131" s="215">
        <v>668.0</v>
      </c>
      <c r="U131" s="204"/>
    </row>
    <row r="132" ht="22.5" customHeight="1">
      <c r="A132" s="205"/>
      <c r="B132" s="193" t="s">
        <v>440</v>
      </c>
      <c r="C132" s="226" t="s">
        <v>136</v>
      </c>
      <c r="D132" s="194" t="s">
        <v>908</v>
      </c>
      <c r="E132" s="193" t="s">
        <v>19</v>
      </c>
      <c r="F132" s="220">
        <v>8.0</v>
      </c>
      <c r="G132" s="221"/>
      <c r="H132" s="222">
        <v>15.0</v>
      </c>
      <c r="I132" s="222">
        <v>120.0</v>
      </c>
      <c r="J132" s="222">
        <v>14083.31</v>
      </c>
      <c r="K132" s="222">
        <v>0.0</v>
      </c>
      <c r="L132" s="223">
        <v>46351.0</v>
      </c>
      <c r="M132" s="223">
        <v>46381.0</v>
      </c>
      <c r="N132" s="220">
        <v>1.0</v>
      </c>
      <c r="O132" s="220">
        <v>-150.0</v>
      </c>
      <c r="P132" s="220">
        <v>180.0</v>
      </c>
      <c r="Q132" s="238">
        <v>46058.0</v>
      </c>
      <c r="R132" s="196" t="s">
        <v>1069</v>
      </c>
      <c r="S132" s="227" t="s">
        <v>1070</v>
      </c>
      <c r="T132" s="220">
        <v>669.0</v>
      </c>
      <c r="U132" s="198"/>
    </row>
    <row r="133" ht="22.5" customHeight="1">
      <c r="A133" s="199"/>
      <c r="B133" s="212" t="s">
        <v>186</v>
      </c>
      <c r="C133" s="229" t="s">
        <v>685</v>
      </c>
      <c r="D133" s="214" t="s">
        <v>1012</v>
      </c>
      <c r="E133" s="212" t="s">
        <v>187</v>
      </c>
      <c r="F133" s="215">
        <v>2.0</v>
      </c>
      <c r="G133" s="147"/>
      <c r="H133" s="216">
        <v>200.0</v>
      </c>
      <c r="I133" s="216">
        <v>400.0</v>
      </c>
      <c r="J133" s="201"/>
      <c r="K133" s="201"/>
      <c r="L133" s="217">
        <v>46327.0</v>
      </c>
      <c r="M133" s="217">
        <v>46357.0</v>
      </c>
      <c r="N133" s="147"/>
      <c r="O133" s="215">
        <v>-174.0</v>
      </c>
      <c r="P133" s="215">
        <v>204.0</v>
      </c>
      <c r="Q133" s="203"/>
      <c r="R133" s="218" t="s">
        <v>1071</v>
      </c>
      <c r="S133" s="186"/>
      <c r="T133" s="215">
        <v>670.0</v>
      </c>
      <c r="U133" s="204"/>
    </row>
    <row r="134" ht="22.5" customHeight="1">
      <c r="A134" s="205"/>
      <c r="B134" s="193" t="s">
        <v>160</v>
      </c>
      <c r="C134" s="226" t="s">
        <v>136</v>
      </c>
      <c r="D134" s="194" t="s">
        <v>913</v>
      </c>
      <c r="E134" s="193" t="s">
        <v>17</v>
      </c>
      <c r="F134" s="220">
        <v>1.0</v>
      </c>
      <c r="G134" s="221"/>
      <c r="H134" s="222">
        <v>2000.0</v>
      </c>
      <c r="I134" s="222">
        <v>2000.0</v>
      </c>
      <c r="J134" s="222">
        <v>2000.0</v>
      </c>
      <c r="K134" s="222">
        <v>0.0</v>
      </c>
      <c r="L134" s="223">
        <v>46351.0</v>
      </c>
      <c r="M134" s="223">
        <v>46381.0</v>
      </c>
      <c r="N134" s="220">
        <v>1.0</v>
      </c>
      <c r="O134" s="220">
        <v>-150.0</v>
      </c>
      <c r="P134" s="220">
        <v>180.0</v>
      </c>
      <c r="Q134" s="238">
        <v>46052.0</v>
      </c>
      <c r="R134" s="196" t="s">
        <v>1072</v>
      </c>
      <c r="S134" s="227" t="s">
        <v>1073</v>
      </c>
      <c r="T134" s="220">
        <v>671.0</v>
      </c>
      <c r="U134" s="198"/>
    </row>
    <row r="135" ht="22.5" customHeight="1">
      <c r="A135" s="199"/>
      <c r="B135" s="212" t="s">
        <v>915</v>
      </c>
      <c r="C135" s="214" t="s">
        <v>1074</v>
      </c>
      <c r="D135" s="214" t="s">
        <v>916</v>
      </c>
      <c r="E135" s="212" t="s">
        <v>17</v>
      </c>
      <c r="F135" s="215">
        <v>3.0</v>
      </c>
      <c r="G135" s="224">
        <v>0.25</v>
      </c>
      <c r="H135" s="237" t="s">
        <v>917</v>
      </c>
      <c r="I135" s="216">
        <v>9000.0</v>
      </c>
      <c r="J135" s="216">
        <v>9000.0</v>
      </c>
      <c r="K135" s="216">
        <v>0.0</v>
      </c>
      <c r="L135" s="217">
        <v>46327.0</v>
      </c>
      <c r="M135" s="217">
        <v>46357.0</v>
      </c>
      <c r="N135" s="215">
        <v>1.0</v>
      </c>
      <c r="O135" s="215">
        <v>-174.0</v>
      </c>
      <c r="P135" s="215">
        <v>204.0</v>
      </c>
      <c r="Q135" s="232">
        <v>46064.0</v>
      </c>
      <c r="R135" s="218" t="s">
        <v>1075</v>
      </c>
      <c r="S135" s="225" t="s">
        <v>1076</v>
      </c>
      <c r="T135" s="215">
        <v>672.0</v>
      </c>
      <c r="U135" s="204"/>
    </row>
    <row r="136" ht="22.5" customHeight="1">
      <c r="A136" s="205"/>
      <c r="B136" s="193" t="s">
        <v>153</v>
      </c>
      <c r="C136" s="219" t="s">
        <v>684</v>
      </c>
      <c r="D136" s="194" t="s">
        <v>1077</v>
      </c>
      <c r="E136" s="193" t="s">
        <v>108</v>
      </c>
      <c r="F136" s="195" t="s">
        <v>1078</v>
      </c>
      <c r="G136" s="221"/>
      <c r="H136" s="222">
        <v>25.0</v>
      </c>
      <c r="I136" s="222">
        <v>600.0</v>
      </c>
      <c r="J136" s="207"/>
      <c r="K136" s="207"/>
      <c r="L136" s="223">
        <v>46352.0</v>
      </c>
      <c r="M136" s="223">
        <v>46382.0</v>
      </c>
      <c r="N136" s="150"/>
      <c r="O136" s="220">
        <v>-149.0</v>
      </c>
      <c r="P136" s="220">
        <v>179.0</v>
      </c>
      <c r="Q136" s="209"/>
      <c r="R136" s="196" t="s">
        <v>1079</v>
      </c>
      <c r="S136" s="45"/>
      <c r="T136" s="220">
        <v>673.0</v>
      </c>
      <c r="U136" s="198"/>
    </row>
    <row r="137" ht="22.5" hidden="1" customHeight="1">
      <c r="A137" s="199"/>
      <c r="B137" s="212" t="s">
        <v>923</v>
      </c>
      <c r="C137" s="240" t="s">
        <v>575</v>
      </c>
      <c r="D137" s="236"/>
      <c r="E137" s="203"/>
      <c r="F137" s="147"/>
      <c r="G137" s="147"/>
      <c r="H137" s="201"/>
      <c r="I137" s="237" t="s">
        <v>924</v>
      </c>
      <c r="J137" s="216">
        <v>75145.01</v>
      </c>
      <c r="K137" s="216">
        <v>31740.0</v>
      </c>
      <c r="L137" s="202"/>
      <c r="M137" s="202"/>
      <c r="N137" s="147"/>
      <c r="O137" s="147"/>
      <c r="P137" s="147"/>
      <c r="Q137" s="203"/>
      <c r="R137" s="186"/>
      <c r="S137" s="186"/>
      <c r="T137" s="147"/>
      <c r="U137" s="204"/>
    </row>
    <row r="138" ht="22.5" hidden="1" customHeight="1">
      <c r="A138" s="205"/>
      <c r="B138" s="193" t="s">
        <v>558</v>
      </c>
      <c r="C138" s="241" t="s">
        <v>638</v>
      </c>
      <c r="D138" s="234"/>
      <c r="E138" s="234"/>
      <c r="F138" s="150"/>
      <c r="G138" s="150"/>
      <c r="H138" s="207"/>
      <c r="I138" s="197" t="s">
        <v>925</v>
      </c>
      <c r="J138" s="222">
        <v>380880.0</v>
      </c>
      <c r="K138" s="207"/>
      <c r="L138" s="208"/>
      <c r="M138" s="196" t="s">
        <v>926</v>
      </c>
      <c r="N138" s="150"/>
      <c r="O138" s="150"/>
      <c r="P138" s="150"/>
      <c r="Q138" s="209"/>
      <c r="R138" s="234"/>
      <c r="S138" s="234"/>
      <c r="T138" s="220">
        <v>673.0</v>
      </c>
      <c r="U138" s="198"/>
    </row>
    <row r="139" ht="22.5" hidden="1" customHeight="1">
      <c r="A139" s="199"/>
      <c r="B139" s="212" t="s">
        <v>696</v>
      </c>
      <c r="C139" s="232" t="s">
        <v>1080</v>
      </c>
      <c r="D139" s="236"/>
      <c r="E139" s="236"/>
      <c r="F139" s="147"/>
      <c r="G139" s="147"/>
      <c r="H139" s="201"/>
      <c r="I139" s="237" t="s">
        <v>928</v>
      </c>
      <c r="J139" s="216">
        <v>720263.05</v>
      </c>
      <c r="K139" s="201"/>
      <c r="L139" s="202"/>
      <c r="M139" s="202"/>
      <c r="N139" s="147"/>
      <c r="O139" s="147"/>
      <c r="P139" s="147"/>
      <c r="Q139" s="203"/>
      <c r="R139" s="236"/>
      <c r="S139" s="236"/>
      <c r="T139" s="147"/>
      <c r="U139" s="204"/>
    </row>
    <row r="140" ht="22.5" hidden="1" customHeight="1">
      <c r="A140" s="205"/>
      <c r="B140" s="82"/>
      <c r="C140" s="206"/>
      <c r="D140" s="206"/>
      <c r="E140" s="206"/>
      <c r="F140" s="150"/>
      <c r="G140" s="150"/>
      <c r="H140" s="207"/>
      <c r="I140" s="207"/>
      <c r="J140" s="207"/>
      <c r="K140" s="207"/>
      <c r="L140" s="208"/>
      <c r="M140" s="208"/>
      <c r="N140" s="150"/>
      <c r="O140" s="150"/>
      <c r="P140" s="150"/>
      <c r="Q140" s="209"/>
      <c r="R140" s="45"/>
      <c r="S140" s="45"/>
      <c r="T140" s="150"/>
      <c r="U140" s="198"/>
    </row>
    <row r="141" ht="22.5" hidden="1" customHeight="1">
      <c r="A141" s="199"/>
      <c r="B141" s="146"/>
      <c r="C141" s="200"/>
      <c r="D141" s="200"/>
      <c r="E141" s="200"/>
      <c r="F141" s="147"/>
      <c r="G141" s="147"/>
      <c r="H141" s="201"/>
      <c r="I141" s="201"/>
      <c r="J141" s="201"/>
      <c r="K141" s="201"/>
      <c r="L141" s="202"/>
      <c r="M141" s="202"/>
      <c r="N141" s="147"/>
      <c r="O141" s="147"/>
      <c r="P141" s="147"/>
      <c r="Q141" s="203"/>
      <c r="R141" s="186"/>
      <c r="S141" s="186"/>
      <c r="T141" s="147"/>
      <c r="U141" s="204"/>
    </row>
    <row r="142" ht="22.5" hidden="1" customHeight="1">
      <c r="A142" s="205"/>
      <c r="B142" s="82"/>
      <c r="C142" s="206"/>
      <c r="D142" s="206"/>
      <c r="E142" s="206"/>
      <c r="F142" s="150"/>
      <c r="G142" s="150"/>
      <c r="H142" s="207"/>
      <c r="I142" s="207"/>
      <c r="J142" s="207"/>
      <c r="K142" s="207"/>
      <c r="L142" s="208"/>
      <c r="M142" s="208"/>
      <c r="N142" s="150"/>
      <c r="O142" s="150"/>
      <c r="P142" s="150"/>
      <c r="Q142" s="209"/>
      <c r="R142" s="45"/>
      <c r="S142" s="45"/>
      <c r="T142" s="150"/>
      <c r="U142" s="198"/>
    </row>
    <row r="143" ht="22.5" hidden="1" customHeight="1">
      <c r="A143" s="199"/>
      <c r="B143" s="146"/>
      <c r="C143" s="200"/>
      <c r="D143" s="200"/>
      <c r="E143" s="200"/>
      <c r="F143" s="147"/>
      <c r="G143" s="147"/>
      <c r="H143" s="201"/>
      <c r="I143" s="201"/>
      <c r="J143" s="201"/>
      <c r="K143" s="201"/>
      <c r="L143" s="202"/>
      <c r="M143" s="202"/>
      <c r="N143" s="147"/>
      <c r="O143" s="147"/>
      <c r="P143" s="147"/>
      <c r="Q143" s="203"/>
      <c r="R143" s="186"/>
      <c r="S143" s="186"/>
      <c r="T143" s="147"/>
      <c r="U143" s="204"/>
    </row>
    <row r="144" ht="22.5" hidden="1" customHeight="1">
      <c r="A144" s="192" t="s">
        <v>181</v>
      </c>
      <c r="B144" s="193" t="s">
        <v>132</v>
      </c>
      <c r="C144" s="193" t="s">
        <v>131</v>
      </c>
      <c r="D144" s="194" t="s">
        <v>870</v>
      </c>
      <c r="E144" s="193" t="s">
        <v>7</v>
      </c>
      <c r="F144" s="195" t="s">
        <v>871</v>
      </c>
      <c r="G144" s="195" t="s">
        <v>872</v>
      </c>
      <c r="H144" s="197" t="s">
        <v>8</v>
      </c>
      <c r="I144" s="197" t="s">
        <v>873</v>
      </c>
      <c r="J144" s="197" t="s">
        <v>17</v>
      </c>
      <c r="K144" s="197" t="s">
        <v>874</v>
      </c>
      <c r="L144" s="196" t="s">
        <v>875</v>
      </c>
      <c r="M144" s="196" t="s">
        <v>876</v>
      </c>
      <c r="N144" s="195" t="s">
        <v>877</v>
      </c>
      <c r="O144" s="195" t="s">
        <v>878</v>
      </c>
      <c r="P144" s="195" t="s">
        <v>879</v>
      </c>
      <c r="Q144" s="196" t="s">
        <v>880</v>
      </c>
      <c r="R144" s="196" t="s">
        <v>881</v>
      </c>
      <c r="S144" s="196" t="s">
        <v>882</v>
      </c>
      <c r="T144" s="195" t="s">
        <v>557</v>
      </c>
      <c r="U144" s="198"/>
    </row>
    <row r="145" ht="22.5" customHeight="1">
      <c r="A145" s="211" t="s">
        <v>1081</v>
      </c>
      <c r="B145" s="212" t="s">
        <v>402</v>
      </c>
      <c r="C145" s="213" t="s">
        <v>136</v>
      </c>
      <c r="D145" s="214" t="s">
        <v>884</v>
      </c>
      <c r="E145" s="212" t="s">
        <v>15</v>
      </c>
      <c r="F145" s="215">
        <v>3.0</v>
      </c>
      <c r="G145" s="147"/>
      <c r="H145" s="216">
        <v>200.0</v>
      </c>
      <c r="I145" s="216">
        <v>600.0</v>
      </c>
      <c r="J145" s="216">
        <v>14043.29</v>
      </c>
      <c r="K145" s="216">
        <v>0.0</v>
      </c>
      <c r="L145" s="217">
        <v>46315.0</v>
      </c>
      <c r="M145" s="217">
        <v>46346.0</v>
      </c>
      <c r="N145" s="215">
        <v>1.0</v>
      </c>
      <c r="O145" s="215">
        <v>-185.0</v>
      </c>
      <c r="P145" s="215">
        <v>215.0</v>
      </c>
      <c r="Q145" s="232">
        <v>46323.0</v>
      </c>
      <c r="R145" s="218" t="s">
        <v>1082</v>
      </c>
      <c r="S145" s="225" t="s">
        <v>1083</v>
      </c>
      <c r="T145" s="215">
        <v>644.0</v>
      </c>
      <c r="U145" s="204"/>
    </row>
    <row r="146" ht="22.5" customHeight="1">
      <c r="A146" s="192" t="s">
        <v>1084</v>
      </c>
      <c r="B146" s="193" t="s">
        <v>454</v>
      </c>
      <c r="C146" s="226" t="s">
        <v>136</v>
      </c>
      <c r="D146" s="194" t="s">
        <v>886</v>
      </c>
      <c r="E146" s="193" t="s">
        <v>17</v>
      </c>
      <c r="F146" s="220">
        <v>3.0</v>
      </c>
      <c r="G146" s="150"/>
      <c r="H146" s="222">
        <v>3000.0</v>
      </c>
      <c r="I146" s="222">
        <v>5000.0</v>
      </c>
      <c r="J146" s="222">
        <v>5000.0</v>
      </c>
      <c r="K146" s="222">
        <v>0.0</v>
      </c>
      <c r="L146" s="223">
        <v>46311.0</v>
      </c>
      <c r="M146" s="223">
        <v>46342.0</v>
      </c>
      <c r="N146" s="220">
        <v>1.0</v>
      </c>
      <c r="O146" s="220">
        <v>-189.0</v>
      </c>
      <c r="P146" s="220">
        <v>219.0</v>
      </c>
      <c r="Q146" s="238">
        <v>46355.0</v>
      </c>
      <c r="R146" s="196" t="s">
        <v>1085</v>
      </c>
      <c r="S146" s="227" t="s">
        <v>1086</v>
      </c>
      <c r="T146" s="220">
        <v>645.0</v>
      </c>
      <c r="U146" s="198"/>
    </row>
    <row r="147" ht="22.5" customHeight="1">
      <c r="A147" s="211" t="s">
        <v>1087</v>
      </c>
      <c r="B147" s="212" t="s">
        <v>414</v>
      </c>
      <c r="C147" s="213" t="s">
        <v>136</v>
      </c>
      <c r="D147" s="214" t="s">
        <v>888</v>
      </c>
      <c r="E147" s="212" t="s">
        <v>17</v>
      </c>
      <c r="F147" s="215">
        <v>3.0</v>
      </c>
      <c r="G147" s="215">
        <v>0.375</v>
      </c>
      <c r="H147" s="216">
        <v>4000.0</v>
      </c>
      <c r="I147" s="216">
        <v>7500.0</v>
      </c>
      <c r="J147" s="216">
        <v>7500.0</v>
      </c>
      <c r="K147" s="216">
        <v>7500.0</v>
      </c>
      <c r="L147" s="217">
        <v>46296.0</v>
      </c>
      <c r="M147" s="217">
        <v>46327.0</v>
      </c>
      <c r="N147" s="215">
        <v>0.0</v>
      </c>
      <c r="O147" s="215">
        <v>-204.0</v>
      </c>
      <c r="P147" s="215">
        <v>234.0</v>
      </c>
      <c r="Q147" s="203"/>
      <c r="R147" s="218" t="s">
        <v>1088</v>
      </c>
      <c r="S147" s="225" t="s">
        <v>1089</v>
      </c>
      <c r="T147" s="215">
        <v>646.0</v>
      </c>
      <c r="U147" s="204"/>
    </row>
    <row r="148" ht="22.5" customHeight="1">
      <c r="A148" s="192" t="s">
        <v>1090</v>
      </c>
      <c r="B148" s="193" t="s">
        <v>460</v>
      </c>
      <c r="C148" s="226" t="s">
        <v>136</v>
      </c>
      <c r="D148" s="194" t="s">
        <v>964</v>
      </c>
      <c r="E148" s="193" t="s">
        <v>17</v>
      </c>
      <c r="F148" s="220">
        <v>1.0</v>
      </c>
      <c r="G148" s="150"/>
      <c r="H148" s="222">
        <v>4000.0</v>
      </c>
      <c r="I148" s="222">
        <v>4000.0</v>
      </c>
      <c r="J148" s="222">
        <v>4000.0</v>
      </c>
      <c r="K148" s="222">
        <v>0.0</v>
      </c>
      <c r="L148" s="223">
        <v>46313.0</v>
      </c>
      <c r="M148" s="223">
        <v>46344.0</v>
      </c>
      <c r="N148" s="220">
        <v>1.0</v>
      </c>
      <c r="O148" s="220">
        <v>-187.0</v>
      </c>
      <c r="P148" s="220">
        <v>217.0</v>
      </c>
      <c r="Q148" s="238">
        <v>46356.0</v>
      </c>
      <c r="R148" s="196" t="s">
        <v>1091</v>
      </c>
      <c r="S148" s="227" t="s">
        <v>1092</v>
      </c>
      <c r="T148" s="220">
        <v>647.0</v>
      </c>
      <c r="U148" s="198"/>
    </row>
    <row r="149" ht="22.5" customHeight="1">
      <c r="A149" s="199"/>
      <c r="B149" s="212" t="s">
        <v>301</v>
      </c>
      <c r="C149" s="214" t="s">
        <v>694</v>
      </c>
      <c r="D149" s="214" t="s">
        <v>895</v>
      </c>
      <c r="E149" s="212" t="s">
        <v>17</v>
      </c>
      <c r="F149" s="215">
        <v>6.35</v>
      </c>
      <c r="G149" s="147"/>
      <c r="H149" s="216">
        <v>1250.0</v>
      </c>
      <c r="I149" s="216">
        <v>7937.5</v>
      </c>
      <c r="J149" s="201"/>
      <c r="K149" s="201"/>
      <c r="L149" s="217">
        <v>46313.0</v>
      </c>
      <c r="M149" s="217">
        <v>46344.0</v>
      </c>
      <c r="N149" s="147"/>
      <c r="O149" s="215">
        <v>-187.0</v>
      </c>
      <c r="P149" s="215">
        <v>217.0</v>
      </c>
      <c r="Q149" s="203"/>
      <c r="R149" s="218" t="s">
        <v>1093</v>
      </c>
      <c r="S149" s="186"/>
      <c r="T149" s="215">
        <v>648.0</v>
      </c>
      <c r="U149" s="204"/>
    </row>
    <row r="150" ht="22.5" customHeight="1">
      <c r="A150" s="192" t="s">
        <v>1094</v>
      </c>
      <c r="B150" s="193" t="s">
        <v>147</v>
      </c>
      <c r="C150" s="226" t="s">
        <v>136</v>
      </c>
      <c r="D150" s="194" t="s">
        <v>1030</v>
      </c>
      <c r="E150" s="193" t="s">
        <v>19</v>
      </c>
      <c r="F150" s="195" t="s">
        <v>1095</v>
      </c>
      <c r="G150" s="220">
        <v>0.1</v>
      </c>
      <c r="H150" s="222">
        <v>15.0</v>
      </c>
      <c r="I150" s="222">
        <v>222.75</v>
      </c>
      <c r="J150" s="222">
        <v>26403.27</v>
      </c>
      <c r="K150" s="222">
        <v>26403.27</v>
      </c>
      <c r="L150" s="223">
        <v>46306.0</v>
      </c>
      <c r="M150" s="223">
        <v>46337.0</v>
      </c>
      <c r="N150" s="220">
        <v>0.0</v>
      </c>
      <c r="O150" s="220">
        <v>-194.0</v>
      </c>
      <c r="P150" s="220">
        <v>224.0</v>
      </c>
      <c r="Q150" s="238">
        <v>46052.0</v>
      </c>
      <c r="R150" s="196" t="s">
        <v>1096</v>
      </c>
      <c r="S150" s="227" t="s">
        <v>1097</v>
      </c>
      <c r="T150" s="220">
        <v>649.0</v>
      </c>
      <c r="U150" s="198"/>
    </row>
    <row r="151" ht="22.5" customHeight="1">
      <c r="A151" s="199"/>
      <c r="B151" s="212" t="s">
        <v>184</v>
      </c>
      <c r="C151" s="231" t="s">
        <v>684</v>
      </c>
      <c r="D151" s="214" t="s">
        <v>1098</v>
      </c>
      <c r="E151" s="212" t="s">
        <v>15</v>
      </c>
      <c r="F151" s="228" t="s">
        <v>1099</v>
      </c>
      <c r="G151" s="147"/>
      <c r="H151" s="216">
        <v>40.0</v>
      </c>
      <c r="I151" s="216">
        <v>160.0</v>
      </c>
      <c r="J151" s="201"/>
      <c r="K151" s="201"/>
      <c r="L151" s="217">
        <v>46299.0</v>
      </c>
      <c r="M151" s="217">
        <v>46330.0</v>
      </c>
      <c r="N151" s="147"/>
      <c r="O151" s="215">
        <v>-201.0</v>
      </c>
      <c r="P151" s="215">
        <v>231.0</v>
      </c>
      <c r="Q151" s="203"/>
      <c r="R151" s="218" t="s">
        <v>1100</v>
      </c>
      <c r="S151" s="186"/>
      <c r="T151" s="215">
        <v>650.0</v>
      </c>
      <c r="U151" s="204"/>
    </row>
    <row r="152" ht="22.5" customHeight="1">
      <c r="A152" s="205"/>
      <c r="B152" s="193" t="s">
        <v>470</v>
      </c>
      <c r="C152" s="194" t="s">
        <v>1003</v>
      </c>
      <c r="D152" s="194" t="s">
        <v>1004</v>
      </c>
      <c r="E152" s="193" t="s">
        <v>15</v>
      </c>
      <c r="F152" s="220">
        <v>1.0</v>
      </c>
      <c r="G152" s="150"/>
      <c r="H152" s="222">
        <v>26000.0</v>
      </c>
      <c r="I152" s="222">
        <v>26000.0</v>
      </c>
      <c r="J152" s="207"/>
      <c r="K152" s="207"/>
      <c r="L152" s="223">
        <v>46299.0</v>
      </c>
      <c r="M152" s="223">
        <v>46330.0</v>
      </c>
      <c r="N152" s="150"/>
      <c r="O152" s="220">
        <v>-201.0</v>
      </c>
      <c r="P152" s="220">
        <v>231.0</v>
      </c>
      <c r="Q152" s="209"/>
      <c r="R152" s="196" t="s">
        <v>1101</v>
      </c>
      <c r="S152" s="45"/>
      <c r="T152" s="220">
        <v>651.0</v>
      </c>
      <c r="U152" s="198"/>
    </row>
    <row r="153" ht="22.5" customHeight="1">
      <c r="A153" s="199"/>
      <c r="B153" s="212" t="s">
        <v>189</v>
      </c>
      <c r="C153" s="229" t="s">
        <v>685</v>
      </c>
      <c r="D153" s="214" t="s">
        <v>904</v>
      </c>
      <c r="E153" s="212" t="s">
        <v>15</v>
      </c>
      <c r="F153" s="215">
        <v>4.0</v>
      </c>
      <c r="G153" s="147"/>
      <c r="H153" s="216">
        <v>4000.0</v>
      </c>
      <c r="I153" s="216">
        <v>16000.0</v>
      </c>
      <c r="J153" s="201"/>
      <c r="K153" s="201"/>
      <c r="L153" s="217">
        <v>46311.0</v>
      </c>
      <c r="M153" s="217">
        <v>46342.0</v>
      </c>
      <c r="N153" s="147"/>
      <c r="O153" s="215">
        <v>-189.0</v>
      </c>
      <c r="P153" s="215">
        <v>219.0</v>
      </c>
      <c r="Q153" s="203"/>
      <c r="R153" s="218" t="s">
        <v>1102</v>
      </c>
      <c r="S153" s="186"/>
      <c r="T153" s="215">
        <v>652.0</v>
      </c>
      <c r="U153" s="204"/>
    </row>
    <row r="154" ht="22.5" customHeight="1">
      <c r="A154" s="192" t="s">
        <v>1103</v>
      </c>
      <c r="B154" s="193" t="s">
        <v>438</v>
      </c>
      <c r="C154" s="226" t="s">
        <v>136</v>
      </c>
      <c r="D154" s="194" t="s">
        <v>906</v>
      </c>
      <c r="E154" s="193" t="s">
        <v>17</v>
      </c>
      <c r="F154" s="220">
        <v>4.0</v>
      </c>
      <c r="G154" s="220">
        <v>0.25</v>
      </c>
      <c r="H154" s="222">
        <v>8000.0</v>
      </c>
      <c r="I154" s="222">
        <v>24000.0</v>
      </c>
      <c r="J154" s="222">
        <v>24000.0</v>
      </c>
      <c r="K154" s="222">
        <v>0.0</v>
      </c>
      <c r="L154" s="223">
        <v>46320.0</v>
      </c>
      <c r="M154" s="223">
        <v>46351.0</v>
      </c>
      <c r="N154" s="220">
        <v>1.0</v>
      </c>
      <c r="O154" s="220">
        <v>-180.0</v>
      </c>
      <c r="P154" s="220">
        <v>210.0</v>
      </c>
      <c r="Q154" s="238">
        <v>46366.0</v>
      </c>
      <c r="R154" s="196" t="s">
        <v>1104</v>
      </c>
      <c r="S154" s="227" t="s">
        <v>1105</v>
      </c>
      <c r="T154" s="220">
        <v>653.0</v>
      </c>
      <c r="U154" s="198"/>
    </row>
    <row r="155" ht="22.5" customHeight="1">
      <c r="A155" s="211" t="s">
        <v>1106</v>
      </c>
      <c r="B155" s="212" t="s">
        <v>440</v>
      </c>
      <c r="C155" s="213" t="s">
        <v>136</v>
      </c>
      <c r="D155" s="214" t="s">
        <v>908</v>
      </c>
      <c r="E155" s="212" t="s">
        <v>19</v>
      </c>
      <c r="F155" s="228" t="s">
        <v>1107</v>
      </c>
      <c r="G155" s="147"/>
      <c r="H155" s="216">
        <v>15.0</v>
      </c>
      <c r="I155" s="216">
        <v>164.85</v>
      </c>
      <c r="J155" s="216">
        <v>19259.56</v>
      </c>
      <c r="K155" s="216">
        <v>0.0</v>
      </c>
      <c r="L155" s="217">
        <v>46320.0</v>
      </c>
      <c r="M155" s="217">
        <v>46351.0</v>
      </c>
      <c r="N155" s="215">
        <v>1.0</v>
      </c>
      <c r="O155" s="215">
        <v>-180.0</v>
      </c>
      <c r="P155" s="215">
        <v>210.0</v>
      </c>
      <c r="Q155" s="232">
        <v>46343.0</v>
      </c>
      <c r="R155" s="218" t="s">
        <v>1108</v>
      </c>
      <c r="S155" s="225" t="s">
        <v>1109</v>
      </c>
      <c r="T155" s="215">
        <v>654.0</v>
      </c>
      <c r="U155" s="204"/>
    </row>
    <row r="156" ht="22.5" customHeight="1">
      <c r="A156" s="205"/>
      <c r="B156" s="193" t="s">
        <v>186</v>
      </c>
      <c r="C156" s="242" t="s">
        <v>685</v>
      </c>
      <c r="D156" s="194" t="s">
        <v>1012</v>
      </c>
      <c r="E156" s="193" t="s">
        <v>187</v>
      </c>
      <c r="F156" s="220">
        <v>2.0</v>
      </c>
      <c r="G156" s="150"/>
      <c r="H156" s="222">
        <v>200.0</v>
      </c>
      <c r="I156" s="222">
        <v>400.0</v>
      </c>
      <c r="J156" s="207"/>
      <c r="K156" s="207"/>
      <c r="L156" s="223">
        <v>46296.0</v>
      </c>
      <c r="M156" s="223">
        <v>46327.0</v>
      </c>
      <c r="N156" s="150"/>
      <c r="O156" s="220">
        <v>-204.0</v>
      </c>
      <c r="P156" s="220">
        <v>234.0</v>
      </c>
      <c r="Q156" s="209"/>
      <c r="R156" s="196" t="s">
        <v>1110</v>
      </c>
      <c r="S156" s="45"/>
      <c r="T156" s="220">
        <v>655.0</v>
      </c>
      <c r="U156" s="198"/>
    </row>
    <row r="157" ht="22.5" customHeight="1">
      <c r="A157" s="199"/>
      <c r="B157" s="212" t="s">
        <v>160</v>
      </c>
      <c r="C157" s="213" t="s">
        <v>136</v>
      </c>
      <c r="D157" s="214" t="s">
        <v>913</v>
      </c>
      <c r="E157" s="212" t="s">
        <v>17</v>
      </c>
      <c r="F157" s="215">
        <v>1.0</v>
      </c>
      <c r="G157" s="147"/>
      <c r="H157" s="216">
        <v>2000.0</v>
      </c>
      <c r="I157" s="216">
        <v>2000.0</v>
      </c>
      <c r="J157" s="216">
        <v>2000.0</v>
      </c>
      <c r="K157" s="216">
        <v>0.0</v>
      </c>
      <c r="L157" s="217">
        <v>46320.0</v>
      </c>
      <c r="M157" s="217">
        <v>46351.0</v>
      </c>
      <c r="N157" s="215">
        <v>1.0</v>
      </c>
      <c r="O157" s="215">
        <v>-180.0</v>
      </c>
      <c r="P157" s="215">
        <v>210.0</v>
      </c>
      <c r="Q157" s="232">
        <v>46343.0</v>
      </c>
      <c r="R157" s="218" t="s">
        <v>1111</v>
      </c>
      <c r="S157" s="225" t="s">
        <v>1112</v>
      </c>
      <c r="T157" s="215">
        <v>656.0</v>
      </c>
      <c r="U157" s="204"/>
    </row>
    <row r="158" ht="22.5" customHeight="1">
      <c r="A158" s="205"/>
      <c r="B158" s="193" t="s">
        <v>915</v>
      </c>
      <c r="C158" s="194" t="s">
        <v>1074</v>
      </c>
      <c r="D158" s="194" t="s">
        <v>916</v>
      </c>
      <c r="E158" s="193" t="s">
        <v>17</v>
      </c>
      <c r="F158" s="220">
        <v>3.0</v>
      </c>
      <c r="G158" s="220">
        <v>0.25</v>
      </c>
      <c r="H158" s="197" t="s">
        <v>917</v>
      </c>
      <c r="I158" s="222">
        <v>9000.0</v>
      </c>
      <c r="J158" s="222">
        <v>9000.0</v>
      </c>
      <c r="K158" s="222">
        <v>0.0</v>
      </c>
      <c r="L158" s="223">
        <v>46296.0</v>
      </c>
      <c r="M158" s="223">
        <v>46327.0</v>
      </c>
      <c r="N158" s="220">
        <v>1.0</v>
      </c>
      <c r="O158" s="220">
        <v>-204.0</v>
      </c>
      <c r="P158" s="220">
        <v>234.0</v>
      </c>
      <c r="Q158" s="238">
        <v>46064.0</v>
      </c>
      <c r="R158" s="196" t="s">
        <v>1113</v>
      </c>
      <c r="S158" s="227" t="s">
        <v>1114</v>
      </c>
      <c r="T158" s="220">
        <v>657.0</v>
      </c>
      <c r="U158" s="198"/>
    </row>
    <row r="159" ht="22.5" customHeight="1">
      <c r="A159" s="199"/>
      <c r="B159" s="212" t="s">
        <v>153</v>
      </c>
      <c r="C159" s="231" t="s">
        <v>684</v>
      </c>
      <c r="D159" s="214" t="s">
        <v>1077</v>
      </c>
      <c r="E159" s="212" t="s">
        <v>108</v>
      </c>
      <c r="F159" s="228" t="s">
        <v>1078</v>
      </c>
      <c r="G159" s="147"/>
      <c r="H159" s="216">
        <v>25.0</v>
      </c>
      <c r="I159" s="216">
        <v>600.0</v>
      </c>
      <c r="J159" s="201"/>
      <c r="K159" s="201"/>
      <c r="L159" s="217">
        <v>46321.0</v>
      </c>
      <c r="M159" s="217">
        <v>46352.0</v>
      </c>
      <c r="N159" s="147"/>
      <c r="O159" s="215">
        <v>-179.0</v>
      </c>
      <c r="P159" s="215">
        <v>209.0</v>
      </c>
      <c r="Q159" s="203"/>
      <c r="R159" s="218" t="s">
        <v>1115</v>
      </c>
      <c r="S159" s="186"/>
      <c r="T159" s="215">
        <v>658.0</v>
      </c>
      <c r="U159" s="204"/>
    </row>
    <row r="160" ht="22.5" hidden="1" customHeight="1">
      <c r="A160" s="205"/>
      <c r="B160" s="193" t="s">
        <v>923</v>
      </c>
      <c r="C160" s="233" t="s">
        <v>575</v>
      </c>
      <c r="D160" s="234"/>
      <c r="E160" s="209"/>
      <c r="F160" s="150"/>
      <c r="G160" s="150"/>
      <c r="H160" s="207"/>
      <c r="I160" s="197" t="s">
        <v>924</v>
      </c>
      <c r="J160" s="222">
        <v>111206.12</v>
      </c>
      <c r="K160" s="222">
        <v>33903.27</v>
      </c>
      <c r="L160" s="208"/>
      <c r="M160" s="208"/>
      <c r="N160" s="150"/>
      <c r="O160" s="150"/>
      <c r="P160" s="150"/>
      <c r="Q160" s="209"/>
      <c r="R160" s="45"/>
      <c r="S160" s="45"/>
      <c r="T160" s="150"/>
      <c r="U160" s="198"/>
    </row>
    <row r="161" ht="22.5" hidden="1" customHeight="1">
      <c r="A161" s="199"/>
      <c r="B161" s="212" t="s">
        <v>558</v>
      </c>
      <c r="C161" s="235" t="s">
        <v>636</v>
      </c>
      <c r="D161" s="236"/>
      <c r="E161" s="236"/>
      <c r="F161" s="147"/>
      <c r="G161" s="147"/>
      <c r="H161" s="201"/>
      <c r="I161" s="237" t="s">
        <v>925</v>
      </c>
      <c r="J161" s="216">
        <v>406839.24</v>
      </c>
      <c r="K161" s="201"/>
      <c r="L161" s="202"/>
      <c r="M161" s="218" t="s">
        <v>926</v>
      </c>
      <c r="N161" s="147"/>
      <c r="O161" s="147"/>
      <c r="P161" s="147"/>
      <c r="Q161" s="203"/>
      <c r="R161" s="236"/>
      <c r="S161" s="236"/>
      <c r="T161" s="215">
        <v>658.0</v>
      </c>
      <c r="U161" s="204"/>
    </row>
    <row r="162" ht="22.5" hidden="1" customHeight="1">
      <c r="A162" s="205"/>
      <c r="B162" s="193" t="s">
        <v>696</v>
      </c>
      <c r="C162" s="238" t="s">
        <v>1116</v>
      </c>
      <c r="D162" s="234"/>
      <c r="E162" s="234"/>
      <c r="F162" s="150"/>
      <c r="G162" s="150"/>
      <c r="H162" s="207"/>
      <c r="I162" s="197" t="s">
        <v>928</v>
      </c>
      <c r="J162" s="222">
        <v>688523.05</v>
      </c>
      <c r="K162" s="207"/>
      <c r="L162" s="208"/>
      <c r="M162" s="208"/>
      <c r="N162" s="150"/>
      <c r="O162" s="150"/>
      <c r="P162" s="150"/>
      <c r="Q162" s="209"/>
      <c r="R162" s="234"/>
      <c r="S162" s="234"/>
      <c r="T162" s="150"/>
      <c r="U162" s="198"/>
    </row>
    <row r="163" ht="22.5" hidden="1" customHeight="1">
      <c r="A163" s="199"/>
      <c r="B163" s="146"/>
      <c r="C163" s="200"/>
      <c r="D163" s="200"/>
      <c r="E163" s="200"/>
      <c r="F163" s="147"/>
      <c r="G163" s="147"/>
      <c r="H163" s="201"/>
      <c r="I163" s="201"/>
      <c r="J163" s="201"/>
      <c r="K163" s="201"/>
      <c r="L163" s="202"/>
      <c r="M163" s="202"/>
      <c r="N163" s="147"/>
      <c r="O163" s="147"/>
      <c r="P163" s="147"/>
      <c r="Q163" s="203"/>
      <c r="R163" s="186"/>
      <c r="S163" s="186"/>
      <c r="T163" s="147"/>
      <c r="U163" s="204"/>
    </row>
    <row r="164" ht="22.5" hidden="1" customHeight="1">
      <c r="A164" s="205"/>
      <c r="B164" s="82"/>
      <c r="C164" s="206"/>
      <c r="D164" s="206"/>
      <c r="E164" s="206"/>
      <c r="F164" s="150"/>
      <c r="G164" s="150"/>
      <c r="H164" s="207"/>
      <c r="I164" s="207"/>
      <c r="J164" s="207"/>
      <c r="K164" s="207"/>
      <c r="L164" s="208"/>
      <c r="M164" s="208"/>
      <c r="N164" s="150"/>
      <c r="O164" s="150"/>
      <c r="P164" s="150"/>
      <c r="Q164" s="209"/>
      <c r="R164" s="45"/>
      <c r="S164" s="45"/>
      <c r="T164" s="150"/>
      <c r="U164" s="198"/>
    </row>
    <row r="165" ht="22.5" hidden="1" customHeight="1">
      <c r="A165" s="199"/>
      <c r="B165" s="146"/>
      <c r="C165" s="200"/>
      <c r="D165" s="200"/>
      <c r="E165" s="200"/>
      <c r="F165" s="147"/>
      <c r="G165" s="147"/>
      <c r="H165" s="201"/>
      <c r="I165" s="201"/>
      <c r="J165" s="201"/>
      <c r="K165" s="201"/>
      <c r="L165" s="202"/>
      <c r="M165" s="202"/>
      <c r="N165" s="147"/>
      <c r="O165" s="147"/>
      <c r="P165" s="147"/>
      <c r="Q165" s="203"/>
      <c r="R165" s="186"/>
      <c r="S165" s="186"/>
      <c r="T165" s="147"/>
      <c r="U165" s="204"/>
    </row>
    <row r="166" ht="22.5" hidden="1" customHeight="1">
      <c r="A166" s="205"/>
      <c r="B166" s="82"/>
      <c r="C166" s="206"/>
      <c r="D166" s="206"/>
      <c r="E166" s="206"/>
      <c r="F166" s="150"/>
      <c r="G166" s="150"/>
      <c r="H166" s="207"/>
      <c r="I166" s="207"/>
      <c r="J166" s="207"/>
      <c r="K166" s="207"/>
      <c r="L166" s="208"/>
      <c r="M166" s="208"/>
      <c r="N166" s="150"/>
      <c r="O166" s="150"/>
      <c r="P166" s="150"/>
      <c r="Q166" s="209"/>
      <c r="R166" s="45"/>
      <c r="S166" s="45"/>
      <c r="T166" s="150"/>
      <c r="U166" s="198"/>
    </row>
    <row r="167" ht="22.5" hidden="1" customHeight="1">
      <c r="A167" s="211" t="s">
        <v>181</v>
      </c>
      <c r="B167" s="212" t="s">
        <v>132</v>
      </c>
      <c r="C167" s="212" t="s">
        <v>131</v>
      </c>
      <c r="D167" s="214" t="s">
        <v>870</v>
      </c>
      <c r="E167" s="212" t="s">
        <v>7</v>
      </c>
      <c r="F167" s="228" t="s">
        <v>871</v>
      </c>
      <c r="G167" s="228" t="s">
        <v>872</v>
      </c>
      <c r="H167" s="237" t="s">
        <v>8</v>
      </c>
      <c r="I167" s="237" t="s">
        <v>873</v>
      </c>
      <c r="J167" s="237" t="s">
        <v>17</v>
      </c>
      <c r="K167" s="237" t="s">
        <v>874</v>
      </c>
      <c r="L167" s="218" t="s">
        <v>875</v>
      </c>
      <c r="M167" s="218" t="s">
        <v>876</v>
      </c>
      <c r="N167" s="228" t="s">
        <v>877</v>
      </c>
      <c r="O167" s="228" t="s">
        <v>878</v>
      </c>
      <c r="P167" s="228" t="s">
        <v>879</v>
      </c>
      <c r="Q167" s="218" t="s">
        <v>880</v>
      </c>
      <c r="R167" s="218" t="s">
        <v>881</v>
      </c>
      <c r="S167" s="218" t="s">
        <v>882</v>
      </c>
      <c r="T167" s="228" t="s">
        <v>557</v>
      </c>
      <c r="U167" s="204"/>
    </row>
    <row r="168" ht="22.5" customHeight="1">
      <c r="A168" s="192" t="s">
        <v>1117</v>
      </c>
      <c r="B168" s="193" t="s">
        <v>402</v>
      </c>
      <c r="C168" s="226" t="s">
        <v>136</v>
      </c>
      <c r="D168" s="194" t="s">
        <v>884</v>
      </c>
      <c r="E168" s="193" t="s">
        <v>15</v>
      </c>
      <c r="F168" s="220">
        <v>2.0</v>
      </c>
      <c r="G168" s="150"/>
      <c r="H168" s="222">
        <v>200.0</v>
      </c>
      <c r="I168" s="222">
        <v>400.0</v>
      </c>
      <c r="J168" s="222">
        <v>9496.92</v>
      </c>
      <c r="K168" s="222">
        <v>0.0</v>
      </c>
      <c r="L168" s="223">
        <v>46285.0</v>
      </c>
      <c r="M168" s="223">
        <v>46315.0</v>
      </c>
      <c r="N168" s="220">
        <v>1.0</v>
      </c>
      <c r="O168" s="220">
        <v>-216.0</v>
      </c>
      <c r="P168" s="220">
        <v>246.0</v>
      </c>
      <c r="Q168" s="238">
        <v>46293.0</v>
      </c>
      <c r="R168" s="196" t="s">
        <v>1118</v>
      </c>
      <c r="S168" s="227" t="s">
        <v>1119</v>
      </c>
      <c r="T168" s="220">
        <v>629.0</v>
      </c>
      <c r="U168" s="198"/>
    </row>
    <row r="169" ht="22.5" customHeight="1">
      <c r="A169" s="211" t="s">
        <v>1120</v>
      </c>
      <c r="B169" s="212" t="s">
        <v>454</v>
      </c>
      <c r="C169" s="213" t="s">
        <v>136</v>
      </c>
      <c r="D169" s="214" t="s">
        <v>886</v>
      </c>
      <c r="E169" s="212" t="s">
        <v>17</v>
      </c>
      <c r="F169" s="215">
        <v>3.0</v>
      </c>
      <c r="G169" s="147"/>
      <c r="H169" s="216">
        <v>3000.0</v>
      </c>
      <c r="I169" s="216">
        <v>9000.0</v>
      </c>
      <c r="J169" s="216">
        <v>9000.0</v>
      </c>
      <c r="K169" s="216">
        <v>0.0</v>
      </c>
      <c r="L169" s="217">
        <v>46281.0</v>
      </c>
      <c r="M169" s="217">
        <v>46311.0</v>
      </c>
      <c r="N169" s="215">
        <v>1.0</v>
      </c>
      <c r="O169" s="215">
        <v>-220.0</v>
      </c>
      <c r="P169" s="215">
        <v>250.0</v>
      </c>
      <c r="Q169" s="232">
        <v>46283.0</v>
      </c>
      <c r="R169" s="218" t="s">
        <v>1121</v>
      </c>
      <c r="S169" s="225" t="s">
        <v>1122</v>
      </c>
      <c r="T169" s="215">
        <v>630.0</v>
      </c>
      <c r="U169" s="204"/>
    </row>
    <row r="170" ht="22.5" customHeight="1">
      <c r="A170" s="192" t="s">
        <v>1123</v>
      </c>
      <c r="B170" s="193" t="s">
        <v>414</v>
      </c>
      <c r="C170" s="226" t="s">
        <v>136</v>
      </c>
      <c r="D170" s="194" t="s">
        <v>888</v>
      </c>
      <c r="E170" s="193" t="s">
        <v>17</v>
      </c>
      <c r="F170" s="220">
        <v>3.0</v>
      </c>
      <c r="G170" s="220">
        <v>0.375</v>
      </c>
      <c r="H170" s="222">
        <v>4000.0</v>
      </c>
      <c r="I170" s="222">
        <v>7500.0</v>
      </c>
      <c r="J170" s="222">
        <v>7500.0</v>
      </c>
      <c r="K170" s="222">
        <v>3438.0</v>
      </c>
      <c r="L170" s="223">
        <v>46266.0</v>
      </c>
      <c r="M170" s="223">
        <v>46296.0</v>
      </c>
      <c r="N170" s="220">
        <v>0.0</v>
      </c>
      <c r="O170" s="220">
        <v>-235.0</v>
      </c>
      <c r="P170" s="220">
        <v>265.0</v>
      </c>
      <c r="Q170" s="238">
        <v>46042.0</v>
      </c>
      <c r="R170" s="196" t="s">
        <v>1124</v>
      </c>
      <c r="S170" s="227" t="s">
        <v>1125</v>
      </c>
      <c r="T170" s="220">
        <v>631.0</v>
      </c>
      <c r="U170" s="198"/>
    </row>
    <row r="171" ht="22.5" customHeight="1">
      <c r="A171" s="211" t="s">
        <v>1117</v>
      </c>
      <c r="B171" s="212" t="s">
        <v>460</v>
      </c>
      <c r="C171" s="213" t="s">
        <v>136</v>
      </c>
      <c r="D171" s="214" t="s">
        <v>964</v>
      </c>
      <c r="E171" s="212" t="s">
        <v>17</v>
      </c>
      <c r="F171" s="215">
        <v>1.0</v>
      </c>
      <c r="G171" s="147"/>
      <c r="H171" s="216">
        <v>4000.0</v>
      </c>
      <c r="I171" s="216">
        <v>4000.0</v>
      </c>
      <c r="J171" s="216">
        <v>4000.0</v>
      </c>
      <c r="K171" s="216">
        <v>0.0</v>
      </c>
      <c r="L171" s="217">
        <v>46283.0</v>
      </c>
      <c r="M171" s="217">
        <v>46313.0</v>
      </c>
      <c r="N171" s="215">
        <v>1.0</v>
      </c>
      <c r="O171" s="215">
        <v>-218.0</v>
      </c>
      <c r="P171" s="215">
        <v>248.0</v>
      </c>
      <c r="Q171" s="232">
        <v>46286.0</v>
      </c>
      <c r="R171" s="218" t="s">
        <v>1126</v>
      </c>
      <c r="S171" s="225" t="s">
        <v>1127</v>
      </c>
      <c r="T171" s="215">
        <v>632.0</v>
      </c>
      <c r="U171" s="204"/>
    </row>
    <row r="172" ht="22.5" customHeight="1">
      <c r="A172" s="205"/>
      <c r="B172" s="193" t="s">
        <v>301</v>
      </c>
      <c r="C172" s="194" t="s">
        <v>694</v>
      </c>
      <c r="D172" s="194" t="s">
        <v>895</v>
      </c>
      <c r="E172" s="193" t="s">
        <v>17</v>
      </c>
      <c r="F172" s="220">
        <v>6.35</v>
      </c>
      <c r="G172" s="150"/>
      <c r="H172" s="222">
        <v>1250.0</v>
      </c>
      <c r="I172" s="222">
        <v>7937.5</v>
      </c>
      <c r="J172" s="207"/>
      <c r="K172" s="207"/>
      <c r="L172" s="223">
        <v>46283.0</v>
      </c>
      <c r="M172" s="223">
        <v>46313.0</v>
      </c>
      <c r="N172" s="150"/>
      <c r="O172" s="220">
        <v>-218.0</v>
      </c>
      <c r="P172" s="220">
        <v>248.0</v>
      </c>
      <c r="Q172" s="209"/>
      <c r="R172" s="196" t="s">
        <v>1128</v>
      </c>
      <c r="S172" s="45"/>
      <c r="T172" s="220">
        <v>633.0</v>
      </c>
      <c r="U172" s="198"/>
    </row>
    <row r="173" ht="22.5" customHeight="1">
      <c r="A173" s="211" t="s">
        <v>1129</v>
      </c>
      <c r="B173" s="212" t="s">
        <v>147</v>
      </c>
      <c r="C173" s="214" t="s">
        <v>1130</v>
      </c>
      <c r="D173" s="214" t="s">
        <v>1030</v>
      </c>
      <c r="E173" s="212" t="s">
        <v>19</v>
      </c>
      <c r="F173" s="228" t="s">
        <v>1131</v>
      </c>
      <c r="G173" s="147"/>
      <c r="H173" s="216">
        <v>15.0</v>
      </c>
      <c r="I173" s="216">
        <v>333.75</v>
      </c>
      <c r="J173" s="216">
        <v>39996.37</v>
      </c>
      <c r="K173" s="216">
        <v>0.0</v>
      </c>
      <c r="L173" s="217">
        <v>46276.0</v>
      </c>
      <c r="M173" s="217">
        <v>46306.0</v>
      </c>
      <c r="N173" s="215">
        <v>1.0</v>
      </c>
      <c r="O173" s="215">
        <v>-225.0</v>
      </c>
      <c r="P173" s="215">
        <v>255.0</v>
      </c>
      <c r="Q173" s="218" t="s">
        <v>1132</v>
      </c>
      <c r="R173" s="218" t="s">
        <v>1133</v>
      </c>
      <c r="S173" s="225" t="s">
        <v>1134</v>
      </c>
      <c r="T173" s="215">
        <v>634.0</v>
      </c>
      <c r="U173" s="204"/>
    </row>
    <row r="174" ht="22.5" customHeight="1">
      <c r="A174" s="205"/>
      <c r="B174" s="193" t="s">
        <v>184</v>
      </c>
      <c r="C174" s="219" t="s">
        <v>684</v>
      </c>
      <c r="D174" s="194" t="s">
        <v>1098</v>
      </c>
      <c r="E174" s="193" t="s">
        <v>15</v>
      </c>
      <c r="F174" s="195" t="s">
        <v>1099</v>
      </c>
      <c r="G174" s="150"/>
      <c r="H174" s="222">
        <v>40.0</v>
      </c>
      <c r="I174" s="222">
        <v>160.0</v>
      </c>
      <c r="J174" s="207"/>
      <c r="K174" s="207"/>
      <c r="L174" s="223">
        <v>46269.0</v>
      </c>
      <c r="M174" s="223">
        <v>46299.0</v>
      </c>
      <c r="N174" s="150"/>
      <c r="O174" s="220">
        <v>-232.0</v>
      </c>
      <c r="P174" s="220">
        <v>262.0</v>
      </c>
      <c r="Q174" s="209"/>
      <c r="R174" s="196" t="s">
        <v>1135</v>
      </c>
      <c r="S174" s="45"/>
      <c r="T174" s="220">
        <v>635.0</v>
      </c>
      <c r="U174" s="198"/>
    </row>
    <row r="175" ht="22.5" customHeight="1">
      <c r="A175" s="211" t="s">
        <v>1136</v>
      </c>
      <c r="B175" s="212" t="s">
        <v>291</v>
      </c>
      <c r="C175" s="214" t="s">
        <v>1130</v>
      </c>
      <c r="D175" s="214" t="s">
        <v>1004</v>
      </c>
      <c r="E175" s="212" t="s">
        <v>17</v>
      </c>
      <c r="F175" s="215">
        <v>1.0</v>
      </c>
      <c r="G175" s="147"/>
      <c r="H175" s="216">
        <v>26000.0</v>
      </c>
      <c r="I175" s="216">
        <v>26000.0</v>
      </c>
      <c r="J175" s="201"/>
      <c r="K175" s="201"/>
      <c r="L175" s="217">
        <v>46269.0</v>
      </c>
      <c r="M175" s="217">
        <v>46299.0</v>
      </c>
      <c r="N175" s="147"/>
      <c r="O175" s="215">
        <v>-232.0</v>
      </c>
      <c r="P175" s="215">
        <v>262.0</v>
      </c>
      <c r="Q175" s="203"/>
      <c r="R175" s="218" t="s">
        <v>1137</v>
      </c>
      <c r="S175" s="225" t="s">
        <v>1138</v>
      </c>
      <c r="T175" s="215">
        <v>636.0</v>
      </c>
      <c r="U175" s="204"/>
    </row>
    <row r="176" ht="22.5" customHeight="1">
      <c r="A176" s="192" t="s">
        <v>1139</v>
      </c>
      <c r="B176" s="193" t="s">
        <v>450</v>
      </c>
      <c r="C176" s="194" t="s">
        <v>693</v>
      </c>
      <c r="D176" s="194" t="s">
        <v>1140</v>
      </c>
      <c r="E176" s="193" t="s">
        <v>17</v>
      </c>
      <c r="F176" s="220">
        <v>2.0</v>
      </c>
      <c r="G176" s="150"/>
      <c r="H176" s="222">
        <v>4000.0</v>
      </c>
      <c r="I176" s="222">
        <v>8000.0</v>
      </c>
      <c r="J176" s="207"/>
      <c r="K176" s="207"/>
      <c r="L176" s="223">
        <v>46281.0</v>
      </c>
      <c r="M176" s="223">
        <v>46311.0</v>
      </c>
      <c r="N176" s="150"/>
      <c r="O176" s="220">
        <v>-220.0</v>
      </c>
      <c r="P176" s="220">
        <v>250.0</v>
      </c>
      <c r="Q176" s="209"/>
      <c r="R176" s="196" t="s">
        <v>1141</v>
      </c>
      <c r="S176" s="45"/>
      <c r="T176" s="220">
        <v>637.0</v>
      </c>
      <c r="U176" s="198"/>
    </row>
    <row r="177" ht="22.5" customHeight="1">
      <c r="A177" s="211" t="s">
        <v>1142</v>
      </c>
      <c r="B177" s="212" t="s">
        <v>438</v>
      </c>
      <c r="C177" s="213" t="s">
        <v>136</v>
      </c>
      <c r="D177" s="214" t="s">
        <v>906</v>
      </c>
      <c r="E177" s="212" t="s">
        <v>17</v>
      </c>
      <c r="F177" s="215">
        <v>4.0</v>
      </c>
      <c r="G177" s="215">
        <v>0.25</v>
      </c>
      <c r="H177" s="216">
        <v>8000.0</v>
      </c>
      <c r="I177" s="216">
        <v>24000.0</v>
      </c>
      <c r="J177" s="216">
        <v>24000.0</v>
      </c>
      <c r="K177" s="216">
        <v>0.0</v>
      </c>
      <c r="L177" s="217">
        <v>46290.0</v>
      </c>
      <c r="M177" s="217">
        <v>46320.0</v>
      </c>
      <c r="N177" s="215">
        <v>1.0</v>
      </c>
      <c r="O177" s="215">
        <v>-211.0</v>
      </c>
      <c r="P177" s="215">
        <v>241.0</v>
      </c>
      <c r="Q177" s="232">
        <v>46366.0</v>
      </c>
      <c r="R177" s="218" t="s">
        <v>1143</v>
      </c>
      <c r="S177" s="225" t="s">
        <v>1144</v>
      </c>
      <c r="T177" s="215">
        <v>638.0</v>
      </c>
      <c r="U177" s="204"/>
    </row>
    <row r="178" ht="22.5" customHeight="1">
      <c r="A178" s="205"/>
      <c r="B178" s="193" t="s">
        <v>440</v>
      </c>
      <c r="C178" s="226" t="s">
        <v>136</v>
      </c>
      <c r="D178" s="194" t="s">
        <v>908</v>
      </c>
      <c r="E178" s="193" t="s">
        <v>19</v>
      </c>
      <c r="F178" s="195" t="s">
        <v>1145</v>
      </c>
      <c r="G178" s="150"/>
      <c r="H178" s="222">
        <v>15.0</v>
      </c>
      <c r="I178" s="222">
        <v>180.0</v>
      </c>
      <c r="J178" s="222">
        <v>21456.92</v>
      </c>
      <c r="K178" s="222">
        <v>0.0</v>
      </c>
      <c r="L178" s="223">
        <v>46290.0</v>
      </c>
      <c r="M178" s="223">
        <v>46320.0</v>
      </c>
      <c r="N178" s="220">
        <v>1.0</v>
      </c>
      <c r="O178" s="220">
        <v>-211.0</v>
      </c>
      <c r="P178" s="220">
        <v>241.0</v>
      </c>
      <c r="Q178" s="238">
        <v>46302.0</v>
      </c>
      <c r="R178" s="196" t="s">
        <v>1146</v>
      </c>
      <c r="S178" s="227" t="s">
        <v>1147</v>
      </c>
      <c r="T178" s="220">
        <v>639.0</v>
      </c>
      <c r="U178" s="198"/>
    </row>
    <row r="179" ht="22.5" customHeight="1">
      <c r="A179" s="199"/>
      <c r="B179" s="212" t="s">
        <v>186</v>
      </c>
      <c r="C179" s="213" t="s">
        <v>136</v>
      </c>
      <c r="D179" s="214" t="s">
        <v>1012</v>
      </c>
      <c r="E179" s="212" t="s">
        <v>187</v>
      </c>
      <c r="F179" s="215">
        <v>2.0</v>
      </c>
      <c r="G179" s="147"/>
      <c r="H179" s="216">
        <v>200.0</v>
      </c>
      <c r="I179" s="216">
        <v>400.0</v>
      </c>
      <c r="J179" s="201"/>
      <c r="K179" s="201"/>
      <c r="L179" s="217">
        <v>46266.0</v>
      </c>
      <c r="M179" s="217">
        <v>46296.0</v>
      </c>
      <c r="N179" s="147"/>
      <c r="O179" s="215">
        <v>-235.0</v>
      </c>
      <c r="P179" s="215">
        <v>265.0</v>
      </c>
      <c r="Q179" s="203"/>
      <c r="R179" s="218" t="s">
        <v>1148</v>
      </c>
      <c r="S179" s="225" t="s">
        <v>1149</v>
      </c>
      <c r="T179" s="215">
        <v>640.0</v>
      </c>
      <c r="U179" s="204"/>
    </row>
    <row r="180" ht="22.5" customHeight="1">
      <c r="A180" s="205"/>
      <c r="B180" s="193" t="s">
        <v>160</v>
      </c>
      <c r="C180" s="226" t="s">
        <v>136</v>
      </c>
      <c r="D180" s="194" t="s">
        <v>913</v>
      </c>
      <c r="E180" s="193" t="s">
        <v>17</v>
      </c>
      <c r="F180" s="220">
        <v>1.0</v>
      </c>
      <c r="G180" s="150"/>
      <c r="H180" s="222">
        <v>2000.0</v>
      </c>
      <c r="I180" s="222">
        <v>2000.0</v>
      </c>
      <c r="J180" s="222">
        <v>2000.0</v>
      </c>
      <c r="K180" s="222">
        <v>0.0</v>
      </c>
      <c r="L180" s="223">
        <v>46290.0</v>
      </c>
      <c r="M180" s="223">
        <v>46320.0</v>
      </c>
      <c r="N180" s="220">
        <v>1.0</v>
      </c>
      <c r="O180" s="220">
        <v>-211.0</v>
      </c>
      <c r="P180" s="220">
        <v>241.0</v>
      </c>
      <c r="Q180" s="238">
        <v>46343.0</v>
      </c>
      <c r="R180" s="196" t="s">
        <v>1150</v>
      </c>
      <c r="S180" s="227" t="s">
        <v>1151</v>
      </c>
      <c r="T180" s="220">
        <v>641.0</v>
      </c>
      <c r="U180" s="198"/>
    </row>
    <row r="181" ht="22.5" customHeight="1">
      <c r="A181" s="211" t="s">
        <v>1117</v>
      </c>
      <c r="B181" s="212" t="s">
        <v>915</v>
      </c>
      <c r="C181" s="214" t="s">
        <v>1074</v>
      </c>
      <c r="D181" s="214" t="s">
        <v>916</v>
      </c>
      <c r="E181" s="212" t="s">
        <v>17</v>
      </c>
      <c r="F181" s="215">
        <v>3.0</v>
      </c>
      <c r="G181" s="224">
        <v>0.25</v>
      </c>
      <c r="H181" s="237" t="s">
        <v>917</v>
      </c>
      <c r="I181" s="216">
        <v>9000.0</v>
      </c>
      <c r="J181" s="216">
        <v>9000.0</v>
      </c>
      <c r="K181" s="216">
        <v>0.0</v>
      </c>
      <c r="L181" s="217">
        <v>46266.0</v>
      </c>
      <c r="M181" s="217">
        <v>46296.0</v>
      </c>
      <c r="N181" s="215">
        <v>1.0</v>
      </c>
      <c r="O181" s="215">
        <v>-235.0</v>
      </c>
      <c r="P181" s="215">
        <v>265.0</v>
      </c>
      <c r="Q181" s="232">
        <v>46287.0</v>
      </c>
      <c r="R181" s="218" t="s">
        <v>1152</v>
      </c>
      <c r="S181" s="225" t="s">
        <v>1153</v>
      </c>
      <c r="T181" s="215">
        <v>642.0</v>
      </c>
      <c r="U181" s="204"/>
    </row>
    <row r="182" ht="22.5" customHeight="1">
      <c r="A182" s="205"/>
      <c r="B182" s="193" t="s">
        <v>153</v>
      </c>
      <c r="C182" s="219" t="s">
        <v>684</v>
      </c>
      <c r="D182" s="194" t="s">
        <v>1077</v>
      </c>
      <c r="E182" s="193" t="s">
        <v>108</v>
      </c>
      <c r="F182" s="195" t="s">
        <v>1078</v>
      </c>
      <c r="G182" s="221"/>
      <c r="H182" s="222">
        <v>25.0</v>
      </c>
      <c r="I182" s="222">
        <v>600.0</v>
      </c>
      <c r="J182" s="207"/>
      <c r="K182" s="207"/>
      <c r="L182" s="223">
        <v>46291.0</v>
      </c>
      <c r="M182" s="223">
        <v>46321.0</v>
      </c>
      <c r="N182" s="150"/>
      <c r="O182" s="220">
        <v>-210.0</v>
      </c>
      <c r="P182" s="220">
        <v>240.0</v>
      </c>
      <c r="Q182" s="209"/>
      <c r="R182" s="196" t="s">
        <v>1154</v>
      </c>
      <c r="S182" s="45"/>
      <c r="T182" s="220">
        <v>643.0</v>
      </c>
      <c r="U182" s="198"/>
    </row>
    <row r="183" ht="22.5" hidden="1" customHeight="1">
      <c r="A183" s="199"/>
      <c r="B183" s="212" t="s">
        <v>923</v>
      </c>
      <c r="C183" s="240" t="s">
        <v>579</v>
      </c>
      <c r="D183" s="236"/>
      <c r="E183" s="203"/>
      <c r="F183" s="147"/>
      <c r="G183" s="210"/>
      <c r="H183" s="201"/>
      <c r="I183" s="237" t="s">
        <v>924</v>
      </c>
      <c r="J183" s="216">
        <v>126450.2</v>
      </c>
      <c r="K183" s="216">
        <v>3438.0</v>
      </c>
      <c r="L183" s="202"/>
      <c r="M183" s="202"/>
      <c r="N183" s="147"/>
      <c r="O183" s="147"/>
      <c r="P183" s="147"/>
      <c r="Q183" s="203"/>
      <c r="R183" s="186"/>
      <c r="S183" s="186"/>
      <c r="T183" s="147"/>
      <c r="U183" s="204"/>
    </row>
    <row r="184" ht="22.5" hidden="1" customHeight="1">
      <c r="A184" s="205"/>
      <c r="B184" s="193" t="s">
        <v>558</v>
      </c>
      <c r="C184" s="241" t="s">
        <v>634</v>
      </c>
      <c r="D184" s="234"/>
      <c r="E184" s="234"/>
      <c r="F184" s="150"/>
      <c r="G184" s="221"/>
      <c r="H184" s="207"/>
      <c r="I184" s="197" t="s">
        <v>925</v>
      </c>
      <c r="J184" s="222">
        <v>41256.0</v>
      </c>
      <c r="K184" s="207"/>
      <c r="L184" s="208"/>
      <c r="M184" s="196" t="s">
        <v>926</v>
      </c>
      <c r="N184" s="150"/>
      <c r="O184" s="150"/>
      <c r="P184" s="150"/>
      <c r="Q184" s="209"/>
      <c r="R184" s="234"/>
      <c r="S184" s="234"/>
      <c r="T184" s="220">
        <v>643.0</v>
      </c>
      <c r="U184" s="198"/>
    </row>
    <row r="185" ht="22.5" hidden="1" customHeight="1">
      <c r="A185" s="199"/>
      <c r="B185" s="212" t="s">
        <v>696</v>
      </c>
      <c r="C185" s="232" t="s">
        <v>1155</v>
      </c>
      <c r="D185" s="236"/>
      <c r="E185" s="236"/>
      <c r="F185" s="147"/>
      <c r="G185" s="210"/>
      <c r="H185" s="201"/>
      <c r="I185" s="237" t="s">
        <v>928</v>
      </c>
      <c r="J185" s="216">
        <v>654619.78</v>
      </c>
      <c r="K185" s="201"/>
      <c r="L185" s="202"/>
      <c r="M185" s="202"/>
      <c r="N185" s="147"/>
      <c r="O185" s="147"/>
      <c r="P185" s="147"/>
      <c r="Q185" s="203"/>
      <c r="R185" s="236"/>
      <c r="S185" s="236"/>
      <c r="T185" s="147"/>
      <c r="U185" s="204"/>
    </row>
    <row r="186" ht="22.5" hidden="1" customHeight="1">
      <c r="A186" s="205"/>
      <c r="B186" s="82"/>
      <c r="C186" s="206"/>
      <c r="D186" s="206"/>
      <c r="E186" s="206"/>
      <c r="F186" s="150"/>
      <c r="G186" s="150"/>
      <c r="H186" s="207"/>
      <c r="I186" s="207"/>
      <c r="J186" s="207"/>
      <c r="K186" s="207"/>
      <c r="L186" s="208"/>
      <c r="M186" s="208"/>
      <c r="N186" s="150"/>
      <c r="O186" s="150"/>
      <c r="P186" s="150"/>
      <c r="Q186" s="209"/>
      <c r="R186" s="45"/>
      <c r="S186" s="45"/>
      <c r="T186" s="150"/>
      <c r="U186" s="198"/>
    </row>
    <row r="187" ht="22.5" hidden="1" customHeight="1">
      <c r="A187" s="199"/>
      <c r="B187" s="146"/>
      <c r="C187" s="200"/>
      <c r="D187" s="200"/>
      <c r="E187" s="200"/>
      <c r="F187" s="147"/>
      <c r="G187" s="210"/>
      <c r="H187" s="201"/>
      <c r="I187" s="201"/>
      <c r="J187" s="201"/>
      <c r="K187" s="201"/>
      <c r="L187" s="202"/>
      <c r="M187" s="202"/>
      <c r="N187" s="147"/>
      <c r="O187" s="147"/>
      <c r="P187" s="147"/>
      <c r="Q187" s="203"/>
      <c r="R187" s="186"/>
      <c r="S187" s="186"/>
      <c r="T187" s="147"/>
      <c r="U187" s="204"/>
    </row>
    <row r="188" ht="22.5" hidden="1" customHeight="1">
      <c r="A188" s="205"/>
      <c r="B188" s="82"/>
      <c r="C188" s="206"/>
      <c r="D188" s="206"/>
      <c r="E188" s="206"/>
      <c r="F188" s="150"/>
      <c r="G188" s="221"/>
      <c r="H188" s="207"/>
      <c r="I188" s="207"/>
      <c r="J188" s="207"/>
      <c r="K188" s="207"/>
      <c r="L188" s="208"/>
      <c r="M188" s="208"/>
      <c r="N188" s="150"/>
      <c r="O188" s="150"/>
      <c r="P188" s="150"/>
      <c r="Q188" s="209"/>
      <c r="R188" s="45"/>
      <c r="S188" s="45"/>
      <c r="T188" s="150"/>
      <c r="U188" s="198"/>
    </row>
    <row r="189" ht="22.5" hidden="1" customHeight="1">
      <c r="A189" s="199"/>
      <c r="B189" s="146"/>
      <c r="C189" s="200"/>
      <c r="D189" s="200"/>
      <c r="E189" s="200"/>
      <c r="F189" s="147"/>
      <c r="G189" s="210"/>
      <c r="H189" s="201"/>
      <c r="I189" s="201"/>
      <c r="J189" s="201"/>
      <c r="K189" s="201"/>
      <c r="L189" s="202"/>
      <c r="M189" s="202"/>
      <c r="N189" s="147"/>
      <c r="O189" s="147"/>
      <c r="P189" s="147"/>
      <c r="Q189" s="203"/>
      <c r="R189" s="186"/>
      <c r="S189" s="186"/>
      <c r="T189" s="147"/>
      <c r="U189" s="204"/>
    </row>
    <row r="190" ht="22.5" hidden="1" customHeight="1">
      <c r="A190" s="192" t="s">
        <v>181</v>
      </c>
      <c r="B190" s="193" t="s">
        <v>132</v>
      </c>
      <c r="C190" s="193" t="s">
        <v>131</v>
      </c>
      <c r="D190" s="194" t="s">
        <v>870</v>
      </c>
      <c r="E190" s="193" t="s">
        <v>7</v>
      </c>
      <c r="F190" s="195" t="s">
        <v>871</v>
      </c>
      <c r="G190" s="196" t="s">
        <v>872</v>
      </c>
      <c r="H190" s="197" t="s">
        <v>8</v>
      </c>
      <c r="I190" s="197" t="s">
        <v>873</v>
      </c>
      <c r="J190" s="197" t="s">
        <v>17</v>
      </c>
      <c r="K190" s="197" t="s">
        <v>874</v>
      </c>
      <c r="L190" s="196" t="s">
        <v>875</v>
      </c>
      <c r="M190" s="196" t="s">
        <v>876</v>
      </c>
      <c r="N190" s="195" t="s">
        <v>877</v>
      </c>
      <c r="O190" s="195" t="s">
        <v>878</v>
      </c>
      <c r="P190" s="195" t="s">
        <v>879</v>
      </c>
      <c r="Q190" s="196" t="s">
        <v>880</v>
      </c>
      <c r="R190" s="196" t="s">
        <v>881</v>
      </c>
      <c r="S190" s="196" t="s">
        <v>882</v>
      </c>
      <c r="T190" s="195" t="s">
        <v>557</v>
      </c>
      <c r="U190" s="198"/>
    </row>
    <row r="191" ht="22.5" customHeight="1">
      <c r="A191" s="211" t="s">
        <v>1156</v>
      </c>
      <c r="B191" s="212" t="s">
        <v>402</v>
      </c>
      <c r="C191" s="214" t="s">
        <v>1074</v>
      </c>
      <c r="D191" s="214" t="s">
        <v>1157</v>
      </c>
      <c r="E191" s="214" t="s">
        <v>15</v>
      </c>
      <c r="F191" s="215">
        <v>2.0</v>
      </c>
      <c r="G191" s="210"/>
      <c r="H191" s="216">
        <v>200.0</v>
      </c>
      <c r="I191" s="216">
        <v>400.0</v>
      </c>
      <c r="J191" s="216">
        <v>9264.25</v>
      </c>
      <c r="K191" s="216">
        <v>0.0</v>
      </c>
      <c r="L191" s="217">
        <v>46254.0</v>
      </c>
      <c r="M191" s="217">
        <v>46285.0</v>
      </c>
      <c r="N191" s="215">
        <v>1.0</v>
      </c>
      <c r="O191" s="215">
        <v>-246.0</v>
      </c>
      <c r="P191" s="215">
        <v>276.0</v>
      </c>
      <c r="Q191" s="232">
        <v>46265.0</v>
      </c>
      <c r="R191" s="218" t="s">
        <v>1158</v>
      </c>
      <c r="S191" s="225" t="s">
        <v>1159</v>
      </c>
      <c r="T191" s="215">
        <v>614.0</v>
      </c>
      <c r="U191" s="204"/>
    </row>
    <row r="192" ht="22.5" customHeight="1">
      <c r="A192" s="205"/>
      <c r="B192" s="193" t="s">
        <v>309</v>
      </c>
      <c r="C192" s="219" t="s">
        <v>684</v>
      </c>
      <c r="D192" s="194" t="s">
        <v>1160</v>
      </c>
      <c r="E192" s="193" t="s">
        <v>17</v>
      </c>
      <c r="F192" s="220">
        <v>3.0</v>
      </c>
      <c r="G192" s="221"/>
      <c r="H192" s="222">
        <v>3000.0</v>
      </c>
      <c r="I192" s="222">
        <v>9000.0</v>
      </c>
      <c r="J192" s="207"/>
      <c r="K192" s="207"/>
      <c r="L192" s="223">
        <v>46237.0</v>
      </c>
      <c r="M192" s="223">
        <v>46268.0</v>
      </c>
      <c r="N192" s="150"/>
      <c r="O192" s="220">
        <v>-263.0</v>
      </c>
      <c r="P192" s="220">
        <v>293.0</v>
      </c>
      <c r="Q192" s="209"/>
      <c r="R192" s="196" t="s">
        <v>1161</v>
      </c>
      <c r="S192" s="45"/>
      <c r="T192" s="220">
        <v>615.0</v>
      </c>
      <c r="U192" s="198"/>
    </row>
    <row r="193" ht="22.5" customHeight="1">
      <c r="A193" s="211" t="s">
        <v>1123</v>
      </c>
      <c r="B193" s="212" t="s">
        <v>414</v>
      </c>
      <c r="C193" s="213" t="s">
        <v>136</v>
      </c>
      <c r="D193" s="214" t="s">
        <v>888</v>
      </c>
      <c r="E193" s="214" t="s">
        <v>17</v>
      </c>
      <c r="F193" s="215">
        <v>3.0</v>
      </c>
      <c r="G193" s="224">
        <v>0.38</v>
      </c>
      <c r="H193" s="216">
        <v>4000.0</v>
      </c>
      <c r="I193" s="216">
        <v>7500.0</v>
      </c>
      <c r="J193" s="216">
        <v>7500.0</v>
      </c>
      <c r="K193" s="216">
        <v>0.0</v>
      </c>
      <c r="L193" s="217">
        <v>46235.0</v>
      </c>
      <c r="M193" s="217">
        <v>46266.0</v>
      </c>
      <c r="N193" s="215">
        <v>1.0</v>
      </c>
      <c r="O193" s="215">
        <v>-265.0</v>
      </c>
      <c r="P193" s="215">
        <v>295.0</v>
      </c>
      <c r="Q193" s="232">
        <v>46042.0</v>
      </c>
      <c r="R193" s="218" t="s">
        <v>1162</v>
      </c>
      <c r="S193" s="225" t="s">
        <v>1163</v>
      </c>
      <c r="T193" s="215">
        <v>616.0</v>
      </c>
      <c r="U193" s="204"/>
    </row>
    <row r="194" ht="22.5" customHeight="1">
      <c r="A194" s="205"/>
      <c r="B194" s="193" t="s">
        <v>1164</v>
      </c>
      <c r="C194" s="242" t="s">
        <v>685</v>
      </c>
      <c r="D194" s="194" t="s">
        <v>1165</v>
      </c>
      <c r="E194" s="194" t="s">
        <v>19</v>
      </c>
      <c r="F194" s="195" t="s">
        <v>1166</v>
      </c>
      <c r="G194" s="221"/>
      <c r="H194" s="222">
        <v>15.0</v>
      </c>
      <c r="I194" s="222">
        <v>120.0</v>
      </c>
      <c r="J194" s="207"/>
      <c r="K194" s="207"/>
      <c r="L194" s="223">
        <v>46252.0</v>
      </c>
      <c r="M194" s="223">
        <v>46283.0</v>
      </c>
      <c r="N194" s="150"/>
      <c r="O194" s="220">
        <v>-248.0</v>
      </c>
      <c r="P194" s="220">
        <v>278.0</v>
      </c>
      <c r="Q194" s="209"/>
      <c r="R194" s="196" t="s">
        <v>1167</v>
      </c>
      <c r="S194" s="45"/>
      <c r="T194" s="220">
        <v>617.0</v>
      </c>
      <c r="U194" s="198"/>
    </row>
    <row r="195" ht="22.5" customHeight="1">
      <c r="A195" s="199"/>
      <c r="B195" s="212" t="s">
        <v>301</v>
      </c>
      <c r="C195" s="213" t="s">
        <v>136</v>
      </c>
      <c r="D195" s="214" t="s">
        <v>895</v>
      </c>
      <c r="E195" s="212" t="s">
        <v>17</v>
      </c>
      <c r="F195" s="215">
        <v>6.35</v>
      </c>
      <c r="G195" s="147"/>
      <c r="H195" s="216">
        <v>1250.0</v>
      </c>
      <c r="I195" s="216">
        <v>7937.5</v>
      </c>
      <c r="J195" s="216">
        <v>7937.5</v>
      </c>
      <c r="K195" s="216">
        <v>0.0</v>
      </c>
      <c r="L195" s="217">
        <v>46252.0</v>
      </c>
      <c r="M195" s="217">
        <v>46283.0</v>
      </c>
      <c r="N195" s="215">
        <v>1.0</v>
      </c>
      <c r="O195" s="215">
        <v>-248.0</v>
      </c>
      <c r="P195" s="215">
        <v>278.0</v>
      </c>
      <c r="Q195" s="232">
        <v>46284.0</v>
      </c>
      <c r="R195" s="218" t="s">
        <v>1168</v>
      </c>
      <c r="S195" s="225" t="s">
        <v>1169</v>
      </c>
      <c r="T195" s="215">
        <v>618.0</v>
      </c>
      <c r="U195" s="204"/>
    </row>
    <row r="196" ht="22.5" customHeight="1">
      <c r="A196" s="192" t="s">
        <v>1170</v>
      </c>
      <c r="B196" s="193" t="s">
        <v>147</v>
      </c>
      <c r="C196" s="194" t="s">
        <v>1130</v>
      </c>
      <c r="D196" s="194" t="s">
        <v>1030</v>
      </c>
      <c r="E196" s="193" t="s">
        <v>19</v>
      </c>
      <c r="F196" s="195" t="s">
        <v>1171</v>
      </c>
      <c r="G196" s="150"/>
      <c r="H196" s="222">
        <v>15.0</v>
      </c>
      <c r="I196" s="222">
        <v>330.0</v>
      </c>
      <c r="J196" s="222">
        <v>38861.23</v>
      </c>
      <c r="K196" s="222">
        <v>0.0</v>
      </c>
      <c r="L196" s="223">
        <v>46245.0</v>
      </c>
      <c r="M196" s="223">
        <v>46276.0</v>
      </c>
      <c r="N196" s="220">
        <v>1.0</v>
      </c>
      <c r="O196" s="220">
        <v>-255.0</v>
      </c>
      <c r="P196" s="220">
        <v>285.0</v>
      </c>
      <c r="Q196" s="196" t="s">
        <v>1132</v>
      </c>
      <c r="R196" s="196" t="s">
        <v>1172</v>
      </c>
      <c r="S196" s="227" t="s">
        <v>1173</v>
      </c>
      <c r="T196" s="220">
        <v>619.0</v>
      </c>
      <c r="U196" s="198"/>
    </row>
    <row r="197" ht="22.5" customHeight="1">
      <c r="A197" s="199"/>
      <c r="B197" s="212" t="s">
        <v>433</v>
      </c>
      <c r="C197" s="231" t="s">
        <v>684</v>
      </c>
      <c r="D197" s="214" t="s">
        <v>1098</v>
      </c>
      <c r="E197" s="214" t="s">
        <v>41</v>
      </c>
      <c r="F197" s="228" t="s">
        <v>1099</v>
      </c>
      <c r="G197" s="147"/>
      <c r="H197" s="216">
        <v>40.0</v>
      </c>
      <c r="I197" s="216">
        <v>160.0</v>
      </c>
      <c r="J197" s="201"/>
      <c r="K197" s="201"/>
      <c r="L197" s="217">
        <v>46238.0</v>
      </c>
      <c r="M197" s="217">
        <v>46269.0</v>
      </c>
      <c r="N197" s="147"/>
      <c r="O197" s="215">
        <v>-262.0</v>
      </c>
      <c r="P197" s="215">
        <v>292.0</v>
      </c>
      <c r="Q197" s="203"/>
      <c r="R197" s="218" t="s">
        <v>1174</v>
      </c>
      <c r="S197" s="186"/>
      <c r="T197" s="215">
        <v>620.0</v>
      </c>
      <c r="U197" s="204"/>
    </row>
    <row r="198" ht="22.5" customHeight="1">
      <c r="A198" s="192" t="s">
        <v>1123</v>
      </c>
      <c r="B198" s="193" t="s">
        <v>291</v>
      </c>
      <c r="C198" s="194" t="s">
        <v>1130</v>
      </c>
      <c r="D198" s="194" t="s">
        <v>1004</v>
      </c>
      <c r="E198" s="193" t="s">
        <v>17</v>
      </c>
      <c r="F198" s="220">
        <v>1.0</v>
      </c>
      <c r="G198" s="150"/>
      <c r="H198" s="222">
        <v>9000.0</v>
      </c>
      <c r="I198" s="222">
        <v>9000.0</v>
      </c>
      <c r="J198" s="222">
        <v>9000.0</v>
      </c>
      <c r="K198" s="222">
        <v>9000.0</v>
      </c>
      <c r="L198" s="223">
        <v>46238.0</v>
      </c>
      <c r="M198" s="223">
        <v>46269.0</v>
      </c>
      <c r="N198" s="220">
        <v>0.0</v>
      </c>
      <c r="O198" s="220">
        <v>-262.0</v>
      </c>
      <c r="P198" s="220">
        <v>292.0</v>
      </c>
      <c r="Q198" s="209"/>
      <c r="R198" s="196" t="s">
        <v>1175</v>
      </c>
      <c r="S198" s="227" t="s">
        <v>1176</v>
      </c>
      <c r="T198" s="220">
        <v>621.0</v>
      </c>
      <c r="U198" s="198"/>
    </row>
    <row r="199" ht="22.5" customHeight="1">
      <c r="A199" s="199"/>
      <c r="B199" s="212" t="s">
        <v>450</v>
      </c>
      <c r="C199" s="214" t="s">
        <v>693</v>
      </c>
      <c r="D199" s="214" t="s">
        <v>1140</v>
      </c>
      <c r="E199" s="212" t="s">
        <v>17</v>
      </c>
      <c r="F199" s="215">
        <v>2.0</v>
      </c>
      <c r="G199" s="147"/>
      <c r="H199" s="216">
        <v>4000.0</v>
      </c>
      <c r="I199" s="216">
        <v>8000.0</v>
      </c>
      <c r="J199" s="201"/>
      <c r="K199" s="201"/>
      <c r="L199" s="217">
        <v>46250.0</v>
      </c>
      <c r="M199" s="217">
        <v>46281.0</v>
      </c>
      <c r="N199" s="147"/>
      <c r="O199" s="215">
        <v>-250.0</v>
      </c>
      <c r="P199" s="215">
        <v>280.0</v>
      </c>
      <c r="Q199" s="203"/>
      <c r="R199" s="218" t="s">
        <v>1177</v>
      </c>
      <c r="S199" s="225" t="s">
        <v>1178</v>
      </c>
      <c r="T199" s="215">
        <v>622.0</v>
      </c>
      <c r="U199" s="204"/>
    </row>
    <row r="200" ht="22.5" customHeight="1">
      <c r="A200" s="205"/>
      <c r="B200" s="193" t="s">
        <v>438</v>
      </c>
      <c r="C200" s="226" t="s">
        <v>136</v>
      </c>
      <c r="D200" s="194" t="s">
        <v>906</v>
      </c>
      <c r="E200" s="194" t="s">
        <v>17</v>
      </c>
      <c r="F200" s="220">
        <v>3.0</v>
      </c>
      <c r="G200" s="220">
        <v>0.25</v>
      </c>
      <c r="H200" s="222">
        <v>8000.0</v>
      </c>
      <c r="I200" s="222">
        <v>18000.0</v>
      </c>
      <c r="J200" s="222">
        <v>18000.0</v>
      </c>
      <c r="K200" s="222">
        <v>0.0</v>
      </c>
      <c r="L200" s="223">
        <v>46259.0</v>
      </c>
      <c r="M200" s="223">
        <v>46290.0</v>
      </c>
      <c r="N200" s="220">
        <v>1.0</v>
      </c>
      <c r="O200" s="220">
        <v>-241.0</v>
      </c>
      <c r="P200" s="220">
        <v>271.0</v>
      </c>
      <c r="Q200" s="238">
        <v>46309.0</v>
      </c>
      <c r="R200" s="196" t="s">
        <v>1179</v>
      </c>
      <c r="S200" s="227" t="s">
        <v>1180</v>
      </c>
      <c r="T200" s="220">
        <v>623.0</v>
      </c>
      <c r="U200" s="198"/>
    </row>
    <row r="201" ht="22.5" customHeight="1">
      <c r="A201" s="199"/>
      <c r="B201" s="212" t="s">
        <v>440</v>
      </c>
      <c r="C201" s="213" t="s">
        <v>136</v>
      </c>
      <c r="D201" s="214" t="s">
        <v>908</v>
      </c>
      <c r="E201" s="214" t="s">
        <v>19</v>
      </c>
      <c r="F201" s="228" t="s">
        <v>1145</v>
      </c>
      <c r="G201" s="147"/>
      <c r="H201" s="216">
        <v>15.0</v>
      </c>
      <c r="I201" s="216">
        <v>180.0</v>
      </c>
      <c r="J201" s="216">
        <v>21218.71</v>
      </c>
      <c r="K201" s="216">
        <v>0.0</v>
      </c>
      <c r="L201" s="217">
        <v>46259.0</v>
      </c>
      <c r="M201" s="217">
        <v>46290.0</v>
      </c>
      <c r="N201" s="215">
        <v>1.0</v>
      </c>
      <c r="O201" s="215">
        <v>-241.0</v>
      </c>
      <c r="P201" s="215">
        <v>271.0</v>
      </c>
      <c r="Q201" s="232">
        <v>46290.0</v>
      </c>
      <c r="R201" s="218" t="s">
        <v>1181</v>
      </c>
      <c r="S201" s="225" t="s">
        <v>1182</v>
      </c>
      <c r="T201" s="215">
        <v>624.0</v>
      </c>
      <c r="U201" s="204"/>
    </row>
    <row r="202" ht="22.5" customHeight="1">
      <c r="A202" s="205"/>
      <c r="B202" s="193" t="s">
        <v>445</v>
      </c>
      <c r="C202" s="226" t="s">
        <v>136</v>
      </c>
      <c r="D202" s="194" t="s">
        <v>1012</v>
      </c>
      <c r="E202" s="193" t="s">
        <v>16</v>
      </c>
      <c r="F202" s="220">
        <v>2.0</v>
      </c>
      <c r="G202" s="150"/>
      <c r="H202" s="222">
        <v>200.0</v>
      </c>
      <c r="I202" s="222">
        <v>400.0</v>
      </c>
      <c r="J202" s="207"/>
      <c r="K202" s="207"/>
      <c r="L202" s="223">
        <v>46235.0</v>
      </c>
      <c r="M202" s="223">
        <v>46266.0</v>
      </c>
      <c r="N202" s="150"/>
      <c r="O202" s="220">
        <v>-265.0</v>
      </c>
      <c r="P202" s="220">
        <v>295.0</v>
      </c>
      <c r="Q202" s="209"/>
      <c r="R202" s="196" t="s">
        <v>1183</v>
      </c>
      <c r="S202" s="227" t="s">
        <v>1184</v>
      </c>
      <c r="T202" s="220">
        <v>625.0</v>
      </c>
      <c r="U202" s="198"/>
    </row>
    <row r="203" ht="22.5" customHeight="1">
      <c r="A203" s="199"/>
      <c r="B203" s="212" t="s">
        <v>160</v>
      </c>
      <c r="C203" s="213" t="s">
        <v>136</v>
      </c>
      <c r="D203" s="214" t="s">
        <v>913</v>
      </c>
      <c r="E203" s="212" t="s">
        <v>17</v>
      </c>
      <c r="F203" s="215">
        <v>1.0</v>
      </c>
      <c r="G203" s="147"/>
      <c r="H203" s="216">
        <v>2000.0</v>
      </c>
      <c r="I203" s="216">
        <v>2000.0</v>
      </c>
      <c r="J203" s="216">
        <v>2000.0</v>
      </c>
      <c r="K203" s="216">
        <v>0.0</v>
      </c>
      <c r="L203" s="217">
        <v>46259.0</v>
      </c>
      <c r="M203" s="217">
        <v>46290.0</v>
      </c>
      <c r="N203" s="215">
        <v>1.0</v>
      </c>
      <c r="O203" s="215">
        <v>-241.0</v>
      </c>
      <c r="P203" s="215">
        <v>271.0</v>
      </c>
      <c r="Q203" s="232">
        <v>46343.0</v>
      </c>
      <c r="R203" s="218" t="s">
        <v>1185</v>
      </c>
      <c r="S203" s="225" t="s">
        <v>1186</v>
      </c>
      <c r="T203" s="215">
        <v>626.0</v>
      </c>
      <c r="U203" s="204"/>
    </row>
    <row r="204" ht="22.5" customHeight="1">
      <c r="A204" s="192" t="s">
        <v>1187</v>
      </c>
      <c r="B204" s="193" t="s">
        <v>915</v>
      </c>
      <c r="C204" s="194" t="s">
        <v>1074</v>
      </c>
      <c r="D204" s="194" t="s">
        <v>916</v>
      </c>
      <c r="E204" s="193" t="s">
        <v>17</v>
      </c>
      <c r="F204" s="220">
        <v>3.0</v>
      </c>
      <c r="G204" s="220">
        <v>0.25</v>
      </c>
      <c r="H204" s="197" t="s">
        <v>917</v>
      </c>
      <c r="I204" s="222">
        <v>9000.0</v>
      </c>
      <c r="J204" s="222">
        <v>9000.0</v>
      </c>
      <c r="K204" s="222">
        <v>0.0</v>
      </c>
      <c r="L204" s="223">
        <v>46235.0</v>
      </c>
      <c r="M204" s="223">
        <v>46266.0</v>
      </c>
      <c r="N204" s="220">
        <v>1.0</v>
      </c>
      <c r="O204" s="220">
        <v>-265.0</v>
      </c>
      <c r="P204" s="220">
        <v>295.0</v>
      </c>
      <c r="Q204" s="238">
        <v>46287.0</v>
      </c>
      <c r="R204" s="196" t="s">
        <v>1188</v>
      </c>
      <c r="S204" s="227" t="s">
        <v>1189</v>
      </c>
      <c r="T204" s="220">
        <v>627.0</v>
      </c>
      <c r="U204" s="198"/>
    </row>
    <row r="205" ht="22.5" customHeight="1">
      <c r="A205" s="211" t="s">
        <v>1190</v>
      </c>
      <c r="B205" s="212" t="s">
        <v>153</v>
      </c>
      <c r="C205" s="231" t="s">
        <v>684</v>
      </c>
      <c r="D205" s="214" t="s">
        <v>1077</v>
      </c>
      <c r="E205" s="212" t="s">
        <v>108</v>
      </c>
      <c r="F205" s="228" t="s">
        <v>1078</v>
      </c>
      <c r="G205" s="147"/>
      <c r="H205" s="216">
        <v>25.0</v>
      </c>
      <c r="I205" s="216">
        <v>600.0</v>
      </c>
      <c r="J205" s="201"/>
      <c r="K205" s="201"/>
      <c r="L205" s="217">
        <v>46260.0</v>
      </c>
      <c r="M205" s="217">
        <v>46291.0</v>
      </c>
      <c r="N205" s="147"/>
      <c r="O205" s="215">
        <v>-240.0</v>
      </c>
      <c r="P205" s="215">
        <v>270.0</v>
      </c>
      <c r="Q205" s="203"/>
      <c r="R205" s="218" t="s">
        <v>1191</v>
      </c>
      <c r="S205" s="186"/>
      <c r="T205" s="215">
        <v>628.0</v>
      </c>
      <c r="U205" s="204"/>
    </row>
    <row r="206" ht="22.5" hidden="1" customHeight="1">
      <c r="A206" s="205"/>
      <c r="B206" s="193" t="s">
        <v>923</v>
      </c>
      <c r="C206" s="233" t="s">
        <v>577</v>
      </c>
      <c r="D206" s="234"/>
      <c r="E206" s="209"/>
      <c r="F206" s="150"/>
      <c r="G206" s="150"/>
      <c r="H206" s="207"/>
      <c r="I206" s="197" t="s">
        <v>924</v>
      </c>
      <c r="J206" s="222">
        <v>122781.68</v>
      </c>
      <c r="K206" s="222">
        <v>9000.0</v>
      </c>
      <c r="L206" s="208"/>
      <c r="M206" s="208"/>
      <c r="N206" s="150"/>
      <c r="O206" s="150"/>
      <c r="P206" s="150"/>
      <c r="Q206" s="209"/>
      <c r="R206" s="45"/>
      <c r="S206" s="45"/>
      <c r="T206" s="150"/>
      <c r="U206" s="198"/>
    </row>
    <row r="207" ht="22.5" hidden="1" customHeight="1">
      <c r="A207" s="199"/>
      <c r="B207" s="212" t="s">
        <v>558</v>
      </c>
      <c r="C207" s="235" t="s">
        <v>632</v>
      </c>
      <c r="D207" s="236"/>
      <c r="E207" s="236"/>
      <c r="F207" s="147"/>
      <c r="G207" s="147"/>
      <c r="H207" s="201"/>
      <c r="I207" s="237" t="s">
        <v>925</v>
      </c>
      <c r="J207" s="216">
        <v>108000.0</v>
      </c>
      <c r="K207" s="201"/>
      <c r="L207" s="202"/>
      <c r="M207" s="218" t="s">
        <v>926</v>
      </c>
      <c r="N207" s="147"/>
      <c r="O207" s="147"/>
      <c r="P207" s="147"/>
      <c r="Q207" s="203"/>
      <c r="R207" s="236"/>
      <c r="S207" s="236"/>
      <c r="T207" s="215">
        <v>628.0</v>
      </c>
      <c r="U207" s="204"/>
    </row>
    <row r="208" ht="22.5" hidden="1" customHeight="1">
      <c r="A208" s="205"/>
      <c r="B208" s="193" t="s">
        <v>696</v>
      </c>
      <c r="C208" s="238" t="s">
        <v>1192</v>
      </c>
      <c r="D208" s="234"/>
      <c r="E208" s="234"/>
      <c r="F208" s="150"/>
      <c r="G208" s="150"/>
      <c r="H208" s="207"/>
      <c r="I208" s="197" t="s">
        <v>928</v>
      </c>
      <c r="J208" s="222">
        <v>651181.78</v>
      </c>
      <c r="K208" s="207"/>
      <c r="L208" s="208"/>
      <c r="M208" s="208"/>
      <c r="N208" s="150"/>
      <c r="O208" s="150"/>
      <c r="P208" s="150"/>
      <c r="Q208" s="209"/>
      <c r="R208" s="234"/>
      <c r="S208" s="234"/>
      <c r="T208" s="150"/>
      <c r="U208" s="198"/>
    </row>
    <row r="209" ht="22.5" hidden="1" customHeight="1">
      <c r="A209" s="199"/>
      <c r="B209" s="146"/>
      <c r="C209" s="200"/>
      <c r="D209" s="200"/>
      <c r="E209" s="200"/>
      <c r="F209" s="147"/>
      <c r="G209" s="147"/>
      <c r="H209" s="201"/>
      <c r="I209" s="201"/>
      <c r="J209" s="201"/>
      <c r="K209" s="201"/>
      <c r="L209" s="202"/>
      <c r="M209" s="202"/>
      <c r="N209" s="147"/>
      <c r="O209" s="147"/>
      <c r="P209" s="147"/>
      <c r="Q209" s="203"/>
      <c r="R209" s="186"/>
      <c r="S209" s="186"/>
      <c r="T209" s="147"/>
      <c r="U209" s="204"/>
    </row>
    <row r="210" ht="22.5" hidden="1" customHeight="1">
      <c r="A210" s="205"/>
      <c r="B210" s="82"/>
      <c r="C210" s="206"/>
      <c r="D210" s="206"/>
      <c r="E210" s="206"/>
      <c r="F210" s="150"/>
      <c r="G210" s="150"/>
      <c r="H210" s="207"/>
      <c r="I210" s="207"/>
      <c r="J210" s="207"/>
      <c r="K210" s="207"/>
      <c r="L210" s="208"/>
      <c r="M210" s="208"/>
      <c r="N210" s="150"/>
      <c r="O210" s="150"/>
      <c r="P210" s="150"/>
      <c r="Q210" s="209"/>
      <c r="R210" s="45"/>
      <c r="S210" s="45"/>
      <c r="T210" s="150"/>
      <c r="U210" s="198"/>
    </row>
    <row r="211" ht="22.5" hidden="1" customHeight="1">
      <c r="A211" s="199"/>
      <c r="B211" s="146"/>
      <c r="C211" s="200"/>
      <c r="D211" s="200"/>
      <c r="E211" s="200"/>
      <c r="F211" s="147"/>
      <c r="G211" s="147"/>
      <c r="H211" s="201"/>
      <c r="I211" s="201"/>
      <c r="J211" s="201"/>
      <c r="K211" s="201"/>
      <c r="L211" s="202"/>
      <c r="M211" s="202"/>
      <c r="N211" s="147"/>
      <c r="O211" s="147"/>
      <c r="P211" s="147"/>
      <c r="Q211" s="203"/>
      <c r="R211" s="186"/>
      <c r="S211" s="186"/>
      <c r="T211" s="147"/>
      <c r="U211" s="204"/>
    </row>
    <row r="212" ht="22.5" hidden="1" customHeight="1">
      <c r="A212" s="205"/>
      <c r="B212" s="82"/>
      <c r="C212" s="206"/>
      <c r="D212" s="206"/>
      <c r="E212" s="206"/>
      <c r="F212" s="150"/>
      <c r="G212" s="150"/>
      <c r="H212" s="207"/>
      <c r="I212" s="207"/>
      <c r="J212" s="207"/>
      <c r="K212" s="207"/>
      <c r="L212" s="208"/>
      <c r="M212" s="208"/>
      <c r="N212" s="150"/>
      <c r="O212" s="150"/>
      <c r="P212" s="150"/>
      <c r="Q212" s="209"/>
      <c r="R212" s="45"/>
      <c r="S212" s="45"/>
      <c r="T212" s="150"/>
      <c r="U212" s="198"/>
    </row>
    <row r="213" ht="22.5" hidden="1" customHeight="1">
      <c r="A213" s="211" t="s">
        <v>181</v>
      </c>
      <c r="B213" s="212" t="s">
        <v>132</v>
      </c>
      <c r="C213" s="212" t="s">
        <v>131</v>
      </c>
      <c r="D213" s="214" t="s">
        <v>870</v>
      </c>
      <c r="E213" s="212" t="s">
        <v>7</v>
      </c>
      <c r="F213" s="228" t="s">
        <v>871</v>
      </c>
      <c r="G213" s="228" t="s">
        <v>872</v>
      </c>
      <c r="H213" s="237" t="s">
        <v>8</v>
      </c>
      <c r="I213" s="237" t="s">
        <v>873</v>
      </c>
      <c r="J213" s="237" t="s">
        <v>17</v>
      </c>
      <c r="K213" s="237" t="s">
        <v>874</v>
      </c>
      <c r="L213" s="218" t="s">
        <v>875</v>
      </c>
      <c r="M213" s="218" t="s">
        <v>876</v>
      </c>
      <c r="N213" s="228" t="s">
        <v>877</v>
      </c>
      <c r="O213" s="228" t="s">
        <v>878</v>
      </c>
      <c r="P213" s="228" t="s">
        <v>879</v>
      </c>
      <c r="Q213" s="218" t="s">
        <v>880</v>
      </c>
      <c r="R213" s="218" t="s">
        <v>881</v>
      </c>
      <c r="S213" s="218" t="s">
        <v>882</v>
      </c>
      <c r="T213" s="228" t="s">
        <v>557</v>
      </c>
      <c r="U213" s="204"/>
    </row>
    <row r="214" ht="22.5" customHeight="1">
      <c r="A214" s="205"/>
      <c r="B214" s="193" t="s">
        <v>402</v>
      </c>
      <c r="C214" s="226" t="s">
        <v>136</v>
      </c>
      <c r="D214" s="194" t="s">
        <v>1157</v>
      </c>
      <c r="E214" s="194" t="s">
        <v>15</v>
      </c>
      <c r="F214" s="220">
        <v>3.0</v>
      </c>
      <c r="G214" s="150"/>
      <c r="H214" s="222">
        <v>200.0</v>
      </c>
      <c r="I214" s="222">
        <v>600.0</v>
      </c>
      <c r="J214" s="222">
        <v>13761.25</v>
      </c>
      <c r="K214" s="222">
        <v>0.0</v>
      </c>
      <c r="L214" s="223">
        <v>46223.0</v>
      </c>
      <c r="M214" s="223">
        <v>46254.0</v>
      </c>
      <c r="N214" s="220">
        <v>1.0</v>
      </c>
      <c r="O214" s="220">
        <v>-277.0</v>
      </c>
      <c r="P214" s="220">
        <v>307.0</v>
      </c>
      <c r="Q214" s="238">
        <v>46234.0</v>
      </c>
      <c r="R214" s="196" t="s">
        <v>1193</v>
      </c>
      <c r="S214" s="227" t="s">
        <v>1194</v>
      </c>
      <c r="T214" s="220">
        <v>599.0</v>
      </c>
      <c r="U214" s="198"/>
    </row>
    <row r="215" ht="22.5" customHeight="1">
      <c r="A215" s="199"/>
      <c r="B215" s="212" t="s">
        <v>309</v>
      </c>
      <c r="C215" s="231" t="s">
        <v>684</v>
      </c>
      <c r="D215" s="214" t="s">
        <v>1160</v>
      </c>
      <c r="E215" s="212" t="s">
        <v>17</v>
      </c>
      <c r="F215" s="215">
        <v>3.0</v>
      </c>
      <c r="G215" s="147"/>
      <c r="H215" s="216">
        <v>3000.0</v>
      </c>
      <c r="I215" s="216">
        <v>9000.0</v>
      </c>
      <c r="J215" s="201"/>
      <c r="K215" s="201"/>
      <c r="L215" s="217">
        <v>46206.0</v>
      </c>
      <c r="M215" s="217">
        <v>46237.0</v>
      </c>
      <c r="N215" s="147"/>
      <c r="O215" s="215">
        <v>-294.0</v>
      </c>
      <c r="P215" s="215">
        <v>324.0</v>
      </c>
      <c r="Q215" s="203"/>
      <c r="R215" s="218" t="s">
        <v>1195</v>
      </c>
      <c r="S215" s="186"/>
      <c r="T215" s="215">
        <v>600.0</v>
      </c>
      <c r="U215" s="204"/>
    </row>
    <row r="216" ht="22.5" customHeight="1">
      <c r="A216" s="205"/>
      <c r="B216" s="193" t="s">
        <v>414</v>
      </c>
      <c r="C216" s="226" t="s">
        <v>136</v>
      </c>
      <c r="D216" s="194" t="s">
        <v>888</v>
      </c>
      <c r="E216" s="194" t="s">
        <v>17</v>
      </c>
      <c r="F216" s="220">
        <v>3.0</v>
      </c>
      <c r="G216" s="220">
        <v>0.375</v>
      </c>
      <c r="H216" s="222">
        <v>4000.0</v>
      </c>
      <c r="I216" s="222">
        <v>5937.5</v>
      </c>
      <c r="J216" s="222">
        <v>5937.5</v>
      </c>
      <c r="K216" s="222">
        <v>0.0</v>
      </c>
      <c r="L216" s="223">
        <v>46204.0</v>
      </c>
      <c r="M216" s="223">
        <v>46235.0</v>
      </c>
      <c r="N216" s="220">
        <v>1.0</v>
      </c>
      <c r="O216" s="220">
        <v>-296.0</v>
      </c>
      <c r="P216" s="220">
        <v>326.0</v>
      </c>
      <c r="Q216" s="238">
        <v>46294.0</v>
      </c>
      <c r="R216" s="196" t="s">
        <v>1196</v>
      </c>
      <c r="S216" s="227" t="s">
        <v>1197</v>
      </c>
      <c r="T216" s="220">
        <v>601.0</v>
      </c>
      <c r="U216" s="198"/>
    </row>
    <row r="217" ht="22.5" customHeight="1">
      <c r="A217" s="199"/>
      <c r="B217" s="212" t="s">
        <v>1164</v>
      </c>
      <c r="C217" s="229" t="s">
        <v>685</v>
      </c>
      <c r="D217" s="214" t="s">
        <v>1165</v>
      </c>
      <c r="E217" s="214" t="s">
        <v>19</v>
      </c>
      <c r="F217" s="228" t="s">
        <v>1166</v>
      </c>
      <c r="G217" s="147"/>
      <c r="H217" s="216">
        <v>15.0</v>
      </c>
      <c r="I217" s="216">
        <v>120.0</v>
      </c>
      <c r="J217" s="201"/>
      <c r="K217" s="201"/>
      <c r="L217" s="217">
        <v>46221.0</v>
      </c>
      <c r="M217" s="217">
        <v>46252.0</v>
      </c>
      <c r="N217" s="147"/>
      <c r="O217" s="215">
        <v>-279.0</v>
      </c>
      <c r="P217" s="215">
        <v>309.0</v>
      </c>
      <c r="Q217" s="203"/>
      <c r="R217" s="218" t="s">
        <v>1198</v>
      </c>
      <c r="S217" s="186"/>
      <c r="T217" s="215">
        <v>602.0</v>
      </c>
      <c r="U217" s="204"/>
    </row>
    <row r="218" ht="22.5" customHeight="1">
      <c r="A218" s="205"/>
      <c r="B218" s="193" t="s">
        <v>301</v>
      </c>
      <c r="C218" s="194" t="s">
        <v>694</v>
      </c>
      <c r="D218" s="194" t="s">
        <v>1199</v>
      </c>
      <c r="E218" s="193" t="s">
        <v>17</v>
      </c>
      <c r="F218" s="220">
        <v>3.0</v>
      </c>
      <c r="G218" s="220">
        <v>0.15</v>
      </c>
      <c r="H218" s="197" t="s">
        <v>1200</v>
      </c>
      <c r="I218" s="222">
        <v>21000.0</v>
      </c>
      <c r="J218" s="207"/>
      <c r="K218" s="207"/>
      <c r="L218" s="223">
        <v>46221.0</v>
      </c>
      <c r="M218" s="223">
        <v>46252.0</v>
      </c>
      <c r="N218" s="150"/>
      <c r="O218" s="220">
        <v>-279.0</v>
      </c>
      <c r="P218" s="220">
        <v>309.0</v>
      </c>
      <c r="Q218" s="209"/>
      <c r="R218" s="196" t="s">
        <v>1201</v>
      </c>
      <c r="S218" s="45"/>
      <c r="T218" s="220">
        <v>603.0</v>
      </c>
      <c r="U218" s="198"/>
    </row>
    <row r="219" ht="22.5" customHeight="1">
      <c r="A219" s="211" t="s">
        <v>1202</v>
      </c>
      <c r="B219" s="212" t="s">
        <v>147</v>
      </c>
      <c r="C219" s="214" t="s">
        <v>1130</v>
      </c>
      <c r="D219" s="214" t="s">
        <v>1030</v>
      </c>
      <c r="E219" s="212" t="s">
        <v>19</v>
      </c>
      <c r="F219" s="228" t="s">
        <v>1203</v>
      </c>
      <c r="G219" s="147"/>
      <c r="H219" s="216">
        <v>15.0</v>
      </c>
      <c r="I219" s="216">
        <v>300.0</v>
      </c>
      <c r="J219" s="216">
        <v>34734.78</v>
      </c>
      <c r="K219" s="216">
        <v>0.0</v>
      </c>
      <c r="L219" s="217">
        <v>46214.0</v>
      </c>
      <c r="M219" s="217">
        <v>46245.0</v>
      </c>
      <c r="N219" s="215">
        <v>1.0</v>
      </c>
      <c r="O219" s="215">
        <v>-286.0</v>
      </c>
      <c r="P219" s="215">
        <v>316.0</v>
      </c>
      <c r="Q219" s="218" t="s">
        <v>1132</v>
      </c>
      <c r="R219" s="218" t="s">
        <v>1204</v>
      </c>
      <c r="S219" s="225" t="s">
        <v>1205</v>
      </c>
      <c r="T219" s="215">
        <v>604.0</v>
      </c>
      <c r="U219" s="204"/>
    </row>
    <row r="220" ht="22.5" customHeight="1">
      <c r="A220" s="205"/>
      <c r="B220" s="193" t="s">
        <v>433</v>
      </c>
      <c r="C220" s="219" t="s">
        <v>684</v>
      </c>
      <c r="D220" s="194" t="s">
        <v>1098</v>
      </c>
      <c r="E220" s="194" t="s">
        <v>41</v>
      </c>
      <c r="F220" s="195" t="s">
        <v>1099</v>
      </c>
      <c r="G220" s="150"/>
      <c r="H220" s="222">
        <v>40.0</v>
      </c>
      <c r="I220" s="222">
        <v>160.0</v>
      </c>
      <c r="J220" s="207"/>
      <c r="K220" s="207"/>
      <c r="L220" s="223">
        <v>46207.0</v>
      </c>
      <c r="M220" s="223">
        <v>46238.0</v>
      </c>
      <c r="N220" s="150"/>
      <c r="O220" s="220">
        <v>-293.0</v>
      </c>
      <c r="P220" s="220">
        <v>323.0</v>
      </c>
      <c r="Q220" s="209"/>
      <c r="R220" s="196" t="s">
        <v>1206</v>
      </c>
      <c r="S220" s="45"/>
      <c r="T220" s="220">
        <v>605.0</v>
      </c>
      <c r="U220" s="198"/>
    </row>
    <row r="221" ht="22.5" customHeight="1">
      <c r="A221" s="199"/>
      <c r="B221" s="212" t="s">
        <v>330</v>
      </c>
      <c r="C221" s="214" t="s">
        <v>694</v>
      </c>
      <c r="D221" s="214" t="s">
        <v>1207</v>
      </c>
      <c r="E221" s="212" t="s">
        <v>17</v>
      </c>
      <c r="F221" s="215">
        <v>4.0</v>
      </c>
      <c r="G221" s="147"/>
      <c r="H221" s="237" t="s">
        <v>1200</v>
      </c>
      <c r="I221" s="216">
        <v>27000.0</v>
      </c>
      <c r="J221" s="201"/>
      <c r="K221" s="201"/>
      <c r="L221" s="217">
        <v>46212.0</v>
      </c>
      <c r="M221" s="217">
        <v>46243.0</v>
      </c>
      <c r="N221" s="147"/>
      <c r="O221" s="215">
        <v>-288.0</v>
      </c>
      <c r="P221" s="215">
        <v>318.0</v>
      </c>
      <c r="Q221" s="203"/>
      <c r="R221" s="218" t="s">
        <v>1208</v>
      </c>
      <c r="S221" s="186"/>
      <c r="T221" s="215">
        <v>606.0</v>
      </c>
      <c r="U221" s="204"/>
    </row>
    <row r="222" ht="22.5" customHeight="1">
      <c r="A222" s="205"/>
      <c r="B222" s="193" t="s">
        <v>152</v>
      </c>
      <c r="C222" s="194" t="s">
        <v>694</v>
      </c>
      <c r="D222" s="194" t="s">
        <v>1209</v>
      </c>
      <c r="E222" s="193" t="s">
        <v>19</v>
      </c>
      <c r="F222" s="195" t="s">
        <v>909</v>
      </c>
      <c r="G222" s="150"/>
      <c r="H222" s="222">
        <v>10.0</v>
      </c>
      <c r="I222" s="222">
        <v>180.0</v>
      </c>
      <c r="J222" s="207"/>
      <c r="K222" s="207"/>
      <c r="L222" s="223">
        <v>46219.0</v>
      </c>
      <c r="M222" s="223">
        <v>46250.0</v>
      </c>
      <c r="N222" s="150"/>
      <c r="O222" s="220">
        <v>-281.0</v>
      </c>
      <c r="P222" s="220">
        <v>311.0</v>
      </c>
      <c r="Q222" s="209"/>
      <c r="R222" s="196" t="s">
        <v>1210</v>
      </c>
      <c r="S222" s="45"/>
      <c r="T222" s="220">
        <v>607.0</v>
      </c>
      <c r="U222" s="198"/>
    </row>
    <row r="223" ht="22.5" customHeight="1">
      <c r="A223" s="199"/>
      <c r="B223" s="212" t="s">
        <v>438</v>
      </c>
      <c r="C223" s="213" t="s">
        <v>136</v>
      </c>
      <c r="D223" s="214" t="s">
        <v>906</v>
      </c>
      <c r="E223" s="214" t="s">
        <v>17</v>
      </c>
      <c r="F223" s="215">
        <v>3.0</v>
      </c>
      <c r="G223" s="215">
        <v>0.25</v>
      </c>
      <c r="H223" s="216">
        <v>8000.0</v>
      </c>
      <c r="I223" s="216">
        <v>18000.0</v>
      </c>
      <c r="J223" s="216">
        <v>18000.0</v>
      </c>
      <c r="K223" s="216">
        <v>0.0</v>
      </c>
      <c r="L223" s="217">
        <v>46228.0</v>
      </c>
      <c r="M223" s="217">
        <v>46259.0</v>
      </c>
      <c r="N223" s="215">
        <v>1.0</v>
      </c>
      <c r="O223" s="215">
        <v>-272.0</v>
      </c>
      <c r="P223" s="215">
        <v>302.0</v>
      </c>
      <c r="Q223" s="232">
        <v>46262.0</v>
      </c>
      <c r="R223" s="218" t="s">
        <v>1211</v>
      </c>
      <c r="S223" s="225" t="s">
        <v>1212</v>
      </c>
      <c r="T223" s="215">
        <v>608.0</v>
      </c>
      <c r="U223" s="204"/>
    </row>
    <row r="224" ht="22.5" customHeight="1">
      <c r="A224" s="205"/>
      <c r="B224" s="193" t="s">
        <v>440</v>
      </c>
      <c r="C224" s="226" t="s">
        <v>136</v>
      </c>
      <c r="D224" s="194" t="s">
        <v>908</v>
      </c>
      <c r="E224" s="194" t="s">
        <v>19</v>
      </c>
      <c r="F224" s="195" t="s">
        <v>1145</v>
      </c>
      <c r="G224" s="150"/>
      <c r="H224" s="222">
        <v>15.0</v>
      </c>
      <c r="I224" s="222">
        <v>180.0</v>
      </c>
      <c r="J224" s="222">
        <v>20918.25</v>
      </c>
      <c r="K224" s="222">
        <v>0.0</v>
      </c>
      <c r="L224" s="223">
        <v>46228.0</v>
      </c>
      <c r="M224" s="223">
        <v>46259.0</v>
      </c>
      <c r="N224" s="220">
        <v>1.0</v>
      </c>
      <c r="O224" s="220">
        <v>-272.0</v>
      </c>
      <c r="P224" s="220">
        <v>302.0</v>
      </c>
      <c r="Q224" s="238">
        <v>46238.0</v>
      </c>
      <c r="R224" s="196" t="s">
        <v>1213</v>
      </c>
      <c r="S224" s="227" t="s">
        <v>1214</v>
      </c>
      <c r="T224" s="220">
        <v>609.0</v>
      </c>
      <c r="U224" s="198"/>
    </row>
    <row r="225" ht="22.5" customHeight="1">
      <c r="A225" s="199"/>
      <c r="B225" s="212" t="s">
        <v>151</v>
      </c>
      <c r="C225" s="214" t="s">
        <v>1215</v>
      </c>
      <c r="D225" s="214" t="s">
        <v>1216</v>
      </c>
      <c r="E225" s="214" t="s">
        <v>15</v>
      </c>
      <c r="F225" s="215">
        <v>1.0</v>
      </c>
      <c r="G225" s="147"/>
      <c r="H225" s="216">
        <v>250.0</v>
      </c>
      <c r="I225" s="216">
        <v>250.0</v>
      </c>
      <c r="J225" s="201"/>
      <c r="K225" s="201"/>
      <c r="L225" s="217">
        <v>46228.0</v>
      </c>
      <c r="M225" s="217">
        <v>46259.0</v>
      </c>
      <c r="N225" s="147"/>
      <c r="O225" s="215">
        <v>-272.0</v>
      </c>
      <c r="P225" s="215">
        <v>302.0</v>
      </c>
      <c r="Q225" s="203"/>
      <c r="R225" s="218" t="s">
        <v>1217</v>
      </c>
      <c r="S225" s="186"/>
      <c r="T225" s="215">
        <v>610.0</v>
      </c>
      <c r="U225" s="204"/>
    </row>
    <row r="226" ht="22.5" customHeight="1">
      <c r="A226" s="205"/>
      <c r="B226" s="193" t="s">
        <v>160</v>
      </c>
      <c r="C226" s="226" t="s">
        <v>136</v>
      </c>
      <c r="D226" s="194" t="s">
        <v>913</v>
      </c>
      <c r="E226" s="194" t="s">
        <v>17</v>
      </c>
      <c r="F226" s="220">
        <v>1.0</v>
      </c>
      <c r="G226" s="150"/>
      <c r="H226" s="222">
        <v>2000.0</v>
      </c>
      <c r="I226" s="222">
        <v>2000.0</v>
      </c>
      <c r="J226" s="222">
        <v>3000.0</v>
      </c>
      <c r="K226" s="222">
        <v>0.0</v>
      </c>
      <c r="L226" s="223">
        <v>46228.0</v>
      </c>
      <c r="M226" s="223">
        <v>46259.0</v>
      </c>
      <c r="N226" s="220">
        <v>1.0</v>
      </c>
      <c r="O226" s="220">
        <v>-272.0</v>
      </c>
      <c r="P226" s="220">
        <v>302.0</v>
      </c>
      <c r="Q226" s="238">
        <v>46343.0</v>
      </c>
      <c r="R226" s="196" t="s">
        <v>1218</v>
      </c>
      <c r="S226" s="227" t="s">
        <v>1219</v>
      </c>
      <c r="T226" s="220">
        <v>611.0</v>
      </c>
      <c r="U226" s="198"/>
    </row>
    <row r="227" ht="22.5" customHeight="1">
      <c r="A227" s="211" t="s">
        <v>1220</v>
      </c>
      <c r="B227" s="212" t="s">
        <v>915</v>
      </c>
      <c r="C227" s="214" t="s">
        <v>1074</v>
      </c>
      <c r="D227" s="214" t="s">
        <v>916</v>
      </c>
      <c r="E227" s="214" t="s">
        <v>17</v>
      </c>
      <c r="F227" s="215">
        <v>3.0</v>
      </c>
      <c r="G227" s="215">
        <v>0.25</v>
      </c>
      <c r="H227" s="237" t="s">
        <v>917</v>
      </c>
      <c r="I227" s="216">
        <v>3000.0</v>
      </c>
      <c r="J227" s="216">
        <v>9000.0</v>
      </c>
      <c r="K227" s="216">
        <v>0.0</v>
      </c>
      <c r="L227" s="217">
        <v>46204.0</v>
      </c>
      <c r="M227" s="217">
        <v>46235.0</v>
      </c>
      <c r="N227" s="215">
        <v>1.0</v>
      </c>
      <c r="O227" s="215">
        <v>-296.0</v>
      </c>
      <c r="P227" s="215">
        <v>326.0</v>
      </c>
      <c r="Q227" s="203"/>
      <c r="R227" s="243" t="e">
        <v>#REF!</v>
      </c>
      <c r="S227" s="225" t="s">
        <v>1221</v>
      </c>
      <c r="T227" s="215">
        <v>612.0</v>
      </c>
      <c r="U227" s="204"/>
    </row>
    <row r="228" ht="22.5" customHeight="1">
      <c r="A228" s="205"/>
      <c r="B228" s="193" t="s">
        <v>153</v>
      </c>
      <c r="C228" s="226" t="s">
        <v>136</v>
      </c>
      <c r="D228" s="194" t="s">
        <v>1077</v>
      </c>
      <c r="E228" s="194" t="s">
        <v>108</v>
      </c>
      <c r="F228" s="195" t="s">
        <v>1078</v>
      </c>
      <c r="G228" s="150"/>
      <c r="H228" s="222">
        <v>25.0</v>
      </c>
      <c r="I228" s="222">
        <v>600.0</v>
      </c>
      <c r="J228" s="207"/>
      <c r="K228" s="207"/>
      <c r="L228" s="223">
        <v>46229.0</v>
      </c>
      <c r="M228" s="223">
        <v>46260.0</v>
      </c>
      <c r="N228" s="150"/>
      <c r="O228" s="220">
        <v>-271.0</v>
      </c>
      <c r="P228" s="220">
        <v>301.0</v>
      </c>
      <c r="Q228" s="209"/>
      <c r="R228" s="196" t="s">
        <v>1222</v>
      </c>
      <c r="S228" s="227" t="s">
        <v>1223</v>
      </c>
      <c r="T228" s="220">
        <v>613.0</v>
      </c>
      <c r="U228" s="198"/>
    </row>
    <row r="229" ht="22.5" hidden="1" customHeight="1">
      <c r="A229" s="199"/>
      <c r="B229" s="212" t="s">
        <v>923</v>
      </c>
      <c r="C229" s="240" t="s">
        <v>573</v>
      </c>
      <c r="D229" s="236"/>
      <c r="E229" s="203"/>
      <c r="F229" s="147"/>
      <c r="G229" s="147"/>
      <c r="H229" s="201"/>
      <c r="I229" s="237" t="s">
        <v>924</v>
      </c>
      <c r="J229" s="216">
        <v>105351.78</v>
      </c>
      <c r="K229" s="216">
        <v>0.0</v>
      </c>
      <c r="L229" s="202"/>
      <c r="M229" s="202"/>
      <c r="N229" s="147"/>
      <c r="O229" s="147"/>
      <c r="P229" s="147"/>
      <c r="Q229" s="203"/>
      <c r="R229" s="186"/>
      <c r="S229" s="186"/>
      <c r="T229" s="147"/>
      <c r="U229" s="204"/>
    </row>
    <row r="230" ht="22.5" hidden="1" customHeight="1">
      <c r="A230" s="205"/>
      <c r="B230" s="193" t="s">
        <v>558</v>
      </c>
      <c r="C230" s="241" t="s">
        <v>630</v>
      </c>
      <c r="D230" s="234"/>
      <c r="E230" s="234"/>
      <c r="F230" s="150"/>
      <c r="G230" s="150"/>
      <c r="H230" s="207"/>
      <c r="I230" s="197" t="s">
        <v>925</v>
      </c>
      <c r="J230" s="222">
        <v>0.0</v>
      </c>
      <c r="K230" s="207"/>
      <c r="L230" s="208"/>
      <c r="M230" s="196" t="s">
        <v>926</v>
      </c>
      <c r="N230" s="150"/>
      <c r="O230" s="150"/>
      <c r="P230" s="150"/>
      <c r="Q230" s="209"/>
      <c r="R230" s="234"/>
      <c r="S230" s="234"/>
      <c r="T230" s="220">
        <v>613.0</v>
      </c>
      <c r="U230" s="198"/>
    </row>
    <row r="231" ht="22.5" hidden="1" customHeight="1">
      <c r="A231" s="199"/>
      <c r="B231" s="212" t="s">
        <v>696</v>
      </c>
      <c r="C231" s="232" t="s">
        <v>1224</v>
      </c>
      <c r="D231" s="236"/>
      <c r="E231" s="236"/>
      <c r="F231" s="147"/>
      <c r="G231" s="147"/>
      <c r="H231" s="201"/>
      <c r="I231" s="237" t="s">
        <v>928</v>
      </c>
      <c r="J231" s="216">
        <v>642181.78</v>
      </c>
      <c r="K231" s="201"/>
      <c r="L231" s="202"/>
      <c r="M231" s="202"/>
      <c r="N231" s="147"/>
      <c r="O231" s="147"/>
      <c r="P231" s="147"/>
      <c r="Q231" s="203"/>
      <c r="R231" s="236"/>
      <c r="S231" s="236"/>
      <c r="T231" s="147"/>
      <c r="U231" s="204"/>
    </row>
    <row r="232" ht="22.5" hidden="1" customHeight="1">
      <c r="A232" s="205"/>
      <c r="B232" s="82"/>
      <c r="C232" s="206"/>
      <c r="D232" s="206"/>
      <c r="E232" s="206"/>
      <c r="F232" s="150"/>
      <c r="G232" s="150"/>
      <c r="H232" s="207"/>
      <c r="I232" s="207"/>
      <c r="J232" s="207"/>
      <c r="K232" s="207"/>
      <c r="L232" s="208"/>
      <c r="M232" s="208"/>
      <c r="N232" s="150"/>
      <c r="O232" s="150"/>
      <c r="P232" s="150"/>
      <c r="Q232" s="209"/>
      <c r="R232" s="45"/>
      <c r="S232" s="45"/>
      <c r="T232" s="150"/>
      <c r="U232" s="198"/>
    </row>
    <row r="233" ht="22.5" hidden="1" customHeight="1">
      <c r="A233" s="199"/>
      <c r="B233" s="146"/>
      <c r="C233" s="200"/>
      <c r="D233" s="200"/>
      <c r="E233" s="200"/>
      <c r="F233" s="147"/>
      <c r="G233" s="147"/>
      <c r="H233" s="201"/>
      <c r="I233" s="201"/>
      <c r="J233" s="201"/>
      <c r="K233" s="201"/>
      <c r="L233" s="202"/>
      <c r="M233" s="202"/>
      <c r="N233" s="147"/>
      <c r="O233" s="147"/>
      <c r="P233" s="147"/>
      <c r="Q233" s="203"/>
      <c r="R233" s="186"/>
      <c r="S233" s="186"/>
      <c r="T233" s="147"/>
      <c r="U233" s="204"/>
    </row>
    <row r="234" ht="22.5" hidden="1" customHeight="1">
      <c r="A234" s="205"/>
      <c r="B234" s="82"/>
      <c r="C234" s="206"/>
      <c r="D234" s="206"/>
      <c r="E234" s="206"/>
      <c r="F234" s="150"/>
      <c r="G234" s="150"/>
      <c r="H234" s="207"/>
      <c r="I234" s="207"/>
      <c r="J234" s="207"/>
      <c r="K234" s="207"/>
      <c r="L234" s="208"/>
      <c r="M234" s="208"/>
      <c r="N234" s="150"/>
      <c r="O234" s="150"/>
      <c r="P234" s="150"/>
      <c r="Q234" s="209"/>
      <c r="R234" s="45"/>
      <c r="S234" s="45"/>
      <c r="T234" s="150"/>
      <c r="U234" s="198"/>
    </row>
    <row r="235" ht="22.5" hidden="1" customHeight="1">
      <c r="A235" s="199"/>
      <c r="B235" s="146"/>
      <c r="C235" s="200"/>
      <c r="D235" s="200"/>
      <c r="E235" s="200"/>
      <c r="F235" s="147"/>
      <c r="G235" s="210"/>
      <c r="H235" s="201"/>
      <c r="I235" s="201"/>
      <c r="J235" s="201"/>
      <c r="K235" s="201"/>
      <c r="L235" s="202"/>
      <c r="M235" s="202"/>
      <c r="N235" s="147"/>
      <c r="O235" s="147"/>
      <c r="P235" s="147"/>
      <c r="Q235" s="203"/>
      <c r="R235" s="186"/>
      <c r="S235" s="186"/>
      <c r="T235" s="147"/>
      <c r="U235" s="204"/>
    </row>
    <row r="236" ht="22.5" hidden="1" customHeight="1">
      <c r="A236" s="192" t="s">
        <v>181</v>
      </c>
      <c r="B236" s="193" t="s">
        <v>132</v>
      </c>
      <c r="C236" s="193" t="s">
        <v>131</v>
      </c>
      <c r="D236" s="194" t="s">
        <v>870</v>
      </c>
      <c r="E236" s="193" t="s">
        <v>7</v>
      </c>
      <c r="F236" s="195" t="s">
        <v>871</v>
      </c>
      <c r="G236" s="196" t="s">
        <v>872</v>
      </c>
      <c r="H236" s="197" t="s">
        <v>8</v>
      </c>
      <c r="I236" s="197" t="s">
        <v>873</v>
      </c>
      <c r="J236" s="197" t="s">
        <v>17</v>
      </c>
      <c r="K236" s="197" t="s">
        <v>874</v>
      </c>
      <c r="L236" s="196" t="s">
        <v>875</v>
      </c>
      <c r="M236" s="196" t="s">
        <v>876</v>
      </c>
      <c r="N236" s="195" t="s">
        <v>877</v>
      </c>
      <c r="O236" s="195" t="s">
        <v>878</v>
      </c>
      <c r="P236" s="195" t="s">
        <v>879</v>
      </c>
      <c r="Q236" s="196" t="s">
        <v>880</v>
      </c>
      <c r="R236" s="196" t="s">
        <v>881</v>
      </c>
      <c r="S236" s="196" t="s">
        <v>882</v>
      </c>
      <c r="T236" s="195" t="s">
        <v>557</v>
      </c>
      <c r="U236" s="198"/>
    </row>
    <row r="237" ht="22.5" customHeight="1">
      <c r="A237" s="211" t="s">
        <v>1225</v>
      </c>
      <c r="B237" s="212" t="s">
        <v>402</v>
      </c>
      <c r="C237" s="213" t="s">
        <v>136</v>
      </c>
      <c r="D237" s="214" t="s">
        <v>1157</v>
      </c>
      <c r="E237" s="214" t="s">
        <v>15</v>
      </c>
      <c r="F237" s="215">
        <v>2.75</v>
      </c>
      <c r="G237" s="210"/>
      <c r="H237" s="216">
        <v>200.0</v>
      </c>
      <c r="I237" s="216">
        <v>550.0</v>
      </c>
      <c r="J237" s="216">
        <v>12693.17</v>
      </c>
      <c r="K237" s="216">
        <v>0.0</v>
      </c>
      <c r="L237" s="217">
        <v>46193.0</v>
      </c>
      <c r="M237" s="217">
        <v>46223.0</v>
      </c>
      <c r="N237" s="215">
        <v>1.0</v>
      </c>
      <c r="O237" s="215">
        <v>-308.0</v>
      </c>
      <c r="P237" s="215">
        <v>338.0</v>
      </c>
      <c r="Q237" s="232">
        <v>46204.0</v>
      </c>
      <c r="R237" s="218" t="s">
        <v>1226</v>
      </c>
      <c r="S237" s="225" t="s">
        <v>1227</v>
      </c>
      <c r="T237" s="215">
        <v>584.0</v>
      </c>
      <c r="U237" s="204"/>
    </row>
    <row r="238" ht="22.5" customHeight="1">
      <c r="A238" s="205"/>
      <c r="B238" s="193" t="s">
        <v>309</v>
      </c>
      <c r="C238" s="219" t="s">
        <v>684</v>
      </c>
      <c r="D238" s="194" t="s">
        <v>1160</v>
      </c>
      <c r="E238" s="193" t="s">
        <v>17</v>
      </c>
      <c r="F238" s="220">
        <v>3.0</v>
      </c>
      <c r="G238" s="221"/>
      <c r="H238" s="222">
        <v>3000.0</v>
      </c>
      <c r="I238" s="222">
        <v>9000.0</v>
      </c>
      <c r="J238" s="207"/>
      <c r="K238" s="207"/>
      <c r="L238" s="223">
        <v>46176.0</v>
      </c>
      <c r="M238" s="223">
        <v>46206.0</v>
      </c>
      <c r="N238" s="150"/>
      <c r="O238" s="220">
        <v>-325.0</v>
      </c>
      <c r="P238" s="220">
        <v>355.0</v>
      </c>
      <c r="Q238" s="209"/>
      <c r="R238" s="196" t="s">
        <v>1228</v>
      </c>
      <c r="S238" s="45"/>
      <c r="T238" s="220">
        <v>585.0</v>
      </c>
      <c r="U238" s="198"/>
    </row>
    <row r="239" ht="22.5" customHeight="1">
      <c r="A239" s="211" t="s">
        <v>1229</v>
      </c>
      <c r="B239" s="212" t="s">
        <v>414</v>
      </c>
      <c r="C239" s="213" t="s">
        <v>136</v>
      </c>
      <c r="D239" s="214" t="s">
        <v>888</v>
      </c>
      <c r="E239" s="214" t="s">
        <v>17</v>
      </c>
      <c r="F239" s="215">
        <v>3.0</v>
      </c>
      <c r="G239" s="224">
        <v>0.38</v>
      </c>
      <c r="H239" s="216">
        <v>4000.0</v>
      </c>
      <c r="I239" s="216">
        <v>5312.5</v>
      </c>
      <c r="J239" s="216">
        <v>5312.5</v>
      </c>
      <c r="K239" s="216">
        <v>0.0</v>
      </c>
      <c r="L239" s="217">
        <v>46201.0</v>
      </c>
      <c r="M239" s="217">
        <v>46231.0</v>
      </c>
      <c r="N239" s="215">
        <v>1.0</v>
      </c>
      <c r="O239" s="215">
        <v>-300.0</v>
      </c>
      <c r="P239" s="215">
        <v>330.0</v>
      </c>
      <c r="Q239" s="232">
        <v>46248.0</v>
      </c>
      <c r="R239" s="218" t="s">
        <v>1230</v>
      </c>
      <c r="S239" s="225" t="s">
        <v>1231</v>
      </c>
      <c r="T239" s="215">
        <v>586.0</v>
      </c>
      <c r="U239" s="204"/>
    </row>
    <row r="240" ht="22.5" customHeight="1">
      <c r="A240" s="205"/>
      <c r="B240" s="193" t="s">
        <v>1164</v>
      </c>
      <c r="C240" s="242" t="s">
        <v>685</v>
      </c>
      <c r="D240" s="194" t="s">
        <v>1165</v>
      </c>
      <c r="E240" s="194" t="s">
        <v>19</v>
      </c>
      <c r="F240" s="195" t="s">
        <v>1166</v>
      </c>
      <c r="G240" s="221"/>
      <c r="H240" s="222">
        <v>15.0</v>
      </c>
      <c r="I240" s="222">
        <v>120.0</v>
      </c>
      <c r="J240" s="207"/>
      <c r="K240" s="207"/>
      <c r="L240" s="223">
        <v>46191.0</v>
      </c>
      <c r="M240" s="223">
        <v>46221.0</v>
      </c>
      <c r="N240" s="150"/>
      <c r="O240" s="220">
        <v>-310.0</v>
      </c>
      <c r="P240" s="220">
        <v>340.0</v>
      </c>
      <c r="Q240" s="209"/>
      <c r="R240" s="196" t="s">
        <v>1232</v>
      </c>
      <c r="S240" s="45"/>
      <c r="T240" s="220">
        <v>587.0</v>
      </c>
      <c r="U240" s="198"/>
    </row>
    <row r="241" ht="22.5" customHeight="1">
      <c r="A241" s="199"/>
      <c r="B241" s="212" t="s">
        <v>301</v>
      </c>
      <c r="C241" s="214" t="s">
        <v>694</v>
      </c>
      <c r="D241" s="214" t="s">
        <v>1199</v>
      </c>
      <c r="E241" s="212" t="s">
        <v>17</v>
      </c>
      <c r="F241" s="215">
        <v>3.0</v>
      </c>
      <c r="G241" s="224">
        <v>0.15</v>
      </c>
      <c r="H241" s="237" t="s">
        <v>1200</v>
      </c>
      <c r="I241" s="216">
        <v>21000.0</v>
      </c>
      <c r="J241" s="201"/>
      <c r="K241" s="201"/>
      <c r="L241" s="217">
        <v>46191.0</v>
      </c>
      <c r="M241" s="217">
        <v>46221.0</v>
      </c>
      <c r="N241" s="147"/>
      <c r="O241" s="215">
        <v>-310.0</v>
      </c>
      <c r="P241" s="215">
        <v>340.0</v>
      </c>
      <c r="Q241" s="203"/>
      <c r="R241" s="218" t="s">
        <v>1233</v>
      </c>
      <c r="S241" s="186"/>
      <c r="T241" s="215">
        <v>588.0</v>
      </c>
      <c r="U241" s="204"/>
    </row>
    <row r="242" ht="22.5" customHeight="1">
      <c r="A242" s="205"/>
      <c r="B242" s="193" t="s">
        <v>147</v>
      </c>
      <c r="C242" s="194" t="s">
        <v>1130</v>
      </c>
      <c r="D242" s="194" t="s">
        <v>1030</v>
      </c>
      <c r="E242" s="193" t="s">
        <v>19</v>
      </c>
      <c r="F242" s="195" t="s">
        <v>1171</v>
      </c>
      <c r="G242" s="150"/>
      <c r="H242" s="222">
        <v>15.0</v>
      </c>
      <c r="I242" s="222">
        <v>330.0</v>
      </c>
      <c r="J242" s="222">
        <v>38225.95</v>
      </c>
      <c r="K242" s="222">
        <v>0.0</v>
      </c>
      <c r="L242" s="223">
        <v>46184.0</v>
      </c>
      <c r="M242" s="223">
        <v>46214.0</v>
      </c>
      <c r="N242" s="220">
        <v>1.0</v>
      </c>
      <c r="O242" s="220">
        <v>-317.0</v>
      </c>
      <c r="P242" s="220">
        <v>347.0</v>
      </c>
      <c r="Q242" s="238">
        <v>46206.0</v>
      </c>
      <c r="R242" s="196" t="s">
        <v>1234</v>
      </c>
      <c r="S242" s="227" t="s">
        <v>1235</v>
      </c>
      <c r="T242" s="220">
        <v>589.0</v>
      </c>
      <c r="U242" s="198"/>
    </row>
    <row r="243" ht="22.5" customHeight="1">
      <c r="A243" s="199"/>
      <c r="B243" s="212" t="s">
        <v>433</v>
      </c>
      <c r="C243" s="231" t="s">
        <v>684</v>
      </c>
      <c r="D243" s="214" t="s">
        <v>1098</v>
      </c>
      <c r="E243" s="214" t="s">
        <v>41</v>
      </c>
      <c r="F243" s="228" t="s">
        <v>1099</v>
      </c>
      <c r="G243" s="210"/>
      <c r="H243" s="216">
        <v>40.0</v>
      </c>
      <c r="I243" s="216">
        <v>160.0</v>
      </c>
      <c r="J243" s="201"/>
      <c r="K243" s="201"/>
      <c r="L243" s="217">
        <v>46177.0</v>
      </c>
      <c r="M243" s="217">
        <v>46207.0</v>
      </c>
      <c r="N243" s="147"/>
      <c r="O243" s="215">
        <v>-324.0</v>
      </c>
      <c r="P243" s="215">
        <v>354.0</v>
      </c>
      <c r="Q243" s="203"/>
      <c r="R243" s="218" t="s">
        <v>1236</v>
      </c>
      <c r="S243" s="186"/>
      <c r="T243" s="215">
        <v>590.0</v>
      </c>
      <c r="U243" s="204"/>
    </row>
    <row r="244" ht="22.5" customHeight="1">
      <c r="A244" s="205"/>
      <c r="B244" s="193" t="s">
        <v>330</v>
      </c>
      <c r="C244" s="194" t="s">
        <v>694</v>
      </c>
      <c r="D244" s="194" t="s">
        <v>1207</v>
      </c>
      <c r="E244" s="193" t="s">
        <v>17</v>
      </c>
      <c r="F244" s="220">
        <v>4.0</v>
      </c>
      <c r="G244" s="221"/>
      <c r="H244" s="197" t="s">
        <v>1200</v>
      </c>
      <c r="I244" s="222">
        <v>27000.0</v>
      </c>
      <c r="J244" s="207"/>
      <c r="K244" s="207"/>
      <c r="L244" s="223">
        <v>46182.0</v>
      </c>
      <c r="M244" s="223">
        <v>46212.0</v>
      </c>
      <c r="N244" s="150"/>
      <c r="O244" s="220">
        <v>-319.0</v>
      </c>
      <c r="P244" s="220">
        <v>349.0</v>
      </c>
      <c r="Q244" s="209"/>
      <c r="R244" s="196" t="s">
        <v>1237</v>
      </c>
      <c r="S244" s="45"/>
      <c r="T244" s="220">
        <v>591.0</v>
      </c>
      <c r="U244" s="198"/>
    </row>
    <row r="245" ht="22.5" customHeight="1">
      <c r="A245" s="199"/>
      <c r="B245" s="212" t="s">
        <v>152</v>
      </c>
      <c r="C245" s="214" t="s">
        <v>694</v>
      </c>
      <c r="D245" s="214" t="s">
        <v>1209</v>
      </c>
      <c r="E245" s="212" t="s">
        <v>19</v>
      </c>
      <c r="F245" s="228" t="s">
        <v>909</v>
      </c>
      <c r="G245" s="210"/>
      <c r="H245" s="216">
        <v>10.0</v>
      </c>
      <c r="I245" s="216">
        <v>180.0</v>
      </c>
      <c r="J245" s="201"/>
      <c r="K245" s="201"/>
      <c r="L245" s="217">
        <v>46189.0</v>
      </c>
      <c r="M245" s="217">
        <v>46219.0</v>
      </c>
      <c r="N245" s="147"/>
      <c r="O245" s="215">
        <v>-312.0</v>
      </c>
      <c r="P245" s="215">
        <v>342.0</v>
      </c>
      <c r="Q245" s="203"/>
      <c r="R245" s="218" t="s">
        <v>1238</v>
      </c>
      <c r="S245" s="186"/>
      <c r="T245" s="215">
        <v>592.0</v>
      </c>
      <c r="U245" s="204"/>
    </row>
    <row r="246" ht="22.5" customHeight="1">
      <c r="A246" s="192" t="s">
        <v>1239</v>
      </c>
      <c r="B246" s="193" t="s">
        <v>438</v>
      </c>
      <c r="C246" s="194" t="s">
        <v>1074</v>
      </c>
      <c r="D246" s="194" t="s">
        <v>906</v>
      </c>
      <c r="E246" s="194" t="s">
        <v>17</v>
      </c>
      <c r="F246" s="220">
        <v>3.0</v>
      </c>
      <c r="G246" s="230">
        <v>0.25</v>
      </c>
      <c r="H246" s="222">
        <v>8000.0</v>
      </c>
      <c r="I246" s="222">
        <v>18000.0</v>
      </c>
      <c r="J246" s="222">
        <v>18000.0</v>
      </c>
      <c r="K246" s="222">
        <v>0.0</v>
      </c>
      <c r="L246" s="223">
        <v>46198.0</v>
      </c>
      <c r="M246" s="223">
        <v>46228.0</v>
      </c>
      <c r="N246" s="220">
        <v>1.0</v>
      </c>
      <c r="O246" s="220">
        <v>-303.0</v>
      </c>
      <c r="P246" s="220">
        <v>333.0</v>
      </c>
      <c r="Q246" s="238">
        <v>46218.0</v>
      </c>
      <c r="R246" s="196" t="s">
        <v>1240</v>
      </c>
      <c r="S246" s="227" t="s">
        <v>1241</v>
      </c>
      <c r="T246" s="220">
        <v>593.0</v>
      </c>
      <c r="U246" s="198"/>
    </row>
    <row r="247" ht="22.5" customHeight="1">
      <c r="A247" s="199"/>
      <c r="B247" s="212" t="s">
        <v>440</v>
      </c>
      <c r="C247" s="213" t="s">
        <v>136</v>
      </c>
      <c r="D247" s="214" t="s">
        <v>908</v>
      </c>
      <c r="E247" s="214" t="s">
        <v>19</v>
      </c>
      <c r="F247" s="228" t="s">
        <v>1145</v>
      </c>
      <c r="G247" s="210"/>
      <c r="H247" s="216">
        <v>15.0</v>
      </c>
      <c r="I247" s="216">
        <v>180.0</v>
      </c>
      <c r="J247" s="216">
        <v>21117.4</v>
      </c>
      <c r="K247" s="216">
        <v>0.0</v>
      </c>
      <c r="L247" s="217">
        <v>46201.0</v>
      </c>
      <c r="M247" s="217">
        <v>46231.0</v>
      </c>
      <c r="N247" s="215">
        <v>1.0</v>
      </c>
      <c r="O247" s="215">
        <v>-300.0</v>
      </c>
      <c r="P247" s="215">
        <v>330.0</v>
      </c>
      <c r="Q247" s="232">
        <v>46205.0</v>
      </c>
      <c r="R247" s="218" t="s">
        <v>1242</v>
      </c>
      <c r="S247" s="225" t="s">
        <v>1243</v>
      </c>
      <c r="T247" s="215">
        <v>594.0</v>
      </c>
      <c r="U247" s="204"/>
    </row>
    <row r="248" ht="22.5" customHeight="1">
      <c r="A248" s="205"/>
      <c r="B248" s="193" t="s">
        <v>151</v>
      </c>
      <c r="C248" s="194" t="s">
        <v>1215</v>
      </c>
      <c r="D248" s="194" t="s">
        <v>1216</v>
      </c>
      <c r="E248" s="194" t="s">
        <v>15</v>
      </c>
      <c r="F248" s="220">
        <v>1.0</v>
      </c>
      <c r="G248" s="221"/>
      <c r="H248" s="222">
        <v>250.0</v>
      </c>
      <c r="I248" s="222">
        <v>250.0</v>
      </c>
      <c r="J248" s="207"/>
      <c r="K248" s="207"/>
      <c r="L248" s="223">
        <v>46198.0</v>
      </c>
      <c r="M248" s="223">
        <v>46228.0</v>
      </c>
      <c r="N248" s="150"/>
      <c r="O248" s="220">
        <v>-303.0</v>
      </c>
      <c r="P248" s="220">
        <v>333.0</v>
      </c>
      <c r="Q248" s="209"/>
      <c r="R248" s="196" t="s">
        <v>1244</v>
      </c>
      <c r="S248" s="45"/>
      <c r="T248" s="220">
        <v>595.0</v>
      </c>
      <c r="U248" s="198"/>
    </row>
    <row r="249" ht="22.5" customHeight="1">
      <c r="A249" s="199"/>
      <c r="B249" s="212" t="s">
        <v>160</v>
      </c>
      <c r="C249" s="213" t="s">
        <v>136</v>
      </c>
      <c r="D249" s="214" t="s">
        <v>913</v>
      </c>
      <c r="E249" s="214" t="s">
        <v>17</v>
      </c>
      <c r="F249" s="215">
        <v>1.0</v>
      </c>
      <c r="G249" s="210"/>
      <c r="H249" s="216">
        <v>2000.0</v>
      </c>
      <c r="I249" s="216">
        <v>2000.0</v>
      </c>
      <c r="J249" s="216">
        <v>2000.0</v>
      </c>
      <c r="K249" s="216">
        <v>2000.0</v>
      </c>
      <c r="L249" s="217">
        <v>46198.0</v>
      </c>
      <c r="M249" s="217">
        <v>46228.0</v>
      </c>
      <c r="N249" s="215">
        <v>0.0</v>
      </c>
      <c r="O249" s="215">
        <v>-303.0</v>
      </c>
      <c r="P249" s="215">
        <v>333.0</v>
      </c>
      <c r="Q249" s="203"/>
      <c r="R249" s="218" t="s">
        <v>1245</v>
      </c>
      <c r="S249" s="225" t="s">
        <v>1246</v>
      </c>
      <c r="T249" s="215">
        <v>596.0</v>
      </c>
      <c r="U249" s="204"/>
    </row>
    <row r="250" ht="22.5" customHeight="1">
      <c r="A250" s="205"/>
      <c r="B250" s="193" t="s">
        <v>396</v>
      </c>
      <c r="C250" s="219" t="s">
        <v>684</v>
      </c>
      <c r="D250" s="194" t="s">
        <v>1247</v>
      </c>
      <c r="E250" s="193" t="s">
        <v>15</v>
      </c>
      <c r="F250" s="220">
        <v>0.0</v>
      </c>
      <c r="G250" s="230">
        <v>0.88</v>
      </c>
      <c r="H250" s="222">
        <v>250.0</v>
      </c>
      <c r="I250" s="222">
        <v>0.0</v>
      </c>
      <c r="J250" s="207"/>
      <c r="K250" s="207"/>
      <c r="L250" s="223">
        <v>46197.0</v>
      </c>
      <c r="M250" s="223">
        <v>46227.0</v>
      </c>
      <c r="N250" s="150"/>
      <c r="O250" s="220">
        <v>-304.0</v>
      </c>
      <c r="P250" s="220">
        <v>334.0</v>
      </c>
      <c r="Q250" s="209"/>
      <c r="R250" s="196" t="s">
        <v>1248</v>
      </c>
      <c r="S250" s="227" t="s">
        <v>1249</v>
      </c>
      <c r="T250" s="220">
        <v>597.0</v>
      </c>
      <c r="U250" s="198"/>
    </row>
    <row r="251" ht="22.5" customHeight="1">
      <c r="A251" s="199"/>
      <c r="B251" s="212" t="s">
        <v>153</v>
      </c>
      <c r="C251" s="213" t="s">
        <v>136</v>
      </c>
      <c r="D251" s="214" t="s">
        <v>1077</v>
      </c>
      <c r="E251" s="214" t="s">
        <v>108</v>
      </c>
      <c r="F251" s="228" t="s">
        <v>1078</v>
      </c>
      <c r="G251" s="210"/>
      <c r="H251" s="216">
        <v>25.0</v>
      </c>
      <c r="I251" s="216">
        <v>676.0</v>
      </c>
      <c r="J251" s="216">
        <v>45356.67</v>
      </c>
      <c r="K251" s="216">
        <v>0.0</v>
      </c>
      <c r="L251" s="217">
        <v>46199.0</v>
      </c>
      <c r="M251" s="217">
        <v>46229.0</v>
      </c>
      <c r="N251" s="215">
        <v>1.0</v>
      </c>
      <c r="O251" s="215">
        <v>-302.0</v>
      </c>
      <c r="P251" s="215">
        <v>332.0</v>
      </c>
      <c r="Q251" s="232">
        <v>46216.0</v>
      </c>
      <c r="R251" s="218" t="s">
        <v>1250</v>
      </c>
      <c r="S251" s="225" t="s">
        <v>1251</v>
      </c>
      <c r="T251" s="215">
        <v>598.0</v>
      </c>
      <c r="U251" s="204"/>
    </row>
    <row r="252" ht="22.5" hidden="1" customHeight="1">
      <c r="A252" s="205"/>
      <c r="B252" s="193" t="s">
        <v>923</v>
      </c>
      <c r="C252" s="233" t="s">
        <v>571</v>
      </c>
      <c r="D252" s="234"/>
      <c r="E252" s="209"/>
      <c r="F252" s="150"/>
      <c r="G252" s="45"/>
      <c r="H252" s="207"/>
      <c r="I252" s="197" t="s">
        <v>924</v>
      </c>
      <c r="J252" s="222">
        <v>142705.68</v>
      </c>
      <c r="K252" s="222">
        <v>2000.0</v>
      </c>
      <c r="L252" s="208"/>
      <c r="M252" s="208"/>
      <c r="N252" s="150"/>
      <c r="O252" s="150"/>
      <c r="P252" s="150"/>
      <c r="Q252" s="209"/>
      <c r="R252" s="45"/>
      <c r="S252" s="45"/>
      <c r="T252" s="150"/>
      <c r="U252" s="198"/>
    </row>
    <row r="253" ht="22.5" hidden="1" customHeight="1">
      <c r="A253" s="199"/>
      <c r="B253" s="212" t="s">
        <v>558</v>
      </c>
      <c r="C253" s="235" t="s">
        <v>628</v>
      </c>
      <c r="D253" s="236"/>
      <c r="E253" s="236"/>
      <c r="F253" s="147"/>
      <c r="G253" s="236"/>
      <c r="H253" s="201"/>
      <c r="I253" s="237" t="s">
        <v>925</v>
      </c>
      <c r="J253" s="216">
        <v>24000.0</v>
      </c>
      <c r="K253" s="201"/>
      <c r="L253" s="202"/>
      <c r="M253" s="218" t="s">
        <v>926</v>
      </c>
      <c r="N253" s="147"/>
      <c r="O253" s="147"/>
      <c r="P253" s="147"/>
      <c r="Q253" s="203"/>
      <c r="R253" s="236"/>
      <c r="S253" s="236"/>
      <c r="T253" s="215">
        <v>598.0</v>
      </c>
      <c r="U253" s="204"/>
    </row>
    <row r="254" ht="22.5" hidden="1" customHeight="1">
      <c r="A254" s="205"/>
      <c r="B254" s="193" t="s">
        <v>696</v>
      </c>
      <c r="C254" s="238" t="s">
        <v>1252</v>
      </c>
      <c r="D254" s="234"/>
      <c r="E254" s="234"/>
      <c r="F254" s="150"/>
      <c r="G254" s="234"/>
      <c r="H254" s="207"/>
      <c r="I254" s="197" t="s">
        <v>928</v>
      </c>
      <c r="J254" s="222">
        <v>642181.78</v>
      </c>
      <c r="K254" s="207"/>
      <c r="L254" s="208"/>
      <c r="M254" s="208"/>
      <c r="N254" s="150"/>
      <c r="O254" s="150"/>
      <c r="P254" s="150"/>
      <c r="Q254" s="209"/>
      <c r="R254" s="234"/>
      <c r="S254" s="234"/>
      <c r="T254" s="150"/>
      <c r="U254" s="198"/>
    </row>
    <row r="255" ht="22.5" hidden="1" customHeight="1">
      <c r="A255" s="199"/>
      <c r="B255" s="146"/>
      <c r="C255" s="200"/>
      <c r="D255" s="200"/>
      <c r="E255" s="200"/>
      <c r="F255" s="147"/>
      <c r="G255" s="186"/>
      <c r="H255" s="201"/>
      <c r="I255" s="201"/>
      <c r="J255" s="201"/>
      <c r="K255" s="201"/>
      <c r="L255" s="202"/>
      <c r="M255" s="202"/>
      <c r="N255" s="147"/>
      <c r="O255" s="147"/>
      <c r="P255" s="147"/>
      <c r="Q255" s="203"/>
      <c r="R255" s="186"/>
      <c r="S255" s="186"/>
      <c r="T255" s="147"/>
      <c r="U255" s="204"/>
    </row>
    <row r="256" ht="22.5" hidden="1" customHeight="1">
      <c r="A256" s="205"/>
      <c r="B256" s="82"/>
      <c r="C256" s="206"/>
      <c r="D256" s="206"/>
      <c r="E256" s="206"/>
      <c r="F256" s="150"/>
      <c r="G256" s="45"/>
      <c r="H256" s="207"/>
      <c r="I256" s="207"/>
      <c r="J256" s="207"/>
      <c r="K256" s="207"/>
      <c r="L256" s="208"/>
      <c r="M256" s="208"/>
      <c r="N256" s="150"/>
      <c r="O256" s="150"/>
      <c r="P256" s="150"/>
      <c r="Q256" s="209"/>
      <c r="R256" s="45"/>
      <c r="S256" s="45"/>
      <c r="T256" s="150"/>
      <c r="U256" s="198"/>
    </row>
    <row r="257" ht="22.5" hidden="1" customHeight="1">
      <c r="A257" s="199"/>
      <c r="B257" s="146"/>
      <c r="C257" s="200"/>
      <c r="D257" s="200"/>
      <c r="E257" s="200"/>
      <c r="F257" s="147"/>
      <c r="G257" s="186"/>
      <c r="H257" s="201"/>
      <c r="I257" s="201"/>
      <c r="J257" s="201"/>
      <c r="K257" s="201"/>
      <c r="L257" s="202"/>
      <c r="M257" s="202"/>
      <c r="N257" s="147"/>
      <c r="O257" s="147"/>
      <c r="P257" s="147"/>
      <c r="Q257" s="203"/>
      <c r="R257" s="186"/>
      <c r="S257" s="186"/>
      <c r="T257" s="147"/>
      <c r="U257" s="204"/>
    </row>
    <row r="258" ht="22.5" hidden="1" customHeight="1">
      <c r="A258" s="205"/>
      <c r="B258" s="82"/>
      <c r="C258" s="206"/>
      <c r="D258" s="206"/>
      <c r="E258" s="206"/>
      <c r="F258" s="150"/>
      <c r="G258" s="45"/>
      <c r="H258" s="207"/>
      <c r="I258" s="207"/>
      <c r="J258" s="207"/>
      <c r="K258" s="207"/>
      <c r="L258" s="208"/>
      <c r="M258" s="208"/>
      <c r="N258" s="150"/>
      <c r="O258" s="150"/>
      <c r="P258" s="150"/>
      <c r="Q258" s="209"/>
      <c r="R258" s="45"/>
      <c r="S258" s="45"/>
      <c r="T258" s="150"/>
      <c r="U258" s="198"/>
    </row>
    <row r="259" ht="22.5" hidden="1" customHeight="1">
      <c r="A259" s="211" t="s">
        <v>181</v>
      </c>
      <c r="B259" s="212" t="s">
        <v>132</v>
      </c>
      <c r="C259" s="212" t="s">
        <v>131</v>
      </c>
      <c r="D259" s="214" t="s">
        <v>870</v>
      </c>
      <c r="E259" s="212" t="s">
        <v>7</v>
      </c>
      <c r="F259" s="228" t="s">
        <v>871</v>
      </c>
      <c r="G259" s="212" t="s">
        <v>872</v>
      </c>
      <c r="H259" s="237" t="s">
        <v>8</v>
      </c>
      <c r="I259" s="237" t="s">
        <v>873</v>
      </c>
      <c r="J259" s="237" t="s">
        <v>17</v>
      </c>
      <c r="K259" s="237" t="s">
        <v>874</v>
      </c>
      <c r="L259" s="218" t="s">
        <v>875</v>
      </c>
      <c r="M259" s="218" t="s">
        <v>876</v>
      </c>
      <c r="N259" s="228" t="s">
        <v>877</v>
      </c>
      <c r="O259" s="228" t="s">
        <v>878</v>
      </c>
      <c r="P259" s="228" t="s">
        <v>879</v>
      </c>
      <c r="Q259" s="218" t="s">
        <v>880</v>
      </c>
      <c r="R259" s="218" t="s">
        <v>881</v>
      </c>
      <c r="S259" s="218" t="s">
        <v>882</v>
      </c>
      <c r="T259" s="228" t="s">
        <v>557</v>
      </c>
      <c r="U259" s="204"/>
    </row>
    <row r="260" ht="22.5" customHeight="1">
      <c r="A260" s="205"/>
      <c r="B260" s="193" t="s">
        <v>402</v>
      </c>
      <c r="C260" s="226" t="s">
        <v>136</v>
      </c>
      <c r="D260" s="194" t="s">
        <v>884</v>
      </c>
      <c r="E260" s="194" t="s">
        <v>15</v>
      </c>
      <c r="F260" s="220">
        <v>2.0</v>
      </c>
      <c r="G260" s="221"/>
      <c r="H260" s="222">
        <v>200.0</v>
      </c>
      <c r="I260" s="222">
        <v>400.0</v>
      </c>
      <c r="J260" s="222">
        <v>9111.9</v>
      </c>
      <c r="K260" s="222">
        <v>0.0</v>
      </c>
      <c r="L260" s="223">
        <v>46162.0</v>
      </c>
      <c r="M260" s="223">
        <v>46193.0</v>
      </c>
      <c r="N260" s="220">
        <v>1.0</v>
      </c>
      <c r="O260" s="220">
        <v>-338.0</v>
      </c>
      <c r="P260" s="220">
        <v>368.0</v>
      </c>
      <c r="Q260" s="238">
        <v>46171.0</v>
      </c>
      <c r="R260" s="196" t="s">
        <v>1253</v>
      </c>
      <c r="S260" s="227" t="s">
        <v>1254</v>
      </c>
      <c r="T260" s="220">
        <v>572.0</v>
      </c>
      <c r="U260" s="198"/>
    </row>
    <row r="261" ht="22.5" customHeight="1">
      <c r="A261" s="199"/>
      <c r="B261" s="212" t="s">
        <v>309</v>
      </c>
      <c r="C261" s="231" t="s">
        <v>684</v>
      </c>
      <c r="D261" s="214" t="s">
        <v>1160</v>
      </c>
      <c r="E261" s="212" t="s">
        <v>17</v>
      </c>
      <c r="F261" s="215">
        <v>3.0</v>
      </c>
      <c r="G261" s="210"/>
      <c r="H261" s="216">
        <v>3000.0</v>
      </c>
      <c r="I261" s="216">
        <v>9000.0</v>
      </c>
      <c r="J261" s="201"/>
      <c r="K261" s="201"/>
      <c r="L261" s="217">
        <v>46145.0</v>
      </c>
      <c r="M261" s="217">
        <v>46176.0</v>
      </c>
      <c r="N261" s="147"/>
      <c r="O261" s="215">
        <v>-355.0</v>
      </c>
      <c r="P261" s="215">
        <v>385.0</v>
      </c>
      <c r="Q261" s="203"/>
      <c r="R261" s="218" t="s">
        <v>1255</v>
      </c>
      <c r="S261" s="186"/>
      <c r="T261" s="215">
        <v>573.0</v>
      </c>
      <c r="U261" s="204"/>
    </row>
    <row r="262" ht="22.5" customHeight="1">
      <c r="A262" s="205"/>
      <c r="B262" s="193" t="s">
        <v>414</v>
      </c>
      <c r="C262" s="194" t="s">
        <v>1074</v>
      </c>
      <c r="D262" s="194" t="s">
        <v>888</v>
      </c>
      <c r="E262" s="194" t="s">
        <v>17</v>
      </c>
      <c r="F262" s="220">
        <v>1.0</v>
      </c>
      <c r="G262" s="230">
        <v>0.38</v>
      </c>
      <c r="H262" s="222">
        <v>4000.0</v>
      </c>
      <c r="I262" s="222">
        <v>2500.0</v>
      </c>
      <c r="J262" s="222">
        <v>2500.0</v>
      </c>
      <c r="K262" s="222">
        <v>0.0</v>
      </c>
      <c r="L262" s="223">
        <v>46143.0</v>
      </c>
      <c r="M262" s="223">
        <v>46174.0</v>
      </c>
      <c r="N262" s="220">
        <v>1.0</v>
      </c>
      <c r="O262" s="220">
        <v>-357.0</v>
      </c>
      <c r="P262" s="220">
        <v>387.0</v>
      </c>
      <c r="Q262" s="196" t="s">
        <v>1132</v>
      </c>
      <c r="R262" s="196" t="s">
        <v>1256</v>
      </c>
      <c r="S262" s="45"/>
      <c r="T262" s="220">
        <v>574.0</v>
      </c>
      <c r="U262" s="198"/>
    </row>
    <row r="263" ht="22.5" customHeight="1">
      <c r="A263" s="199"/>
      <c r="B263" s="212" t="s">
        <v>1164</v>
      </c>
      <c r="C263" s="229" t="s">
        <v>685</v>
      </c>
      <c r="D263" s="214" t="s">
        <v>1165</v>
      </c>
      <c r="E263" s="214" t="s">
        <v>19</v>
      </c>
      <c r="F263" s="228" t="s">
        <v>1166</v>
      </c>
      <c r="G263" s="210"/>
      <c r="H263" s="216">
        <v>15.0</v>
      </c>
      <c r="I263" s="216">
        <v>120.0</v>
      </c>
      <c r="J263" s="201"/>
      <c r="K263" s="201"/>
      <c r="L263" s="217">
        <v>46160.0</v>
      </c>
      <c r="M263" s="217">
        <v>46191.0</v>
      </c>
      <c r="N263" s="147"/>
      <c r="O263" s="215">
        <v>-340.0</v>
      </c>
      <c r="P263" s="215">
        <v>370.0</v>
      </c>
      <c r="Q263" s="203"/>
      <c r="R263" s="218" t="s">
        <v>1257</v>
      </c>
      <c r="S263" s="186"/>
      <c r="T263" s="215">
        <v>575.0</v>
      </c>
      <c r="U263" s="204"/>
    </row>
    <row r="264" ht="22.5" customHeight="1">
      <c r="A264" s="192" t="s">
        <v>1258</v>
      </c>
      <c r="B264" s="193" t="s">
        <v>301</v>
      </c>
      <c r="C264" s="226" t="s">
        <v>136</v>
      </c>
      <c r="D264" s="194" t="s">
        <v>1199</v>
      </c>
      <c r="E264" s="193" t="s">
        <v>17</v>
      </c>
      <c r="F264" s="220">
        <v>3.0</v>
      </c>
      <c r="G264" s="230">
        <v>0.15</v>
      </c>
      <c r="H264" s="197" t="s">
        <v>1200</v>
      </c>
      <c r="I264" s="222">
        <v>21000.0</v>
      </c>
      <c r="J264" s="222">
        <v>21000.0</v>
      </c>
      <c r="K264" s="222">
        <v>0.0</v>
      </c>
      <c r="L264" s="223">
        <v>46160.0</v>
      </c>
      <c r="M264" s="223">
        <v>46191.0</v>
      </c>
      <c r="N264" s="220">
        <v>1.0</v>
      </c>
      <c r="O264" s="220">
        <v>-340.0</v>
      </c>
      <c r="P264" s="220">
        <v>370.0</v>
      </c>
      <c r="Q264" s="209"/>
      <c r="R264" s="196" t="s">
        <v>1259</v>
      </c>
      <c r="S264" s="227" t="s">
        <v>1260</v>
      </c>
      <c r="T264" s="220">
        <v>576.0</v>
      </c>
      <c r="U264" s="198"/>
    </row>
    <row r="265" ht="22.5" customHeight="1">
      <c r="A265" s="199"/>
      <c r="B265" s="212" t="s">
        <v>147</v>
      </c>
      <c r="C265" s="214" t="s">
        <v>1130</v>
      </c>
      <c r="D265" s="214" t="s">
        <v>1261</v>
      </c>
      <c r="E265" s="212" t="s">
        <v>19</v>
      </c>
      <c r="F265" s="228" t="s">
        <v>1262</v>
      </c>
      <c r="G265" s="147"/>
      <c r="H265" s="216">
        <v>15.0</v>
      </c>
      <c r="I265" s="216">
        <v>60.0</v>
      </c>
      <c r="J265" s="216">
        <v>6749.72</v>
      </c>
      <c r="K265" s="216">
        <v>6749.72</v>
      </c>
      <c r="L265" s="217">
        <v>46143.0</v>
      </c>
      <c r="M265" s="217">
        <v>46174.0</v>
      </c>
      <c r="N265" s="215">
        <v>0.0</v>
      </c>
      <c r="O265" s="215">
        <v>-357.0</v>
      </c>
      <c r="P265" s="215">
        <v>387.0</v>
      </c>
      <c r="Q265" s="203"/>
      <c r="R265" s="218" t="s">
        <v>1263</v>
      </c>
      <c r="S265" s="225" t="s">
        <v>1264</v>
      </c>
      <c r="T265" s="215">
        <v>577.0</v>
      </c>
      <c r="U265" s="204"/>
    </row>
    <row r="266" ht="22.5" customHeight="1">
      <c r="A266" s="192" t="s">
        <v>1265</v>
      </c>
      <c r="B266" s="193" t="s">
        <v>433</v>
      </c>
      <c r="C266" s="226" t="s">
        <v>136</v>
      </c>
      <c r="D266" s="194" t="s">
        <v>1098</v>
      </c>
      <c r="E266" s="194" t="s">
        <v>41</v>
      </c>
      <c r="F266" s="195" t="s">
        <v>1099</v>
      </c>
      <c r="G266" s="221"/>
      <c r="H266" s="222">
        <v>40.0</v>
      </c>
      <c r="I266" s="222">
        <v>160.0</v>
      </c>
      <c r="J266" s="222">
        <v>3156.04</v>
      </c>
      <c r="K266" s="222">
        <v>3156.04</v>
      </c>
      <c r="L266" s="223">
        <v>46146.0</v>
      </c>
      <c r="M266" s="223">
        <v>46177.0</v>
      </c>
      <c r="N266" s="220">
        <v>0.0</v>
      </c>
      <c r="O266" s="220">
        <v>-354.0</v>
      </c>
      <c r="P266" s="220">
        <v>384.0</v>
      </c>
      <c r="Q266" s="209"/>
      <c r="R266" s="196" t="s">
        <v>1266</v>
      </c>
      <c r="S266" s="227" t="s">
        <v>1267</v>
      </c>
      <c r="T266" s="220">
        <v>578.0</v>
      </c>
      <c r="U266" s="198"/>
    </row>
    <row r="267" ht="22.5" customHeight="1">
      <c r="A267" s="199"/>
      <c r="B267" s="212" t="s">
        <v>330</v>
      </c>
      <c r="C267" s="213" t="s">
        <v>136</v>
      </c>
      <c r="D267" s="214" t="s">
        <v>1207</v>
      </c>
      <c r="E267" s="212" t="s">
        <v>17</v>
      </c>
      <c r="F267" s="215">
        <v>4.0</v>
      </c>
      <c r="G267" s="210"/>
      <c r="H267" s="237" t="s">
        <v>1200</v>
      </c>
      <c r="I267" s="216">
        <v>27000.0</v>
      </c>
      <c r="J267" s="216">
        <v>27000.0</v>
      </c>
      <c r="K267" s="216">
        <v>0.0</v>
      </c>
      <c r="L267" s="217">
        <v>46151.0</v>
      </c>
      <c r="M267" s="217">
        <v>46182.0</v>
      </c>
      <c r="N267" s="215">
        <v>1.0</v>
      </c>
      <c r="O267" s="215">
        <v>-349.0</v>
      </c>
      <c r="P267" s="215">
        <v>379.0</v>
      </c>
      <c r="Q267" s="232">
        <v>46176.0</v>
      </c>
      <c r="R267" s="218" t="s">
        <v>1268</v>
      </c>
      <c r="S267" s="225" t="s">
        <v>1269</v>
      </c>
      <c r="T267" s="215">
        <v>579.0</v>
      </c>
      <c r="U267" s="204"/>
    </row>
    <row r="268" ht="22.5" customHeight="1">
      <c r="A268" s="205"/>
      <c r="B268" s="193" t="s">
        <v>152</v>
      </c>
      <c r="C268" s="226" t="s">
        <v>136</v>
      </c>
      <c r="D268" s="194" t="s">
        <v>1209</v>
      </c>
      <c r="E268" s="193" t="s">
        <v>19</v>
      </c>
      <c r="F268" s="195" t="s">
        <v>909</v>
      </c>
      <c r="G268" s="221"/>
      <c r="H268" s="222">
        <v>10.0</v>
      </c>
      <c r="I268" s="222">
        <v>180.0</v>
      </c>
      <c r="J268" s="222">
        <v>20459.12</v>
      </c>
      <c r="K268" s="222">
        <v>0.0</v>
      </c>
      <c r="L268" s="223">
        <v>46158.0</v>
      </c>
      <c r="M268" s="223">
        <v>46189.0</v>
      </c>
      <c r="N268" s="220">
        <v>1.0</v>
      </c>
      <c r="O268" s="220">
        <v>-342.0</v>
      </c>
      <c r="P268" s="220">
        <v>372.0</v>
      </c>
      <c r="Q268" s="238">
        <v>46222.0</v>
      </c>
      <c r="R268" s="196" t="s">
        <v>1270</v>
      </c>
      <c r="S268" s="227" t="s">
        <v>1271</v>
      </c>
      <c r="T268" s="220">
        <v>580.0</v>
      </c>
      <c r="U268" s="198"/>
    </row>
    <row r="269" ht="22.5" customHeight="1">
      <c r="A269" s="199"/>
      <c r="B269" s="212" t="s">
        <v>438</v>
      </c>
      <c r="C269" s="213" t="s">
        <v>136</v>
      </c>
      <c r="D269" s="214" t="s">
        <v>906</v>
      </c>
      <c r="E269" s="214" t="s">
        <v>17</v>
      </c>
      <c r="F269" s="215">
        <v>3.0</v>
      </c>
      <c r="G269" s="224">
        <v>0.25</v>
      </c>
      <c r="H269" s="216">
        <v>8000.0</v>
      </c>
      <c r="I269" s="216">
        <v>18000.0</v>
      </c>
      <c r="J269" s="216">
        <v>18000.0</v>
      </c>
      <c r="K269" s="216">
        <v>0.0</v>
      </c>
      <c r="L269" s="217">
        <v>46167.0</v>
      </c>
      <c r="M269" s="217">
        <v>46198.0</v>
      </c>
      <c r="N269" s="215">
        <v>1.0</v>
      </c>
      <c r="O269" s="215">
        <v>-333.0</v>
      </c>
      <c r="P269" s="215">
        <v>363.0</v>
      </c>
      <c r="Q269" s="232">
        <v>46170.0</v>
      </c>
      <c r="R269" s="218" t="s">
        <v>1272</v>
      </c>
      <c r="S269" s="225" t="s">
        <v>1273</v>
      </c>
      <c r="T269" s="215">
        <v>581.0</v>
      </c>
      <c r="U269" s="204"/>
    </row>
    <row r="270" ht="22.5" customHeight="1">
      <c r="A270" s="205"/>
      <c r="B270" s="193" t="s">
        <v>440</v>
      </c>
      <c r="C270" s="226" t="s">
        <v>136</v>
      </c>
      <c r="D270" s="194" t="s">
        <v>908</v>
      </c>
      <c r="E270" s="194" t="s">
        <v>19</v>
      </c>
      <c r="F270" s="195" t="s">
        <v>1145</v>
      </c>
      <c r="G270" s="221"/>
      <c r="H270" s="222">
        <v>15.0</v>
      </c>
      <c r="I270" s="222">
        <v>180.0</v>
      </c>
      <c r="J270" s="222">
        <v>20696.29</v>
      </c>
      <c r="K270" s="222">
        <v>0.0</v>
      </c>
      <c r="L270" s="223">
        <v>46170.0</v>
      </c>
      <c r="M270" s="223">
        <v>46201.0</v>
      </c>
      <c r="N270" s="220">
        <v>1.0</v>
      </c>
      <c r="O270" s="220">
        <v>-330.0</v>
      </c>
      <c r="P270" s="220">
        <v>360.0</v>
      </c>
      <c r="Q270" s="238">
        <v>46170.0</v>
      </c>
      <c r="R270" s="196" t="s">
        <v>1274</v>
      </c>
      <c r="S270" s="227" t="s">
        <v>1275</v>
      </c>
      <c r="T270" s="220">
        <v>582.0</v>
      </c>
      <c r="U270" s="198"/>
    </row>
    <row r="271" ht="22.5" customHeight="1">
      <c r="A271" s="199"/>
      <c r="B271" s="212" t="s">
        <v>151</v>
      </c>
      <c r="C271" s="214" t="s">
        <v>1276</v>
      </c>
      <c r="D271" s="214" t="s">
        <v>1216</v>
      </c>
      <c r="E271" s="214" t="s">
        <v>15</v>
      </c>
      <c r="F271" s="215">
        <v>1.0</v>
      </c>
      <c r="G271" s="210"/>
      <c r="H271" s="216">
        <v>250.0</v>
      </c>
      <c r="I271" s="216">
        <v>250.0</v>
      </c>
      <c r="J271" s="201"/>
      <c r="K271" s="201"/>
      <c r="L271" s="217">
        <v>46167.0</v>
      </c>
      <c r="M271" s="217">
        <v>46198.0</v>
      </c>
      <c r="N271" s="147"/>
      <c r="O271" s="215">
        <v>-333.0</v>
      </c>
      <c r="P271" s="215">
        <v>363.0</v>
      </c>
      <c r="Q271" s="203"/>
      <c r="R271" s="218" t="s">
        <v>1277</v>
      </c>
      <c r="S271" s="186"/>
      <c r="T271" s="215">
        <v>583.0</v>
      </c>
      <c r="U271" s="204"/>
    </row>
    <row r="272" ht="22.5" customHeight="1">
      <c r="A272" s="205"/>
      <c r="B272" s="193" t="s">
        <v>184</v>
      </c>
      <c r="C272" s="194" t="s">
        <v>695</v>
      </c>
      <c r="D272" s="206"/>
      <c r="E272" s="206"/>
      <c r="F272" s="150"/>
      <c r="G272" s="221"/>
      <c r="H272" s="207"/>
      <c r="I272" s="207"/>
      <c r="J272" s="207"/>
      <c r="K272" s="207"/>
      <c r="L272" s="208"/>
      <c r="M272" s="208"/>
      <c r="N272" s="150"/>
      <c r="O272" s="150"/>
      <c r="P272" s="150"/>
      <c r="Q272" s="209"/>
      <c r="R272" s="45"/>
      <c r="S272" s="45"/>
      <c r="T272" s="150"/>
      <c r="U272" s="198"/>
    </row>
    <row r="273" ht="22.5" customHeight="1">
      <c r="A273" s="199"/>
      <c r="B273" s="212" t="s">
        <v>915</v>
      </c>
      <c r="C273" s="214" t="s">
        <v>695</v>
      </c>
      <c r="D273" s="200"/>
      <c r="E273" s="200"/>
      <c r="F273" s="147"/>
      <c r="G273" s="210"/>
      <c r="H273" s="201"/>
      <c r="I273" s="201"/>
      <c r="J273" s="201"/>
      <c r="K273" s="201"/>
      <c r="L273" s="202"/>
      <c r="M273" s="202"/>
      <c r="N273" s="147"/>
      <c r="O273" s="147"/>
      <c r="P273" s="147"/>
      <c r="Q273" s="203"/>
      <c r="R273" s="186"/>
      <c r="S273" s="186"/>
      <c r="T273" s="147"/>
      <c r="U273" s="204"/>
    </row>
    <row r="274" ht="22.5" hidden="1" customHeight="1">
      <c r="A274" s="205"/>
      <c r="B274" s="193" t="s">
        <v>923</v>
      </c>
      <c r="C274" s="233" t="s">
        <v>575</v>
      </c>
      <c r="D274" s="234"/>
      <c r="E274" s="209"/>
      <c r="F274" s="150"/>
      <c r="G274" s="45"/>
      <c r="H274" s="207"/>
      <c r="I274" s="197" t="s">
        <v>924</v>
      </c>
      <c r="J274" s="222">
        <v>128673.07</v>
      </c>
      <c r="K274" s="222">
        <v>9905.75</v>
      </c>
      <c r="L274" s="208"/>
      <c r="M274" s="208"/>
      <c r="N274" s="150"/>
      <c r="O274" s="150"/>
      <c r="P274" s="150"/>
      <c r="Q274" s="209"/>
      <c r="R274" s="45"/>
      <c r="S274" s="45"/>
      <c r="T274" s="150"/>
      <c r="U274" s="198"/>
    </row>
    <row r="275" ht="22.5" hidden="1" customHeight="1">
      <c r="A275" s="199"/>
      <c r="B275" s="212" t="s">
        <v>558</v>
      </c>
      <c r="C275" s="235" t="s">
        <v>626</v>
      </c>
      <c r="D275" s="236"/>
      <c r="E275" s="236"/>
      <c r="F275" s="147"/>
      <c r="G275" s="236"/>
      <c r="H275" s="201"/>
      <c r="I275" s="237" t="s">
        <v>925</v>
      </c>
      <c r="J275" s="216">
        <v>118869.06</v>
      </c>
      <c r="K275" s="201"/>
      <c r="L275" s="202"/>
      <c r="M275" s="218" t="s">
        <v>926</v>
      </c>
      <c r="N275" s="147"/>
      <c r="O275" s="147"/>
      <c r="P275" s="147"/>
      <c r="Q275" s="203"/>
      <c r="R275" s="236"/>
      <c r="S275" s="236"/>
      <c r="T275" s="215">
        <v>583.0</v>
      </c>
      <c r="U275" s="204"/>
    </row>
    <row r="276" ht="22.5" hidden="1" customHeight="1">
      <c r="A276" s="205"/>
      <c r="B276" s="193" t="s">
        <v>696</v>
      </c>
      <c r="C276" s="238" t="s">
        <v>1278</v>
      </c>
      <c r="D276" s="234"/>
      <c r="E276" s="234"/>
      <c r="F276" s="150"/>
      <c r="G276" s="234"/>
      <c r="H276" s="207"/>
      <c r="I276" s="197" t="s">
        <v>928</v>
      </c>
      <c r="J276" s="222">
        <v>640181.78</v>
      </c>
      <c r="K276" s="207"/>
      <c r="L276" s="208"/>
      <c r="M276" s="208"/>
      <c r="N276" s="150"/>
      <c r="O276" s="150"/>
      <c r="P276" s="150"/>
      <c r="Q276" s="209"/>
      <c r="R276" s="234"/>
      <c r="S276" s="234"/>
      <c r="T276" s="150"/>
      <c r="U276" s="198"/>
    </row>
    <row r="277" ht="22.5" hidden="1" customHeight="1">
      <c r="A277" s="199"/>
      <c r="B277" s="146"/>
      <c r="C277" s="200"/>
      <c r="D277" s="200"/>
      <c r="E277" s="200"/>
      <c r="F277" s="147"/>
      <c r="G277" s="186"/>
      <c r="H277" s="201"/>
      <c r="I277" s="201"/>
      <c r="J277" s="201"/>
      <c r="K277" s="201"/>
      <c r="L277" s="202"/>
      <c r="M277" s="202"/>
      <c r="N277" s="147"/>
      <c r="O277" s="147"/>
      <c r="P277" s="147"/>
      <c r="Q277" s="203"/>
      <c r="R277" s="186"/>
      <c r="S277" s="186"/>
      <c r="T277" s="147"/>
      <c r="U277" s="204"/>
    </row>
    <row r="278" ht="22.5" hidden="1" customHeight="1">
      <c r="A278" s="205"/>
      <c r="B278" s="82"/>
      <c r="C278" s="206"/>
      <c r="D278" s="206"/>
      <c r="E278" s="206"/>
      <c r="F278" s="150"/>
      <c r="G278" s="45"/>
      <c r="H278" s="207"/>
      <c r="I278" s="207"/>
      <c r="J278" s="207"/>
      <c r="K278" s="207"/>
      <c r="L278" s="208"/>
      <c r="M278" s="208"/>
      <c r="N278" s="150"/>
      <c r="O278" s="150"/>
      <c r="P278" s="150"/>
      <c r="Q278" s="209"/>
      <c r="R278" s="45"/>
      <c r="S278" s="45"/>
      <c r="T278" s="150"/>
      <c r="U278" s="198"/>
    </row>
    <row r="279" ht="22.5" hidden="1" customHeight="1">
      <c r="A279" s="199"/>
      <c r="B279" s="146"/>
      <c r="C279" s="200"/>
      <c r="D279" s="200"/>
      <c r="E279" s="200"/>
      <c r="F279" s="147"/>
      <c r="G279" s="186"/>
      <c r="H279" s="201"/>
      <c r="I279" s="201"/>
      <c r="J279" s="201"/>
      <c r="K279" s="201"/>
      <c r="L279" s="202"/>
      <c r="M279" s="202"/>
      <c r="N279" s="147"/>
      <c r="O279" s="147"/>
      <c r="P279" s="147"/>
      <c r="Q279" s="203"/>
      <c r="R279" s="186"/>
      <c r="S279" s="186"/>
      <c r="T279" s="147"/>
      <c r="U279" s="204"/>
    </row>
    <row r="280" ht="22.5" hidden="1" customHeight="1">
      <c r="A280" s="205"/>
      <c r="B280" s="82"/>
      <c r="C280" s="206"/>
      <c r="D280" s="206"/>
      <c r="E280" s="206"/>
      <c r="F280" s="150"/>
      <c r="G280" s="45"/>
      <c r="H280" s="207"/>
      <c r="I280" s="207"/>
      <c r="J280" s="207"/>
      <c r="K280" s="207"/>
      <c r="L280" s="208"/>
      <c r="M280" s="208"/>
      <c r="N280" s="150"/>
      <c r="O280" s="150"/>
      <c r="P280" s="150"/>
      <c r="Q280" s="209"/>
      <c r="R280" s="45"/>
      <c r="S280" s="45"/>
      <c r="T280" s="150"/>
      <c r="U280" s="198"/>
    </row>
    <row r="281" ht="22.5" hidden="1" customHeight="1">
      <c r="A281" s="211" t="s">
        <v>181</v>
      </c>
      <c r="B281" s="212" t="s">
        <v>132</v>
      </c>
      <c r="C281" s="212" t="s">
        <v>131</v>
      </c>
      <c r="D281" s="214" t="s">
        <v>870</v>
      </c>
      <c r="E281" s="212" t="s">
        <v>7</v>
      </c>
      <c r="F281" s="228" t="s">
        <v>871</v>
      </c>
      <c r="G281" s="212" t="s">
        <v>872</v>
      </c>
      <c r="H281" s="237" t="s">
        <v>8</v>
      </c>
      <c r="I281" s="237" t="s">
        <v>873</v>
      </c>
      <c r="J281" s="237" t="s">
        <v>17</v>
      </c>
      <c r="K281" s="237" t="s">
        <v>874</v>
      </c>
      <c r="L281" s="218" t="s">
        <v>875</v>
      </c>
      <c r="M281" s="218" t="s">
        <v>876</v>
      </c>
      <c r="N281" s="228" t="s">
        <v>877</v>
      </c>
      <c r="O281" s="228" t="s">
        <v>878</v>
      </c>
      <c r="P281" s="228" t="s">
        <v>879</v>
      </c>
      <c r="Q281" s="218" t="s">
        <v>880</v>
      </c>
      <c r="R281" s="218" t="s">
        <v>881</v>
      </c>
      <c r="S281" s="218" t="s">
        <v>882</v>
      </c>
      <c r="T281" s="228" t="s">
        <v>557</v>
      </c>
      <c r="U281" s="204"/>
    </row>
    <row r="282" ht="22.5" customHeight="1">
      <c r="A282" s="192" t="s">
        <v>1279</v>
      </c>
      <c r="B282" s="193" t="s">
        <v>359</v>
      </c>
      <c r="C282" s="219" t="s">
        <v>684</v>
      </c>
      <c r="D282" s="194" t="s">
        <v>1280</v>
      </c>
      <c r="E282" s="193" t="s">
        <v>15</v>
      </c>
      <c r="F282" s="220">
        <v>5.0</v>
      </c>
      <c r="G282" s="230">
        <v>0.34</v>
      </c>
      <c r="H282" s="222">
        <v>100.0</v>
      </c>
      <c r="I282" s="222">
        <v>500.0</v>
      </c>
      <c r="J282" s="207"/>
      <c r="K282" s="207"/>
      <c r="L282" s="223">
        <v>46116.0</v>
      </c>
      <c r="M282" s="223">
        <v>46146.0</v>
      </c>
      <c r="N282" s="150"/>
      <c r="O282" s="220">
        <v>-385.0</v>
      </c>
      <c r="P282" s="220">
        <v>415.0</v>
      </c>
      <c r="Q282" s="209"/>
      <c r="R282" s="196" t="s">
        <v>1281</v>
      </c>
      <c r="S282" s="45"/>
      <c r="T282" s="220">
        <v>550.0</v>
      </c>
      <c r="U282" s="198"/>
    </row>
    <row r="283" ht="22.5" customHeight="1">
      <c r="A283" s="211" t="s">
        <v>1282</v>
      </c>
      <c r="B283" s="212" t="s">
        <v>328</v>
      </c>
      <c r="C283" s="231" t="s">
        <v>684</v>
      </c>
      <c r="D283" s="214" t="s">
        <v>1283</v>
      </c>
      <c r="E283" s="212" t="s">
        <v>19</v>
      </c>
      <c r="F283" s="228" t="s">
        <v>892</v>
      </c>
      <c r="G283" s="210"/>
      <c r="H283" s="216">
        <v>12.0</v>
      </c>
      <c r="I283" s="216">
        <v>48.0</v>
      </c>
      <c r="J283" s="201"/>
      <c r="K283" s="201"/>
      <c r="L283" s="217">
        <v>46117.0</v>
      </c>
      <c r="M283" s="217">
        <v>46147.0</v>
      </c>
      <c r="N283" s="147"/>
      <c r="O283" s="215">
        <v>-384.0</v>
      </c>
      <c r="P283" s="215">
        <v>414.0</v>
      </c>
      <c r="Q283" s="203"/>
      <c r="R283" s="218" t="s">
        <v>1284</v>
      </c>
      <c r="S283" s="186"/>
      <c r="T283" s="215">
        <v>551.0</v>
      </c>
      <c r="U283" s="204"/>
    </row>
    <row r="284" ht="22.5" customHeight="1">
      <c r="A284" s="192" t="s">
        <v>1282</v>
      </c>
      <c r="B284" s="193" t="s">
        <v>211</v>
      </c>
      <c r="C284" s="219" t="s">
        <v>684</v>
      </c>
      <c r="D284" s="194" t="s">
        <v>1285</v>
      </c>
      <c r="E284" s="193" t="s">
        <v>15</v>
      </c>
      <c r="F284" s="220">
        <v>0.0</v>
      </c>
      <c r="G284" s="221"/>
      <c r="H284" s="222">
        <v>150.0</v>
      </c>
      <c r="I284" s="222">
        <v>0.0</v>
      </c>
      <c r="J284" s="207"/>
      <c r="K284" s="207"/>
      <c r="L284" s="223">
        <v>46114.0</v>
      </c>
      <c r="M284" s="223">
        <v>46144.0</v>
      </c>
      <c r="N284" s="150"/>
      <c r="O284" s="220">
        <v>-387.0</v>
      </c>
      <c r="P284" s="220">
        <v>417.0</v>
      </c>
      <c r="Q284" s="209"/>
      <c r="R284" s="196" t="s">
        <v>1286</v>
      </c>
      <c r="S284" s="45"/>
      <c r="T284" s="220">
        <v>552.0</v>
      </c>
      <c r="U284" s="198"/>
    </row>
    <row r="285" ht="22.5" customHeight="1">
      <c r="A285" s="211" t="s">
        <v>1282</v>
      </c>
      <c r="B285" s="212" t="s">
        <v>309</v>
      </c>
      <c r="C285" s="231" t="s">
        <v>684</v>
      </c>
      <c r="D285" s="214" t="s">
        <v>1287</v>
      </c>
      <c r="E285" s="212" t="s">
        <v>17</v>
      </c>
      <c r="F285" s="215">
        <v>5.0</v>
      </c>
      <c r="G285" s="224">
        <v>0.15</v>
      </c>
      <c r="H285" s="216">
        <v>6000.0</v>
      </c>
      <c r="I285" s="216">
        <v>25500.0</v>
      </c>
      <c r="J285" s="201"/>
      <c r="K285" s="201"/>
      <c r="L285" s="217">
        <v>46115.0</v>
      </c>
      <c r="M285" s="217">
        <v>46145.0</v>
      </c>
      <c r="N285" s="147"/>
      <c r="O285" s="215">
        <v>-386.0</v>
      </c>
      <c r="P285" s="215">
        <v>416.0</v>
      </c>
      <c r="Q285" s="203"/>
      <c r="R285" s="218" t="s">
        <v>1288</v>
      </c>
      <c r="S285" s="186"/>
      <c r="T285" s="215">
        <v>553.0</v>
      </c>
      <c r="U285" s="204"/>
    </row>
    <row r="286" ht="22.5" customHeight="1">
      <c r="A286" s="205"/>
      <c r="B286" s="193" t="s">
        <v>301</v>
      </c>
      <c r="C286" s="194" t="s">
        <v>1289</v>
      </c>
      <c r="D286" s="194" t="s">
        <v>1199</v>
      </c>
      <c r="E286" s="193" t="s">
        <v>17</v>
      </c>
      <c r="F286" s="220">
        <v>3.0</v>
      </c>
      <c r="G286" s="230">
        <v>0.15</v>
      </c>
      <c r="H286" s="197" t="s">
        <v>1200</v>
      </c>
      <c r="I286" s="222">
        <v>21000.0</v>
      </c>
      <c r="J286" s="222">
        <v>21000.0</v>
      </c>
      <c r="K286" s="222">
        <v>0.0</v>
      </c>
      <c r="L286" s="223">
        <v>46130.0</v>
      </c>
      <c r="M286" s="223">
        <v>46160.0</v>
      </c>
      <c r="N286" s="220">
        <v>1.0</v>
      </c>
      <c r="O286" s="220">
        <v>-371.0</v>
      </c>
      <c r="P286" s="220">
        <v>401.0</v>
      </c>
      <c r="Q286" s="238">
        <v>46149.0</v>
      </c>
      <c r="R286" s="196" t="s">
        <v>1290</v>
      </c>
      <c r="S286" s="227" t="s">
        <v>1291</v>
      </c>
      <c r="T286" s="220">
        <v>554.0</v>
      </c>
      <c r="U286" s="198"/>
    </row>
    <row r="287" ht="22.5" customHeight="1">
      <c r="A287" s="199"/>
      <c r="B287" s="212" t="s">
        <v>147</v>
      </c>
      <c r="C287" s="214" t="s">
        <v>1130</v>
      </c>
      <c r="D287" s="214" t="s">
        <v>1261</v>
      </c>
      <c r="E287" s="212" t="s">
        <v>19</v>
      </c>
      <c r="F287" s="244">
        <v>46179.0</v>
      </c>
      <c r="G287" s="147"/>
      <c r="H287" s="216">
        <v>15.0</v>
      </c>
      <c r="I287" s="216">
        <v>180.0</v>
      </c>
      <c r="J287" s="216">
        <v>19912.54</v>
      </c>
      <c r="K287" s="216">
        <v>0.0</v>
      </c>
      <c r="L287" s="217">
        <v>46113.0</v>
      </c>
      <c r="M287" s="217">
        <v>46143.0</v>
      </c>
      <c r="N287" s="215">
        <v>1.0</v>
      </c>
      <c r="O287" s="215">
        <v>-388.0</v>
      </c>
      <c r="P287" s="215">
        <v>418.0</v>
      </c>
      <c r="Q287" s="232">
        <v>46144.0</v>
      </c>
      <c r="R287" s="218" t="s">
        <v>1292</v>
      </c>
      <c r="S287" s="225" t="s">
        <v>1293</v>
      </c>
      <c r="T287" s="215">
        <v>555.0</v>
      </c>
      <c r="U287" s="204"/>
    </row>
    <row r="288" ht="22.5" customHeight="1">
      <c r="A288" s="205"/>
      <c r="B288" s="193" t="s">
        <v>349</v>
      </c>
      <c r="C288" s="219" t="s">
        <v>684</v>
      </c>
      <c r="D288" s="194" t="s">
        <v>1294</v>
      </c>
      <c r="E288" s="193" t="s">
        <v>100</v>
      </c>
      <c r="F288" s="220">
        <v>0.0</v>
      </c>
      <c r="G288" s="221"/>
      <c r="H288" s="222">
        <v>12.0</v>
      </c>
      <c r="I288" s="222">
        <v>0.0</v>
      </c>
      <c r="J288" s="207"/>
      <c r="K288" s="207"/>
      <c r="L288" s="223">
        <v>46114.0</v>
      </c>
      <c r="M288" s="223">
        <v>46144.0</v>
      </c>
      <c r="N288" s="150"/>
      <c r="O288" s="220">
        <v>-387.0</v>
      </c>
      <c r="P288" s="220">
        <v>417.0</v>
      </c>
      <c r="Q288" s="209"/>
      <c r="R288" s="196" t="s">
        <v>1295</v>
      </c>
      <c r="S288" s="227" t="s">
        <v>1296</v>
      </c>
      <c r="T288" s="220">
        <v>556.0</v>
      </c>
      <c r="U288" s="198"/>
    </row>
    <row r="289" ht="22.5" customHeight="1">
      <c r="A289" s="199"/>
      <c r="B289" s="212" t="s">
        <v>330</v>
      </c>
      <c r="C289" s="213" t="s">
        <v>136</v>
      </c>
      <c r="D289" s="214" t="s">
        <v>1207</v>
      </c>
      <c r="E289" s="212" t="s">
        <v>17</v>
      </c>
      <c r="F289" s="215">
        <v>4.0</v>
      </c>
      <c r="G289" s="210"/>
      <c r="H289" s="237" t="s">
        <v>1200</v>
      </c>
      <c r="I289" s="216">
        <v>27000.0</v>
      </c>
      <c r="J289" s="216">
        <v>27000.0</v>
      </c>
      <c r="K289" s="216">
        <v>0.0</v>
      </c>
      <c r="L289" s="217">
        <v>46121.0</v>
      </c>
      <c r="M289" s="217">
        <v>46151.0</v>
      </c>
      <c r="N289" s="215">
        <v>1.0</v>
      </c>
      <c r="O289" s="215">
        <v>-380.0</v>
      </c>
      <c r="P289" s="215">
        <v>410.0</v>
      </c>
      <c r="Q289" s="232">
        <v>46142.0</v>
      </c>
      <c r="R289" s="218" t="s">
        <v>1297</v>
      </c>
      <c r="S289" s="225" t="s">
        <v>1298</v>
      </c>
      <c r="T289" s="215">
        <v>557.0</v>
      </c>
      <c r="U289" s="204"/>
    </row>
    <row r="290" ht="22.5" customHeight="1">
      <c r="A290" s="205"/>
      <c r="B290" s="193" t="s">
        <v>153</v>
      </c>
      <c r="C290" s="219" t="s">
        <v>684</v>
      </c>
      <c r="D290" s="194" t="s">
        <v>1299</v>
      </c>
      <c r="E290" s="193" t="s">
        <v>108</v>
      </c>
      <c r="F290" s="220">
        <v>0.0</v>
      </c>
      <c r="G290" s="221"/>
      <c r="H290" s="222">
        <v>25.0</v>
      </c>
      <c r="I290" s="222">
        <v>0.0</v>
      </c>
      <c r="J290" s="207"/>
      <c r="K290" s="207"/>
      <c r="L290" s="223">
        <v>46120.0</v>
      </c>
      <c r="M290" s="223">
        <v>46150.0</v>
      </c>
      <c r="N290" s="150"/>
      <c r="O290" s="220">
        <v>-381.0</v>
      </c>
      <c r="P290" s="220">
        <v>411.0</v>
      </c>
      <c r="Q290" s="209"/>
      <c r="R290" s="196" t="s">
        <v>1300</v>
      </c>
      <c r="S290" s="227" t="s">
        <v>1301</v>
      </c>
      <c r="T290" s="220">
        <v>558.0</v>
      </c>
      <c r="U290" s="198"/>
    </row>
    <row r="291" ht="22.5" customHeight="1">
      <c r="A291" s="211" t="s">
        <v>1302</v>
      </c>
      <c r="B291" s="212" t="s">
        <v>363</v>
      </c>
      <c r="C291" s="229" t="s">
        <v>685</v>
      </c>
      <c r="D291" s="214" t="s">
        <v>1303</v>
      </c>
      <c r="E291" s="212" t="s">
        <v>19</v>
      </c>
      <c r="F291" s="215">
        <v>1.0</v>
      </c>
      <c r="G291" s="210"/>
      <c r="H291" s="216">
        <v>10.0</v>
      </c>
      <c r="I291" s="216">
        <v>10.0</v>
      </c>
      <c r="J291" s="216">
        <v>1130.97</v>
      </c>
      <c r="K291" s="216">
        <v>1130.97</v>
      </c>
      <c r="L291" s="217">
        <v>46134.0</v>
      </c>
      <c r="M291" s="217">
        <v>46164.0</v>
      </c>
      <c r="N291" s="215">
        <v>0.0</v>
      </c>
      <c r="O291" s="215">
        <v>-367.0</v>
      </c>
      <c r="P291" s="215">
        <v>397.0</v>
      </c>
      <c r="Q291" s="203"/>
      <c r="R291" s="218" t="s">
        <v>1304</v>
      </c>
      <c r="S291" s="186"/>
      <c r="T291" s="215">
        <v>559.0</v>
      </c>
      <c r="U291" s="204"/>
    </row>
    <row r="292" ht="22.5" customHeight="1">
      <c r="A292" s="205"/>
      <c r="B292" s="193" t="s">
        <v>365</v>
      </c>
      <c r="C292" s="194" t="s">
        <v>1305</v>
      </c>
      <c r="D292" s="194" t="s">
        <v>56</v>
      </c>
      <c r="E292" s="193" t="s">
        <v>19</v>
      </c>
      <c r="F292" s="220">
        <v>1.0</v>
      </c>
      <c r="G292" s="221"/>
      <c r="H292" s="222">
        <v>75.0</v>
      </c>
      <c r="I292" s="222">
        <v>75.0</v>
      </c>
      <c r="J292" s="207"/>
      <c r="K292" s="207"/>
      <c r="L292" s="223">
        <v>46122.0</v>
      </c>
      <c r="M292" s="223">
        <v>46152.0</v>
      </c>
      <c r="N292" s="150"/>
      <c r="O292" s="220">
        <v>-379.0</v>
      </c>
      <c r="P292" s="220">
        <v>409.0</v>
      </c>
      <c r="Q292" s="209"/>
      <c r="R292" s="196" t="s">
        <v>1306</v>
      </c>
      <c r="S292" s="227" t="s">
        <v>1307</v>
      </c>
      <c r="T292" s="220">
        <v>560.0</v>
      </c>
      <c r="U292" s="198"/>
    </row>
    <row r="293" ht="22.5" customHeight="1">
      <c r="A293" s="199"/>
      <c r="B293" s="212" t="s">
        <v>1308</v>
      </c>
      <c r="C293" s="229" t="s">
        <v>685</v>
      </c>
      <c r="D293" s="214" t="s">
        <v>1309</v>
      </c>
      <c r="E293" s="245" t="s">
        <v>1310</v>
      </c>
      <c r="F293" s="228" t="s">
        <v>1311</v>
      </c>
      <c r="G293" s="210"/>
      <c r="H293" s="216">
        <v>15.0</v>
      </c>
      <c r="I293" s="216">
        <v>45.0</v>
      </c>
      <c r="J293" s="201"/>
      <c r="K293" s="201"/>
      <c r="L293" s="217">
        <v>46115.0</v>
      </c>
      <c r="M293" s="217">
        <v>46145.0</v>
      </c>
      <c r="N293" s="147"/>
      <c r="O293" s="215">
        <v>-386.0</v>
      </c>
      <c r="P293" s="215">
        <v>416.0</v>
      </c>
      <c r="Q293" s="203"/>
      <c r="R293" s="243" t="e">
        <v>#N/A</v>
      </c>
      <c r="S293" s="225" t="s">
        <v>1312</v>
      </c>
      <c r="T293" s="215">
        <v>561.0</v>
      </c>
      <c r="U293" s="204"/>
    </row>
    <row r="294" ht="22.5" customHeight="1">
      <c r="A294" s="205"/>
      <c r="B294" s="193" t="s">
        <v>148</v>
      </c>
      <c r="C294" s="219" t="s">
        <v>684</v>
      </c>
      <c r="D294" s="194" t="s">
        <v>1309</v>
      </c>
      <c r="E294" s="193" t="s">
        <v>19</v>
      </c>
      <c r="F294" s="220">
        <v>0.0</v>
      </c>
      <c r="G294" s="221"/>
      <c r="H294" s="222">
        <v>15.0</v>
      </c>
      <c r="I294" s="222">
        <v>0.0</v>
      </c>
      <c r="J294" s="207"/>
      <c r="K294" s="207"/>
      <c r="L294" s="223">
        <v>46137.0</v>
      </c>
      <c r="M294" s="223">
        <v>46167.0</v>
      </c>
      <c r="N294" s="150"/>
      <c r="O294" s="220">
        <v>-364.0</v>
      </c>
      <c r="P294" s="220">
        <v>394.0</v>
      </c>
      <c r="Q294" s="209"/>
      <c r="R294" s="196" t="s">
        <v>1313</v>
      </c>
      <c r="S294" s="45"/>
      <c r="T294" s="220">
        <v>562.0</v>
      </c>
      <c r="U294" s="198"/>
    </row>
    <row r="295" ht="22.5" customHeight="1">
      <c r="A295" s="211" t="s">
        <v>1314</v>
      </c>
      <c r="B295" s="212" t="s">
        <v>393</v>
      </c>
      <c r="C295" s="229" t="s">
        <v>685</v>
      </c>
      <c r="D295" s="214" t="s">
        <v>77</v>
      </c>
      <c r="E295" s="212" t="s">
        <v>19</v>
      </c>
      <c r="F295" s="215">
        <v>1.0</v>
      </c>
      <c r="G295" s="210"/>
      <c r="H295" s="216">
        <v>15.0</v>
      </c>
      <c r="I295" s="216">
        <v>15.0</v>
      </c>
      <c r="J295" s="201"/>
      <c r="K295" s="201"/>
      <c r="L295" s="202"/>
      <c r="M295" s="202"/>
      <c r="N295" s="147"/>
      <c r="O295" s="147"/>
      <c r="P295" s="147"/>
      <c r="Q295" s="203"/>
      <c r="R295" s="218" t="s">
        <v>1315</v>
      </c>
      <c r="S295" s="186"/>
      <c r="T295" s="215">
        <v>563.0</v>
      </c>
      <c r="U295" s="204"/>
    </row>
    <row r="296" ht="22.5" customHeight="1">
      <c r="A296" s="205"/>
      <c r="B296" s="193" t="s">
        <v>405</v>
      </c>
      <c r="C296" s="219" t="s">
        <v>684</v>
      </c>
      <c r="D296" s="194" t="s">
        <v>1316</v>
      </c>
      <c r="E296" s="193" t="s">
        <v>15</v>
      </c>
      <c r="F296" s="220">
        <v>0.0</v>
      </c>
      <c r="G296" s="221"/>
      <c r="H296" s="222">
        <v>150.0</v>
      </c>
      <c r="I296" s="222">
        <v>0.0</v>
      </c>
      <c r="J296" s="207"/>
      <c r="K296" s="207"/>
      <c r="L296" s="223">
        <v>46132.0</v>
      </c>
      <c r="M296" s="223">
        <v>46162.0</v>
      </c>
      <c r="N296" s="150"/>
      <c r="O296" s="220">
        <v>-369.0</v>
      </c>
      <c r="P296" s="220">
        <v>399.0</v>
      </c>
      <c r="Q296" s="209"/>
      <c r="R296" s="196" t="s">
        <v>1317</v>
      </c>
      <c r="S296" s="227" t="s">
        <v>1318</v>
      </c>
      <c r="T296" s="220">
        <v>564.0</v>
      </c>
      <c r="U296" s="198"/>
    </row>
    <row r="297" ht="22.5" customHeight="1">
      <c r="A297" s="199"/>
      <c r="B297" s="212" t="s">
        <v>402</v>
      </c>
      <c r="C297" s="213" t="s">
        <v>136</v>
      </c>
      <c r="D297" s="214" t="s">
        <v>1319</v>
      </c>
      <c r="E297" s="212" t="s">
        <v>15</v>
      </c>
      <c r="F297" s="215">
        <v>2.0</v>
      </c>
      <c r="G297" s="210"/>
      <c r="H297" s="216">
        <v>200.0</v>
      </c>
      <c r="I297" s="216">
        <v>400.0</v>
      </c>
      <c r="J297" s="216">
        <v>9117.29</v>
      </c>
      <c r="K297" s="216">
        <v>0.0</v>
      </c>
      <c r="L297" s="217">
        <v>46132.0</v>
      </c>
      <c r="M297" s="217">
        <v>46162.0</v>
      </c>
      <c r="N297" s="215">
        <v>1.0</v>
      </c>
      <c r="O297" s="215">
        <v>-369.0</v>
      </c>
      <c r="P297" s="215">
        <v>399.0</v>
      </c>
      <c r="Q297" s="232">
        <v>46141.0</v>
      </c>
      <c r="R297" s="218" t="s">
        <v>1320</v>
      </c>
      <c r="S297" s="225" t="s">
        <v>1321</v>
      </c>
      <c r="T297" s="215">
        <v>565.0</v>
      </c>
      <c r="U297" s="204"/>
    </row>
    <row r="298" ht="22.5" customHeight="1">
      <c r="A298" s="205"/>
      <c r="B298" s="193" t="s">
        <v>411</v>
      </c>
      <c r="C298" s="242" t="s">
        <v>685</v>
      </c>
      <c r="D298" s="194" t="s">
        <v>1322</v>
      </c>
      <c r="E298" s="193" t="s">
        <v>17</v>
      </c>
      <c r="F298" s="220">
        <v>3.0</v>
      </c>
      <c r="G298" s="221"/>
      <c r="H298" s="222">
        <v>4000.0</v>
      </c>
      <c r="I298" s="222">
        <v>12000.0</v>
      </c>
      <c r="J298" s="207"/>
      <c r="K298" s="207"/>
      <c r="L298" s="223">
        <v>46140.0</v>
      </c>
      <c r="M298" s="223">
        <v>46170.0</v>
      </c>
      <c r="N298" s="150"/>
      <c r="O298" s="220">
        <v>-361.0</v>
      </c>
      <c r="P298" s="220">
        <v>391.0</v>
      </c>
      <c r="Q298" s="209"/>
      <c r="R298" s="196" t="s">
        <v>1323</v>
      </c>
      <c r="S298" s="227" t="s">
        <v>1324</v>
      </c>
      <c r="T298" s="220">
        <v>566.0</v>
      </c>
      <c r="U298" s="198"/>
    </row>
    <row r="299" ht="22.5" customHeight="1">
      <c r="A299" s="199"/>
      <c r="B299" s="212" t="s">
        <v>407</v>
      </c>
      <c r="C299" s="229" t="s">
        <v>685</v>
      </c>
      <c r="D299" s="214" t="s">
        <v>1325</v>
      </c>
      <c r="E299" s="212" t="s">
        <v>19</v>
      </c>
      <c r="F299" s="228" t="s">
        <v>1326</v>
      </c>
      <c r="G299" s="210"/>
      <c r="H299" s="216">
        <v>15.0</v>
      </c>
      <c r="I299" s="216">
        <v>300.0</v>
      </c>
      <c r="J299" s="201"/>
      <c r="K299" s="201"/>
      <c r="L299" s="217">
        <v>46142.0</v>
      </c>
      <c r="M299" s="217">
        <v>46172.0</v>
      </c>
      <c r="N299" s="147"/>
      <c r="O299" s="215">
        <v>-359.0</v>
      </c>
      <c r="P299" s="215">
        <v>389.0</v>
      </c>
      <c r="Q299" s="203"/>
      <c r="R299" s="218" t="s">
        <v>1327</v>
      </c>
      <c r="S299" s="225" t="s">
        <v>1328</v>
      </c>
      <c r="T299" s="215">
        <v>567.0</v>
      </c>
      <c r="U299" s="204"/>
    </row>
    <row r="300" ht="22.5" customHeight="1">
      <c r="A300" s="205"/>
      <c r="B300" s="193" t="s">
        <v>396</v>
      </c>
      <c r="C300" s="194" t="s">
        <v>693</v>
      </c>
      <c r="D300" s="194" t="s">
        <v>1247</v>
      </c>
      <c r="E300" s="193" t="s">
        <v>15</v>
      </c>
      <c r="F300" s="220">
        <v>1.0</v>
      </c>
      <c r="G300" s="221"/>
      <c r="H300" s="222">
        <v>250.0</v>
      </c>
      <c r="I300" s="222">
        <v>250.0</v>
      </c>
      <c r="J300" s="207"/>
      <c r="K300" s="207"/>
      <c r="L300" s="208"/>
      <c r="M300" s="208"/>
      <c r="N300" s="150"/>
      <c r="O300" s="150"/>
      <c r="P300" s="150"/>
      <c r="Q300" s="209"/>
      <c r="R300" s="196" t="s">
        <v>1329</v>
      </c>
      <c r="S300" s="45"/>
      <c r="T300" s="220">
        <v>568.0</v>
      </c>
      <c r="U300" s="198"/>
    </row>
    <row r="301" ht="22.5" customHeight="1">
      <c r="A301" s="199"/>
      <c r="B301" s="212" t="s">
        <v>425</v>
      </c>
      <c r="C301" s="214" t="s">
        <v>693</v>
      </c>
      <c r="D301" s="214" t="s">
        <v>1285</v>
      </c>
      <c r="E301" s="212" t="s">
        <v>15</v>
      </c>
      <c r="F301" s="215">
        <v>1.0</v>
      </c>
      <c r="G301" s="210"/>
      <c r="H301" s="216">
        <v>150.0</v>
      </c>
      <c r="I301" s="216">
        <v>150.0</v>
      </c>
      <c r="J301" s="201"/>
      <c r="K301" s="201"/>
      <c r="L301" s="202"/>
      <c r="M301" s="202"/>
      <c r="N301" s="147"/>
      <c r="O301" s="147"/>
      <c r="P301" s="147"/>
      <c r="Q301" s="203"/>
      <c r="R301" s="186"/>
      <c r="S301" s="186"/>
      <c r="T301" s="215">
        <v>569.0</v>
      </c>
      <c r="U301" s="204"/>
    </row>
    <row r="302" ht="22.5" customHeight="1">
      <c r="A302" s="205"/>
      <c r="B302" s="193" t="s">
        <v>345</v>
      </c>
      <c r="C302" s="219" t="s">
        <v>684</v>
      </c>
      <c r="D302" s="194" t="s">
        <v>1287</v>
      </c>
      <c r="E302" s="193" t="s">
        <v>17</v>
      </c>
      <c r="F302" s="220">
        <v>3.0</v>
      </c>
      <c r="G302" s="221"/>
      <c r="H302" s="222">
        <v>5000.0</v>
      </c>
      <c r="I302" s="222">
        <v>15000.0</v>
      </c>
      <c r="J302" s="207"/>
      <c r="K302" s="207"/>
      <c r="L302" s="208"/>
      <c r="M302" s="208"/>
      <c r="N302" s="150"/>
      <c r="O302" s="150"/>
      <c r="P302" s="150"/>
      <c r="Q302" s="209"/>
      <c r="R302" s="196" t="s">
        <v>1330</v>
      </c>
      <c r="S302" s="45"/>
      <c r="T302" s="220">
        <v>570.0</v>
      </c>
      <c r="U302" s="198"/>
    </row>
    <row r="303" ht="22.5" customHeight="1">
      <c r="A303" s="199"/>
      <c r="B303" s="212" t="s">
        <v>414</v>
      </c>
      <c r="C303" s="214" t="s">
        <v>693</v>
      </c>
      <c r="D303" s="214" t="s">
        <v>1331</v>
      </c>
      <c r="E303" s="212" t="s">
        <v>17</v>
      </c>
      <c r="F303" s="215">
        <v>1.0</v>
      </c>
      <c r="G303" s="224">
        <v>0.25</v>
      </c>
      <c r="H303" s="216">
        <v>4000.0</v>
      </c>
      <c r="I303" s="216">
        <v>3000.0</v>
      </c>
      <c r="J303" s="201"/>
      <c r="K303" s="201"/>
      <c r="L303" s="217">
        <v>46140.0</v>
      </c>
      <c r="M303" s="217">
        <v>46170.0</v>
      </c>
      <c r="N303" s="147"/>
      <c r="O303" s="215">
        <v>-361.0</v>
      </c>
      <c r="P303" s="215">
        <v>391.0</v>
      </c>
      <c r="Q303" s="232">
        <v>46158.0</v>
      </c>
      <c r="R303" s="218" t="s">
        <v>1332</v>
      </c>
      <c r="S303" s="225" t="s">
        <v>1333</v>
      </c>
      <c r="T303" s="215">
        <v>571.0</v>
      </c>
      <c r="U303" s="204"/>
    </row>
    <row r="304" ht="22.5" hidden="1" customHeight="1">
      <c r="A304" s="205"/>
      <c r="B304" s="193" t="s">
        <v>923</v>
      </c>
      <c r="C304" s="233" t="s">
        <v>567</v>
      </c>
      <c r="D304" s="234"/>
      <c r="E304" s="209"/>
      <c r="F304" s="150"/>
      <c r="G304" s="45"/>
      <c r="H304" s="207"/>
      <c r="I304" s="197" t="s">
        <v>924</v>
      </c>
      <c r="J304" s="222">
        <v>78160.8</v>
      </c>
      <c r="K304" s="222">
        <v>1130.97</v>
      </c>
      <c r="L304" s="208"/>
      <c r="M304" s="208"/>
      <c r="N304" s="150"/>
      <c r="O304" s="150"/>
      <c r="P304" s="150"/>
      <c r="Q304" s="209"/>
      <c r="R304" s="45"/>
      <c r="S304" s="45"/>
      <c r="T304" s="150"/>
      <c r="U304" s="198"/>
    </row>
    <row r="305" ht="22.5" hidden="1" customHeight="1">
      <c r="A305" s="199"/>
      <c r="B305" s="212" t="s">
        <v>558</v>
      </c>
      <c r="C305" s="235" t="s">
        <v>624</v>
      </c>
      <c r="D305" s="236"/>
      <c r="E305" s="236"/>
      <c r="F305" s="147"/>
      <c r="G305" s="236"/>
      <c r="H305" s="201"/>
      <c r="I305" s="237" t="s">
        <v>925</v>
      </c>
      <c r="J305" s="216">
        <v>13571.66</v>
      </c>
      <c r="K305" s="201"/>
      <c r="L305" s="202"/>
      <c r="M305" s="218" t="s">
        <v>926</v>
      </c>
      <c r="N305" s="147"/>
      <c r="O305" s="147"/>
      <c r="P305" s="147"/>
      <c r="Q305" s="203"/>
      <c r="R305" s="236"/>
      <c r="S305" s="236"/>
      <c r="T305" s="215">
        <v>571.0</v>
      </c>
      <c r="U305" s="204"/>
    </row>
    <row r="306" ht="22.5" hidden="1" customHeight="1">
      <c r="A306" s="205"/>
      <c r="B306" s="193" t="s">
        <v>696</v>
      </c>
      <c r="C306" s="238" t="s">
        <v>927</v>
      </c>
      <c r="D306" s="234"/>
      <c r="E306" s="234"/>
      <c r="F306" s="150"/>
      <c r="G306" s="234"/>
      <c r="H306" s="207"/>
      <c r="I306" s="197" t="s">
        <v>928</v>
      </c>
      <c r="J306" s="222">
        <v>630276.03</v>
      </c>
      <c r="K306" s="207"/>
      <c r="L306" s="208"/>
      <c r="M306" s="208"/>
      <c r="N306" s="150"/>
      <c r="O306" s="150"/>
      <c r="P306" s="150"/>
      <c r="Q306" s="209"/>
      <c r="R306" s="234"/>
      <c r="S306" s="234"/>
      <c r="T306" s="150"/>
      <c r="U306" s="198"/>
    </row>
    <row r="307" ht="22.5" hidden="1" customHeight="1">
      <c r="A307" s="199"/>
      <c r="B307" s="146"/>
      <c r="C307" s="200"/>
      <c r="D307" s="200"/>
      <c r="E307" s="200"/>
      <c r="F307" s="147"/>
      <c r="G307" s="186"/>
      <c r="H307" s="201"/>
      <c r="I307" s="201"/>
      <c r="J307" s="201"/>
      <c r="K307" s="201"/>
      <c r="L307" s="202"/>
      <c r="M307" s="202"/>
      <c r="N307" s="147"/>
      <c r="O307" s="147"/>
      <c r="P307" s="147"/>
      <c r="Q307" s="203"/>
      <c r="R307" s="186"/>
      <c r="S307" s="186"/>
      <c r="T307" s="147"/>
      <c r="U307" s="204"/>
    </row>
    <row r="308" ht="22.5" hidden="1" customHeight="1">
      <c r="A308" s="205"/>
      <c r="B308" s="82"/>
      <c r="C308" s="206"/>
      <c r="D308" s="206"/>
      <c r="E308" s="206"/>
      <c r="F308" s="150"/>
      <c r="G308" s="45"/>
      <c r="H308" s="207"/>
      <c r="I308" s="207"/>
      <c r="J308" s="207"/>
      <c r="K308" s="207"/>
      <c r="L308" s="208"/>
      <c r="M308" s="208"/>
      <c r="N308" s="150"/>
      <c r="O308" s="150"/>
      <c r="P308" s="150"/>
      <c r="Q308" s="209"/>
      <c r="R308" s="45"/>
      <c r="S308" s="45"/>
      <c r="T308" s="150"/>
      <c r="U308" s="198"/>
    </row>
    <row r="309" ht="22.5" hidden="1" customHeight="1">
      <c r="A309" s="199"/>
      <c r="B309" s="146"/>
      <c r="C309" s="200"/>
      <c r="D309" s="200"/>
      <c r="E309" s="200"/>
      <c r="F309" s="147"/>
      <c r="G309" s="186"/>
      <c r="H309" s="201"/>
      <c r="I309" s="201"/>
      <c r="J309" s="201"/>
      <c r="K309" s="201"/>
      <c r="L309" s="202"/>
      <c r="M309" s="202"/>
      <c r="N309" s="147"/>
      <c r="O309" s="147"/>
      <c r="P309" s="147"/>
      <c r="Q309" s="203"/>
      <c r="R309" s="186"/>
      <c r="S309" s="186"/>
      <c r="T309" s="147"/>
      <c r="U309" s="204"/>
    </row>
    <row r="310" ht="22.5" hidden="1" customHeight="1">
      <c r="A310" s="205"/>
      <c r="B310" s="82"/>
      <c r="C310" s="206"/>
      <c r="D310" s="206"/>
      <c r="E310" s="206"/>
      <c r="F310" s="150"/>
      <c r="G310" s="45"/>
      <c r="H310" s="207"/>
      <c r="I310" s="207"/>
      <c r="J310" s="207"/>
      <c r="K310" s="207"/>
      <c r="L310" s="208"/>
      <c r="M310" s="208"/>
      <c r="N310" s="150"/>
      <c r="O310" s="150"/>
      <c r="P310" s="150"/>
      <c r="Q310" s="209"/>
      <c r="R310" s="45"/>
      <c r="S310" s="45"/>
      <c r="T310" s="150"/>
      <c r="U310" s="198"/>
    </row>
    <row r="311" ht="22.5" hidden="1" customHeight="1">
      <c r="A311" s="211" t="s">
        <v>181</v>
      </c>
      <c r="B311" s="212" t="s">
        <v>132</v>
      </c>
      <c r="C311" s="212" t="s">
        <v>131</v>
      </c>
      <c r="D311" s="214" t="s">
        <v>870</v>
      </c>
      <c r="E311" s="212" t="s">
        <v>7</v>
      </c>
      <c r="F311" s="228" t="s">
        <v>871</v>
      </c>
      <c r="G311" s="212" t="s">
        <v>872</v>
      </c>
      <c r="H311" s="237" t="s">
        <v>8</v>
      </c>
      <c r="I311" s="237" t="s">
        <v>873</v>
      </c>
      <c r="J311" s="237" t="s">
        <v>17</v>
      </c>
      <c r="K311" s="237" t="s">
        <v>874</v>
      </c>
      <c r="L311" s="218" t="s">
        <v>875</v>
      </c>
      <c r="M311" s="218" t="s">
        <v>876</v>
      </c>
      <c r="N311" s="228" t="s">
        <v>877</v>
      </c>
      <c r="O311" s="228" t="s">
        <v>878</v>
      </c>
      <c r="P311" s="228" t="s">
        <v>879</v>
      </c>
      <c r="Q311" s="218" t="s">
        <v>880</v>
      </c>
      <c r="R311" s="218" t="s">
        <v>881</v>
      </c>
      <c r="S311" s="218" t="s">
        <v>882</v>
      </c>
      <c r="T311" s="228" t="s">
        <v>557</v>
      </c>
      <c r="U311" s="204"/>
    </row>
    <row r="312" ht="22.5" customHeight="1">
      <c r="A312" s="192" t="s">
        <v>1334</v>
      </c>
      <c r="B312" s="193" t="s">
        <v>359</v>
      </c>
      <c r="C312" s="219" t="s">
        <v>684</v>
      </c>
      <c r="D312" s="194" t="s">
        <v>1280</v>
      </c>
      <c r="E312" s="193" t="s">
        <v>15</v>
      </c>
      <c r="F312" s="220">
        <v>5.0</v>
      </c>
      <c r="G312" s="230">
        <v>0.34</v>
      </c>
      <c r="H312" s="222">
        <v>100.0</v>
      </c>
      <c r="I312" s="222">
        <v>500.0</v>
      </c>
      <c r="J312" s="207"/>
      <c r="K312" s="207"/>
      <c r="L312" s="223">
        <v>46085.0</v>
      </c>
      <c r="M312" s="223">
        <v>46116.0</v>
      </c>
      <c r="N312" s="150"/>
      <c r="O312" s="220">
        <v>-415.0</v>
      </c>
      <c r="P312" s="220">
        <v>445.0</v>
      </c>
      <c r="Q312" s="209"/>
      <c r="R312" s="196" t="s">
        <v>1335</v>
      </c>
      <c r="S312" s="45"/>
      <c r="T312" s="220">
        <v>537.0</v>
      </c>
      <c r="U312" s="198"/>
    </row>
    <row r="313" ht="22.5" customHeight="1">
      <c r="A313" s="211" t="s">
        <v>1336</v>
      </c>
      <c r="B313" s="212" t="s">
        <v>328</v>
      </c>
      <c r="C313" s="213" t="s">
        <v>136</v>
      </c>
      <c r="D313" s="214" t="s">
        <v>1283</v>
      </c>
      <c r="E313" s="212" t="s">
        <v>19</v>
      </c>
      <c r="F313" s="228" t="s">
        <v>892</v>
      </c>
      <c r="G313" s="210"/>
      <c r="H313" s="216">
        <v>12.0</v>
      </c>
      <c r="I313" s="216">
        <v>48.0</v>
      </c>
      <c r="J313" s="216">
        <v>5377.04</v>
      </c>
      <c r="K313" s="216">
        <v>5377.04</v>
      </c>
      <c r="L313" s="217">
        <v>46086.0</v>
      </c>
      <c r="M313" s="217">
        <v>46117.0</v>
      </c>
      <c r="N313" s="215">
        <v>0.0</v>
      </c>
      <c r="O313" s="215">
        <v>-414.0</v>
      </c>
      <c r="P313" s="215">
        <v>444.0</v>
      </c>
      <c r="Q313" s="203"/>
      <c r="R313" s="218" t="s">
        <v>1337</v>
      </c>
      <c r="S313" s="225" t="s">
        <v>1338</v>
      </c>
      <c r="T313" s="215">
        <v>538.0</v>
      </c>
      <c r="U313" s="204"/>
    </row>
    <row r="314" ht="22.5" customHeight="1">
      <c r="A314" s="205"/>
      <c r="B314" s="193" t="s">
        <v>211</v>
      </c>
      <c r="C314" s="219" t="s">
        <v>684</v>
      </c>
      <c r="D314" s="194" t="s">
        <v>1339</v>
      </c>
      <c r="E314" s="193" t="s">
        <v>15</v>
      </c>
      <c r="F314" s="220">
        <v>1.0</v>
      </c>
      <c r="G314" s="221"/>
      <c r="H314" s="222">
        <v>150.0</v>
      </c>
      <c r="I314" s="222">
        <v>150.0</v>
      </c>
      <c r="J314" s="207"/>
      <c r="K314" s="207"/>
      <c r="L314" s="223">
        <v>46083.0</v>
      </c>
      <c r="M314" s="223">
        <v>46114.0</v>
      </c>
      <c r="N314" s="150"/>
      <c r="O314" s="220">
        <v>-417.0</v>
      </c>
      <c r="P314" s="220">
        <v>447.0</v>
      </c>
      <c r="Q314" s="209"/>
      <c r="R314" s="196" t="s">
        <v>1340</v>
      </c>
      <c r="S314" s="45"/>
      <c r="T314" s="220">
        <v>539.0</v>
      </c>
      <c r="U314" s="198"/>
    </row>
    <row r="315" ht="22.5" customHeight="1">
      <c r="A315" s="199"/>
      <c r="B315" s="212" t="s">
        <v>309</v>
      </c>
      <c r="C315" s="213" t="s">
        <v>136</v>
      </c>
      <c r="D315" s="214" t="s">
        <v>1341</v>
      </c>
      <c r="E315" s="214" t="s">
        <v>19</v>
      </c>
      <c r="F315" s="228" t="s">
        <v>1048</v>
      </c>
      <c r="G315" s="210"/>
      <c r="H315" s="216">
        <v>15.0</v>
      </c>
      <c r="I315" s="216">
        <v>30.0</v>
      </c>
      <c r="J315" s="216">
        <v>3316.36</v>
      </c>
      <c r="K315" s="216">
        <v>0.0</v>
      </c>
      <c r="L315" s="217">
        <v>46105.0</v>
      </c>
      <c r="M315" s="217">
        <v>46108.0</v>
      </c>
      <c r="N315" s="215">
        <v>1.0</v>
      </c>
      <c r="O315" s="215">
        <v>-423.0</v>
      </c>
      <c r="P315" s="215">
        <v>453.0</v>
      </c>
      <c r="Q315" s="232">
        <v>46121.0</v>
      </c>
      <c r="R315" s="218" t="s">
        <v>1342</v>
      </c>
      <c r="S315" s="225" t="s">
        <v>1343</v>
      </c>
      <c r="T315" s="215">
        <v>540.0</v>
      </c>
      <c r="U315" s="204"/>
    </row>
    <row r="316" ht="22.5" customHeight="1">
      <c r="A316" s="192" t="s">
        <v>1344</v>
      </c>
      <c r="B316" s="193" t="s">
        <v>301</v>
      </c>
      <c r="C316" s="226" t="s">
        <v>136</v>
      </c>
      <c r="D316" s="194" t="s">
        <v>1199</v>
      </c>
      <c r="E316" s="193" t="s">
        <v>17</v>
      </c>
      <c r="F316" s="220">
        <v>3.0</v>
      </c>
      <c r="G316" s="230">
        <v>0.15</v>
      </c>
      <c r="H316" s="197" t="s">
        <v>1200</v>
      </c>
      <c r="I316" s="222">
        <v>21000.0</v>
      </c>
      <c r="J316" s="222">
        <v>21000.0</v>
      </c>
      <c r="K316" s="222">
        <v>0.0</v>
      </c>
      <c r="L316" s="223">
        <v>46099.0</v>
      </c>
      <c r="M316" s="223">
        <v>46130.0</v>
      </c>
      <c r="N316" s="220">
        <v>1.0</v>
      </c>
      <c r="O316" s="220">
        <v>-401.0</v>
      </c>
      <c r="P316" s="220">
        <v>431.0</v>
      </c>
      <c r="Q316" s="238">
        <v>46095.0</v>
      </c>
      <c r="R316" s="196" t="s">
        <v>1345</v>
      </c>
      <c r="S316" s="227" t="s">
        <v>1346</v>
      </c>
      <c r="T316" s="220">
        <v>541.0</v>
      </c>
      <c r="U316" s="198"/>
    </row>
    <row r="317" ht="22.5" customHeight="1">
      <c r="A317" s="211" t="s">
        <v>1347</v>
      </c>
      <c r="B317" s="212" t="s">
        <v>147</v>
      </c>
      <c r="C317" s="214" t="s">
        <v>1130</v>
      </c>
      <c r="D317" s="214" t="s">
        <v>1261</v>
      </c>
      <c r="E317" s="212" t="s">
        <v>19</v>
      </c>
      <c r="F317" s="244">
        <v>46305.0</v>
      </c>
      <c r="G317" s="147"/>
      <c r="H317" s="216">
        <v>15.0</v>
      </c>
      <c r="I317" s="216">
        <v>300.0</v>
      </c>
      <c r="J317" s="216">
        <v>33005.04</v>
      </c>
      <c r="K317" s="216">
        <v>0.0</v>
      </c>
      <c r="L317" s="217">
        <v>46082.0</v>
      </c>
      <c r="M317" s="217">
        <v>46113.0</v>
      </c>
      <c r="N317" s="215">
        <v>1.0</v>
      </c>
      <c r="O317" s="215">
        <v>-418.0</v>
      </c>
      <c r="P317" s="215">
        <v>448.0</v>
      </c>
      <c r="Q317" s="232">
        <v>46096.0</v>
      </c>
      <c r="R317" s="218" t="s">
        <v>1348</v>
      </c>
      <c r="S317" s="225" t="s">
        <v>1349</v>
      </c>
      <c r="T317" s="215">
        <v>542.0</v>
      </c>
      <c r="U317" s="204"/>
    </row>
    <row r="318" ht="22.5" customHeight="1">
      <c r="A318" s="192" t="s">
        <v>1350</v>
      </c>
      <c r="B318" s="193" t="s">
        <v>349</v>
      </c>
      <c r="C318" s="219" t="s">
        <v>684</v>
      </c>
      <c r="D318" s="194" t="s">
        <v>1294</v>
      </c>
      <c r="E318" s="193" t="s">
        <v>100</v>
      </c>
      <c r="F318" s="220">
        <v>0.0</v>
      </c>
      <c r="G318" s="221"/>
      <c r="H318" s="222">
        <v>12.0</v>
      </c>
      <c r="I318" s="222">
        <v>0.0</v>
      </c>
      <c r="J318" s="207"/>
      <c r="K318" s="207"/>
      <c r="L318" s="223">
        <v>46083.0</v>
      </c>
      <c r="M318" s="223">
        <v>46114.0</v>
      </c>
      <c r="N318" s="150"/>
      <c r="O318" s="220">
        <v>-417.0</v>
      </c>
      <c r="P318" s="220">
        <v>447.0</v>
      </c>
      <c r="Q318" s="209"/>
      <c r="R318" s="196" t="s">
        <v>1351</v>
      </c>
      <c r="S318" s="45"/>
      <c r="T318" s="220">
        <v>543.0</v>
      </c>
      <c r="U318" s="198"/>
    </row>
    <row r="319" ht="22.5" customHeight="1">
      <c r="A319" s="199"/>
      <c r="B319" s="212" t="s">
        <v>330</v>
      </c>
      <c r="C319" s="213" t="s">
        <v>136</v>
      </c>
      <c r="D319" s="214" t="s">
        <v>1207</v>
      </c>
      <c r="E319" s="212" t="s">
        <v>17</v>
      </c>
      <c r="F319" s="215">
        <v>4.0</v>
      </c>
      <c r="G319" s="210"/>
      <c r="H319" s="237" t="s">
        <v>1200</v>
      </c>
      <c r="I319" s="216">
        <v>27000.0</v>
      </c>
      <c r="J319" s="216">
        <v>27000.0</v>
      </c>
      <c r="K319" s="216">
        <v>0.0</v>
      </c>
      <c r="L319" s="217">
        <v>46090.0</v>
      </c>
      <c r="M319" s="217">
        <v>46121.0</v>
      </c>
      <c r="N319" s="215">
        <v>1.0</v>
      </c>
      <c r="O319" s="215">
        <v>-410.0</v>
      </c>
      <c r="P319" s="215">
        <v>440.0</v>
      </c>
      <c r="Q319" s="232">
        <v>46121.0</v>
      </c>
      <c r="R319" s="218" t="s">
        <v>1352</v>
      </c>
      <c r="S319" s="225" t="s">
        <v>1353</v>
      </c>
      <c r="T319" s="215">
        <v>544.0</v>
      </c>
      <c r="U319" s="204"/>
    </row>
    <row r="320" ht="22.5" customHeight="1">
      <c r="A320" s="192" t="s">
        <v>107</v>
      </c>
      <c r="B320" s="193" t="s">
        <v>153</v>
      </c>
      <c r="C320" s="219" t="s">
        <v>684</v>
      </c>
      <c r="D320" s="194" t="s">
        <v>1299</v>
      </c>
      <c r="E320" s="193" t="s">
        <v>108</v>
      </c>
      <c r="F320" s="220">
        <v>0.0</v>
      </c>
      <c r="G320" s="221"/>
      <c r="H320" s="222">
        <v>25.0</v>
      </c>
      <c r="I320" s="222">
        <v>0.0</v>
      </c>
      <c r="J320" s="207"/>
      <c r="K320" s="207"/>
      <c r="L320" s="223">
        <v>46089.0</v>
      </c>
      <c r="M320" s="223">
        <v>46120.0</v>
      </c>
      <c r="N320" s="150"/>
      <c r="O320" s="220">
        <v>-411.0</v>
      </c>
      <c r="P320" s="220">
        <v>441.0</v>
      </c>
      <c r="Q320" s="209"/>
      <c r="R320" s="196" t="s">
        <v>1354</v>
      </c>
      <c r="S320" s="45"/>
      <c r="T320" s="220">
        <v>545.0</v>
      </c>
      <c r="U320" s="198"/>
    </row>
    <row r="321" ht="22.5" customHeight="1">
      <c r="A321" s="211" t="s">
        <v>817</v>
      </c>
      <c r="B321" s="212" t="s">
        <v>363</v>
      </c>
      <c r="C321" s="213" t="s">
        <v>136</v>
      </c>
      <c r="D321" s="214" t="s">
        <v>1303</v>
      </c>
      <c r="E321" s="212" t="s">
        <v>19</v>
      </c>
      <c r="F321" s="228" t="s">
        <v>1355</v>
      </c>
      <c r="G321" s="210"/>
      <c r="H321" s="216">
        <v>10.0</v>
      </c>
      <c r="I321" s="216">
        <v>36.7</v>
      </c>
      <c r="J321" s="216">
        <v>4079.48</v>
      </c>
      <c r="K321" s="216">
        <v>0.0</v>
      </c>
      <c r="L321" s="217">
        <v>46103.0</v>
      </c>
      <c r="M321" s="217">
        <v>46134.0</v>
      </c>
      <c r="N321" s="215">
        <v>1.0</v>
      </c>
      <c r="O321" s="215">
        <v>-397.0</v>
      </c>
      <c r="P321" s="215">
        <v>427.0</v>
      </c>
      <c r="Q321" s="232">
        <v>46095.0</v>
      </c>
      <c r="R321" s="218" t="s">
        <v>1356</v>
      </c>
      <c r="S321" s="225" t="s">
        <v>1357</v>
      </c>
      <c r="T321" s="215">
        <v>546.0</v>
      </c>
      <c r="U321" s="204"/>
    </row>
    <row r="322" ht="22.5" customHeight="1">
      <c r="A322" s="192" t="s">
        <v>1358</v>
      </c>
      <c r="B322" s="193" t="s">
        <v>365</v>
      </c>
      <c r="C322" s="219" t="s">
        <v>684</v>
      </c>
      <c r="D322" s="194" t="s">
        <v>56</v>
      </c>
      <c r="E322" s="193" t="s">
        <v>19</v>
      </c>
      <c r="F322" s="220">
        <v>1.0</v>
      </c>
      <c r="G322" s="221"/>
      <c r="H322" s="222">
        <v>75.0</v>
      </c>
      <c r="I322" s="222">
        <v>75.0</v>
      </c>
      <c r="J322" s="207"/>
      <c r="K322" s="207"/>
      <c r="L322" s="223">
        <v>46091.0</v>
      </c>
      <c r="M322" s="223">
        <v>46122.0</v>
      </c>
      <c r="N322" s="150"/>
      <c r="O322" s="220">
        <v>-409.0</v>
      </c>
      <c r="P322" s="220">
        <v>439.0</v>
      </c>
      <c r="Q322" s="209"/>
      <c r="R322" s="196" t="s">
        <v>1359</v>
      </c>
      <c r="S322" s="227" t="s">
        <v>1360</v>
      </c>
      <c r="T322" s="220">
        <v>547.0</v>
      </c>
      <c r="U322" s="198"/>
    </row>
    <row r="323" ht="22.5" customHeight="1">
      <c r="A323" s="199"/>
      <c r="B323" s="212" t="s">
        <v>148</v>
      </c>
      <c r="C323" s="213" t="s">
        <v>136</v>
      </c>
      <c r="D323" s="214" t="s">
        <v>1361</v>
      </c>
      <c r="E323" s="212" t="s">
        <v>19</v>
      </c>
      <c r="F323" s="228" t="s">
        <v>1166</v>
      </c>
      <c r="G323" s="210"/>
      <c r="H323" s="216">
        <v>15.0</v>
      </c>
      <c r="I323" s="216">
        <v>120.0</v>
      </c>
      <c r="J323" s="216">
        <v>13292.78</v>
      </c>
      <c r="K323" s="216">
        <v>0.0</v>
      </c>
      <c r="L323" s="217">
        <v>46106.0</v>
      </c>
      <c r="M323" s="217">
        <v>46137.0</v>
      </c>
      <c r="N323" s="215">
        <v>1.0</v>
      </c>
      <c r="O323" s="215">
        <v>-394.0</v>
      </c>
      <c r="P323" s="215">
        <v>424.0</v>
      </c>
      <c r="Q323" s="232">
        <v>46119.0</v>
      </c>
      <c r="R323" s="218" t="s">
        <v>1362</v>
      </c>
      <c r="S323" s="225" t="s">
        <v>1363</v>
      </c>
      <c r="T323" s="215">
        <v>548.0</v>
      </c>
      <c r="U323" s="204"/>
    </row>
    <row r="324" ht="22.5" customHeight="1">
      <c r="A324" s="205"/>
      <c r="B324" s="193" t="s">
        <v>1308</v>
      </c>
      <c r="C324" s="242" t="s">
        <v>685</v>
      </c>
      <c r="D324" s="194" t="s">
        <v>1309</v>
      </c>
      <c r="E324" s="246" t="s">
        <v>1310</v>
      </c>
      <c r="F324" s="220">
        <v>8.0</v>
      </c>
      <c r="G324" s="221"/>
      <c r="H324" s="222">
        <v>15.0</v>
      </c>
      <c r="I324" s="222">
        <v>120.0</v>
      </c>
      <c r="J324" s="207"/>
      <c r="K324" s="207"/>
      <c r="L324" s="223">
        <v>46084.0</v>
      </c>
      <c r="M324" s="223">
        <v>46115.0</v>
      </c>
      <c r="N324" s="150"/>
      <c r="O324" s="220">
        <v>-416.0</v>
      </c>
      <c r="P324" s="220">
        <v>446.0</v>
      </c>
      <c r="Q324" s="209"/>
      <c r="R324" s="247" t="e">
        <v>#N/A</v>
      </c>
      <c r="S324" s="227" t="s">
        <v>1364</v>
      </c>
      <c r="T324" s="220">
        <v>549.0</v>
      </c>
      <c r="U324" s="198"/>
    </row>
    <row r="325" ht="22.5" hidden="1" customHeight="1">
      <c r="A325" s="199"/>
      <c r="B325" s="212" t="s">
        <v>923</v>
      </c>
      <c r="C325" s="240" t="s">
        <v>571</v>
      </c>
      <c r="D325" s="236"/>
      <c r="E325" s="203"/>
      <c r="F325" s="147"/>
      <c r="G325" s="186"/>
      <c r="H325" s="201"/>
      <c r="I325" s="237" t="s">
        <v>924</v>
      </c>
      <c r="J325" s="216">
        <v>107070.7</v>
      </c>
      <c r="K325" s="216">
        <v>5377.04</v>
      </c>
      <c r="L325" s="202"/>
      <c r="M325" s="202"/>
      <c r="N325" s="147"/>
      <c r="O325" s="147"/>
      <c r="P325" s="147"/>
      <c r="Q325" s="203"/>
      <c r="R325" s="186"/>
      <c r="S325" s="186"/>
      <c r="T325" s="147"/>
      <c r="U325" s="204"/>
    </row>
    <row r="326" ht="22.5" hidden="1" customHeight="1">
      <c r="A326" s="205"/>
      <c r="B326" s="193" t="s">
        <v>558</v>
      </c>
      <c r="C326" s="241" t="s">
        <v>622</v>
      </c>
      <c r="D326" s="234"/>
      <c r="E326" s="234"/>
      <c r="F326" s="150"/>
      <c r="G326" s="234"/>
      <c r="H326" s="207"/>
      <c r="I326" s="197" t="s">
        <v>925</v>
      </c>
      <c r="J326" s="222">
        <v>64524.44</v>
      </c>
      <c r="K326" s="207"/>
      <c r="L326" s="208"/>
      <c r="M326" s="196" t="s">
        <v>926</v>
      </c>
      <c r="N326" s="150"/>
      <c r="O326" s="150"/>
      <c r="P326" s="150"/>
      <c r="Q326" s="209"/>
      <c r="R326" s="234"/>
      <c r="S326" s="234"/>
      <c r="T326" s="220">
        <v>549.0</v>
      </c>
      <c r="U326" s="198"/>
    </row>
    <row r="327" ht="22.5" hidden="1" customHeight="1">
      <c r="A327" s="199"/>
      <c r="B327" s="212" t="s">
        <v>696</v>
      </c>
      <c r="C327" s="232" t="s">
        <v>958</v>
      </c>
      <c r="D327" s="236"/>
      <c r="E327" s="236"/>
      <c r="F327" s="147"/>
      <c r="G327" s="236"/>
      <c r="H327" s="201"/>
      <c r="I327" s="237" t="s">
        <v>928</v>
      </c>
      <c r="J327" s="216">
        <v>629145.05</v>
      </c>
      <c r="K327" s="201"/>
      <c r="L327" s="202"/>
      <c r="M327" s="202"/>
      <c r="N327" s="147"/>
      <c r="O327" s="147"/>
      <c r="P327" s="147"/>
      <c r="Q327" s="203"/>
      <c r="R327" s="236"/>
      <c r="S327" s="236"/>
      <c r="T327" s="147"/>
      <c r="U327" s="204"/>
    </row>
    <row r="328" ht="22.5" hidden="1" customHeight="1">
      <c r="A328" s="205"/>
      <c r="B328" s="82"/>
      <c r="C328" s="206"/>
      <c r="D328" s="206"/>
      <c r="E328" s="246" t="s">
        <v>1310</v>
      </c>
      <c r="F328" s="150"/>
      <c r="G328" s="45"/>
      <c r="H328" s="207"/>
      <c r="I328" s="207"/>
      <c r="J328" s="207"/>
      <c r="K328" s="207"/>
      <c r="L328" s="208"/>
      <c r="M328" s="208"/>
      <c r="N328" s="150"/>
      <c r="O328" s="150"/>
      <c r="P328" s="150"/>
      <c r="Q328" s="209"/>
      <c r="R328" s="45"/>
      <c r="S328" s="45"/>
      <c r="T328" s="150"/>
      <c r="U328" s="198"/>
    </row>
    <row r="329" ht="22.5" hidden="1" customHeight="1">
      <c r="A329" s="199"/>
      <c r="B329" s="146"/>
      <c r="C329" s="200"/>
      <c r="D329" s="200"/>
      <c r="E329" s="200"/>
      <c r="F329" s="147"/>
      <c r="G329" s="186"/>
      <c r="H329" s="201"/>
      <c r="I329" s="201"/>
      <c r="J329" s="201"/>
      <c r="K329" s="201"/>
      <c r="L329" s="202"/>
      <c r="M329" s="202"/>
      <c r="N329" s="147"/>
      <c r="O329" s="147"/>
      <c r="P329" s="147"/>
      <c r="Q329" s="203"/>
      <c r="R329" s="186"/>
      <c r="S329" s="186"/>
      <c r="T329" s="147"/>
      <c r="U329" s="204"/>
    </row>
    <row r="330" ht="22.5" hidden="1" customHeight="1">
      <c r="A330" s="205"/>
      <c r="B330" s="82"/>
      <c r="C330" s="206"/>
      <c r="D330" s="206"/>
      <c r="E330" s="206"/>
      <c r="F330" s="150"/>
      <c r="G330" s="45"/>
      <c r="H330" s="207"/>
      <c r="I330" s="207"/>
      <c r="J330" s="207"/>
      <c r="K330" s="207"/>
      <c r="L330" s="208"/>
      <c r="M330" s="208"/>
      <c r="N330" s="150"/>
      <c r="O330" s="150"/>
      <c r="P330" s="150"/>
      <c r="Q330" s="209"/>
      <c r="R330" s="45"/>
      <c r="S330" s="45"/>
      <c r="T330" s="150"/>
      <c r="U330" s="198"/>
    </row>
    <row r="331" ht="22.5" hidden="1" customHeight="1">
      <c r="A331" s="199"/>
      <c r="B331" s="146"/>
      <c r="C331" s="200"/>
      <c r="D331" s="200"/>
      <c r="E331" s="200"/>
      <c r="F331" s="147"/>
      <c r="G331" s="186"/>
      <c r="H331" s="201"/>
      <c r="I331" s="201"/>
      <c r="J331" s="201"/>
      <c r="K331" s="201"/>
      <c r="L331" s="202"/>
      <c r="M331" s="202"/>
      <c r="N331" s="147"/>
      <c r="O331" s="147"/>
      <c r="P331" s="147"/>
      <c r="Q331" s="203"/>
      <c r="R331" s="186"/>
      <c r="S331" s="186"/>
      <c r="T331" s="147"/>
      <c r="U331" s="204"/>
    </row>
    <row r="332" ht="22.5" hidden="1" customHeight="1">
      <c r="A332" s="192" t="s">
        <v>181</v>
      </c>
      <c r="B332" s="193" t="s">
        <v>132</v>
      </c>
      <c r="C332" s="193" t="s">
        <v>131</v>
      </c>
      <c r="D332" s="194" t="s">
        <v>870</v>
      </c>
      <c r="E332" s="193" t="s">
        <v>7</v>
      </c>
      <c r="F332" s="195" t="s">
        <v>871</v>
      </c>
      <c r="G332" s="193" t="s">
        <v>872</v>
      </c>
      <c r="H332" s="197" t="s">
        <v>8</v>
      </c>
      <c r="I332" s="197" t="s">
        <v>873</v>
      </c>
      <c r="J332" s="197" t="s">
        <v>17</v>
      </c>
      <c r="K332" s="197" t="s">
        <v>874</v>
      </c>
      <c r="L332" s="196" t="s">
        <v>875</v>
      </c>
      <c r="M332" s="196" t="s">
        <v>876</v>
      </c>
      <c r="N332" s="195" t="s">
        <v>877</v>
      </c>
      <c r="O332" s="195" t="s">
        <v>878</v>
      </c>
      <c r="P332" s="195" t="s">
        <v>879</v>
      </c>
      <c r="Q332" s="196" t="s">
        <v>880</v>
      </c>
      <c r="R332" s="196" t="s">
        <v>881</v>
      </c>
      <c r="S332" s="196" t="s">
        <v>882</v>
      </c>
      <c r="T332" s="195" t="s">
        <v>557</v>
      </c>
      <c r="U332" s="198"/>
    </row>
    <row r="333" ht="22.5" customHeight="1">
      <c r="A333" s="211" t="s">
        <v>1334</v>
      </c>
      <c r="B333" s="212" t="s">
        <v>359</v>
      </c>
      <c r="C333" s="231" t="s">
        <v>684</v>
      </c>
      <c r="D333" s="214" t="s">
        <v>1280</v>
      </c>
      <c r="E333" s="212" t="s">
        <v>15</v>
      </c>
      <c r="F333" s="215">
        <v>5.5</v>
      </c>
      <c r="G333" s="224">
        <v>0.34</v>
      </c>
      <c r="H333" s="216">
        <v>100.0</v>
      </c>
      <c r="I333" s="216">
        <v>363.0</v>
      </c>
      <c r="J333" s="201"/>
      <c r="K333" s="201"/>
      <c r="L333" s="217">
        <v>46057.0</v>
      </c>
      <c r="M333" s="217">
        <v>46085.0</v>
      </c>
      <c r="N333" s="147"/>
      <c r="O333" s="215">
        <v>-446.0</v>
      </c>
      <c r="P333" s="215">
        <v>476.0</v>
      </c>
      <c r="Q333" s="203"/>
      <c r="R333" s="218" t="s">
        <v>1365</v>
      </c>
      <c r="S333" s="186"/>
      <c r="T333" s="215">
        <v>525.0</v>
      </c>
      <c r="U333" s="204"/>
    </row>
    <row r="334" ht="22.5" customHeight="1">
      <c r="A334" s="205"/>
      <c r="B334" s="193" t="s">
        <v>328</v>
      </c>
      <c r="C334" s="226" t="s">
        <v>136</v>
      </c>
      <c r="D334" s="194" t="s">
        <v>1283</v>
      </c>
      <c r="E334" s="193" t="s">
        <v>19</v>
      </c>
      <c r="F334" s="220">
        <v>1.0</v>
      </c>
      <c r="G334" s="221"/>
      <c r="H334" s="222">
        <v>12.0</v>
      </c>
      <c r="I334" s="222">
        <v>12.0</v>
      </c>
      <c r="J334" s="222">
        <v>1310.25</v>
      </c>
      <c r="K334" s="222">
        <v>0.0</v>
      </c>
      <c r="L334" s="223">
        <v>46058.0</v>
      </c>
      <c r="M334" s="223">
        <v>46086.0</v>
      </c>
      <c r="N334" s="220">
        <v>1.0</v>
      </c>
      <c r="O334" s="220">
        <v>-445.0</v>
      </c>
      <c r="P334" s="220">
        <v>475.0</v>
      </c>
      <c r="Q334" s="209"/>
      <c r="R334" s="196" t="s">
        <v>1366</v>
      </c>
      <c r="S334" s="227" t="s">
        <v>1367</v>
      </c>
      <c r="T334" s="220">
        <v>526.0</v>
      </c>
      <c r="U334" s="198"/>
    </row>
    <row r="335" ht="22.5" customHeight="1">
      <c r="A335" s="211" t="s">
        <v>1350</v>
      </c>
      <c r="B335" s="212" t="s">
        <v>211</v>
      </c>
      <c r="C335" s="231" t="s">
        <v>684</v>
      </c>
      <c r="D335" s="214" t="s">
        <v>1339</v>
      </c>
      <c r="E335" s="212" t="s">
        <v>15</v>
      </c>
      <c r="F335" s="215">
        <v>1.0</v>
      </c>
      <c r="G335" s="210"/>
      <c r="H335" s="216">
        <v>150.0</v>
      </c>
      <c r="I335" s="216">
        <v>150.0</v>
      </c>
      <c r="J335" s="201"/>
      <c r="K335" s="201"/>
      <c r="L335" s="217">
        <v>46055.0</v>
      </c>
      <c r="M335" s="217">
        <v>46083.0</v>
      </c>
      <c r="N335" s="147"/>
      <c r="O335" s="215">
        <v>-448.0</v>
      </c>
      <c r="P335" s="215">
        <v>478.0</v>
      </c>
      <c r="Q335" s="203"/>
      <c r="R335" s="218" t="s">
        <v>1368</v>
      </c>
      <c r="S335" s="186"/>
      <c r="T335" s="215">
        <v>527.0</v>
      </c>
      <c r="U335" s="204"/>
    </row>
    <row r="336" ht="22.5" customHeight="1">
      <c r="A336" s="192" t="s">
        <v>1350</v>
      </c>
      <c r="B336" s="193" t="s">
        <v>336</v>
      </c>
      <c r="C336" s="242" t="s">
        <v>685</v>
      </c>
      <c r="D336" s="194" t="s">
        <v>1369</v>
      </c>
      <c r="E336" s="193" t="s">
        <v>17</v>
      </c>
      <c r="F336" s="220">
        <v>3.0</v>
      </c>
      <c r="G336" s="230">
        <v>0.66</v>
      </c>
      <c r="H336" s="222">
        <v>1000.0</v>
      </c>
      <c r="I336" s="222">
        <v>1020.0</v>
      </c>
      <c r="J336" s="207"/>
      <c r="K336" s="207"/>
      <c r="L336" s="223">
        <v>46059.0</v>
      </c>
      <c r="M336" s="223">
        <v>46087.0</v>
      </c>
      <c r="N336" s="150"/>
      <c r="O336" s="220">
        <v>-444.0</v>
      </c>
      <c r="P336" s="220">
        <v>474.0</v>
      </c>
      <c r="Q336" s="209"/>
      <c r="R336" s="196" t="s">
        <v>1370</v>
      </c>
      <c r="S336" s="45"/>
      <c r="T336" s="220">
        <v>528.0</v>
      </c>
      <c r="U336" s="198"/>
    </row>
    <row r="337" ht="22.5" customHeight="1">
      <c r="A337" s="199"/>
      <c r="B337" s="212" t="s">
        <v>309</v>
      </c>
      <c r="C337" s="213" t="s">
        <v>136</v>
      </c>
      <c r="D337" s="214" t="s">
        <v>1160</v>
      </c>
      <c r="E337" s="212" t="s">
        <v>17</v>
      </c>
      <c r="F337" s="215">
        <v>3.0</v>
      </c>
      <c r="G337" s="210"/>
      <c r="H337" s="216">
        <v>3000.0</v>
      </c>
      <c r="I337" s="216">
        <v>9000.0</v>
      </c>
      <c r="J337" s="216">
        <v>9000.0</v>
      </c>
      <c r="K337" s="216">
        <v>0.0</v>
      </c>
      <c r="L337" s="217">
        <v>46056.0</v>
      </c>
      <c r="M337" s="217">
        <v>46084.0</v>
      </c>
      <c r="N337" s="215">
        <v>1.0</v>
      </c>
      <c r="O337" s="215">
        <v>-447.0</v>
      </c>
      <c r="P337" s="215">
        <v>477.0</v>
      </c>
      <c r="Q337" s="232">
        <v>46095.0</v>
      </c>
      <c r="R337" s="218" t="s">
        <v>1371</v>
      </c>
      <c r="S337" s="225" t="s">
        <v>1372</v>
      </c>
      <c r="T337" s="215">
        <v>529.0</v>
      </c>
      <c r="U337" s="204"/>
    </row>
    <row r="338" ht="22.5" customHeight="1">
      <c r="A338" s="192" t="s">
        <v>1344</v>
      </c>
      <c r="B338" s="193" t="s">
        <v>301</v>
      </c>
      <c r="C338" s="226" t="s">
        <v>136</v>
      </c>
      <c r="D338" s="194" t="s">
        <v>1199</v>
      </c>
      <c r="E338" s="193" t="s">
        <v>17</v>
      </c>
      <c r="F338" s="220">
        <v>3.0</v>
      </c>
      <c r="G338" s="230">
        <v>0.15</v>
      </c>
      <c r="H338" s="197" t="s">
        <v>1200</v>
      </c>
      <c r="I338" s="222">
        <v>21000.0</v>
      </c>
      <c r="J338" s="222">
        <v>21000.0</v>
      </c>
      <c r="K338" s="222">
        <v>0.0</v>
      </c>
      <c r="L338" s="223">
        <v>46071.0</v>
      </c>
      <c r="M338" s="223">
        <v>46099.0</v>
      </c>
      <c r="N338" s="220">
        <v>1.0</v>
      </c>
      <c r="O338" s="220">
        <v>-432.0</v>
      </c>
      <c r="P338" s="220">
        <v>462.0</v>
      </c>
      <c r="Q338" s="238">
        <v>46092.0</v>
      </c>
      <c r="R338" s="196" t="s">
        <v>1373</v>
      </c>
      <c r="S338" s="227" t="s">
        <v>1374</v>
      </c>
      <c r="T338" s="220">
        <v>530.0</v>
      </c>
      <c r="U338" s="198"/>
    </row>
    <row r="339" ht="22.5" customHeight="1">
      <c r="A339" s="211" t="s">
        <v>1347</v>
      </c>
      <c r="B339" s="212" t="s">
        <v>147</v>
      </c>
      <c r="C339" s="214" t="s">
        <v>1375</v>
      </c>
      <c r="D339" s="214" t="s">
        <v>1261</v>
      </c>
      <c r="E339" s="212" t="s">
        <v>19</v>
      </c>
      <c r="F339" s="228" t="s">
        <v>1376</v>
      </c>
      <c r="G339" s="147"/>
      <c r="H339" s="216">
        <v>15.0</v>
      </c>
      <c r="I339" s="216">
        <v>255.0</v>
      </c>
      <c r="J339" s="216">
        <v>27369.3</v>
      </c>
      <c r="K339" s="216">
        <v>0.0</v>
      </c>
      <c r="L339" s="217">
        <v>46054.0</v>
      </c>
      <c r="M339" s="217">
        <v>46082.0</v>
      </c>
      <c r="N339" s="215">
        <v>1.0</v>
      </c>
      <c r="O339" s="215">
        <v>-449.0</v>
      </c>
      <c r="P339" s="215">
        <v>479.0</v>
      </c>
      <c r="Q339" s="232">
        <v>46091.0</v>
      </c>
      <c r="R339" s="218" t="s">
        <v>1377</v>
      </c>
      <c r="S339" s="225" t="s">
        <v>1378</v>
      </c>
      <c r="T339" s="215">
        <v>531.0</v>
      </c>
      <c r="U339" s="204"/>
    </row>
    <row r="340" ht="22.5" customHeight="1">
      <c r="A340" s="192" t="s">
        <v>1350</v>
      </c>
      <c r="B340" s="193" t="s">
        <v>349</v>
      </c>
      <c r="C340" s="219" t="s">
        <v>684</v>
      </c>
      <c r="D340" s="194" t="s">
        <v>1294</v>
      </c>
      <c r="E340" s="193" t="s">
        <v>100</v>
      </c>
      <c r="F340" s="220">
        <v>0.0</v>
      </c>
      <c r="G340" s="221"/>
      <c r="H340" s="222">
        <v>12.0</v>
      </c>
      <c r="I340" s="222">
        <v>0.0</v>
      </c>
      <c r="J340" s="207"/>
      <c r="K340" s="207"/>
      <c r="L340" s="223">
        <v>46055.0</v>
      </c>
      <c r="M340" s="223">
        <v>46083.0</v>
      </c>
      <c r="N340" s="150"/>
      <c r="O340" s="220">
        <v>-448.0</v>
      </c>
      <c r="P340" s="220">
        <v>478.0</v>
      </c>
      <c r="Q340" s="209"/>
      <c r="R340" s="196" t="s">
        <v>1379</v>
      </c>
      <c r="S340" s="45"/>
      <c r="T340" s="220">
        <v>532.0</v>
      </c>
      <c r="U340" s="198"/>
    </row>
    <row r="341" ht="22.5" customHeight="1">
      <c r="A341" s="199"/>
      <c r="B341" s="212" t="s">
        <v>330</v>
      </c>
      <c r="C341" s="213" t="s">
        <v>136</v>
      </c>
      <c r="D341" s="214" t="s">
        <v>1207</v>
      </c>
      <c r="E341" s="212" t="s">
        <v>17</v>
      </c>
      <c r="F341" s="215">
        <v>4.0</v>
      </c>
      <c r="G341" s="210"/>
      <c r="H341" s="237" t="s">
        <v>1200</v>
      </c>
      <c r="I341" s="216">
        <v>27000.0</v>
      </c>
      <c r="J341" s="216">
        <v>27000.0</v>
      </c>
      <c r="K341" s="216">
        <v>0.0</v>
      </c>
      <c r="L341" s="217">
        <v>46062.0</v>
      </c>
      <c r="M341" s="217">
        <v>46090.0</v>
      </c>
      <c r="N341" s="215">
        <v>1.0</v>
      </c>
      <c r="O341" s="215">
        <v>-441.0</v>
      </c>
      <c r="P341" s="215">
        <v>471.0</v>
      </c>
      <c r="Q341" s="232">
        <v>46098.0</v>
      </c>
      <c r="R341" s="218" t="s">
        <v>1380</v>
      </c>
      <c r="S341" s="225" t="s">
        <v>1381</v>
      </c>
      <c r="T341" s="215">
        <v>533.0</v>
      </c>
      <c r="U341" s="204"/>
    </row>
    <row r="342" ht="22.5" customHeight="1">
      <c r="A342" s="192" t="s">
        <v>107</v>
      </c>
      <c r="B342" s="193" t="s">
        <v>153</v>
      </c>
      <c r="C342" s="219" t="s">
        <v>684</v>
      </c>
      <c r="D342" s="194" t="s">
        <v>1299</v>
      </c>
      <c r="E342" s="193" t="s">
        <v>108</v>
      </c>
      <c r="F342" s="220">
        <v>0.0</v>
      </c>
      <c r="G342" s="221"/>
      <c r="H342" s="222">
        <v>25.0</v>
      </c>
      <c r="I342" s="222">
        <v>0.0</v>
      </c>
      <c r="J342" s="207"/>
      <c r="K342" s="207"/>
      <c r="L342" s="223">
        <v>46061.0</v>
      </c>
      <c r="M342" s="223">
        <v>46089.0</v>
      </c>
      <c r="N342" s="150"/>
      <c r="O342" s="220">
        <v>-442.0</v>
      </c>
      <c r="P342" s="220">
        <v>472.0</v>
      </c>
      <c r="Q342" s="209"/>
      <c r="R342" s="196" t="s">
        <v>1382</v>
      </c>
      <c r="S342" s="45"/>
      <c r="T342" s="220">
        <v>534.0</v>
      </c>
      <c r="U342" s="198"/>
    </row>
    <row r="343" ht="22.5" customHeight="1">
      <c r="A343" s="211" t="s">
        <v>817</v>
      </c>
      <c r="B343" s="212" t="s">
        <v>363</v>
      </c>
      <c r="C343" s="213" t="s">
        <v>136</v>
      </c>
      <c r="D343" s="214" t="s">
        <v>1303</v>
      </c>
      <c r="E343" s="212" t="s">
        <v>19</v>
      </c>
      <c r="F343" s="228" t="s">
        <v>1383</v>
      </c>
      <c r="G343" s="210"/>
      <c r="H343" s="216">
        <v>10.0</v>
      </c>
      <c r="I343" s="216">
        <v>71.7</v>
      </c>
      <c r="J343" s="216">
        <v>7835.73</v>
      </c>
      <c r="K343" s="216">
        <v>0.0</v>
      </c>
      <c r="L343" s="217">
        <v>46075.0</v>
      </c>
      <c r="M343" s="217">
        <v>46103.0</v>
      </c>
      <c r="N343" s="215">
        <v>1.0</v>
      </c>
      <c r="O343" s="215">
        <v>-428.0</v>
      </c>
      <c r="P343" s="215">
        <v>458.0</v>
      </c>
      <c r="Q343" s="232">
        <v>46095.0</v>
      </c>
      <c r="R343" s="218" t="s">
        <v>1384</v>
      </c>
      <c r="S343" s="225" t="s">
        <v>1385</v>
      </c>
      <c r="T343" s="215">
        <v>535.0</v>
      </c>
      <c r="U343" s="204"/>
    </row>
    <row r="344" ht="22.5" customHeight="1">
      <c r="A344" s="192" t="s">
        <v>1386</v>
      </c>
      <c r="B344" s="193" t="s">
        <v>365</v>
      </c>
      <c r="C344" s="226" t="s">
        <v>136</v>
      </c>
      <c r="D344" s="194" t="s">
        <v>56</v>
      </c>
      <c r="E344" s="193" t="s">
        <v>19</v>
      </c>
      <c r="F344" s="220">
        <v>1.0</v>
      </c>
      <c r="G344" s="221"/>
      <c r="H344" s="222">
        <v>75.0</v>
      </c>
      <c r="I344" s="222">
        <v>75.0</v>
      </c>
      <c r="J344" s="207"/>
      <c r="K344" s="207"/>
      <c r="L344" s="223">
        <v>46063.0</v>
      </c>
      <c r="M344" s="223">
        <v>46091.0</v>
      </c>
      <c r="N344" s="150"/>
      <c r="O344" s="220">
        <v>-440.0</v>
      </c>
      <c r="P344" s="220">
        <v>470.0</v>
      </c>
      <c r="Q344" s="209"/>
      <c r="R344" s="45"/>
      <c r="S344" s="227" t="s">
        <v>1387</v>
      </c>
      <c r="T344" s="220">
        <v>536.0</v>
      </c>
      <c r="U344" s="198"/>
    </row>
    <row r="345" ht="22.5" hidden="1" customHeight="1">
      <c r="A345" s="199"/>
      <c r="B345" s="212" t="s">
        <v>923</v>
      </c>
      <c r="C345" s="240" t="s">
        <v>571</v>
      </c>
      <c r="D345" s="236"/>
      <c r="E345" s="203"/>
      <c r="F345" s="147"/>
      <c r="G345" s="186"/>
      <c r="H345" s="201"/>
      <c r="I345" s="237" t="s">
        <v>924</v>
      </c>
      <c r="J345" s="216">
        <v>93515.28</v>
      </c>
      <c r="K345" s="216">
        <v>0.0</v>
      </c>
      <c r="L345" s="202"/>
      <c r="M345" s="202"/>
      <c r="N345" s="147"/>
      <c r="O345" s="147"/>
      <c r="P345" s="147"/>
      <c r="Q345" s="203"/>
      <c r="R345" s="186"/>
      <c r="S345" s="186"/>
      <c r="T345" s="147"/>
      <c r="U345" s="204"/>
    </row>
    <row r="346" ht="22.5" hidden="1" customHeight="1">
      <c r="A346" s="205"/>
      <c r="B346" s="193" t="s">
        <v>558</v>
      </c>
      <c r="C346" s="241" t="s">
        <v>620</v>
      </c>
      <c r="D346" s="234"/>
      <c r="E346" s="234"/>
      <c r="F346" s="150"/>
      <c r="G346" s="234"/>
      <c r="H346" s="207"/>
      <c r="I346" s="197" t="s">
        <v>925</v>
      </c>
      <c r="J346" s="222">
        <v>0.0</v>
      </c>
      <c r="K346" s="207"/>
      <c r="L346" s="208"/>
      <c r="M346" s="196" t="s">
        <v>926</v>
      </c>
      <c r="N346" s="150"/>
      <c r="O346" s="150"/>
      <c r="P346" s="150"/>
      <c r="Q346" s="209"/>
      <c r="R346" s="234"/>
      <c r="S346" s="234"/>
      <c r="T346" s="220">
        <v>536.0</v>
      </c>
      <c r="U346" s="198"/>
    </row>
    <row r="347" ht="22.5" hidden="1" customHeight="1">
      <c r="A347" s="199"/>
      <c r="B347" s="212" t="s">
        <v>696</v>
      </c>
      <c r="C347" s="232" t="s">
        <v>989</v>
      </c>
      <c r="D347" s="236"/>
      <c r="E347" s="236"/>
      <c r="F347" s="147"/>
      <c r="G347" s="236"/>
      <c r="H347" s="201"/>
      <c r="I347" s="237" t="s">
        <v>928</v>
      </c>
      <c r="J347" s="216">
        <v>623768.02</v>
      </c>
      <c r="K347" s="201"/>
      <c r="L347" s="202"/>
      <c r="M347" s="202"/>
      <c r="N347" s="147"/>
      <c r="O347" s="147"/>
      <c r="P347" s="147"/>
      <c r="Q347" s="203"/>
      <c r="R347" s="236"/>
      <c r="S347" s="236"/>
      <c r="T347" s="147"/>
      <c r="U347" s="204"/>
    </row>
    <row r="348" ht="22.5" hidden="1" customHeight="1">
      <c r="A348" s="205"/>
      <c r="B348" s="82"/>
      <c r="C348" s="206"/>
      <c r="D348" s="206"/>
      <c r="E348" s="206"/>
      <c r="F348" s="150"/>
      <c r="G348" s="45"/>
      <c r="H348" s="207"/>
      <c r="I348" s="207"/>
      <c r="J348" s="207"/>
      <c r="K348" s="207"/>
      <c r="L348" s="208"/>
      <c r="M348" s="208"/>
      <c r="N348" s="150"/>
      <c r="O348" s="150"/>
      <c r="P348" s="150"/>
      <c r="Q348" s="209"/>
      <c r="R348" s="45"/>
      <c r="S348" s="45"/>
      <c r="T348" s="150"/>
      <c r="U348" s="198"/>
    </row>
    <row r="349" ht="22.5" hidden="1" customHeight="1">
      <c r="A349" s="199"/>
      <c r="B349" s="146"/>
      <c r="C349" s="200"/>
      <c r="D349" s="200"/>
      <c r="E349" s="200"/>
      <c r="F349" s="147"/>
      <c r="G349" s="186"/>
      <c r="H349" s="201"/>
      <c r="I349" s="201"/>
      <c r="J349" s="201"/>
      <c r="K349" s="201"/>
      <c r="L349" s="202"/>
      <c r="M349" s="202"/>
      <c r="N349" s="147"/>
      <c r="O349" s="147"/>
      <c r="P349" s="147"/>
      <c r="Q349" s="203"/>
      <c r="R349" s="186"/>
      <c r="S349" s="186"/>
      <c r="T349" s="147"/>
      <c r="U349" s="204"/>
    </row>
    <row r="350" ht="22.5" hidden="1" customHeight="1">
      <c r="A350" s="205"/>
      <c r="B350" s="82"/>
      <c r="C350" s="206"/>
      <c r="D350" s="206"/>
      <c r="E350" s="206"/>
      <c r="F350" s="150"/>
      <c r="G350" s="45"/>
      <c r="H350" s="207"/>
      <c r="I350" s="207"/>
      <c r="J350" s="207"/>
      <c r="K350" s="207"/>
      <c r="L350" s="208"/>
      <c r="M350" s="208"/>
      <c r="N350" s="150"/>
      <c r="O350" s="150"/>
      <c r="P350" s="150"/>
      <c r="Q350" s="209"/>
      <c r="R350" s="45"/>
      <c r="S350" s="45"/>
      <c r="T350" s="150"/>
      <c r="U350" s="198"/>
    </row>
    <row r="351" ht="22.5" hidden="1" customHeight="1">
      <c r="A351" s="199"/>
      <c r="B351" s="146"/>
      <c r="C351" s="200"/>
      <c r="D351" s="200"/>
      <c r="E351" s="200"/>
      <c r="F351" s="147"/>
      <c r="G351" s="186"/>
      <c r="H351" s="201"/>
      <c r="I351" s="201"/>
      <c r="J351" s="201"/>
      <c r="K351" s="201"/>
      <c r="L351" s="202"/>
      <c r="M351" s="202"/>
      <c r="N351" s="147"/>
      <c r="O351" s="147"/>
      <c r="P351" s="147"/>
      <c r="Q351" s="203"/>
      <c r="R351" s="186"/>
      <c r="S351" s="186"/>
      <c r="T351" s="147"/>
      <c r="U351" s="204"/>
    </row>
    <row r="352" ht="22.5" hidden="1" customHeight="1">
      <c r="A352" s="192" t="s">
        <v>181</v>
      </c>
      <c r="B352" s="193" t="s">
        <v>132</v>
      </c>
      <c r="C352" s="193" t="s">
        <v>131</v>
      </c>
      <c r="D352" s="194" t="s">
        <v>870</v>
      </c>
      <c r="E352" s="193" t="s">
        <v>7</v>
      </c>
      <c r="F352" s="195" t="s">
        <v>871</v>
      </c>
      <c r="G352" s="193" t="s">
        <v>872</v>
      </c>
      <c r="H352" s="197" t="s">
        <v>8</v>
      </c>
      <c r="I352" s="197" t="s">
        <v>873</v>
      </c>
      <c r="J352" s="197" t="s">
        <v>17</v>
      </c>
      <c r="K352" s="197" t="s">
        <v>874</v>
      </c>
      <c r="L352" s="196" t="s">
        <v>875</v>
      </c>
      <c r="M352" s="196" t="s">
        <v>876</v>
      </c>
      <c r="N352" s="195" t="s">
        <v>877</v>
      </c>
      <c r="O352" s="195" t="s">
        <v>878</v>
      </c>
      <c r="P352" s="195" t="s">
        <v>879</v>
      </c>
      <c r="Q352" s="196" t="s">
        <v>880</v>
      </c>
      <c r="R352" s="196" t="s">
        <v>881</v>
      </c>
      <c r="S352" s="196" t="s">
        <v>882</v>
      </c>
      <c r="T352" s="195" t="s">
        <v>557</v>
      </c>
      <c r="U352" s="198"/>
    </row>
    <row r="353" ht="22.5" customHeight="1">
      <c r="A353" s="211" t="s">
        <v>1388</v>
      </c>
      <c r="B353" s="212" t="s">
        <v>1389</v>
      </c>
      <c r="C353" s="213" t="s">
        <v>136</v>
      </c>
      <c r="D353" s="214" t="s">
        <v>1390</v>
      </c>
      <c r="E353" s="214" t="s">
        <v>17</v>
      </c>
      <c r="F353" s="228" t="s">
        <v>1391</v>
      </c>
      <c r="G353" s="248"/>
      <c r="H353" s="216">
        <v>3000.0</v>
      </c>
      <c r="I353" s="216">
        <v>375.0</v>
      </c>
      <c r="J353" s="216">
        <v>375.0</v>
      </c>
      <c r="K353" s="216">
        <v>375.0</v>
      </c>
      <c r="L353" s="217">
        <v>46033.0</v>
      </c>
      <c r="M353" s="217">
        <v>46064.0</v>
      </c>
      <c r="N353" s="215">
        <v>0.0</v>
      </c>
      <c r="O353" s="215">
        <v>-467.0</v>
      </c>
      <c r="P353" s="215">
        <v>497.0</v>
      </c>
      <c r="Q353" s="203"/>
      <c r="R353" s="218" t="s">
        <v>1392</v>
      </c>
      <c r="S353" s="225" t="s">
        <v>1393</v>
      </c>
      <c r="T353" s="215">
        <v>507.0</v>
      </c>
      <c r="U353" s="204"/>
    </row>
    <row r="354" ht="22.5" customHeight="1">
      <c r="A354" s="192" t="s">
        <v>1334</v>
      </c>
      <c r="B354" s="193" t="s">
        <v>359</v>
      </c>
      <c r="C354" s="226" t="s">
        <v>136</v>
      </c>
      <c r="D354" s="194" t="s">
        <v>1394</v>
      </c>
      <c r="E354" s="193" t="s">
        <v>15</v>
      </c>
      <c r="F354" s="220">
        <v>5.0</v>
      </c>
      <c r="G354" s="230">
        <v>0.3</v>
      </c>
      <c r="H354" s="222">
        <v>100.0</v>
      </c>
      <c r="I354" s="222">
        <v>500.0</v>
      </c>
      <c r="J354" s="222">
        <v>11000.0</v>
      </c>
      <c r="K354" s="222">
        <v>11000.0</v>
      </c>
      <c r="L354" s="223">
        <v>46026.0</v>
      </c>
      <c r="M354" s="223">
        <v>46057.0</v>
      </c>
      <c r="N354" s="220">
        <v>0.0</v>
      </c>
      <c r="O354" s="220">
        <v>-474.0</v>
      </c>
      <c r="P354" s="220">
        <v>504.0</v>
      </c>
      <c r="Q354" s="209"/>
      <c r="R354" s="196" t="s">
        <v>1395</v>
      </c>
      <c r="S354" s="227" t="s">
        <v>1396</v>
      </c>
      <c r="T354" s="220">
        <v>508.0</v>
      </c>
      <c r="U354" s="198"/>
    </row>
    <row r="355" ht="22.5" customHeight="1">
      <c r="A355" s="199"/>
      <c r="B355" s="212" t="s">
        <v>328</v>
      </c>
      <c r="C355" s="213" t="s">
        <v>136</v>
      </c>
      <c r="D355" s="214" t="s">
        <v>1283</v>
      </c>
      <c r="E355" s="212" t="s">
        <v>19</v>
      </c>
      <c r="F355" s="215">
        <v>3.0</v>
      </c>
      <c r="G355" s="210"/>
      <c r="H355" s="216">
        <v>12.0</v>
      </c>
      <c r="I355" s="216">
        <v>36.0</v>
      </c>
      <c r="J355" s="216">
        <v>3835.38</v>
      </c>
      <c r="K355" s="216">
        <v>0.0</v>
      </c>
      <c r="L355" s="217">
        <v>46027.0</v>
      </c>
      <c r="M355" s="217">
        <v>46058.0</v>
      </c>
      <c r="N355" s="215">
        <v>1.0</v>
      </c>
      <c r="O355" s="215">
        <v>-473.0</v>
      </c>
      <c r="P355" s="215">
        <v>503.0</v>
      </c>
      <c r="Q355" s="203"/>
      <c r="R355" s="218" t="s">
        <v>1397</v>
      </c>
      <c r="S355" s="225" t="s">
        <v>1398</v>
      </c>
      <c r="T355" s="215">
        <v>509.0</v>
      </c>
      <c r="U355" s="204"/>
    </row>
    <row r="356" ht="22.5" customHeight="1">
      <c r="A356" s="205"/>
      <c r="B356" s="193" t="s">
        <v>211</v>
      </c>
      <c r="C356" s="226" t="s">
        <v>136</v>
      </c>
      <c r="D356" s="194" t="s">
        <v>1339</v>
      </c>
      <c r="E356" s="193" t="s">
        <v>15</v>
      </c>
      <c r="F356" s="220">
        <v>1.0</v>
      </c>
      <c r="G356" s="221"/>
      <c r="H356" s="222">
        <v>150.0</v>
      </c>
      <c r="I356" s="222">
        <v>150.0</v>
      </c>
      <c r="J356" s="222">
        <v>3354.0</v>
      </c>
      <c r="K356" s="222">
        <v>3354.0</v>
      </c>
      <c r="L356" s="223">
        <v>46024.0</v>
      </c>
      <c r="M356" s="223">
        <v>46055.0</v>
      </c>
      <c r="N356" s="220">
        <v>0.0</v>
      </c>
      <c r="O356" s="220">
        <v>-476.0</v>
      </c>
      <c r="P356" s="220">
        <v>506.0</v>
      </c>
      <c r="Q356" s="209"/>
      <c r="R356" s="196" t="s">
        <v>1399</v>
      </c>
      <c r="S356" s="227" t="s">
        <v>1400</v>
      </c>
      <c r="T356" s="220">
        <v>510.0</v>
      </c>
      <c r="U356" s="198"/>
    </row>
    <row r="357" ht="22.5" customHeight="1">
      <c r="A357" s="211" t="s">
        <v>1401</v>
      </c>
      <c r="B357" s="212" t="s">
        <v>371</v>
      </c>
      <c r="C357" s="200"/>
      <c r="D357" s="214" t="s">
        <v>1402</v>
      </c>
      <c r="E357" s="212" t="s">
        <v>19</v>
      </c>
      <c r="F357" s="215">
        <v>0.0</v>
      </c>
      <c r="G357" s="147"/>
      <c r="H357" s="216">
        <v>15.0</v>
      </c>
      <c r="I357" s="216">
        <v>240.0</v>
      </c>
      <c r="J357" s="201"/>
      <c r="K357" s="201"/>
      <c r="L357" s="217">
        <v>46041.0</v>
      </c>
      <c r="M357" s="217">
        <v>46072.0</v>
      </c>
      <c r="N357" s="147"/>
      <c r="O357" s="215">
        <v>-459.0</v>
      </c>
      <c r="P357" s="215">
        <v>489.0</v>
      </c>
      <c r="Q357" s="203"/>
      <c r="R357" s="218" t="s">
        <v>1403</v>
      </c>
      <c r="S357" s="186"/>
      <c r="T357" s="215">
        <v>511.0</v>
      </c>
      <c r="U357" s="204"/>
    </row>
    <row r="358" ht="22.5" customHeight="1">
      <c r="A358" s="205"/>
      <c r="B358" s="193" t="s">
        <v>336</v>
      </c>
      <c r="C358" s="226" t="s">
        <v>136</v>
      </c>
      <c r="D358" s="194" t="s">
        <v>1369</v>
      </c>
      <c r="E358" s="193" t="s">
        <v>17</v>
      </c>
      <c r="F358" s="220">
        <v>3.0</v>
      </c>
      <c r="G358" s="221"/>
      <c r="H358" s="222">
        <v>1000.0</v>
      </c>
      <c r="I358" s="222">
        <v>3000.0</v>
      </c>
      <c r="J358" s="222">
        <v>3000.0</v>
      </c>
      <c r="K358" s="222">
        <v>3000.0</v>
      </c>
      <c r="L358" s="223">
        <v>46028.0</v>
      </c>
      <c r="M358" s="223">
        <v>46059.0</v>
      </c>
      <c r="N358" s="220">
        <v>0.0</v>
      </c>
      <c r="O358" s="220">
        <v>-472.0</v>
      </c>
      <c r="P358" s="220">
        <v>502.0</v>
      </c>
      <c r="Q358" s="209"/>
      <c r="R358" s="196" t="s">
        <v>1404</v>
      </c>
      <c r="S358" s="227" t="s">
        <v>1405</v>
      </c>
      <c r="T358" s="220">
        <v>512.0</v>
      </c>
      <c r="U358" s="198"/>
    </row>
    <row r="359" ht="22.5" customHeight="1">
      <c r="A359" s="199"/>
      <c r="B359" s="212" t="s">
        <v>355</v>
      </c>
      <c r="C359" s="213" t="s">
        <v>136</v>
      </c>
      <c r="D359" s="214" t="s">
        <v>1369</v>
      </c>
      <c r="E359" s="212" t="s">
        <v>17</v>
      </c>
      <c r="F359" s="215">
        <v>3.0</v>
      </c>
      <c r="G359" s="210"/>
      <c r="H359" s="216">
        <v>1000.0</v>
      </c>
      <c r="I359" s="216">
        <v>3000.0</v>
      </c>
      <c r="J359" s="216">
        <v>3000.0</v>
      </c>
      <c r="K359" s="216">
        <v>3000.0</v>
      </c>
      <c r="L359" s="217">
        <v>46046.0</v>
      </c>
      <c r="M359" s="217">
        <v>46077.0</v>
      </c>
      <c r="N359" s="215">
        <v>0.0</v>
      </c>
      <c r="O359" s="215">
        <v>-454.0</v>
      </c>
      <c r="P359" s="215">
        <v>484.0</v>
      </c>
      <c r="Q359" s="203"/>
      <c r="R359" s="218" t="s">
        <v>1406</v>
      </c>
      <c r="S359" s="225" t="s">
        <v>1407</v>
      </c>
      <c r="T359" s="215">
        <v>513.0</v>
      </c>
      <c r="U359" s="204"/>
    </row>
    <row r="360" ht="22.5" customHeight="1">
      <c r="A360" s="192" t="s">
        <v>1408</v>
      </c>
      <c r="B360" s="193" t="s">
        <v>313</v>
      </c>
      <c r="C360" s="206"/>
      <c r="D360" s="194" t="s">
        <v>1409</v>
      </c>
      <c r="E360" s="193" t="s">
        <v>17</v>
      </c>
      <c r="F360" s="220">
        <v>2.0</v>
      </c>
      <c r="G360" s="221"/>
      <c r="H360" s="222">
        <v>8000.0</v>
      </c>
      <c r="I360" s="222">
        <v>16000.0</v>
      </c>
      <c r="J360" s="207"/>
      <c r="K360" s="207"/>
      <c r="L360" s="223">
        <v>46030.0</v>
      </c>
      <c r="M360" s="223">
        <v>46061.0</v>
      </c>
      <c r="N360" s="150"/>
      <c r="O360" s="220">
        <v>-470.0</v>
      </c>
      <c r="P360" s="220">
        <v>500.0</v>
      </c>
      <c r="Q360" s="209"/>
      <c r="R360" s="196" t="s">
        <v>1410</v>
      </c>
      <c r="S360" s="45"/>
      <c r="T360" s="220">
        <v>514.0</v>
      </c>
      <c r="U360" s="198"/>
    </row>
    <row r="361" ht="22.5" customHeight="1">
      <c r="A361" s="199"/>
      <c r="B361" s="212" t="s">
        <v>309</v>
      </c>
      <c r="C361" s="213" t="s">
        <v>136</v>
      </c>
      <c r="D361" s="214" t="s">
        <v>1160</v>
      </c>
      <c r="E361" s="212" t="s">
        <v>17</v>
      </c>
      <c r="F361" s="215">
        <v>3.0</v>
      </c>
      <c r="G361" s="210"/>
      <c r="H361" s="216">
        <v>3000.0</v>
      </c>
      <c r="I361" s="216">
        <v>9000.0</v>
      </c>
      <c r="J361" s="216">
        <v>9000.0</v>
      </c>
      <c r="K361" s="216">
        <v>0.0</v>
      </c>
      <c r="L361" s="217">
        <v>46025.0</v>
      </c>
      <c r="M361" s="217">
        <v>46056.0</v>
      </c>
      <c r="N361" s="215">
        <v>1.0</v>
      </c>
      <c r="O361" s="215">
        <v>-475.0</v>
      </c>
      <c r="P361" s="215">
        <v>505.0</v>
      </c>
      <c r="Q361" s="203"/>
      <c r="R361" s="218" t="s">
        <v>1411</v>
      </c>
      <c r="S361" s="225" t="s">
        <v>1412</v>
      </c>
      <c r="T361" s="215">
        <v>515.0</v>
      </c>
      <c r="U361" s="204"/>
    </row>
    <row r="362" ht="22.5" customHeight="1">
      <c r="A362" s="192" t="s">
        <v>1344</v>
      </c>
      <c r="B362" s="193" t="s">
        <v>301</v>
      </c>
      <c r="C362" s="226" t="s">
        <v>136</v>
      </c>
      <c r="D362" s="194" t="s">
        <v>1199</v>
      </c>
      <c r="E362" s="193" t="s">
        <v>17</v>
      </c>
      <c r="F362" s="220">
        <v>4.0</v>
      </c>
      <c r="G362" s="221"/>
      <c r="H362" s="222">
        <v>6000.0</v>
      </c>
      <c r="I362" s="222">
        <v>24000.0</v>
      </c>
      <c r="J362" s="222">
        <v>24000.0</v>
      </c>
      <c r="K362" s="222">
        <v>0.0</v>
      </c>
      <c r="L362" s="223">
        <v>46040.0</v>
      </c>
      <c r="M362" s="223">
        <v>46071.0</v>
      </c>
      <c r="N362" s="220">
        <v>1.0</v>
      </c>
      <c r="O362" s="220">
        <v>-460.0</v>
      </c>
      <c r="P362" s="220">
        <v>490.0</v>
      </c>
      <c r="Q362" s="209"/>
      <c r="R362" s="196" t="s">
        <v>1413</v>
      </c>
      <c r="S362" s="227" t="s">
        <v>1414</v>
      </c>
      <c r="T362" s="220">
        <v>516.0</v>
      </c>
      <c r="U362" s="198"/>
    </row>
    <row r="363" ht="22.5" customHeight="1">
      <c r="A363" s="211" t="s">
        <v>1415</v>
      </c>
      <c r="B363" s="212" t="s">
        <v>305</v>
      </c>
      <c r="C363" s="213" t="s">
        <v>136</v>
      </c>
      <c r="D363" s="214" t="s">
        <v>1416</v>
      </c>
      <c r="E363" s="212" t="s">
        <v>17</v>
      </c>
      <c r="F363" s="215">
        <v>3.0</v>
      </c>
      <c r="G363" s="210"/>
      <c r="H363" s="216">
        <v>5000.0</v>
      </c>
      <c r="I363" s="216">
        <v>15000.0</v>
      </c>
      <c r="J363" s="216">
        <v>7500.0</v>
      </c>
      <c r="K363" s="216">
        <v>0.0</v>
      </c>
      <c r="L363" s="217">
        <v>46029.0</v>
      </c>
      <c r="M363" s="217">
        <v>46060.0</v>
      </c>
      <c r="N363" s="215">
        <v>1.0</v>
      </c>
      <c r="O363" s="215">
        <v>-471.0</v>
      </c>
      <c r="P363" s="215">
        <v>501.0</v>
      </c>
      <c r="Q363" s="203"/>
      <c r="R363" s="218" t="s">
        <v>1417</v>
      </c>
      <c r="S363" s="225" t="s">
        <v>1418</v>
      </c>
      <c r="T363" s="215">
        <v>517.0</v>
      </c>
      <c r="U363" s="204"/>
    </row>
    <row r="364" ht="22.5" customHeight="1">
      <c r="A364" s="192" t="s">
        <v>1419</v>
      </c>
      <c r="B364" s="193" t="s">
        <v>349</v>
      </c>
      <c r="C364" s="206"/>
      <c r="D364" s="194" t="s">
        <v>1294</v>
      </c>
      <c r="E364" s="193" t="s">
        <v>100</v>
      </c>
      <c r="F364" s="220">
        <v>8.0</v>
      </c>
      <c r="G364" s="221"/>
      <c r="H364" s="222">
        <v>12.0</v>
      </c>
      <c r="I364" s="222">
        <v>96.0</v>
      </c>
      <c r="J364" s="207"/>
      <c r="K364" s="207"/>
      <c r="L364" s="223">
        <v>46024.0</v>
      </c>
      <c r="M364" s="223">
        <v>46055.0</v>
      </c>
      <c r="N364" s="150"/>
      <c r="O364" s="220">
        <v>-476.0</v>
      </c>
      <c r="P364" s="220">
        <v>506.0</v>
      </c>
      <c r="Q364" s="209"/>
      <c r="R364" s="196" t="s">
        <v>1420</v>
      </c>
      <c r="S364" s="45"/>
      <c r="T364" s="220">
        <v>518.0</v>
      </c>
      <c r="U364" s="198"/>
    </row>
    <row r="365" ht="22.5" customHeight="1">
      <c r="A365" s="199"/>
      <c r="B365" s="212" t="s">
        <v>330</v>
      </c>
      <c r="C365" s="213" t="s">
        <v>136</v>
      </c>
      <c r="D365" s="214" t="s">
        <v>1207</v>
      </c>
      <c r="E365" s="212" t="s">
        <v>17</v>
      </c>
      <c r="F365" s="215">
        <v>4.0</v>
      </c>
      <c r="G365" s="210"/>
      <c r="H365" s="237" t="s">
        <v>1200</v>
      </c>
      <c r="I365" s="216">
        <v>27000.0</v>
      </c>
      <c r="J365" s="216">
        <v>27000.0</v>
      </c>
      <c r="K365" s="216">
        <v>0.0</v>
      </c>
      <c r="L365" s="217">
        <v>46031.0</v>
      </c>
      <c r="M365" s="217">
        <v>46062.0</v>
      </c>
      <c r="N365" s="215">
        <v>1.0</v>
      </c>
      <c r="O365" s="215">
        <v>-469.0</v>
      </c>
      <c r="P365" s="215">
        <v>499.0</v>
      </c>
      <c r="Q365" s="203"/>
      <c r="R365" s="218" t="s">
        <v>1421</v>
      </c>
      <c r="S365" s="225" t="s">
        <v>1422</v>
      </c>
      <c r="T365" s="215">
        <v>519.0</v>
      </c>
      <c r="U365" s="204"/>
    </row>
    <row r="366" ht="22.5" customHeight="1">
      <c r="A366" s="192" t="s">
        <v>1423</v>
      </c>
      <c r="B366" s="193" t="s">
        <v>345</v>
      </c>
      <c r="C366" s="226" t="s">
        <v>136</v>
      </c>
      <c r="D366" s="194" t="s">
        <v>1160</v>
      </c>
      <c r="E366" s="193" t="s">
        <v>17</v>
      </c>
      <c r="F366" s="220">
        <v>3.0</v>
      </c>
      <c r="G366" s="221"/>
      <c r="H366" s="222">
        <v>3000.0</v>
      </c>
      <c r="I366" s="222">
        <v>9000.0</v>
      </c>
      <c r="J366" s="222">
        <v>9000.0</v>
      </c>
      <c r="K366" s="222">
        <v>9000.0</v>
      </c>
      <c r="L366" s="223">
        <v>46042.0</v>
      </c>
      <c r="M366" s="223">
        <v>46073.0</v>
      </c>
      <c r="N366" s="220">
        <v>0.0</v>
      </c>
      <c r="O366" s="220">
        <v>-458.0</v>
      </c>
      <c r="P366" s="220">
        <v>488.0</v>
      </c>
      <c r="Q366" s="209"/>
      <c r="R366" s="196" t="s">
        <v>1424</v>
      </c>
      <c r="S366" s="227" t="s">
        <v>1425</v>
      </c>
      <c r="T366" s="220">
        <v>520.0</v>
      </c>
      <c r="U366" s="198"/>
    </row>
    <row r="367" ht="22.5" customHeight="1">
      <c r="A367" s="199"/>
      <c r="B367" s="212" t="s">
        <v>334</v>
      </c>
      <c r="C367" s="213" t="s">
        <v>136</v>
      </c>
      <c r="D367" s="214" t="s">
        <v>1426</v>
      </c>
      <c r="E367" s="212" t="s">
        <v>15</v>
      </c>
      <c r="F367" s="215">
        <v>1.0</v>
      </c>
      <c r="G367" s="210"/>
      <c r="H367" s="216">
        <v>150.0</v>
      </c>
      <c r="I367" s="216">
        <v>150.0</v>
      </c>
      <c r="J367" s="216">
        <v>3423.31</v>
      </c>
      <c r="K367" s="216">
        <v>3423.31</v>
      </c>
      <c r="L367" s="217">
        <v>46027.0</v>
      </c>
      <c r="M367" s="217">
        <v>46058.0</v>
      </c>
      <c r="N367" s="215">
        <v>0.0</v>
      </c>
      <c r="O367" s="215">
        <v>-473.0</v>
      </c>
      <c r="P367" s="215">
        <v>503.0</v>
      </c>
      <c r="Q367" s="203"/>
      <c r="R367" s="218" t="s">
        <v>1427</v>
      </c>
      <c r="S367" s="225" t="s">
        <v>1428</v>
      </c>
      <c r="T367" s="215">
        <v>521.0</v>
      </c>
      <c r="U367" s="204"/>
    </row>
    <row r="368" ht="22.5" customHeight="1">
      <c r="A368" s="192" t="s">
        <v>1429</v>
      </c>
      <c r="B368" s="193" t="s">
        <v>153</v>
      </c>
      <c r="C368" s="226" t="s">
        <v>136</v>
      </c>
      <c r="D368" s="194" t="s">
        <v>1299</v>
      </c>
      <c r="E368" s="193" t="s">
        <v>108</v>
      </c>
      <c r="F368" s="220">
        <v>1.0</v>
      </c>
      <c r="G368" s="221"/>
      <c r="H368" s="222">
        <v>25.0</v>
      </c>
      <c r="I368" s="222">
        <v>25.0</v>
      </c>
      <c r="J368" s="222">
        <v>1568.37</v>
      </c>
      <c r="K368" s="222">
        <v>0.0</v>
      </c>
      <c r="L368" s="223">
        <v>46030.0</v>
      </c>
      <c r="M368" s="223">
        <v>46061.0</v>
      </c>
      <c r="N368" s="220">
        <v>1.0</v>
      </c>
      <c r="O368" s="220">
        <v>-470.0</v>
      </c>
      <c r="P368" s="220">
        <v>500.0</v>
      </c>
      <c r="Q368" s="238">
        <v>46192.0</v>
      </c>
      <c r="R368" s="196" t="s">
        <v>1430</v>
      </c>
      <c r="S368" s="227" t="s">
        <v>1431</v>
      </c>
      <c r="T368" s="220">
        <v>522.0</v>
      </c>
      <c r="U368" s="198"/>
    </row>
    <row r="369" ht="22.5" customHeight="1">
      <c r="A369" s="211" t="s">
        <v>1432</v>
      </c>
      <c r="B369" s="212" t="s">
        <v>363</v>
      </c>
      <c r="C369" s="213" t="s">
        <v>136</v>
      </c>
      <c r="D369" s="214" t="s">
        <v>1303</v>
      </c>
      <c r="E369" s="212" t="s">
        <v>19</v>
      </c>
      <c r="F369" s="215">
        <v>8.58</v>
      </c>
      <c r="G369" s="210"/>
      <c r="H369" s="216">
        <v>10.0</v>
      </c>
      <c r="I369" s="216">
        <v>85.8</v>
      </c>
      <c r="J369" s="216">
        <v>9133.71</v>
      </c>
      <c r="K369" s="216">
        <v>0.0</v>
      </c>
      <c r="L369" s="217">
        <v>46044.0</v>
      </c>
      <c r="M369" s="217">
        <v>46075.0</v>
      </c>
      <c r="N369" s="215">
        <v>1.0</v>
      </c>
      <c r="O369" s="215">
        <v>-456.0</v>
      </c>
      <c r="P369" s="215">
        <v>486.0</v>
      </c>
      <c r="Q369" s="232">
        <v>46095.0</v>
      </c>
      <c r="R369" s="218" t="s">
        <v>1433</v>
      </c>
      <c r="S369" s="225" t="s">
        <v>1434</v>
      </c>
      <c r="T369" s="215">
        <v>523.0</v>
      </c>
      <c r="U369" s="204"/>
    </row>
    <row r="370" ht="22.5" customHeight="1">
      <c r="A370" s="192" t="s">
        <v>1358</v>
      </c>
      <c r="B370" s="193" t="s">
        <v>365</v>
      </c>
      <c r="C370" s="226" t="s">
        <v>136</v>
      </c>
      <c r="D370" s="194" t="s">
        <v>56</v>
      </c>
      <c r="E370" s="193" t="s">
        <v>19</v>
      </c>
      <c r="F370" s="220">
        <v>1.0</v>
      </c>
      <c r="G370" s="221"/>
      <c r="H370" s="222">
        <v>75.0</v>
      </c>
      <c r="I370" s="222">
        <v>75.0</v>
      </c>
      <c r="J370" s="207"/>
      <c r="K370" s="207"/>
      <c r="L370" s="223">
        <v>46032.0</v>
      </c>
      <c r="M370" s="223">
        <v>46063.0</v>
      </c>
      <c r="N370" s="150"/>
      <c r="O370" s="220">
        <v>-468.0</v>
      </c>
      <c r="P370" s="220">
        <v>498.0</v>
      </c>
      <c r="Q370" s="209"/>
      <c r="R370" s="196" t="s">
        <v>1435</v>
      </c>
      <c r="S370" s="227" t="s">
        <v>1436</v>
      </c>
      <c r="T370" s="220">
        <v>524.0</v>
      </c>
      <c r="U370" s="198"/>
    </row>
    <row r="371" ht="22.5" hidden="1" customHeight="1">
      <c r="A371" s="199"/>
      <c r="B371" s="212" t="s">
        <v>923</v>
      </c>
      <c r="C371" s="240" t="s">
        <v>587</v>
      </c>
      <c r="D371" s="236"/>
      <c r="E371" s="203"/>
      <c r="F371" s="147"/>
      <c r="G371" s="186"/>
      <c r="H371" s="201"/>
      <c r="I371" s="237" t="s">
        <v>924</v>
      </c>
      <c r="J371" s="216">
        <v>115189.77</v>
      </c>
      <c r="K371" s="216">
        <v>33152.31</v>
      </c>
      <c r="L371" s="202"/>
      <c r="M371" s="202"/>
      <c r="N371" s="147"/>
      <c r="O371" s="147"/>
      <c r="P371" s="147"/>
      <c r="Q371" s="203"/>
      <c r="R371" s="186"/>
      <c r="S371" s="186"/>
      <c r="T371" s="147"/>
      <c r="U371" s="204"/>
    </row>
    <row r="372" ht="22.5" hidden="1" customHeight="1">
      <c r="A372" s="205"/>
      <c r="B372" s="193" t="s">
        <v>558</v>
      </c>
      <c r="C372" s="241" t="s">
        <v>618</v>
      </c>
      <c r="D372" s="234"/>
      <c r="E372" s="234"/>
      <c r="F372" s="150"/>
      <c r="G372" s="234"/>
      <c r="H372" s="207"/>
      <c r="I372" s="197" t="s">
        <v>925</v>
      </c>
      <c r="J372" s="222">
        <v>397827.75</v>
      </c>
      <c r="K372" s="207"/>
      <c r="L372" s="208"/>
      <c r="M372" s="196" t="s">
        <v>926</v>
      </c>
      <c r="N372" s="150"/>
      <c r="O372" s="150"/>
      <c r="P372" s="150"/>
      <c r="Q372" s="209"/>
      <c r="R372" s="234"/>
      <c r="S372" s="234"/>
      <c r="T372" s="220">
        <v>524.0</v>
      </c>
      <c r="U372" s="198"/>
    </row>
    <row r="373" ht="22.5" hidden="1" customHeight="1">
      <c r="A373" s="199"/>
      <c r="B373" s="212" t="s">
        <v>696</v>
      </c>
      <c r="C373" s="232" t="s">
        <v>1020</v>
      </c>
      <c r="D373" s="236"/>
      <c r="E373" s="236"/>
      <c r="F373" s="147"/>
      <c r="G373" s="236"/>
      <c r="H373" s="201"/>
      <c r="I373" s="237" t="s">
        <v>928</v>
      </c>
      <c r="J373" s="216">
        <v>623768.02</v>
      </c>
      <c r="K373" s="201"/>
      <c r="L373" s="202"/>
      <c r="M373" s="202"/>
      <c r="N373" s="147"/>
      <c r="O373" s="147"/>
      <c r="P373" s="147"/>
      <c r="Q373" s="203"/>
      <c r="R373" s="236"/>
      <c r="S373" s="236"/>
      <c r="T373" s="147"/>
      <c r="U373" s="204"/>
    </row>
    <row r="374" ht="22.5" hidden="1" customHeight="1">
      <c r="A374" s="205"/>
      <c r="B374" s="82"/>
      <c r="C374" s="206"/>
      <c r="D374" s="206"/>
      <c r="E374" s="206"/>
      <c r="F374" s="150"/>
      <c r="G374" s="45"/>
      <c r="H374" s="207"/>
      <c r="I374" s="207"/>
      <c r="J374" s="207"/>
      <c r="K374" s="207"/>
      <c r="L374" s="208"/>
      <c r="M374" s="208"/>
      <c r="N374" s="150"/>
      <c r="O374" s="150"/>
      <c r="P374" s="150"/>
      <c r="Q374" s="209"/>
      <c r="R374" s="45"/>
      <c r="S374" s="45"/>
      <c r="T374" s="150"/>
      <c r="U374" s="198"/>
    </row>
    <row r="375" ht="22.5" hidden="1" customHeight="1">
      <c r="A375" s="199"/>
      <c r="B375" s="146"/>
      <c r="C375" s="200"/>
      <c r="D375" s="200"/>
      <c r="E375" s="200"/>
      <c r="F375" s="147"/>
      <c r="G375" s="186"/>
      <c r="H375" s="201"/>
      <c r="I375" s="201"/>
      <c r="J375" s="201"/>
      <c r="K375" s="201"/>
      <c r="L375" s="202"/>
      <c r="M375" s="202"/>
      <c r="N375" s="147"/>
      <c r="O375" s="147"/>
      <c r="P375" s="147"/>
      <c r="Q375" s="203"/>
      <c r="R375" s="186"/>
      <c r="S375" s="186"/>
      <c r="T375" s="147"/>
      <c r="U375" s="204"/>
    </row>
    <row r="376" ht="22.5" hidden="1" customHeight="1">
      <c r="A376" s="205"/>
      <c r="B376" s="82"/>
      <c r="C376" s="206"/>
      <c r="D376" s="206"/>
      <c r="E376" s="206"/>
      <c r="F376" s="150"/>
      <c r="G376" s="45"/>
      <c r="H376" s="207"/>
      <c r="I376" s="207"/>
      <c r="J376" s="207"/>
      <c r="K376" s="207"/>
      <c r="L376" s="208"/>
      <c r="M376" s="208"/>
      <c r="N376" s="150"/>
      <c r="O376" s="150"/>
      <c r="P376" s="150"/>
      <c r="Q376" s="209"/>
      <c r="R376" s="45"/>
      <c r="S376" s="45"/>
      <c r="T376" s="150"/>
      <c r="U376" s="198"/>
    </row>
    <row r="377" ht="22.5" hidden="1" customHeight="1">
      <c r="A377" s="199"/>
      <c r="B377" s="146"/>
      <c r="C377" s="200"/>
      <c r="D377" s="200"/>
      <c r="E377" s="200"/>
      <c r="F377" s="147"/>
      <c r="G377" s="186"/>
      <c r="H377" s="201"/>
      <c r="I377" s="201"/>
      <c r="J377" s="201"/>
      <c r="K377" s="201"/>
      <c r="L377" s="202"/>
      <c r="M377" s="202"/>
      <c r="N377" s="147"/>
      <c r="O377" s="147"/>
      <c r="P377" s="147"/>
      <c r="Q377" s="203"/>
      <c r="R377" s="186"/>
      <c r="S377" s="186"/>
      <c r="T377" s="147"/>
      <c r="U377" s="204"/>
    </row>
    <row r="378" ht="22.5" hidden="1" customHeight="1">
      <c r="A378" s="192" t="s">
        <v>181</v>
      </c>
      <c r="B378" s="193" t="s">
        <v>132</v>
      </c>
      <c r="C378" s="193" t="s">
        <v>131</v>
      </c>
      <c r="D378" s="194" t="s">
        <v>870</v>
      </c>
      <c r="E378" s="193" t="s">
        <v>7</v>
      </c>
      <c r="F378" s="195" t="s">
        <v>871</v>
      </c>
      <c r="G378" s="193" t="s">
        <v>872</v>
      </c>
      <c r="H378" s="197" t="s">
        <v>8</v>
      </c>
      <c r="I378" s="197" t="s">
        <v>873</v>
      </c>
      <c r="J378" s="197" t="s">
        <v>17</v>
      </c>
      <c r="K378" s="197" t="s">
        <v>874</v>
      </c>
      <c r="L378" s="196" t="s">
        <v>875</v>
      </c>
      <c r="M378" s="196" t="s">
        <v>876</v>
      </c>
      <c r="N378" s="195" t="s">
        <v>877</v>
      </c>
      <c r="O378" s="195" t="s">
        <v>878</v>
      </c>
      <c r="P378" s="195" t="s">
        <v>879</v>
      </c>
      <c r="Q378" s="196" t="s">
        <v>880</v>
      </c>
      <c r="R378" s="196" t="s">
        <v>881</v>
      </c>
      <c r="S378" s="196" t="s">
        <v>882</v>
      </c>
      <c r="T378" s="195" t="s">
        <v>557</v>
      </c>
      <c r="U378" s="198"/>
    </row>
    <row r="379" ht="22.5" customHeight="1">
      <c r="A379" s="211" t="s">
        <v>1334</v>
      </c>
      <c r="B379" s="212" t="s">
        <v>359</v>
      </c>
      <c r="C379" s="213" t="s">
        <v>136</v>
      </c>
      <c r="D379" s="214" t="s">
        <v>1394</v>
      </c>
      <c r="E379" s="212" t="s">
        <v>15</v>
      </c>
      <c r="F379" s="215">
        <v>5.0</v>
      </c>
      <c r="G379" s="147"/>
      <c r="H379" s="216">
        <v>100.0</v>
      </c>
      <c r="I379" s="216">
        <v>500.0</v>
      </c>
      <c r="J379" s="216">
        <v>11257.45</v>
      </c>
      <c r="K379" s="216">
        <v>11000.0</v>
      </c>
      <c r="L379" s="217">
        <v>46360.0</v>
      </c>
      <c r="M379" s="217">
        <v>46026.0</v>
      </c>
      <c r="N379" s="215">
        <v>0.0</v>
      </c>
      <c r="O379" s="215">
        <v>-505.0</v>
      </c>
      <c r="P379" s="215">
        <v>535.0</v>
      </c>
      <c r="Q379" s="203"/>
      <c r="R379" s="218" t="s">
        <v>1437</v>
      </c>
      <c r="S379" s="225" t="s">
        <v>1438</v>
      </c>
      <c r="T379" s="215">
        <v>489.0</v>
      </c>
      <c r="U379" s="204"/>
    </row>
    <row r="380" ht="22.5" customHeight="1">
      <c r="A380" s="205"/>
      <c r="B380" s="193" t="s">
        <v>328</v>
      </c>
      <c r="C380" s="226" t="s">
        <v>136</v>
      </c>
      <c r="D380" s="194" t="s">
        <v>1283</v>
      </c>
      <c r="E380" s="193" t="s">
        <v>19</v>
      </c>
      <c r="F380" s="195" t="s">
        <v>1311</v>
      </c>
      <c r="G380" s="221"/>
      <c r="H380" s="222">
        <v>12.0</v>
      </c>
      <c r="I380" s="222">
        <v>36.0</v>
      </c>
      <c r="J380" s="222">
        <v>3890.02</v>
      </c>
      <c r="K380" s="222">
        <v>0.0</v>
      </c>
      <c r="L380" s="223">
        <v>46361.0</v>
      </c>
      <c r="M380" s="223">
        <v>46027.0</v>
      </c>
      <c r="N380" s="220">
        <v>1.0</v>
      </c>
      <c r="O380" s="220">
        <v>-504.0</v>
      </c>
      <c r="P380" s="220">
        <v>534.0</v>
      </c>
      <c r="Q380" s="209"/>
      <c r="R380" s="196" t="s">
        <v>1439</v>
      </c>
      <c r="S380" s="227" t="s">
        <v>1440</v>
      </c>
      <c r="T380" s="220">
        <v>490.0</v>
      </c>
      <c r="U380" s="198"/>
    </row>
    <row r="381" ht="22.5" customHeight="1">
      <c r="A381" s="211" t="s">
        <v>1419</v>
      </c>
      <c r="B381" s="212" t="s">
        <v>211</v>
      </c>
      <c r="C381" s="213" t="s">
        <v>136</v>
      </c>
      <c r="D381" s="214" t="s">
        <v>1339</v>
      </c>
      <c r="E381" s="212" t="s">
        <v>15</v>
      </c>
      <c r="F381" s="215">
        <v>1.0</v>
      </c>
      <c r="G381" s="210"/>
      <c r="H381" s="216">
        <v>150.0</v>
      </c>
      <c r="I381" s="216">
        <v>150.0</v>
      </c>
      <c r="J381" s="216">
        <v>3378.77</v>
      </c>
      <c r="K381" s="216">
        <v>3378.77</v>
      </c>
      <c r="L381" s="217">
        <v>46358.0</v>
      </c>
      <c r="M381" s="217">
        <v>46024.0</v>
      </c>
      <c r="N381" s="215">
        <v>0.0</v>
      </c>
      <c r="O381" s="215">
        <v>-507.0</v>
      </c>
      <c r="P381" s="215">
        <v>537.0</v>
      </c>
      <c r="Q381" s="203"/>
      <c r="R381" s="218" t="s">
        <v>1441</v>
      </c>
      <c r="S381" s="225" t="s">
        <v>1442</v>
      </c>
      <c r="T381" s="215">
        <v>491.0</v>
      </c>
      <c r="U381" s="204"/>
    </row>
    <row r="382" ht="22.5" customHeight="1">
      <c r="A382" s="192" t="s">
        <v>1443</v>
      </c>
      <c r="B382" s="193" t="s">
        <v>371</v>
      </c>
      <c r="C382" s="226" t="s">
        <v>136</v>
      </c>
      <c r="D382" s="194" t="s">
        <v>1402</v>
      </c>
      <c r="E382" s="193" t="s">
        <v>19</v>
      </c>
      <c r="F382" s="195" t="s">
        <v>1444</v>
      </c>
      <c r="G382" s="150"/>
      <c r="H382" s="222">
        <v>15.0</v>
      </c>
      <c r="I382" s="222">
        <v>47.55</v>
      </c>
      <c r="J382" s="222">
        <v>5069.04</v>
      </c>
      <c r="K382" s="222">
        <v>5069.04</v>
      </c>
      <c r="L382" s="223">
        <v>46375.0</v>
      </c>
      <c r="M382" s="223">
        <v>46041.0</v>
      </c>
      <c r="N382" s="220">
        <v>0.0</v>
      </c>
      <c r="O382" s="220">
        <v>-490.0</v>
      </c>
      <c r="P382" s="220">
        <v>520.0</v>
      </c>
      <c r="Q382" s="209"/>
      <c r="R382" s="196" t="s">
        <v>1445</v>
      </c>
      <c r="S382" s="227" t="s">
        <v>1446</v>
      </c>
      <c r="T382" s="220">
        <v>492.0</v>
      </c>
      <c r="U382" s="198"/>
    </row>
    <row r="383" ht="22.5" customHeight="1">
      <c r="A383" s="211" t="s">
        <v>1447</v>
      </c>
      <c r="B383" s="212" t="s">
        <v>336</v>
      </c>
      <c r="C383" s="213" t="s">
        <v>136</v>
      </c>
      <c r="D383" s="214" t="s">
        <v>1369</v>
      </c>
      <c r="E383" s="212" t="s">
        <v>17</v>
      </c>
      <c r="F383" s="215">
        <v>3.0</v>
      </c>
      <c r="G383" s="210"/>
      <c r="H383" s="216">
        <v>1000.0</v>
      </c>
      <c r="I383" s="216">
        <v>3000.0</v>
      </c>
      <c r="J383" s="216">
        <v>3000.0</v>
      </c>
      <c r="K383" s="216">
        <v>3000.0</v>
      </c>
      <c r="L383" s="217">
        <v>46362.0</v>
      </c>
      <c r="M383" s="217">
        <v>46028.0</v>
      </c>
      <c r="N383" s="215">
        <v>0.0</v>
      </c>
      <c r="O383" s="215">
        <v>-503.0</v>
      </c>
      <c r="P383" s="215">
        <v>533.0</v>
      </c>
      <c r="Q383" s="203"/>
      <c r="R383" s="218" t="s">
        <v>1448</v>
      </c>
      <c r="S383" s="225" t="s">
        <v>1449</v>
      </c>
      <c r="T383" s="215">
        <v>493.0</v>
      </c>
      <c r="U383" s="204"/>
    </row>
    <row r="384" ht="22.5" customHeight="1">
      <c r="A384" s="192" t="s">
        <v>1450</v>
      </c>
      <c r="B384" s="193" t="s">
        <v>355</v>
      </c>
      <c r="C384" s="226" t="s">
        <v>136</v>
      </c>
      <c r="D384" s="194" t="s">
        <v>1369</v>
      </c>
      <c r="E384" s="193" t="s">
        <v>17</v>
      </c>
      <c r="F384" s="220">
        <v>3.0</v>
      </c>
      <c r="G384" s="150"/>
      <c r="H384" s="222">
        <v>1000.0</v>
      </c>
      <c r="I384" s="222">
        <v>3000.0</v>
      </c>
      <c r="J384" s="222">
        <v>3000.0</v>
      </c>
      <c r="K384" s="222">
        <v>3000.0</v>
      </c>
      <c r="L384" s="223">
        <v>46380.0</v>
      </c>
      <c r="M384" s="223">
        <v>46046.0</v>
      </c>
      <c r="N384" s="220">
        <v>0.0</v>
      </c>
      <c r="O384" s="220">
        <v>-485.0</v>
      </c>
      <c r="P384" s="220">
        <v>515.0</v>
      </c>
      <c r="Q384" s="209"/>
      <c r="R384" s="196" t="s">
        <v>1451</v>
      </c>
      <c r="S384" s="227" t="s">
        <v>1452</v>
      </c>
      <c r="T384" s="220">
        <v>494.0</v>
      </c>
      <c r="U384" s="198"/>
    </row>
    <row r="385" ht="22.5" customHeight="1">
      <c r="A385" s="211" t="s">
        <v>1453</v>
      </c>
      <c r="B385" s="212" t="s">
        <v>309</v>
      </c>
      <c r="C385" s="213" t="s">
        <v>136</v>
      </c>
      <c r="D385" s="214" t="s">
        <v>1160</v>
      </c>
      <c r="E385" s="212" t="s">
        <v>17</v>
      </c>
      <c r="F385" s="215">
        <v>3.0</v>
      </c>
      <c r="G385" s="210"/>
      <c r="H385" s="216">
        <v>3000.0</v>
      </c>
      <c r="I385" s="216">
        <v>9000.0</v>
      </c>
      <c r="J385" s="216">
        <v>9000.0</v>
      </c>
      <c r="K385" s="216">
        <v>0.0</v>
      </c>
      <c r="L385" s="217">
        <v>46359.0</v>
      </c>
      <c r="M385" s="217">
        <v>46025.0</v>
      </c>
      <c r="N385" s="215">
        <v>1.0</v>
      </c>
      <c r="O385" s="215">
        <v>-506.0</v>
      </c>
      <c r="P385" s="215">
        <v>536.0</v>
      </c>
      <c r="Q385" s="203"/>
      <c r="R385" s="218" t="s">
        <v>1454</v>
      </c>
      <c r="S385" s="225" t="s">
        <v>1455</v>
      </c>
      <c r="T385" s="215">
        <v>495.0</v>
      </c>
      <c r="U385" s="204"/>
    </row>
    <row r="386" ht="22.5" customHeight="1">
      <c r="A386" s="192" t="s">
        <v>1344</v>
      </c>
      <c r="B386" s="193" t="s">
        <v>301</v>
      </c>
      <c r="C386" s="226" t="s">
        <v>136</v>
      </c>
      <c r="D386" s="194" t="s">
        <v>1199</v>
      </c>
      <c r="E386" s="193" t="s">
        <v>17</v>
      </c>
      <c r="F386" s="220">
        <v>4.0</v>
      </c>
      <c r="G386" s="221"/>
      <c r="H386" s="222">
        <v>6000.0</v>
      </c>
      <c r="I386" s="222">
        <v>24000.0</v>
      </c>
      <c r="J386" s="222">
        <v>24000.0</v>
      </c>
      <c r="K386" s="222">
        <v>0.0</v>
      </c>
      <c r="L386" s="223">
        <v>46374.0</v>
      </c>
      <c r="M386" s="223">
        <v>46040.0</v>
      </c>
      <c r="N386" s="220">
        <v>1.0</v>
      </c>
      <c r="O386" s="220">
        <v>-491.0</v>
      </c>
      <c r="P386" s="220">
        <v>521.0</v>
      </c>
      <c r="Q386" s="209"/>
      <c r="R386" s="196" t="s">
        <v>1456</v>
      </c>
      <c r="S386" s="227" t="s">
        <v>1457</v>
      </c>
      <c r="T386" s="220">
        <v>496.0</v>
      </c>
      <c r="U386" s="198"/>
    </row>
    <row r="387" ht="22.5" customHeight="1">
      <c r="A387" s="211" t="s">
        <v>1458</v>
      </c>
      <c r="B387" s="212" t="s">
        <v>369</v>
      </c>
      <c r="C387" s="213" t="s">
        <v>136</v>
      </c>
      <c r="D387" s="214" t="s">
        <v>1459</v>
      </c>
      <c r="E387" s="212" t="s">
        <v>19</v>
      </c>
      <c r="F387" s="228" t="s">
        <v>1460</v>
      </c>
      <c r="G387" s="147"/>
      <c r="H387" s="216">
        <v>10.0</v>
      </c>
      <c r="I387" s="216">
        <v>35.0</v>
      </c>
      <c r="J387" s="216">
        <v>3745.93</v>
      </c>
      <c r="K387" s="216">
        <v>3745.93</v>
      </c>
      <c r="L387" s="217">
        <v>46370.0</v>
      </c>
      <c r="M387" s="217">
        <v>46036.0</v>
      </c>
      <c r="N387" s="215">
        <v>0.0</v>
      </c>
      <c r="O387" s="215">
        <v>-495.0</v>
      </c>
      <c r="P387" s="215">
        <v>525.0</v>
      </c>
      <c r="Q387" s="203"/>
      <c r="R387" s="218" t="s">
        <v>1461</v>
      </c>
      <c r="S387" s="225" t="s">
        <v>1462</v>
      </c>
      <c r="T387" s="215">
        <v>497.0</v>
      </c>
      <c r="U387" s="204"/>
    </row>
    <row r="388" ht="22.5" customHeight="1">
      <c r="A388" s="205"/>
      <c r="B388" s="193" t="s">
        <v>349</v>
      </c>
      <c r="C388" s="226" t="s">
        <v>136</v>
      </c>
      <c r="D388" s="194" t="s">
        <v>1294</v>
      </c>
      <c r="E388" s="193" t="s">
        <v>100</v>
      </c>
      <c r="F388" s="220">
        <v>8.0</v>
      </c>
      <c r="G388" s="221"/>
      <c r="H388" s="222">
        <v>12.0</v>
      </c>
      <c r="I388" s="222">
        <v>96.0</v>
      </c>
      <c r="J388" s="222">
        <v>8134.76</v>
      </c>
      <c r="K388" s="222">
        <v>8134.76</v>
      </c>
      <c r="L388" s="223">
        <v>46358.0</v>
      </c>
      <c r="M388" s="223">
        <v>46024.0</v>
      </c>
      <c r="N388" s="220">
        <v>0.0</v>
      </c>
      <c r="O388" s="220">
        <v>-507.0</v>
      </c>
      <c r="P388" s="220">
        <v>537.0</v>
      </c>
      <c r="Q388" s="209"/>
      <c r="R388" s="196" t="s">
        <v>1463</v>
      </c>
      <c r="S388" s="227" t="s">
        <v>1464</v>
      </c>
      <c r="T388" s="220">
        <v>498.0</v>
      </c>
      <c r="U388" s="198"/>
    </row>
    <row r="389" ht="22.5" customHeight="1">
      <c r="A389" s="199"/>
      <c r="B389" s="212" t="s">
        <v>330</v>
      </c>
      <c r="C389" s="213" t="s">
        <v>136</v>
      </c>
      <c r="D389" s="214" t="s">
        <v>1207</v>
      </c>
      <c r="E389" s="212" t="s">
        <v>17</v>
      </c>
      <c r="F389" s="215">
        <v>5.0</v>
      </c>
      <c r="G389" s="210"/>
      <c r="H389" s="237" t="s">
        <v>1200</v>
      </c>
      <c r="I389" s="216">
        <v>27000.0</v>
      </c>
      <c r="J389" s="216">
        <v>27000.0</v>
      </c>
      <c r="K389" s="216">
        <v>0.0</v>
      </c>
      <c r="L389" s="217">
        <v>46365.0</v>
      </c>
      <c r="M389" s="217">
        <v>46031.0</v>
      </c>
      <c r="N389" s="215">
        <v>1.0</v>
      </c>
      <c r="O389" s="215">
        <v>-500.0</v>
      </c>
      <c r="P389" s="215">
        <v>530.0</v>
      </c>
      <c r="Q389" s="203"/>
      <c r="R389" s="218" t="s">
        <v>1465</v>
      </c>
      <c r="S389" s="225" t="s">
        <v>1466</v>
      </c>
      <c r="T389" s="215">
        <v>499.0</v>
      </c>
      <c r="U389" s="204"/>
    </row>
    <row r="390" ht="22.5" customHeight="1">
      <c r="A390" s="192" t="s">
        <v>1423</v>
      </c>
      <c r="B390" s="193" t="s">
        <v>345</v>
      </c>
      <c r="C390" s="226" t="s">
        <v>136</v>
      </c>
      <c r="D390" s="194" t="s">
        <v>1160</v>
      </c>
      <c r="E390" s="193" t="s">
        <v>17</v>
      </c>
      <c r="F390" s="220">
        <v>3.0</v>
      </c>
      <c r="G390" s="221"/>
      <c r="H390" s="222">
        <v>3000.0</v>
      </c>
      <c r="I390" s="222">
        <v>9000.0</v>
      </c>
      <c r="J390" s="222">
        <v>9000.0</v>
      </c>
      <c r="K390" s="222">
        <v>9000.0</v>
      </c>
      <c r="L390" s="223">
        <v>46376.0</v>
      </c>
      <c r="M390" s="223">
        <v>46042.0</v>
      </c>
      <c r="N390" s="220">
        <v>0.0</v>
      </c>
      <c r="O390" s="220">
        <v>-489.0</v>
      </c>
      <c r="P390" s="220">
        <v>519.0</v>
      </c>
      <c r="Q390" s="209"/>
      <c r="R390" s="196" t="s">
        <v>1467</v>
      </c>
      <c r="S390" s="227" t="s">
        <v>1468</v>
      </c>
      <c r="T390" s="220">
        <v>500.0</v>
      </c>
      <c r="U390" s="198"/>
    </row>
    <row r="391" ht="22.5" customHeight="1">
      <c r="A391" s="199"/>
      <c r="B391" s="212" t="s">
        <v>338</v>
      </c>
      <c r="C391" s="231" t="s">
        <v>684</v>
      </c>
      <c r="D391" s="214" t="s">
        <v>1469</v>
      </c>
      <c r="E391" s="212" t="s">
        <v>108</v>
      </c>
      <c r="F391" s="215">
        <v>10.25</v>
      </c>
      <c r="G391" s="210"/>
      <c r="H391" s="216">
        <v>30.0</v>
      </c>
      <c r="I391" s="216">
        <v>307.5</v>
      </c>
      <c r="J391" s="201"/>
      <c r="K391" s="201"/>
      <c r="L391" s="217">
        <v>46365.0</v>
      </c>
      <c r="M391" s="217">
        <v>46031.0</v>
      </c>
      <c r="N391" s="147"/>
      <c r="O391" s="215">
        <v>-500.0</v>
      </c>
      <c r="P391" s="215">
        <v>530.0</v>
      </c>
      <c r="Q391" s="203"/>
      <c r="R391" s="218" t="s">
        <v>1470</v>
      </c>
      <c r="S391" s="186"/>
      <c r="T391" s="215">
        <v>501.0</v>
      </c>
      <c r="U391" s="204"/>
    </row>
    <row r="392" ht="22.5" customHeight="1">
      <c r="A392" s="192" t="s">
        <v>1471</v>
      </c>
      <c r="B392" s="193" t="s">
        <v>332</v>
      </c>
      <c r="C392" s="242" t="s">
        <v>685</v>
      </c>
      <c r="D392" s="194" t="s">
        <v>1472</v>
      </c>
      <c r="E392" s="193" t="s">
        <v>15</v>
      </c>
      <c r="F392" s="220">
        <v>1.0</v>
      </c>
      <c r="G392" s="221"/>
      <c r="H392" s="222">
        <v>150.0</v>
      </c>
      <c r="I392" s="222">
        <v>150.0</v>
      </c>
      <c r="J392" s="207"/>
      <c r="K392" s="207"/>
      <c r="L392" s="223">
        <v>46376.0</v>
      </c>
      <c r="M392" s="223">
        <v>46042.0</v>
      </c>
      <c r="N392" s="150"/>
      <c r="O392" s="220">
        <v>-489.0</v>
      </c>
      <c r="P392" s="220">
        <v>519.0</v>
      </c>
      <c r="Q392" s="209"/>
      <c r="R392" s="196" t="s">
        <v>1473</v>
      </c>
      <c r="S392" s="45"/>
      <c r="T392" s="220">
        <v>502.0</v>
      </c>
      <c r="U392" s="198"/>
    </row>
    <row r="393" ht="22.5" customHeight="1">
      <c r="A393" s="199"/>
      <c r="B393" s="212" t="s">
        <v>334</v>
      </c>
      <c r="C393" s="213" t="s">
        <v>136</v>
      </c>
      <c r="D393" s="214" t="s">
        <v>1426</v>
      </c>
      <c r="E393" s="212" t="s">
        <v>15</v>
      </c>
      <c r="F393" s="215">
        <v>1.0</v>
      </c>
      <c r="G393" s="210"/>
      <c r="H393" s="216">
        <v>150.0</v>
      </c>
      <c r="I393" s="216">
        <v>150.0</v>
      </c>
      <c r="J393" s="216">
        <v>3300.0</v>
      </c>
      <c r="K393" s="216">
        <v>3300.0</v>
      </c>
      <c r="L393" s="217">
        <v>46361.0</v>
      </c>
      <c r="M393" s="217">
        <v>46027.0</v>
      </c>
      <c r="N393" s="215">
        <v>0.0</v>
      </c>
      <c r="O393" s="215">
        <v>-504.0</v>
      </c>
      <c r="P393" s="215">
        <v>534.0</v>
      </c>
      <c r="Q393" s="203"/>
      <c r="R393" s="218" t="s">
        <v>1474</v>
      </c>
      <c r="S393" s="225" t="s">
        <v>1475</v>
      </c>
      <c r="T393" s="215">
        <v>503.0</v>
      </c>
      <c r="U393" s="204"/>
    </row>
    <row r="394" ht="22.5" customHeight="1">
      <c r="A394" s="192" t="s">
        <v>107</v>
      </c>
      <c r="B394" s="193" t="s">
        <v>153</v>
      </c>
      <c r="C394" s="226" t="s">
        <v>136</v>
      </c>
      <c r="D394" s="194" t="s">
        <v>1299</v>
      </c>
      <c r="E394" s="193" t="s">
        <v>108</v>
      </c>
      <c r="F394" s="195" t="s">
        <v>1311</v>
      </c>
      <c r="G394" s="221"/>
      <c r="H394" s="222">
        <v>25.0</v>
      </c>
      <c r="I394" s="222">
        <v>75.0</v>
      </c>
      <c r="J394" s="222">
        <v>4698.21</v>
      </c>
      <c r="K394" s="222">
        <v>0.0</v>
      </c>
      <c r="L394" s="223">
        <v>46379.0</v>
      </c>
      <c r="M394" s="223">
        <v>46045.0</v>
      </c>
      <c r="N394" s="220">
        <v>1.0</v>
      </c>
      <c r="O394" s="220">
        <v>-486.0</v>
      </c>
      <c r="P394" s="220">
        <v>516.0</v>
      </c>
      <c r="Q394" s="238">
        <v>46192.0</v>
      </c>
      <c r="R394" s="196" t="s">
        <v>1476</v>
      </c>
      <c r="S394" s="227" t="s">
        <v>1477</v>
      </c>
      <c r="T394" s="220">
        <v>504.0</v>
      </c>
      <c r="U394" s="198"/>
    </row>
    <row r="395" ht="22.5" customHeight="1">
      <c r="A395" s="211" t="s">
        <v>1478</v>
      </c>
      <c r="B395" s="212" t="s">
        <v>363</v>
      </c>
      <c r="C395" s="213" t="s">
        <v>136</v>
      </c>
      <c r="D395" s="214" t="s">
        <v>1303</v>
      </c>
      <c r="E395" s="212" t="s">
        <v>19</v>
      </c>
      <c r="F395" s="228" t="s">
        <v>1311</v>
      </c>
      <c r="G395" s="147"/>
      <c r="H395" s="216">
        <v>10.0</v>
      </c>
      <c r="I395" s="216">
        <v>30.0</v>
      </c>
      <c r="J395" s="216">
        <v>3202.18</v>
      </c>
      <c r="K395" s="216">
        <v>0.0</v>
      </c>
      <c r="L395" s="217">
        <v>46378.0</v>
      </c>
      <c r="M395" s="217">
        <v>46044.0</v>
      </c>
      <c r="N395" s="215">
        <v>1.0</v>
      </c>
      <c r="O395" s="215">
        <v>-487.0</v>
      </c>
      <c r="P395" s="215">
        <v>517.0</v>
      </c>
      <c r="Q395" s="232">
        <v>46095.0</v>
      </c>
      <c r="R395" s="218" t="s">
        <v>1479</v>
      </c>
      <c r="S395" s="225" t="s">
        <v>1480</v>
      </c>
      <c r="T395" s="215">
        <v>505.0</v>
      </c>
      <c r="U395" s="204"/>
    </row>
    <row r="396" ht="22.5" customHeight="1">
      <c r="A396" s="192" t="s">
        <v>1358</v>
      </c>
      <c r="B396" s="193" t="s">
        <v>365</v>
      </c>
      <c r="C396" s="226" t="s">
        <v>136</v>
      </c>
      <c r="D396" s="194" t="s">
        <v>56</v>
      </c>
      <c r="E396" s="193" t="s">
        <v>19</v>
      </c>
      <c r="F396" s="220">
        <v>1.0</v>
      </c>
      <c r="G396" s="150"/>
      <c r="H396" s="222">
        <v>75.0</v>
      </c>
      <c r="I396" s="222">
        <v>75.0</v>
      </c>
      <c r="J396" s="222">
        <v>8135.41</v>
      </c>
      <c r="K396" s="222">
        <v>8135.41</v>
      </c>
      <c r="L396" s="223">
        <v>46366.0</v>
      </c>
      <c r="M396" s="223">
        <v>46032.0</v>
      </c>
      <c r="N396" s="220">
        <v>0.0</v>
      </c>
      <c r="O396" s="220">
        <v>-499.0</v>
      </c>
      <c r="P396" s="220">
        <v>529.0</v>
      </c>
      <c r="Q396" s="209"/>
      <c r="R396" s="196" t="s">
        <v>1481</v>
      </c>
      <c r="S396" s="227" t="s">
        <v>1482</v>
      </c>
      <c r="T396" s="220">
        <v>506.0</v>
      </c>
      <c r="U396" s="198"/>
    </row>
    <row r="397" ht="22.5" hidden="1" customHeight="1">
      <c r="A397" s="199"/>
      <c r="B397" s="212" t="s">
        <v>923</v>
      </c>
      <c r="C397" s="240" t="s">
        <v>589</v>
      </c>
      <c r="D397" s="236"/>
      <c r="E397" s="203"/>
      <c r="F397" s="147"/>
      <c r="G397" s="186"/>
      <c r="H397" s="201"/>
      <c r="I397" s="237" t="s">
        <v>924</v>
      </c>
      <c r="J397" s="216">
        <v>129811.76</v>
      </c>
      <c r="K397" s="216">
        <v>57763.91</v>
      </c>
      <c r="L397" s="202"/>
      <c r="M397" s="202"/>
      <c r="N397" s="147"/>
      <c r="O397" s="147"/>
      <c r="P397" s="147"/>
      <c r="Q397" s="203"/>
      <c r="R397" s="186"/>
      <c r="S397" s="186"/>
      <c r="T397" s="147"/>
      <c r="U397" s="204"/>
    </row>
    <row r="398" ht="22.5" hidden="1" customHeight="1">
      <c r="A398" s="205"/>
      <c r="B398" s="193" t="s">
        <v>558</v>
      </c>
      <c r="C398" s="241" t="s">
        <v>616</v>
      </c>
      <c r="D398" s="234"/>
      <c r="E398" s="234"/>
      <c r="F398" s="150"/>
      <c r="G398" s="234"/>
      <c r="H398" s="207"/>
      <c r="I398" s="197" t="s">
        <v>925</v>
      </c>
      <c r="J398" s="222">
        <v>693166.86</v>
      </c>
      <c r="K398" s="207"/>
      <c r="L398" s="208"/>
      <c r="M398" s="196" t="s">
        <v>926</v>
      </c>
      <c r="N398" s="150"/>
      <c r="O398" s="150"/>
      <c r="P398" s="150"/>
      <c r="Q398" s="209"/>
      <c r="R398" s="234"/>
      <c r="S398" s="234"/>
      <c r="T398" s="220">
        <v>506.0</v>
      </c>
      <c r="U398" s="198"/>
    </row>
    <row r="399" ht="22.5" hidden="1" customHeight="1">
      <c r="A399" s="199"/>
      <c r="B399" s="212" t="s">
        <v>696</v>
      </c>
      <c r="C399" s="232" t="s">
        <v>1050</v>
      </c>
      <c r="D399" s="236"/>
      <c r="E399" s="236"/>
      <c r="F399" s="147"/>
      <c r="G399" s="236"/>
      <c r="H399" s="201"/>
      <c r="I399" s="237" t="s">
        <v>928</v>
      </c>
      <c r="J399" s="216">
        <v>590615.71</v>
      </c>
      <c r="K399" s="201"/>
      <c r="L399" s="202"/>
      <c r="M399" s="202"/>
      <c r="N399" s="147"/>
      <c r="O399" s="147"/>
      <c r="P399" s="147"/>
      <c r="Q399" s="203"/>
      <c r="R399" s="236"/>
      <c r="S399" s="236"/>
      <c r="T399" s="147"/>
      <c r="U399" s="204"/>
    </row>
    <row r="400" ht="22.5" hidden="1" customHeight="1">
      <c r="A400" s="205"/>
      <c r="B400" s="82"/>
      <c r="C400" s="206"/>
      <c r="D400" s="206"/>
      <c r="E400" s="206"/>
      <c r="F400" s="150"/>
      <c r="G400" s="45"/>
      <c r="H400" s="207"/>
      <c r="I400" s="207"/>
      <c r="J400" s="207"/>
      <c r="K400" s="207"/>
      <c r="L400" s="208"/>
      <c r="M400" s="208"/>
      <c r="N400" s="150"/>
      <c r="O400" s="150"/>
      <c r="P400" s="150"/>
      <c r="Q400" s="209"/>
      <c r="R400" s="45"/>
      <c r="S400" s="45"/>
      <c r="T400" s="150"/>
      <c r="U400" s="198"/>
    </row>
    <row r="401" ht="22.5" hidden="1" customHeight="1">
      <c r="A401" s="199"/>
      <c r="B401" s="146"/>
      <c r="C401" s="200"/>
      <c r="D401" s="200"/>
      <c r="E401" s="200"/>
      <c r="F401" s="147"/>
      <c r="G401" s="186"/>
      <c r="H401" s="201"/>
      <c r="I401" s="201"/>
      <c r="J401" s="201"/>
      <c r="K401" s="201"/>
      <c r="L401" s="202"/>
      <c r="M401" s="202"/>
      <c r="N401" s="147"/>
      <c r="O401" s="147"/>
      <c r="P401" s="147"/>
      <c r="Q401" s="203"/>
      <c r="R401" s="186"/>
      <c r="S401" s="186"/>
      <c r="T401" s="147"/>
      <c r="U401" s="204"/>
    </row>
    <row r="402" ht="22.5" hidden="1" customHeight="1">
      <c r="A402" s="205"/>
      <c r="B402" s="82"/>
      <c r="C402" s="206"/>
      <c r="D402" s="206"/>
      <c r="E402" s="206"/>
      <c r="F402" s="150"/>
      <c r="G402" s="45"/>
      <c r="H402" s="207"/>
      <c r="I402" s="207"/>
      <c r="J402" s="207"/>
      <c r="K402" s="207"/>
      <c r="L402" s="208"/>
      <c r="M402" s="208"/>
      <c r="N402" s="150"/>
      <c r="O402" s="150"/>
      <c r="P402" s="150"/>
      <c r="Q402" s="209"/>
      <c r="R402" s="45"/>
      <c r="S402" s="45"/>
      <c r="T402" s="150"/>
      <c r="U402" s="198"/>
    </row>
    <row r="403" ht="22.5" hidden="1" customHeight="1">
      <c r="A403" s="199"/>
      <c r="B403" s="146"/>
      <c r="C403" s="200"/>
      <c r="D403" s="200"/>
      <c r="E403" s="200"/>
      <c r="F403" s="147"/>
      <c r="G403" s="186"/>
      <c r="H403" s="201"/>
      <c r="I403" s="201"/>
      <c r="J403" s="201"/>
      <c r="K403" s="201"/>
      <c r="L403" s="202"/>
      <c r="M403" s="202"/>
      <c r="N403" s="147"/>
      <c r="O403" s="147"/>
      <c r="P403" s="147"/>
      <c r="Q403" s="203"/>
      <c r="R403" s="186"/>
      <c r="S403" s="186"/>
      <c r="T403" s="147"/>
      <c r="U403" s="204"/>
    </row>
    <row r="404" ht="22.5" hidden="1" customHeight="1">
      <c r="A404" s="192" t="s">
        <v>181</v>
      </c>
      <c r="B404" s="193" t="s">
        <v>132</v>
      </c>
      <c r="C404" s="193" t="s">
        <v>131</v>
      </c>
      <c r="D404" s="194" t="s">
        <v>870</v>
      </c>
      <c r="E404" s="193" t="s">
        <v>7</v>
      </c>
      <c r="F404" s="195" t="s">
        <v>871</v>
      </c>
      <c r="G404" s="193" t="s">
        <v>872</v>
      </c>
      <c r="H404" s="197" t="s">
        <v>8</v>
      </c>
      <c r="I404" s="197" t="s">
        <v>873</v>
      </c>
      <c r="J404" s="197" t="s">
        <v>17</v>
      </c>
      <c r="K404" s="197" t="s">
        <v>874</v>
      </c>
      <c r="L404" s="196" t="s">
        <v>875</v>
      </c>
      <c r="M404" s="196" t="s">
        <v>876</v>
      </c>
      <c r="N404" s="195" t="s">
        <v>877</v>
      </c>
      <c r="O404" s="195" t="s">
        <v>878</v>
      </c>
      <c r="P404" s="195" t="s">
        <v>879</v>
      </c>
      <c r="Q404" s="196" t="s">
        <v>880</v>
      </c>
      <c r="R404" s="196" t="s">
        <v>881</v>
      </c>
      <c r="S404" s="196" t="s">
        <v>882</v>
      </c>
      <c r="T404" s="195" t="s">
        <v>557</v>
      </c>
      <c r="U404" s="198"/>
    </row>
    <row r="405" ht="22.5" customHeight="1">
      <c r="A405" s="211" t="s">
        <v>1483</v>
      </c>
      <c r="B405" s="212" t="s">
        <v>359</v>
      </c>
      <c r="C405" s="213" t="s">
        <v>136</v>
      </c>
      <c r="D405" s="214" t="s">
        <v>1394</v>
      </c>
      <c r="E405" s="212" t="s">
        <v>15</v>
      </c>
      <c r="F405" s="215">
        <v>5.0</v>
      </c>
      <c r="G405" s="147"/>
      <c r="H405" s="216">
        <v>100.0</v>
      </c>
      <c r="I405" s="216">
        <v>500.0</v>
      </c>
      <c r="J405" s="216">
        <v>11000.0</v>
      </c>
      <c r="K405" s="216">
        <v>11000.0</v>
      </c>
      <c r="L405" s="217">
        <v>46330.0</v>
      </c>
      <c r="M405" s="217">
        <v>46360.0</v>
      </c>
      <c r="N405" s="215">
        <v>0.0</v>
      </c>
      <c r="O405" s="215">
        <v>-536.0</v>
      </c>
      <c r="P405" s="215">
        <v>566.0</v>
      </c>
      <c r="Q405" s="203"/>
      <c r="R405" s="218" t="s">
        <v>1484</v>
      </c>
      <c r="S405" s="225" t="s">
        <v>1485</v>
      </c>
      <c r="T405" s="215">
        <v>470.0</v>
      </c>
      <c r="U405" s="204"/>
    </row>
    <row r="406" ht="22.5" customHeight="1">
      <c r="A406" s="205"/>
      <c r="B406" s="193" t="s">
        <v>328</v>
      </c>
      <c r="C406" s="226" t="s">
        <v>136</v>
      </c>
      <c r="D406" s="194" t="s">
        <v>1283</v>
      </c>
      <c r="E406" s="193" t="s">
        <v>19</v>
      </c>
      <c r="F406" s="220">
        <v>3.0</v>
      </c>
      <c r="G406" s="221"/>
      <c r="H406" s="222">
        <v>12.0</v>
      </c>
      <c r="I406" s="222">
        <v>36.0</v>
      </c>
      <c r="J406" s="222">
        <v>3948.33</v>
      </c>
      <c r="K406" s="222">
        <v>0.0</v>
      </c>
      <c r="L406" s="223">
        <v>46331.0</v>
      </c>
      <c r="M406" s="223">
        <v>46361.0</v>
      </c>
      <c r="N406" s="220">
        <v>1.0</v>
      </c>
      <c r="O406" s="220">
        <v>-535.0</v>
      </c>
      <c r="P406" s="220">
        <v>565.0</v>
      </c>
      <c r="Q406" s="209"/>
      <c r="R406" s="196" t="s">
        <v>1486</v>
      </c>
      <c r="S406" s="227" t="s">
        <v>1487</v>
      </c>
      <c r="T406" s="220">
        <v>471.0</v>
      </c>
      <c r="U406" s="198"/>
    </row>
    <row r="407" ht="22.5" customHeight="1">
      <c r="A407" s="199"/>
      <c r="B407" s="212" t="s">
        <v>211</v>
      </c>
      <c r="C407" s="213" t="s">
        <v>136</v>
      </c>
      <c r="D407" s="214" t="s">
        <v>1339</v>
      </c>
      <c r="E407" s="212" t="s">
        <v>15</v>
      </c>
      <c r="F407" s="215">
        <v>1.0</v>
      </c>
      <c r="G407" s="210"/>
      <c r="H407" s="216">
        <v>150.0</v>
      </c>
      <c r="I407" s="216">
        <v>150.0</v>
      </c>
      <c r="J407" s="216">
        <v>3354.0</v>
      </c>
      <c r="K407" s="216">
        <v>3354.0</v>
      </c>
      <c r="L407" s="217">
        <v>46328.0</v>
      </c>
      <c r="M407" s="217">
        <v>46358.0</v>
      </c>
      <c r="N407" s="215">
        <v>0.0</v>
      </c>
      <c r="O407" s="215">
        <v>-538.0</v>
      </c>
      <c r="P407" s="215">
        <v>568.0</v>
      </c>
      <c r="Q407" s="203"/>
      <c r="R407" s="218" t="s">
        <v>1488</v>
      </c>
      <c r="S407" s="225" t="s">
        <v>1489</v>
      </c>
      <c r="T407" s="215">
        <v>472.0</v>
      </c>
      <c r="U407" s="204"/>
    </row>
    <row r="408" ht="22.5" customHeight="1">
      <c r="A408" s="192" t="s">
        <v>1483</v>
      </c>
      <c r="B408" s="193" t="s">
        <v>361</v>
      </c>
      <c r="C408" s="226" t="s">
        <v>136</v>
      </c>
      <c r="D408" s="194" t="s">
        <v>1490</v>
      </c>
      <c r="E408" s="194" t="s">
        <v>17</v>
      </c>
      <c r="F408" s="220">
        <v>3.0</v>
      </c>
      <c r="G408" s="150"/>
      <c r="H408" s="222">
        <v>2500.0</v>
      </c>
      <c r="I408" s="222">
        <v>7500.0</v>
      </c>
      <c r="J408" s="222">
        <v>7500.0</v>
      </c>
      <c r="K408" s="222">
        <v>7500.0</v>
      </c>
      <c r="L408" s="223">
        <v>46330.0</v>
      </c>
      <c r="M408" s="223">
        <v>46360.0</v>
      </c>
      <c r="N408" s="220">
        <v>0.0</v>
      </c>
      <c r="O408" s="220">
        <v>-536.0</v>
      </c>
      <c r="P408" s="220">
        <v>566.0</v>
      </c>
      <c r="Q408" s="209"/>
      <c r="R408" s="196" t="s">
        <v>1491</v>
      </c>
      <c r="S408" s="227" t="s">
        <v>1492</v>
      </c>
      <c r="T408" s="220">
        <v>473.0</v>
      </c>
      <c r="U408" s="198"/>
    </row>
    <row r="409" ht="22.5" customHeight="1">
      <c r="A409" s="211" t="s">
        <v>1447</v>
      </c>
      <c r="B409" s="212" t="s">
        <v>336</v>
      </c>
      <c r="C409" s="213" t="s">
        <v>136</v>
      </c>
      <c r="D409" s="214" t="s">
        <v>1369</v>
      </c>
      <c r="E409" s="212" t="s">
        <v>17</v>
      </c>
      <c r="F409" s="215">
        <v>3.0</v>
      </c>
      <c r="G409" s="210"/>
      <c r="H409" s="216">
        <v>1000.0</v>
      </c>
      <c r="I409" s="216">
        <v>3000.0</v>
      </c>
      <c r="J409" s="216">
        <v>3000.0</v>
      </c>
      <c r="K409" s="201"/>
      <c r="L409" s="217">
        <v>46332.0</v>
      </c>
      <c r="M409" s="217">
        <v>46362.0</v>
      </c>
      <c r="N409" s="147"/>
      <c r="O409" s="215">
        <v>-534.0</v>
      </c>
      <c r="P409" s="215">
        <v>564.0</v>
      </c>
      <c r="Q409" s="203"/>
      <c r="R409" s="218" t="s">
        <v>1493</v>
      </c>
      <c r="S409" s="225" t="s">
        <v>1494</v>
      </c>
      <c r="T409" s="215">
        <v>474.0</v>
      </c>
      <c r="U409" s="204"/>
    </row>
    <row r="410" ht="22.5" customHeight="1">
      <c r="A410" s="192" t="s">
        <v>1495</v>
      </c>
      <c r="B410" s="193" t="s">
        <v>355</v>
      </c>
      <c r="C410" s="226" t="s">
        <v>136</v>
      </c>
      <c r="D410" s="194" t="s">
        <v>1369</v>
      </c>
      <c r="E410" s="193" t="s">
        <v>17</v>
      </c>
      <c r="F410" s="220">
        <v>3.0</v>
      </c>
      <c r="G410" s="150"/>
      <c r="H410" s="222">
        <v>1000.0</v>
      </c>
      <c r="I410" s="222">
        <v>3000.0</v>
      </c>
      <c r="J410" s="222">
        <v>3000.0</v>
      </c>
      <c r="K410" s="207"/>
      <c r="L410" s="223">
        <v>46350.0</v>
      </c>
      <c r="M410" s="223">
        <v>46380.0</v>
      </c>
      <c r="N410" s="150"/>
      <c r="O410" s="220">
        <v>-516.0</v>
      </c>
      <c r="P410" s="220">
        <v>546.0</v>
      </c>
      <c r="Q410" s="209"/>
      <c r="R410" s="196" t="s">
        <v>1496</v>
      </c>
      <c r="S410" s="227" t="s">
        <v>1497</v>
      </c>
      <c r="T410" s="220">
        <v>475.0</v>
      </c>
      <c r="U410" s="198"/>
    </row>
    <row r="411" ht="22.5" customHeight="1">
      <c r="A411" s="211" t="s">
        <v>1453</v>
      </c>
      <c r="B411" s="212" t="s">
        <v>309</v>
      </c>
      <c r="C411" s="213" t="s">
        <v>136</v>
      </c>
      <c r="D411" s="214" t="s">
        <v>1160</v>
      </c>
      <c r="E411" s="212" t="s">
        <v>17</v>
      </c>
      <c r="F411" s="215">
        <v>3.0</v>
      </c>
      <c r="G411" s="210"/>
      <c r="H411" s="216">
        <v>3000.0</v>
      </c>
      <c r="I411" s="216">
        <v>9000.0</v>
      </c>
      <c r="J411" s="216">
        <v>9000.0</v>
      </c>
      <c r="K411" s="216">
        <v>0.0</v>
      </c>
      <c r="L411" s="217">
        <v>46329.0</v>
      </c>
      <c r="M411" s="217">
        <v>46359.0</v>
      </c>
      <c r="N411" s="215">
        <v>1.0</v>
      </c>
      <c r="O411" s="215">
        <v>-537.0</v>
      </c>
      <c r="P411" s="215">
        <v>567.0</v>
      </c>
      <c r="Q411" s="203"/>
      <c r="R411" s="218" t="s">
        <v>1498</v>
      </c>
      <c r="S411" s="225" t="s">
        <v>1499</v>
      </c>
      <c r="T411" s="215">
        <v>476.0</v>
      </c>
      <c r="U411" s="204"/>
    </row>
    <row r="412" ht="22.5" customHeight="1">
      <c r="A412" s="192" t="s">
        <v>1483</v>
      </c>
      <c r="B412" s="193" t="s">
        <v>357</v>
      </c>
      <c r="C412" s="226" t="s">
        <v>136</v>
      </c>
      <c r="D412" s="194" t="s">
        <v>1500</v>
      </c>
      <c r="E412" s="193" t="s">
        <v>15</v>
      </c>
      <c r="F412" s="220">
        <v>4.0</v>
      </c>
      <c r="G412" s="150"/>
      <c r="H412" s="222">
        <v>125.0</v>
      </c>
      <c r="I412" s="222">
        <v>500.0</v>
      </c>
      <c r="J412" s="222">
        <v>11000.0</v>
      </c>
      <c r="K412" s="222">
        <v>11000.0</v>
      </c>
      <c r="L412" s="223">
        <v>46328.0</v>
      </c>
      <c r="M412" s="223">
        <v>46358.0</v>
      </c>
      <c r="N412" s="220">
        <v>0.0</v>
      </c>
      <c r="O412" s="220">
        <v>-538.0</v>
      </c>
      <c r="P412" s="220">
        <v>568.0</v>
      </c>
      <c r="Q412" s="209"/>
      <c r="R412" s="196" t="s">
        <v>1501</v>
      </c>
      <c r="S412" s="227" t="s">
        <v>1502</v>
      </c>
      <c r="T412" s="220">
        <v>477.0</v>
      </c>
      <c r="U412" s="198"/>
    </row>
    <row r="413" ht="22.5" customHeight="1">
      <c r="A413" s="211" t="s">
        <v>1503</v>
      </c>
      <c r="B413" s="212" t="s">
        <v>301</v>
      </c>
      <c r="C413" s="213" t="s">
        <v>136</v>
      </c>
      <c r="D413" s="214" t="s">
        <v>1199</v>
      </c>
      <c r="E413" s="212" t="s">
        <v>17</v>
      </c>
      <c r="F413" s="215">
        <v>3.0</v>
      </c>
      <c r="G413" s="210"/>
      <c r="H413" s="216">
        <v>6000.0</v>
      </c>
      <c r="I413" s="216">
        <v>18000.0</v>
      </c>
      <c r="J413" s="216">
        <v>18000.0</v>
      </c>
      <c r="K413" s="216">
        <v>0.0</v>
      </c>
      <c r="L413" s="217">
        <v>46344.0</v>
      </c>
      <c r="M413" s="217">
        <v>46374.0</v>
      </c>
      <c r="N413" s="215">
        <v>1.0</v>
      </c>
      <c r="O413" s="215">
        <v>-522.0</v>
      </c>
      <c r="P413" s="215">
        <v>552.0</v>
      </c>
      <c r="Q413" s="203"/>
      <c r="R413" s="218" t="s">
        <v>1504</v>
      </c>
      <c r="S413" s="225" t="s">
        <v>1505</v>
      </c>
      <c r="T413" s="215">
        <v>478.0</v>
      </c>
      <c r="U413" s="204"/>
    </row>
    <row r="414" ht="22.5" customHeight="1">
      <c r="A414" s="192" t="s">
        <v>1506</v>
      </c>
      <c r="B414" s="193" t="s">
        <v>367</v>
      </c>
      <c r="C414" s="226" t="s">
        <v>136</v>
      </c>
      <c r="D414" s="194" t="s">
        <v>1280</v>
      </c>
      <c r="E414" s="193" t="s">
        <v>15</v>
      </c>
      <c r="F414" s="220">
        <v>4.0</v>
      </c>
      <c r="G414" s="150"/>
      <c r="H414" s="222">
        <v>149.0</v>
      </c>
      <c r="I414" s="222">
        <v>529.0</v>
      </c>
      <c r="J414" s="222">
        <v>11922.0</v>
      </c>
      <c r="K414" s="222">
        <v>0.0</v>
      </c>
      <c r="L414" s="223">
        <v>46352.0</v>
      </c>
      <c r="M414" s="223">
        <v>46382.0</v>
      </c>
      <c r="N414" s="220">
        <v>1.0</v>
      </c>
      <c r="O414" s="220">
        <v>-514.0</v>
      </c>
      <c r="P414" s="220">
        <v>544.0</v>
      </c>
      <c r="Q414" s="209"/>
      <c r="R414" s="196" t="s">
        <v>1507</v>
      </c>
      <c r="S414" s="227" t="s">
        <v>1508</v>
      </c>
      <c r="T414" s="220">
        <v>479.0</v>
      </c>
      <c r="U414" s="198"/>
    </row>
    <row r="415" ht="22.5" customHeight="1">
      <c r="A415" s="199"/>
      <c r="B415" s="212" t="s">
        <v>349</v>
      </c>
      <c r="C415" s="213" t="s">
        <v>136</v>
      </c>
      <c r="D415" s="214" t="s">
        <v>1294</v>
      </c>
      <c r="E415" s="212" t="s">
        <v>100</v>
      </c>
      <c r="F415" s="215">
        <v>8.0</v>
      </c>
      <c r="G415" s="210"/>
      <c r="H415" s="216">
        <v>12.0</v>
      </c>
      <c r="I415" s="216">
        <v>96.0</v>
      </c>
      <c r="J415" s="216">
        <v>8054.4</v>
      </c>
      <c r="K415" s="216">
        <v>8054.4</v>
      </c>
      <c r="L415" s="217">
        <v>46328.0</v>
      </c>
      <c r="M415" s="217">
        <v>46358.0</v>
      </c>
      <c r="N415" s="215">
        <v>0.0</v>
      </c>
      <c r="O415" s="215">
        <v>-538.0</v>
      </c>
      <c r="P415" s="215">
        <v>568.0</v>
      </c>
      <c r="Q415" s="203"/>
      <c r="R415" s="218" t="s">
        <v>1509</v>
      </c>
      <c r="S415" s="225" t="s">
        <v>1510</v>
      </c>
      <c r="T415" s="215">
        <v>480.0</v>
      </c>
      <c r="U415" s="204"/>
    </row>
    <row r="416" ht="22.5" customHeight="1">
      <c r="A416" s="205"/>
      <c r="B416" s="193" t="s">
        <v>330</v>
      </c>
      <c r="C416" s="226" t="s">
        <v>136</v>
      </c>
      <c r="D416" s="194" t="s">
        <v>1207</v>
      </c>
      <c r="E416" s="193" t="s">
        <v>17</v>
      </c>
      <c r="F416" s="220">
        <v>5.0</v>
      </c>
      <c r="G416" s="221"/>
      <c r="H416" s="197" t="s">
        <v>1200</v>
      </c>
      <c r="I416" s="222">
        <v>27000.0</v>
      </c>
      <c r="J416" s="222">
        <v>15000.0</v>
      </c>
      <c r="K416" s="222">
        <v>0.0</v>
      </c>
      <c r="L416" s="223">
        <v>46335.0</v>
      </c>
      <c r="M416" s="223">
        <v>46365.0</v>
      </c>
      <c r="N416" s="220">
        <v>1.0</v>
      </c>
      <c r="O416" s="220">
        <v>-531.0</v>
      </c>
      <c r="P416" s="220">
        <v>561.0</v>
      </c>
      <c r="Q416" s="209"/>
      <c r="R416" s="196" t="s">
        <v>1511</v>
      </c>
      <c r="S416" s="227" t="s">
        <v>1512</v>
      </c>
      <c r="T416" s="220">
        <v>481.0</v>
      </c>
      <c r="U416" s="198"/>
    </row>
    <row r="417" ht="22.5" customHeight="1">
      <c r="A417" s="211" t="s">
        <v>1423</v>
      </c>
      <c r="B417" s="212" t="s">
        <v>345</v>
      </c>
      <c r="C417" s="213" t="s">
        <v>136</v>
      </c>
      <c r="D417" s="214" t="s">
        <v>1160</v>
      </c>
      <c r="E417" s="212" t="s">
        <v>17</v>
      </c>
      <c r="F417" s="215">
        <v>3.0</v>
      </c>
      <c r="G417" s="210"/>
      <c r="H417" s="216">
        <v>3000.0</v>
      </c>
      <c r="I417" s="216">
        <v>9000.0</v>
      </c>
      <c r="J417" s="216">
        <v>9000.0</v>
      </c>
      <c r="K417" s="216">
        <v>9000.0</v>
      </c>
      <c r="L417" s="217">
        <v>46346.0</v>
      </c>
      <c r="M417" s="217">
        <v>46376.0</v>
      </c>
      <c r="N417" s="215">
        <v>0.0</v>
      </c>
      <c r="O417" s="215">
        <v>-520.0</v>
      </c>
      <c r="P417" s="215">
        <v>550.0</v>
      </c>
      <c r="Q417" s="203"/>
      <c r="R417" s="218" t="s">
        <v>1513</v>
      </c>
      <c r="S417" s="225" t="s">
        <v>1514</v>
      </c>
      <c r="T417" s="215">
        <v>482.0</v>
      </c>
      <c r="U417" s="204"/>
    </row>
    <row r="418" ht="22.5" customHeight="1">
      <c r="A418" s="205"/>
      <c r="B418" s="193" t="s">
        <v>338</v>
      </c>
      <c r="C418" s="206"/>
      <c r="D418" s="194" t="s">
        <v>1469</v>
      </c>
      <c r="E418" s="193" t="s">
        <v>108</v>
      </c>
      <c r="F418" s="220">
        <v>10.25</v>
      </c>
      <c r="G418" s="221"/>
      <c r="H418" s="222">
        <v>30.0</v>
      </c>
      <c r="I418" s="222">
        <v>307.5</v>
      </c>
      <c r="J418" s="207"/>
      <c r="K418" s="207"/>
      <c r="L418" s="223">
        <v>46335.0</v>
      </c>
      <c r="M418" s="223">
        <v>46365.0</v>
      </c>
      <c r="N418" s="150"/>
      <c r="O418" s="220">
        <v>-531.0</v>
      </c>
      <c r="P418" s="220">
        <v>561.0</v>
      </c>
      <c r="Q418" s="209"/>
      <c r="R418" s="196" t="s">
        <v>1515</v>
      </c>
      <c r="S418" s="45"/>
      <c r="T418" s="220">
        <v>483.0</v>
      </c>
      <c r="U418" s="198"/>
    </row>
    <row r="419" ht="22.5" customHeight="1">
      <c r="A419" s="199"/>
      <c r="B419" s="212" t="s">
        <v>332</v>
      </c>
      <c r="C419" s="213" t="s">
        <v>136</v>
      </c>
      <c r="D419" s="214" t="s">
        <v>1472</v>
      </c>
      <c r="E419" s="212" t="s">
        <v>15</v>
      </c>
      <c r="F419" s="215">
        <v>1.0</v>
      </c>
      <c r="G419" s="210"/>
      <c r="H419" s="216">
        <v>150.0</v>
      </c>
      <c r="I419" s="216">
        <v>150.0</v>
      </c>
      <c r="J419" s="216">
        <v>3300.0</v>
      </c>
      <c r="K419" s="216">
        <v>3300.0</v>
      </c>
      <c r="L419" s="217">
        <v>46346.0</v>
      </c>
      <c r="M419" s="217">
        <v>46376.0</v>
      </c>
      <c r="N419" s="215">
        <v>0.0</v>
      </c>
      <c r="O419" s="215">
        <v>-520.0</v>
      </c>
      <c r="P419" s="215">
        <v>550.0</v>
      </c>
      <c r="Q419" s="203"/>
      <c r="R419" s="218" t="s">
        <v>1516</v>
      </c>
      <c r="S419" s="225" t="s">
        <v>1517</v>
      </c>
      <c r="T419" s="215">
        <v>484.0</v>
      </c>
      <c r="U419" s="204"/>
    </row>
    <row r="420" ht="22.5" customHeight="1">
      <c r="A420" s="205"/>
      <c r="B420" s="193" t="s">
        <v>334</v>
      </c>
      <c r="C420" s="226" t="s">
        <v>136</v>
      </c>
      <c r="D420" s="194" t="s">
        <v>1426</v>
      </c>
      <c r="E420" s="193" t="s">
        <v>15</v>
      </c>
      <c r="F420" s="220">
        <v>1.0</v>
      </c>
      <c r="G420" s="221"/>
      <c r="H420" s="222">
        <v>150.0</v>
      </c>
      <c r="I420" s="222">
        <v>150.0</v>
      </c>
      <c r="J420" s="222">
        <v>3300.0</v>
      </c>
      <c r="K420" s="222">
        <v>3300.0</v>
      </c>
      <c r="L420" s="223">
        <v>46331.0</v>
      </c>
      <c r="M420" s="223">
        <v>46361.0</v>
      </c>
      <c r="N420" s="220">
        <v>0.0</v>
      </c>
      <c r="O420" s="220">
        <v>-535.0</v>
      </c>
      <c r="P420" s="220">
        <v>565.0</v>
      </c>
      <c r="Q420" s="209"/>
      <c r="R420" s="196" t="s">
        <v>1518</v>
      </c>
      <c r="S420" s="227" t="s">
        <v>1519</v>
      </c>
      <c r="T420" s="220">
        <v>485.0</v>
      </c>
      <c r="U420" s="198"/>
    </row>
    <row r="421" ht="22.5" customHeight="1">
      <c r="A421" s="211" t="s">
        <v>1520</v>
      </c>
      <c r="B421" s="212" t="s">
        <v>153</v>
      </c>
      <c r="C421" s="213" t="s">
        <v>136</v>
      </c>
      <c r="D421" s="214" t="s">
        <v>1303</v>
      </c>
      <c r="E421" s="212" t="s">
        <v>108</v>
      </c>
      <c r="F421" s="215">
        <v>2.0</v>
      </c>
      <c r="G421" s="210"/>
      <c r="H421" s="216">
        <v>25.0</v>
      </c>
      <c r="I421" s="216">
        <v>50.0</v>
      </c>
      <c r="J421" s="216">
        <v>3129.84</v>
      </c>
      <c r="K421" s="216">
        <v>0.0</v>
      </c>
      <c r="L421" s="217">
        <v>46349.0</v>
      </c>
      <c r="M421" s="217">
        <v>46379.0</v>
      </c>
      <c r="N421" s="215">
        <v>1.0</v>
      </c>
      <c r="O421" s="215">
        <v>-517.0</v>
      </c>
      <c r="P421" s="215">
        <v>547.0</v>
      </c>
      <c r="Q421" s="232">
        <v>46192.0</v>
      </c>
      <c r="R421" s="218" t="s">
        <v>1521</v>
      </c>
      <c r="S421" s="225" t="s">
        <v>1522</v>
      </c>
      <c r="T421" s="215">
        <v>486.0</v>
      </c>
      <c r="U421" s="204"/>
    </row>
    <row r="422" ht="22.5" customHeight="1">
      <c r="A422" s="192" t="s">
        <v>1478</v>
      </c>
      <c r="B422" s="193" t="s">
        <v>363</v>
      </c>
      <c r="C422" s="226" t="s">
        <v>136</v>
      </c>
      <c r="D422" s="194" t="s">
        <v>1303</v>
      </c>
      <c r="E422" s="193" t="s">
        <v>19</v>
      </c>
      <c r="F422" s="220">
        <v>5.0</v>
      </c>
      <c r="G422" s="150"/>
      <c r="H422" s="222">
        <v>10.0</v>
      </c>
      <c r="I422" s="222">
        <v>50.0</v>
      </c>
      <c r="J422" s="222">
        <v>5289.93</v>
      </c>
      <c r="K422" s="207"/>
      <c r="L422" s="223">
        <v>46348.0</v>
      </c>
      <c r="M422" s="223">
        <v>46378.0</v>
      </c>
      <c r="N422" s="150"/>
      <c r="O422" s="220">
        <v>-518.0</v>
      </c>
      <c r="P422" s="220">
        <v>548.0</v>
      </c>
      <c r="Q422" s="209"/>
      <c r="R422" s="196" t="s">
        <v>1523</v>
      </c>
      <c r="S422" s="227" t="s">
        <v>1524</v>
      </c>
      <c r="T422" s="220">
        <v>487.0</v>
      </c>
      <c r="U422" s="198"/>
    </row>
    <row r="423" ht="22.5" customHeight="1">
      <c r="A423" s="211" t="s">
        <v>1358</v>
      </c>
      <c r="B423" s="212" t="s">
        <v>365</v>
      </c>
      <c r="C423" s="213" t="s">
        <v>136</v>
      </c>
      <c r="D423" s="214" t="s">
        <v>56</v>
      </c>
      <c r="E423" s="212" t="s">
        <v>19</v>
      </c>
      <c r="F423" s="215">
        <v>1.0</v>
      </c>
      <c r="G423" s="147"/>
      <c r="H423" s="216">
        <v>75.0</v>
      </c>
      <c r="I423" s="216">
        <v>75.0</v>
      </c>
      <c r="J423" s="216">
        <v>7500.0</v>
      </c>
      <c r="K423" s="216">
        <v>7500.0</v>
      </c>
      <c r="L423" s="217">
        <v>46336.0</v>
      </c>
      <c r="M423" s="217">
        <v>46366.0</v>
      </c>
      <c r="N423" s="215">
        <v>0.0</v>
      </c>
      <c r="O423" s="215">
        <v>-530.0</v>
      </c>
      <c r="P423" s="215">
        <v>560.0</v>
      </c>
      <c r="Q423" s="203"/>
      <c r="R423" s="218" t="s">
        <v>1525</v>
      </c>
      <c r="S423" s="225" t="s">
        <v>1526</v>
      </c>
      <c r="T423" s="215">
        <v>488.0</v>
      </c>
      <c r="U423" s="204"/>
    </row>
    <row r="424" ht="22.5" hidden="1" customHeight="1">
      <c r="A424" s="205"/>
      <c r="B424" s="193" t="s">
        <v>923</v>
      </c>
      <c r="C424" s="233" t="s">
        <v>593</v>
      </c>
      <c r="D424" s="234"/>
      <c r="E424" s="209"/>
      <c r="F424" s="150"/>
      <c r="G424" s="45"/>
      <c r="H424" s="207"/>
      <c r="I424" s="197" t="s">
        <v>924</v>
      </c>
      <c r="J424" s="222">
        <v>136298.5</v>
      </c>
      <c r="K424" s="222">
        <v>64008.4</v>
      </c>
      <c r="L424" s="208"/>
      <c r="M424" s="208"/>
      <c r="N424" s="150"/>
      <c r="O424" s="150"/>
      <c r="P424" s="150"/>
      <c r="Q424" s="209"/>
      <c r="R424" s="45"/>
      <c r="S424" s="45"/>
      <c r="T424" s="150"/>
      <c r="U424" s="198"/>
    </row>
    <row r="425" ht="22.5" hidden="1" customHeight="1">
      <c r="A425" s="199"/>
      <c r="B425" s="212" t="s">
        <v>558</v>
      </c>
      <c r="C425" s="235" t="s">
        <v>614</v>
      </c>
      <c r="D425" s="236"/>
      <c r="E425" s="236"/>
      <c r="F425" s="147"/>
      <c r="G425" s="236"/>
      <c r="H425" s="201"/>
      <c r="I425" s="237" t="s">
        <v>925</v>
      </c>
      <c r="J425" s="216">
        <v>768100.8</v>
      </c>
      <c r="K425" s="201"/>
      <c r="L425" s="202"/>
      <c r="M425" s="218" t="s">
        <v>926</v>
      </c>
      <c r="N425" s="147"/>
      <c r="O425" s="147"/>
      <c r="P425" s="147"/>
      <c r="Q425" s="203"/>
      <c r="R425" s="236"/>
      <c r="S425" s="236"/>
      <c r="T425" s="215">
        <v>488.0</v>
      </c>
      <c r="U425" s="204"/>
    </row>
    <row r="426" ht="22.5" hidden="1" customHeight="1">
      <c r="A426" s="205"/>
      <c r="B426" s="193" t="s">
        <v>696</v>
      </c>
      <c r="C426" s="238" t="s">
        <v>1080</v>
      </c>
      <c r="D426" s="234"/>
      <c r="E426" s="234"/>
      <c r="F426" s="150"/>
      <c r="G426" s="234"/>
      <c r="H426" s="207"/>
      <c r="I426" s="197" t="s">
        <v>928</v>
      </c>
      <c r="J426" s="222">
        <v>532851.8</v>
      </c>
      <c r="K426" s="207"/>
      <c r="L426" s="208"/>
      <c r="M426" s="208"/>
      <c r="N426" s="150"/>
      <c r="O426" s="150"/>
      <c r="P426" s="150"/>
      <c r="Q426" s="209"/>
      <c r="R426" s="234"/>
      <c r="S426" s="234"/>
      <c r="T426" s="150"/>
      <c r="U426" s="198"/>
    </row>
    <row r="427" ht="22.5" hidden="1" customHeight="1">
      <c r="A427" s="199"/>
      <c r="B427" s="146"/>
      <c r="C427" s="200"/>
      <c r="D427" s="200"/>
      <c r="E427" s="200"/>
      <c r="F427" s="147"/>
      <c r="G427" s="186"/>
      <c r="H427" s="201"/>
      <c r="I427" s="201"/>
      <c r="J427" s="201"/>
      <c r="K427" s="201"/>
      <c r="L427" s="202"/>
      <c r="M427" s="202"/>
      <c r="N427" s="147"/>
      <c r="O427" s="147"/>
      <c r="P427" s="147"/>
      <c r="Q427" s="203"/>
      <c r="R427" s="186"/>
      <c r="S427" s="186"/>
      <c r="T427" s="147"/>
      <c r="U427" s="204"/>
    </row>
    <row r="428" ht="22.5" hidden="1" customHeight="1">
      <c r="A428" s="205"/>
      <c r="B428" s="82"/>
      <c r="C428" s="206"/>
      <c r="D428" s="206"/>
      <c r="E428" s="206"/>
      <c r="F428" s="150"/>
      <c r="G428" s="45"/>
      <c r="H428" s="207"/>
      <c r="I428" s="207"/>
      <c r="J428" s="207"/>
      <c r="K428" s="207"/>
      <c r="L428" s="208"/>
      <c r="M428" s="208"/>
      <c r="N428" s="150"/>
      <c r="O428" s="150"/>
      <c r="P428" s="150"/>
      <c r="Q428" s="209"/>
      <c r="R428" s="45"/>
      <c r="S428" s="45"/>
      <c r="T428" s="150"/>
      <c r="U428" s="198"/>
    </row>
    <row r="429" ht="22.5" hidden="1" customHeight="1">
      <c r="A429" s="199"/>
      <c r="B429" s="146"/>
      <c r="C429" s="200"/>
      <c r="D429" s="200"/>
      <c r="E429" s="200"/>
      <c r="F429" s="147"/>
      <c r="G429" s="186"/>
      <c r="H429" s="201"/>
      <c r="I429" s="201"/>
      <c r="J429" s="201"/>
      <c r="K429" s="201"/>
      <c r="L429" s="202"/>
      <c r="M429" s="202"/>
      <c r="N429" s="147"/>
      <c r="O429" s="147"/>
      <c r="P429" s="147"/>
      <c r="Q429" s="203"/>
      <c r="R429" s="186"/>
      <c r="S429" s="186"/>
      <c r="T429" s="147"/>
      <c r="U429" s="204"/>
    </row>
    <row r="430" ht="22.5" hidden="1" customHeight="1">
      <c r="A430" s="205"/>
      <c r="B430" s="82"/>
      <c r="C430" s="206"/>
      <c r="D430" s="206"/>
      <c r="E430" s="206"/>
      <c r="F430" s="150"/>
      <c r="G430" s="45"/>
      <c r="H430" s="207"/>
      <c r="I430" s="207"/>
      <c r="J430" s="207"/>
      <c r="K430" s="207"/>
      <c r="L430" s="208"/>
      <c r="M430" s="208"/>
      <c r="N430" s="150"/>
      <c r="O430" s="150"/>
      <c r="P430" s="150"/>
      <c r="Q430" s="209"/>
      <c r="R430" s="45"/>
      <c r="S430" s="45"/>
      <c r="T430" s="150"/>
      <c r="U430" s="198"/>
    </row>
    <row r="431" ht="22.5" hidden="1" customHeight="1">
      <c r="A431" s="211" t="s">
        <v>181</v>
      </c>
      <c r="B431" s="212" t="s">
        <v>132</v>
      </c>
      <c r="C431" s="212" t="s">
        <v>131</v>
      </c>
      <c r="D431" s="214" t="s">
        <v>870</v>
      </c>
      <c r="E431" s="212" t="s">
        <v>7</v>
      </c>
      <c r="F431" s="228" t="s">
        <v>871</v>
      </c>
      <c r="G431" s="212" t="s">
        <v>872</v>
      </c>
      <c r="H431" s="237" t="s">
        <v>8</v>
      </c>
      <c r="I431" s="237" t="s">
        <v>873</v>
      </c>
      <c r="J431" s="237" t="s">
        <v>17</v>
      </c>
      <c r="K431" s="237" t="s">
        <v>874</v>
      </c>
      <c r="L431" s="218" t="s">
        <v>875</v>
      </c>
      <c r="M431" s="218" t="s">
        <v>876</v>
      </c>
      <c r="N431" s="228" t="s">
        <v>877</v>
      </c>
      <c r="O431" s="228" t="s">
        <v>878</v>
      </c>
      <c r="P431" s="228" t="s">
        <v>879</v>
      </c>
      <c r="Q431" s="218" t="s">
        <v>880</v>
      </c>
      <c r="R431" s="218" t="s">
        <v>881</v>
      </c>
      <c r="S431" s="218" t="s">
        <v>882</v>
      </c>
      <c r="T431" s="228" t="s">
        <v>557</v>
      </c>
      <c r="U431" s="204"/>
    </row>
    <row r="432" ht="22.5" customHeight="1">
      <c r="A432" s="192" t="s">
        <v>1483</v>
      </c>
      <c r="B432" s="193" t="s">
        <v>359</v>
      </c>
      <c r="C432" s="226" t="s">
        <v>136</v>
      </c>
      <c r="D432" s="194" t="s">
        <v>1394</v>
      </c>
      <c r="E432" s="193" t="s">
        <v>15</v>
      </c>
      <c r="F432" s="220">
        <v>4.0</v>
      </c>
      <c r="G432" s="150"/>
      <c r="H432" s="222">
        <v>100.0</v>
      </c>
      <c r="I432" s="222">
        <v>400.0</v>
      </c>
      <c r="J432" s="222">
        <v>8800.0</v>
      </c>
      <c r="K432" s="222">
        <v>0.0</v>
      </c>
      <c r="L432" s="223">
        <v>46299.0</v>
      </c>
      <c r="M432" s="223">
        <v>46330.0</v>
      </c>
      <c r="N432" s="220">
        <v>1.0</v>
      </c>
      <c r="O432" s="220">
        <v>-566.0</v>
      </c>
      <c r="P432" s="220">
        <v>596.0</v>
      </c>
      <c r="Q432" s="209"/>
      <c r="R432" s="196" t="s">
        <v>1527</v>
      </c>
      <c r="S432" s="227" t="s">
        <v>1528</v>
      </c>
      <c r="T432" s="220">
        <v>453.0</v>
      </c>
      <c r="U432" s="198"/>
    </row>
    <row r="433" ht="22.5" customHeight="1">
      <c r="A433" s="199"/>
      <c r="B433" s="212" t="s">
        <v>328</v>
      </c>
      <c r="C433" s="213" t="s">
        <v>136</v>
      </c>
      <c r="D433" s="214" t="s">
        <v>1283</v>
      </c>
      <c r="E433" s="212" t="s">
        <v>19</v>
      </c>
      <c r="F433" s="215">
        <v>3.0</v>
      </c>
      <c r="G433" s="210"/>
      <c r="H433" s="216">
        <v>12.0</v>
      </c>
      <c r="I433" s="216">
        <v>36.0</v>
      </c>
      <c r="J433" s="216">
        <v>3971.67</v>
      </c>
      <c r="K433" s="216">
        <v>0.0</v>
      </c>
      <c r="L433" s="217">
        <v>46300.0</v>
      </c>
      <c r="M433" s="217">
        <v>46331.0</v>
      </c>
      <c r="N433" s="215">
        <v>1.0</v>
      </c>
      <c r="O433" s="215">
        <v>-565.0</v>
      </c>
      <c r="P433" s="215">
        <v>595.0</v>
      </c>
      <c r="Q433" s="203"/>
      <c r="R433" s="218" t="s">
        <v>1529</v>
      </c>
      <c r="S433" s="225" t="s">
        <v>1530</v>
      </c>
      <c r="T433" s="215">
        <v>454.0</v>
      </c>
      <c r="U433" s="204"/>
    </row>
    <row r="434" ht="22.5" customHeight="1">
      <c r="A434" s="205"/>
      <c r="B434" s="193" t="s">
        <v>211</v>
      </c>
      <c r="C434" s="226" t="s">
        <v>136</v>
      </c>
      <c r="D434" s="194" t="s">
        <v>1339</v>
      </c>
      <c r="E434" s="193" t="s">
        <v>15</v>
      </c>
      <c r="F434" s="220">
        <v>1.0</v>
      </c>
      <c r="G434" s="221"/>
      <c r="H434" s="222">
        <v>150.0</v>
      </c>
      <c r="I434" s="222">
        <v>150.0</v>
      </c>
      <c r="J434" s="222">
        <v>3354.0</v>
      </c>
      <c r="K434" s="222">
        <v>3354.0</v>
      </c>
      <c r="L434" s="223">
        <v>46297.0</v>
      </c>
      <c r="M434" s="223">
        <v>46328.0</v>
      </c>
      <c r="N434" s="220">
        <v>0.0</v>
      </c>
      <c r="O434" s="220">
        <v>-568.0</v>
      </c>
      <c r="P434" s="220">
        <v>598.0</v>
      </c>
      <c r="Q434" s="209"/>
      <c r="R434" s="196" t="s">
        <v>1531</v>
      </c>
      <c r="S434" s="227" t="s">
        <v>1532</v>
      </c>
      <c r="T434" s="220">
        <v>455.0</v>
      </c>
      <c r="U434" s="198"/>
    </row>
    <row r="435" ht="22.5" customHeight="1">
      <c r="A435" s="211" t="s">
        <v>1483</v>
      </c>
      <c r="B435" s="212" t="s">
        <v>361</v>
      </c>
      <c r="C435" s="213" t="s">
        <v>136</v>
      </c>
      <c r="D435" s="214" t="s">
        <v>1490</v>
      </c>
      <c r="E435" s="214" t="s">
        <v>17</v>
      </c>
      <c r="F435" s="215">
        <v>3.0</v>
      </c>
      <c r="G435" s="147"/>
      <c r="H435" s="216">
        <v>2500.0</v>
      </c>
      <c r="I435" s="216">
        <v>7500.0</v>
      </c>
      <c r="J435" s="216">
        <v>7500.0</v>
      </c>
      <c r="K435" s="216">
        <v>7500.0</v>
      </c>
      <c r="L435" s="217">
        <v>46299.0</v>
      </c>
      <c r="M435" s="217">
        <v>46330.0</v>
      </c>
      <c r="N435" s="215">
        <v>0.0</v>
      </c>
      <c r="O435" s="215">
        <v>-566.0</v>
      </c>
      <c r="P435" s="215">
        <v>596.0</v>
      </c>
      <c r="Q435" s="203"/>
      <c r="R435" s="218" t="s">
        <v>1533</v>
      </c>
      <c r="S435" s="225" t="s">
        <v>1534</v>
      </c>
      <c r="T435" s="215">
        <v>456.0</v>
      </c>
      <c r="U435" s="204"/>
    </row>
    <row r="436" ht="22.5" customHeight="1">
      <c r="A436" s="192" t="s">
        <v>1447</v>
      </c>
      <c r="B436" s="193" t="s">
        <v>336</v>
      </c>
      <c r="C436" s="226" t="s">
        <v>136</v>
      </c>
      <c r="D436" s="194" t="s">
        <v>1369</v>
      </c>
      <c r="E436" s="193" t="s">
        <v>17</v>
      </c>
      <c r="F436" s="220">
        <v>3.0</v>
      </c>
      <c r="G436" s="221"/>
      <c r="H436" s="222">
        <v>1000.0</v>
      </c>
      <c r="I436" s="222">
        <v>3000.0</v>
      </c>
      <c r="J436" s="222">
        <v>3000.0</v>
      </c>
      <c r="K436" s="222">
        <v>0.0</v>
      </c>
      <c r="L436" s="223">
        <v>46301.0</v>
      </c>
      <c r="M436" s="223">
        <v>46332.0</v>
      </c>
      <c r="N436" s="220">
        <v>1.0</v>
      </c>
      <c r="O436" s="220">
        <v>-564.0</v>
      </c>
      <c r="P436" s="220">
        <v>594.0</v>
      </c>
      <c r="Q436" s="209"/>
      <c r="R436" s="196" t="s">
        <v>1535</v>
      </c>
      <c r="S436" s="227" t="s">
        <v>1536</v>
      </c>
      <c r="T436" s="220">
        <v>457.0</v>
      </c>
      <c r="U436" s="198"/>
    </row>
    <row r="437" ht="22.5" customHeight="1">
      <c r="A437" s="211" t="s">
        <v>1495</v>
      </c>
      <c r="B437" s="212" t="s">
        <v>355</v>
      </c>
      <c r="C437" s="213" t="s">
        <v>136</v>
      </c>
      <c r="D437" s="214" t="s">
        <v>1369</v>
      </c>
      <c r="E437" s="212" t="s">
        <v>17</v>
      </c>
      <c r="F437" s="215">
        <v>3.0</v>
      </c>
      <c r="G437" s="147"/>
      <c r="H437" s="216">
        <v>1000.0</v>
      </c>
      <c r="I437" s="216">
        <v>3000.0</v>
      </c>
      <c r="J437" s="216">
        <v>3000.0</v>
      </c>
      <c r="K437" s="216">
        <v>0.0</v>
      </c>
      <c r="L437" s="217">
        <v>46319.0</v>
      </c>
      <c r="M437" s="217">
        <v>46350.0</v>
      </c>
      <c r="N437" s="215">
        <v>1.0</v>
      </c>
      <c r="O437" s="215">
        <v>-546.0</v>
      </c>
      <c r="P437" s="215">
        <v>576.0</v>
      </c>
      <c r="Q437" s="203"/>
      <c r="R437" s="218" t="s">
        <v>1537</v>
      </c>
      <c r="S437" s="225" t="s">
        <v>1538</v>
      </c>
      <c r="T437" s="215">
        <v>458.0</v>
      </c>
      <c r="U437" s="204"/>
    </row>
    <row r="438" ht="22.5" customHeight="1">
      <c r="A438" s="192" t="s">
        <v>1453</v>
      </c>
      <c r="B438" s="193" t="s">
        <v>309</v>
      </c>
      <c r="C438" s="226" t="s">
        <v>136</v>
      </c>
      <c r="D438" s="194" t="s">
        <v>1160</v>
      </c>
      <c r="E438" s="193" t="s">
        <v>17</v>
      </c>
      <c r="F438" s="220">
        <v>3.0</v>
      </c>
      <c r="G438" s="221"/>
      <c r="H438" s="222">
        <v>3000.0</v>
      </c>
      <c r="I438" s="222">
        <v>9000.0</v>
      </c>
      <c r="J438" s="222">
        <v>9000.0</v>
      </c>
      <c r="K438" s="207"/>
      <c r="L438" s="223">
        <v>46298.0</v>
      </c>
      <c r="M438" s="223">
        <v>46329.0</v>
      </c>
      <c r="N438" s="150"/>
      <c r="O438" s="220">
        <v>-567.0</v>
      </c>
      <c r="P438" s="220">
        <v>597.0</v>
      </c>
      <c r="Q438" s="209"/>
      <c r="R438" s="196" t="s">
        <v>1539</v>
      </c>
      <c r="S438" s="227" t="s">
        <v>1540</v>
      </c>
      <c r="T438" s="220">
        <v>459.0</v>
      </c>
      <c r="U438" s="198"/>
    </row>
    <row r="439" ht="22.5" customHeight="1">
      <c r="A439" s="211" t="s">
        <v>1483</v>
      </c>
      <c r="B439" s="212" t="s">
        <v>357</v>
      </c>
      <c r="C439" s="213" t="s">
        <v>136</v>
      </c>
      <c r="D439" s="214" t="s">
        <v>1500</v>
      </c>
      <c r="E439" s="212" t="s">
        <v>15</v>
      </c>
      <c r="F439" s="215">
        <v>4.0</v>
      </c>
      <c r="G439" s="147"/>
      <c r="H439" s="216">
        <v>125.0</v>
      </c>
      <c r="I439" s="216">
        <v>500.0</v>
      </c>
      <c r="J439" s="216">
        <v>11000.0</v>
      </c>
      <c r="K439" s="216">
        <v>11000.0</v>
      </c>
      <c r="L439" s="217">
        <v>46297.0</v>
      </c>
      <c r="M439" s="217">
        <v>46328.0</v>
      </c>
      <c r="N439" s="215">
        <v>0.0</v>
      </c>
      <c r="O439" s="215">
        <v>-568.0</v>
      </c>
      <c r="P439" s="215">
        <v>598.0</v>
      </c>
      <c r="Q439" s="203"/>
      <c r="R439" s="218" t="s">
        <v>1541</v>
      </c>
      <c r="S439" s="225" t="s">
        <v>1542</v>
      </c>
      <c r="T439" s="215">
        <v>460.0</v>
      </c>
      <c r="U439" s="204"/>
    </row>
    <row r="440" ht="22.5" customHeight="1">
      <c r="A440" s="192" t="s">
        <v>1543</v>
      </c>
      <c r="B440" s="193" t="s">
        <v>301</v>
      </c>
      <c r="C440" s="226" t="s">
        <v>136</v>
      </c>
      <c r="D440" s="194" t="s">
        <v>1199</v>
      </c>
      <c r="E440" s="193" t="s">
        <v>17</v>
      </c>
      <c r="F440" s="220">
        <v>3.0</v>
      </c>
      <c r="G440" s="221"/>
      <c r="H440" s="222">
        <v>6000.0</v>
      </c>
      <c r="I440" s="222">
        <v>18000.0</v>
      </c>
      <c r="J440" s="222">
        <v>18000.0</v>
      </c>
      <c r="K440" s="207"/>
      <c r="L440" s="223">
        <v>46313.0</v>
      </c>
      <c r="M440" s="223">
        <v>46344.0</v>
      </c>
      <c r="N440" s="150"/>
      <c r="O440" s="220">
        <v>-552.0</v>
      </c>
      <c r="P440" s="220">
        <v>582.0</v>
      </c>
      <c r="Q440" s="209"/>
      <c r="R440" s="196" t="s">
        <v>1544</v>
      </c>
      <c r="S440" s="227" t="s">
        <v>1545</v>
      </c>
      <c r="T440" s="220">
        <v>461.0</v>
      </c>
      <c r="U440" s="198"/>
    </row>
    <row r="441" ht="22.5" customHeight="1">
      <c r="A441" s="211" t="s">
        <v>1546</v>
      </c>
      <c r="B441" s="212" t="s">
        <v>291</v>
      </c>
      <c r="C441" s="213" t="s">
        <v>136</v>
      </c>
      <c r="D441" s="214" t="s">
        <v>1547</v>
      </c>
      <c r="E441" s="212" t="s">
        <v>17</v>
      </c>
      <c r="F441" s="215">
        <v>2.0</v>
      </c>
      <c r="G441" s="210"/>
      <c r="H441" s="216">
        <v>8000.0</v>
      </c>
      <c r="I441" s="216">
        <v>16000.0</v>
      </c>
      <c r="J441" s="216">
        <v>16000.0</v>
      </c>
      <c r="K441" s="216">
        <v>0.0</v>
      </c>
      <c r="L441" s="217">
        <v>46306.0</v>
      </c>
      <c r="M441" s="217">
        <v>46337.0</v>
      </c>
      <c r="N441" s="215">
        <v>1.0</v>
      </c>
      <c r="O441" s="215">
        <v>-559.0</v>
      </c>
      <c r="P441" s="215">
        <v>589.0</v>
      </c>
      <c r="Q441" s="203"/>
      <c r="R441" s="218" t="s">
        <v>1548</v>
      </c>
      <c r="S441" s="225" t="s">
        <v>1549</v>
      </c>
      <c r="T441" s="215">
        <v>462.0</v>
      </c>
      <c r="U441" s="204"/>
    </row>
    <row r="442" ht="22.5" customHeight="1">
      <c r="A442" s="205"/>
      <c r="B442" s="193" t="s">
        <v>349</v>
      </c>
      <c r="C442" s="226" t="s">
        <v>136</v>
      </c>
      <c r="D442" s="194" t="s">
        <v>1294</v>
      </c>
      <c r="E442" s="193" t="s">
        <v>100</v>
      </c>
      <c r="F442" s="220">
        <v>8.0</v>
      </c>
      <c r="G442" s="221"/>
      <c r="H442" s="222">
        <v>12.0</v>
      </c>
      <c r="I442" s="222">
        <v>96.0</v>
      </c>
      <c r="J442" s="222">
        <v>8054.4</v>
      </c>
      <c r="K442" s="222">
        <v>8054.4</v>
      </c>
      <c r="L442" s="223">
        <v>46297.0</v>
      </c>
      <c r="M442" s="223">
        <v>46328.0</v>
      </c>
      <c r="N442" s="220">
        <v>0.0</v>
      </c>
      <c r="O442" s="220">
        <v>-568.0</v>
      </c>
      <c r="P442" s="220">
        <v>598.0</v>
      </c>
      <c r="Q442" s="209"/>
      <c r="R442" s="196" t="s">
        <v>1550</v>
      </c>
      <c r="S442" s="227" t="s">
        <v>1551</v>
      </c>
      <c r="T442" s="220">
        <v>463.0</v>
      </c>
      <c r="U442" s="198"/>
    </row>
    <row r="443" ht="22.5" customHeight="1">
      <c r="A443" s="199"/>
      <c r="B443" s="212" t="s">
        <v>330</v>
      </c>
      <c r="C443" s="213" t="s">
        <v>136</v>
      </c>
      <c r="D443" s="214" t="s">
        <v>1552</v>
      </c>
      <c r="E443" s="212" t="s">
        <v>17</v>
      </c>
      <c r="F443" s="215">
        <v>2.0</v>
      </c>
      <c r="G443" s="210"/>
      <c r="H443" s="237" t="s">
        <v>1200</v>
      </c>
      <c r="I443" s="216">
        <v>15000.0</v>
      </c>
      <c r="J443" s="216">
        <v>15000.0</v>
      </c>
      <c r="K443" s="216">
        <v>0.0</v>
      </c>
      <c r="L443" s="217">
        <v>46304.0</v>
      </c>
      <c r="M443" s="217">
        <v>46335.0</v>
      </c>
      <c r="N443" s="215">
        <v>1.0</v>
      </c>
      <c r="O443" s="215">
        <v>-561.0</v>
      </c>
      <c r="P443" s="215">
        <v>591.0</v>
      </c>
      <c r="Q443" s="203"/>
      <c r="R443" s="218" t="s">
        <v>1553</v>
      </c>
      <c r="S443" s="225" t="s">
        <v>1554</v>
      </c>
      <c r="T443" s="215">
        <v>464.0</v>
      </c>
      <c r="U443" s="204"/>
    </row>
    <row r="444" ht="22.5" customHeight="1">
      <c r="A444" s="192" t="s">
        <v>1423</v>
      </c>
      <c r="B444" s="193" t="s">
        <v>345</v>
      </c>
      <c r="C444" s="226" t="s">
        <v>136</v>
      </c>
      <c r="D444" s="194" t="s">
        <v>1160</v>
      </c>
      <c r="E444" s="193" t="s">
        <v>17</v>
      </c>
      <c r="F444" s="220">
        <v>3.0</v>
      </c>
      <c r="G444" s="221"/>
      <c r="H444" s="222">
        <v>3000.0</v>
      </c>
      <c r="I444" s="222">
        <v>9000.0</v>
      </c>
      <c r="J444" s="222">
        <v>9000.0</v>
      </c>
      <c r="K444" s="207"/>
      <c r="L444" s="223">
        <v>46315.0</v>
      </c>
      <c r="M444" s="223">
        <v>46346.0</v>
      </c>
      <c r="N444" s="150"/>
      <c r="O444" s="220">
        <v>-550.0</v>
      </c>
      <c r="P444" s="220">
        <v>580.0</v>
      </c>
      <c r="Q444" s="209"/>
      <c r="R444" s="196" t="s">
        <v>1555</v>
      </c>
      <c r="S444" s="227" t="s">
        <v>1556</v>
      </c>
      <c r="T444" s="220">
        <v>465.0</v>
      </c>
      <c r="U444" s="198"/>
    </row>
    <row r="445" ht="22.5" customHeight="1">
      <c r="A445" s="199"/>
      <c r="B445" s="212" t="s">
        <v>338</v>
      </c>
      <c r="C445" s="200"/>
      <c r="D445" s="214" t="s">
        <v>1469</v>
      </c>
      <c r="E445" s="212" t="s">
        <v>108</v>
      </c>
      <c r="F445" s="215">
        <v>10.25</v>
      </c>
      <c r="G445" s="210"/>
      <c r="H445" s="216">
        <v>30.0</v>
      </c>
      <c r="I445" s="216">
        <v>307.5</v>
      </c>
      <c r="J445" s="201"/>
      <c r="K445" s="201"/>
      <c r="L445" s="217">
        <v>46304.0</v>
      </c>
      <c r="M445" s="217">
        <v>46335.0</v>
      </c>
      <c r="N445" s="147"/>
      <c r="O445" s="215">
        <v>-561.0</v>
      </c>
      <c r="P445" s="215">
        <v>591.0</v>
      </c>
      <c r="Q445" s="203"/>
      <c r="R445" s="218" t="s">
        <v>1557</v>
      </c>
      <c r="S445" s="186"/>
      <c r="T445" s="215">
        <v>466.0</v>
      </c>
      <c r="U445" s="204"/>
    </row>
    <row r="446" ht="22.5" customHeight="1">
      <c r="A446" s="205"/>
      <c r="B446" s="193" t="s">
        <v>332</v>
      </c>
      <c r="C446" s="226" t="s">
        <v>136</v>
      </c>
      <c r="D446" s="194" t="s">
        <v>1472</v>
      </c>
      <c r="E446" s="193" t="s">
        <v>15</v>
      </c>
      <c r="F446" s="220">
        <v>1.0</v>
      </c>
      <c r="G446" s="221"/>
      <c r="H446" s="222">
        <v>150.0</v>
      </c>
      <c r="I446" s="222">
        <v>150.0</v>
      </c>
      <c r="J446" s="222">
        <v>3300.0</v>
      </c>
      <c r="K446" s="222">
        <v>3300.0</v>
      </c>
      <c r="L446" s="223">
        <v>46315.0</v>
      </c>
      <c r="M446" s="223">
        <v>46346.0</v>
      </c>
      <c r="N446" s="220">
        <v>0.0</v>
      </c>
      <c r="O446" s="220">
        <v>-550.0</v>
      </c>
      <c r="P446" s="220">
        <v>580.0</v>
      </c>
      <c r="Q446" s="209"/>
      <c r="R446" s="196" t="s">
        <v>1558</v>
      </c>
      <c r="S446" s="227" t="s">
        <v>1559</v>
      </c>
      <c r="T446" s="220">
        <v>467.0</v>
      </c>
      <c r="U446" s="198"/>
    </row>
    <row r="447" ht="22.5" customHeight="1">
      <c r="A447" s="199"/>
      <c r="B447" s="212" t="s">
        <v>334</v>
      </c>
      <c r="C447" s="213" t="s">
        <v>136</v>
      </c>
      <c r="D447" s="214" t="s">
        <v>1426</v>
      </c>
      <c r="E447" s="212" t="s">
        <v>15</v>
      </c>
      <c r="F447" s="215">
        <v>1.0</v>
      </c>
      <c r="G447" s="210"/>
      <c r="H447" s="216">
        <v>150.0</v>
      </c>
      <c r="I447" s="216">
        <v>150.0</v>
      </c>
      <c r="J447" s="216">
        <v>3300.0</v>
      </c>
      <c r="K447" s="216">
        <v>3300.0</v>
      </c>
      <c r="L447" s="217">
        <v>46300.0</v>
      </c>
      <c r="M447" s="217">
        <v>46331.0</v>
      </c>
      <c r="N447" s="215">
        <v>0.0</v>
      </c>
      <c r="O447" s="215">
        <v>-565.0</v>
      </c>
      <c r="P447" s="215">
        <v>595.0</v>
      </c>
      <c r="Q447" s="203"/>
      <c r="R447" s="218" t="s">
        <v>1560</v>
      </c>
      <c r="S447" s="225" t="s">
        <v>1561</v>
      </c>
      <c r="T447" s="215">
        <v>468.0</v>
      </c>
      <c r="U447" s="204"/>
    </row>
    <row r="448" ht="22.5" customHeight="1">
      <c r="A448" s="192" t="s">
        <v>1478</v>
      </c>
      <c r="B448" s="193" t="s">
        <v>363</v>
      </c>
      <c r="C448" s="226" t="s">
        <v>136</v>
      </c>
      <c r="D448" s="194" t="s">
        <v>1303</v>
      </c>
      <c r="E448" s="193" t="s">
        <v>19</v>
      </c>
      <c r="F448" s="220">
        <v>1.0</v>
      </c>
      <c r="G448" s="150"/>
      <c r="H448" s="222">
        <v>10.0</v>
      </c>
      <c r="I448" s="222">
        <v>10.0</v>
      </c>
      <c r="J448" s="222">
        <v>12000.0</v>
      </c>
      <c r="K448" s="222">
        <v>0.0</v>
      </c>
      <c r="L448" s="223">
        <v>46317.0</v>
      </c>
      <c r="M448" s="223">
        <v>46348.0</v>
      </c>
      <c r="N448" s="220">
        <v>1.0</v>
      </c>
      <c r="O448" s="220">
        <v>-548.0</v>
      </c>
      <c r="P448" s="220">
        <v>578.0</v>
      </c>
      <c r="Q448" s="209"/>
      <c r="R448" s="196" t="s">
        <v>1562</v>
      </c>
      <c r="S448" s="227" t="s">
        <v>1563</v>
      </c>
      <c r="T448" s="220">
        <v>469.0</v>
      </c>
      <c r="U448" s="198"/>
    </row>
    <row r="449" ht="22.5" hidden="1" customHeight="1">
      <c r="A449" s="199"/>
      <c r="B449" s="212" t="s">
        <v>923</v>
      </c>
      <c r="C449" s="240" t="s">
        <v>589</v>
      </c>
      <c r="D449" s="236"/>
      <c r="E449" s="203"/>
      <c r="F449" s="147"/>
      <c r="G449" s="186"/>
      <c r="H449" s="201"/>
      <c r="I449" s="237" t="s">
        <v>924</v>
      </c>
      <c r="J449" s="216">
        <v>134280.07</v>
      </c>
      <c r="K449" s="216">
        <v>36508.4</v>
      </c>
      <c r="L449" s="202"/>
      <c r="M449" s="202"/>
      <c r="N449" s="147"/>
      <c r="O449" s="147"/>
      <c r="P449" s="147"/>
      <c r="Q449" s="203"/>
      <c r="R449" s="186"/>
      <c r="S449" s="186"/>
      <c r="T449" s="147"/>
      <c r="U449" s="204"/>
    </row>
    <row r="450" ht="22.5" hidden="1" customHeight="1">
      <c r="A450" s="205"/>
      <c r="B450" s="193" t="s">
        <v>558</v>
      </c>
      <c r="C450" s="241" t="s">
        <v>612</v>
      </c>
      <c r="D450" s="234"/>
      <c r="E450" s="234"/>
      <c r="F450" s="150"/>
      <c r="G450" s="234"/>
      <c r="H450" s="207"/>
      <c r="I450" s="197" t="s">
        <v>925</v>
      </c>
      <c r="J450" s="222">
        <v>438100.8</v>
      </c>
      <c r="K450" s="207"/>
      <c r="L450" s="208"/>
      <c r="M450" s="196" t="s">
        <v>926</v>
      </c>
      <c r="N450" s="150"/>
      <c r="O450" s="150"/>
      <c r="P450" s="150"/>
      <c r="Q450" s="209"/>
      <c r="R450" s="234"/>
      <c r="S450" s="234"/>
      <c r="T450" s="220">
        <v>469.0</v>
      </c>
      <c r="U450" s="198"/>
    </row>
    <row r="451" ht="22.5" hidden="1" customHeight="1">
      <c r="A451" s="199"/>
      <c r="B451" s="212" t="s">
        <v>696</v>
      </c>
      <c r="C451" s="232" t="s">
        <v>1116</v>
      </c>
      <c r="D451" s="236"/>
      <c r="E451" s="236"/>
      <c r="F451" s="147"/>
      <c r="G451" s="236"/>
      <c r="H451" s="201"/>
      <c r="I451" s="237" t="s">
        <v>928</v>
      </c>
      <c r="J451" s="216">
        <v>468843.4</v>
      </c>
      <c r="K451" s="201"/>
      <c r="L451" s="202"/>
      <c r="M451" s="202"/>
      <c r="N451" s="147"/>
      <c r="O451" s="147"/>
      <c r="P451" s="147"/>
      <c r="Q451" s="203"/>
      <c r="R451" s="236"/>
      <c r="S451" s="236"/>
      <c r="T451" s="147"/>
      <c r="U451" s="204"/>
    </row>
    <row r="452" ht="22.5" hidden="1" customHeight="1">
      <c r="A452" s="205"/>
      <c r="B452" s="82"/>
      <c r="C452" s="206"/>
      <c r="D452" s="206"/>
      <c r="E452" s="206"/>
      <c r="F452" s="150"/>
      <c r="G452" s="45"/>
      <c r="H452" s="207"/>
      <c r="I452" s="207"/>
      <c r="J452" s="207"/>
      <c r="K452" s="207"/>
      <c r="L452" s="208"/>
      <c r="M452" s="208"/>
      <c r="N452" s="150"/>
      <c r="O452" s="150"/>
      <c r="P452" s="150"/>
      <c r="Q452" s="209"/>
      <c r="R452" s="45"/>
      <c r="S452" s="45"/>
      <c r="T452" s="150"/>
      <c r="U452" s="198"/>
    </row>
    <row r="453" ht="22.5" hidden="1" customHeight="1">
      <c r="A453" s="199"/>
      <c r="B453" s="146"/>
      <c r="C453" s="200"/>
      <c r="D453" s="200"/>
      <c r="E453" s="200"/>
      <c r="F453" s="147"/>
      <c r="G453" s="186"/>
      <c r="H453" s="201"/>
      <c r="I453" s="201"/>
      <c r="J453" s="201"/>
      <c r="K453" s="201"/>
      <c r="L453" s="202"/>
      <c r="M453" s="202"/>
      <c r="N453" s="147"/>
      <c r="O453" s="147"/>
      <c r="P453" s="147"/>
      <c r="Q453" s="203"/>
      <c r="R453" s="186"/>
      <c r="S453" s="186"/>
      <c r="T453" s="147"/>
      <c r="U453" s="204"/>
    </row>
    <row r="454" ht="22.5" hidden="1" customHeight="1">
      <c r="A454" s="205"/>
      <c r="B454" s="82"/>
      <c r="C454" s="206"/>
      <c r="D454" s="206"/>
      <c r="E454" s="206"/>
      <c r="F454" s="150"/>
      <c r="G454" s="45"/>
      <c r="H454" s="207"/>
      <c r="I454" s="207"/>
      <c r="J454" s="207"/>
      <c r="K454" s="207"/>
      <c r="L454" s="208"/>
      <c r="M454" s="208"/>
      <c r="N454" s="150"/>
      <c r="O454" s="150"/>
      <c r="P454" s="150"/>
      <c r="Q454" s="209"/>
      <c r="R454" s="45"/>
      <c r="S454" s="45"/>
      <c r="T454" s="150"/>
      <c r="U454" s="198"/>
    </row>
    <row r="455" ht="22.5" hidden="1" customHeight="1">
      <c r="A455" s="199"/>
      <c r="B455" s="146"/>
      <c r="C455" s="200"/>
      <c r="D455" s="200"/>
      <c r="E455" s="200"/>
      <c r="F455" s="147"/>
      <c r="G455" s="186"/>
      <c r="H455" s="201"/>
      <c r="I455" s="201"/>
      <c r="J455" s="201"/>
      <c r="K455" s="201"/>
      <c r="L455" s="202"/>
      <c r="M455" s="202"/>
      <c r="N455" s="147"/>
      <c r="O455" s="147"/>
      <c r="P455" s="147"/>
      <c r="Q455" s="203"/>
      <c r="R455" s="186"/>
      <c r="S455" s="186"/>
      <c r="T455" s="147"/>
      <c r="U455" s="204"/>
    </row>
    <row r="456" ht="22.5" hidden="1" customHeight="1">
      <c r="A456" s="192" t="s">
        <v>181</v>
      </c>
      <c r="B456" s="193" t="s">
        <v>132</v>
      </c>
      <c r="C456" s="193" t="s">
        <v>131</v>
      </c>
      <c r="D456" s="194" t="s">
        <v>870</v>
      </c>
      <c r="E456" s="193" t="s">
        <v>7</v>
      </c>
      <c r="F456" s="195" t="s">
        <v>871</v>
      </c>
      <c r="G456" s="193" t="s">
        <v>872</v>
      </c>
      <c r="H456" s="197" t="s">
        <v>8</v>
      </c>
      <c r="I456" s="197" t="s">
        <v>873</v>
      </c>
      <c r="J456" s="197" t="s">
        <v>17</v>
      </c>
      <c r="K456" s="197" t="s">
        <v>874</v>
      </c>
      <c r="L456" s="196" t="s">
        <v>875</v>
      </c>
      <c r="M456" s="196" t="s">
        <v>876</v>
      </c>
      <c r="N456" s="195" t="s">
        <v>877</v>
      </c>
      <c r="O456" s="195" t="s">
        <v>878</v>
      </c>
      <c r="P456" s="195" t="s">
        <v>879</v>
      </c>
      <c r="Q456" s="196" t="s">
        <v>880</v>
      </c>
      <c r="R456" s="196" t="s">
        <v>881</v>
      </c>
      <c r="S456" s="196" t="s">
        <v>882</v>
      </c>
      <c r="T456" s="195" t="s">
        <v>557</v>
      </c>
      <c r="U456" s="198"/>
    </row>
    <row r="457" ht="22.5" customHeight="1">
      <c r="A457" s="199"/>
      <c r="B457" s="212" t="s">
        <v>328</v>
      </c>
      <c r="C457" s="213" t="s">
        <v>136</v>
      </c>
      <c r="D457" s="214" t="s">
        <v>1283</v>
      </c>
      <c r="E457" s="212" t="s">
        <v>19</v>
      </c>
      <c r="F457" s="215">
        <v>4.0</v>
      </c>
      <c r="G457" s="210"/>
      <c r="H457" s="216">
        <v>10.0</v>
      </c>
      <c r="I457" s="216">
        <v>40.0</v>
      </c>
      <c r="J457" s="216">
        <v>4426.75</v>
      </c>
      <c r="K457" s="216">
        <v>0.0</v>
      </c>
      <c r="L457" s="217">
        <v>46270.0</v>
      </c>
      <c r="M457" s="217">
        <v>46300.0</v>
      </c>
      <c r="N457" s="215">
        <v>1.0</v>
      </c>
      <c r="O457" s="215">
        <v>-596.0</v>
      </c>
      <c r="P457" s="215">
        <v>626.0</v>
      </c>
      <c r="Q457" s="203"/>
      <c r="R457" s="218" t="s">
        <v>1564</v>
      </c>
      <c r="S457" s="225" t="s">
        <v>1565</v>
      </c>
      <c r="T457" s="215">
        <v>437.0</v>
      </c>
      <c r="U457" s="204"/>
    </row>
    <row r="458" ht="22.5" customHeight="1">
      <c r="A458" s="205"/>
      <c r="B458" s="193" t="s">
        <v>211</v>
      </c>
      <c r="C458" s="226" t="s">
        <v>136</v>
      </c>
      <c r="D458" s="194" t="s">
        <v>1339</v>
      </c>
      <c r="E458" s="193" t="s">
        <v>15</v>
      </c>
      <c r="F458" s="220">
        <v>1.0</v>
      </c>
      <c r="G458" s="221"/>
      <c r="H458" s="222">
        <v>150.0</v>
      </c>
      <c r="I458" s="222">
        <v>150.0</v>
      </c>
      <c r="J458" s="222">
        <v>3354.0</v>
      </c>
      <c r="K458" s="222">
        <v>3354.0</v>
      </c>
      <c r="L458" s="223">
        <v>46267.0</v>
      </c>
      <c r="M458" s="223">
        <v>46297.0</v>
      </c>
      <c r="N458" s="220">
        <v>0.0</v>
      </c>
      <c r="O458" s="220">
        <v>-599.0</v>
      </c>
      <c r="P458" s="220">
        <v>629.0</v>
      </c>
      <c r="Q458" s="209"/>
      <c r="R458" s="196" t="s">
        <v>1566</v>
      </c>
      <c r="S458" s="227" t="s">
        <v>1567</v>
      </c>
      <c r="T458" s="220">
        <v>438.0</v>
      </c>
      <c r="U458" s="198"/>
    </row>
    <row r="459" ht="22.5" customHeight="1">
      <c r="A459" s="211" t="s">
        <v>1447</v>
      </c>
      <c r="B459" s="212" t="s">
        <v>336</v>
      </c>
      <c r="C459" s="213" t="s">
        <v>136</v>
      </c>
      <c r="D459" s="214" t="s">
        <v>1369</v>
      </c>
      <c r="E459" s="212" t="s">
        <v>17</v>
      </c>
      <c r="F459" s="215">
        <v>3.0</v>
      </c>
      <c r="G459" s="210"/>
      <c r="H459" s="216">
        <v>1000.0</v>
      </c>
      <c r="I459" s="216">
        <v>3000.0</v>
      </c>
      <c r="J459" s="216">
        <v>3000.0</v>
      </c>
      <c r="K459" s="216">
        <v>0.0</v>
      </c>
      <c r="L459" s="217">
        <v>46271.0</v>
      </c>
      <c r="M459" s="217">
        <v>46301.0</v>
      </c>
      <c r="N459" s="215">
        <v>1.0</v>
      </c>
      <c r="O459" s="215">
        <v>-595.0</v>
      </c>
      <c r="P459" s="215">
        <v>625.0</v>
      </c>
      <c r="Q459" s="203"/>
      <c r="R459" s="218" t="s">
        <v>1568</v>
      </c>
      <c r="S459" s="225" t="s">
        <v>1569</v>
      </c>
      <c r="T459" s="215">
        <v>439.0</v>
      </c>
      <c r="U459" s="204"/>
    </row>
    <row r="460" ht="22.5" customHeight="1">
      <c r="A460" s="192" t="s">
        <v>1495</v>
      </c>
      <c r="B460" s="193" t="s">
        <v>355</v>
      </c>
      <c r="C460" s="226" t="s">
        <v>136</v>
      </c>
      <c r="D460" s="194" t="s">
        <v>1369</v>
      </c>
      <c r="E460" s="193" t="s">
        <v>17</v>
      </c>
      <c r="F460" s="220">
        <v>3.0</v>
      </c>
      <c r="G460" s="150"/>
      <c r="H460" s="222">
        <v>1000.0</v>
      </c>
      <c r="I460" s="222">
        <v>3000.0</v>
      </c>
      <c r="J460" s="222">
        <v>3000.0</v>
      </c>
      <c r="K460" s="222">
        <v>0.0</v>
      </c>
      <c r="L460" s="223">
        <v>46289.0</v>
      </c>
      <c r="M460" s="223">
        <v>46319.0</v>
      </c>
      <c r="N460" s="220">
        <v>1.0</v>
      </c>
      <c r="O460" s="220">
        <v>-577.0</v>
      </c>
      <c r="P460" s="220">
        <v>607.0</v>
      </c>
      <c r="Q460" s="209"/>
      <c r="R460" s="196" t="s">
        <v>1570</v>
      </c>
      <c r="S460" s="227" t="s">
        <v>1571</v>
      </c>
      <c r="T460" s="220">
        <v>440.0</v>
      </c>
      <c r="U460" s="198"/>
    </row>
    <row r="461" ht="22.5" customHeight="1">
      <c r="A461" s="211" t="s">
        <v>1572</v>
      </c>
      <c r="B461" s="212" t="s">
        <v>313</v>
      </c>
      <c r="C461" s="231" t="s">
        <v>684</v>
      </c>
      <c r="D461" s="214" t="s">
        <v>1573</v>
      </c>
      <c r="E461" s="212" t="s">
        <v>17</v>
      </c>
      <c r="F461" s="215">
        <v>1.0</v>
      </c>
      <c r="G461" s="210"/>
      <c r="H461" s="216">
        <v>8000.0</v>
      </c>
      <c r="I461" s="216">
        <v>8000.0</v>
      </c>
      <c r="J461" s="216">
        <v>8000.0</v>
      </c>
      <c r="K461" s="216">
        <v>0.0</v>
      </c>
      <c r="L461" s="217">
        <v>46280.0</v>
      </c>
      <c r="M461" s="217">
        <v>46310.0</v>
      </c>
      <c r="N461" s="215">
        <v>1.0</v>
      </c>
      <c r="O461" s="215">
        <v>-586.0</v>
      </c>
      <c r="P461" s="215">
        <v>616.0</v>
      </c>
      <c r="Q461" s="203"/>
      <c r="R461" s="218" t="s">
        <v>1574</v>
      </c>
      <c r="S461" s="186"/>
      <c r="T461" s="215">
        <v>441.0</v>
      </c>
      <c r="U461" s="204"/>
    </row>
    <row r="462" ht="22.5" customHeight="1">
      <c r="A462" s="192" t="s">
        <v>1453</v>
      </c>
      <c r="B462" s="193" t="s">
        <v>309</v>
      </c>
      <c r="C462" s="226" t="s">
        <v>136</v>
      </c>
      <c r="D462" s="194" t="s">
        <v>1160</v>
      </c>
      <c r="E462" s="193" t="s">
        <v>17</v>
      </c>
      <c r="F462" s="220">
        <v>3.0</v>
      </c>
      <c r="G462" s="221"/>
      <c r="H462" s="222">
        <v>3000.0</v>
      </c>
      <c r="I462" s="222">
        <v>9000.0</v>
      </c>
      <c r="J462" s="222">
        <v>9000.0</v>
      </c>
      <c r="K462" s="222">
        <v>0.0</v>
      </c>
      <c r="L462" s="223">
        <v>46268.0</v>
      </c>
      <c r="M462" s="223">
        <v>46298.0</v>
      </c>
      <c r="N462" s="220">
        <v>1.0</v>
      </c>
      <c r="O462" s="220">
        <v>-598.0</v>
      </c>
      <c r="P462" s="220">
        <v>628.0</v>
      </c>
      <c r="Q462" s="209"/>
      <c r="R462" s="196" t="s">
        <v>1575</v>
      </c>
      <c r="S462" s="227" t="s">
        <v>1576</v>
      </c>
      <c r="T462" s="220">
        <v>442.0</v>
      </c>
      <c r="U462" s="198"/>
    </row>
    <row r="463" ht="22.5" customHeight="1">
      <c r="A463" s="211" t="s">
        <v>1483</v>
      </c>
      <c r="B463" s="212" t="s">
        <v>357</v>
      </c>
      <c r="C463" s="213" t="s">
        <v>136</v>
      </c>
      <c r="D463" s="214" t="s">
        <v>1500</v>
      </c>
      <c r="E463" s="212" t="s">
        <v>15</v>
      </c>
      <c r="F463" s="215">
        <v>4.0</v>
      </c>
      <c r="G463" s="147"/>
      <c r="H463" s="216">
        <v>125.0</v>
      </c>
      <c r="I463" s="216">
        <v>500.0</v>
      </c>
      <c r="J463" s="216">
        <v>11000.0</v>
      </c>
      <c r="K463" s="216">
        <v>0.0</v>
      </c>
      <c r="L463" s="217">
        <v>46267.0</v>
      </c>
      <c r="M463" s="217">
        <v>46297.0</v>
      </c>
      <c r="N463" s="215">
        <v>1.0</v>
      </c>
      <c r="O463" s="215">
        <v>-599.0</v>
      </c>
      <c r="P463" s="215">
        <v>629.0</v>
      </c>
      <c r="Q463" s="203"/>
      <c r="R463" s="218" t="s">
        <v>1577</v>
      </c>
      <c r="S463" s="225" t="s">
        <v>1578</v>
      </c>
      <c r="T463" s="215">
        <v>443.0</v>
      </c>
      <c r="U463" s="204"/>
    </row>
    <row r="464" ht="22.5" customHeight="1">
      <c r="A464" s="192" t="s">
        <v>1543</v>
      </c>
      <c r="B464" s="193" t="s">
        <v>301</v>
      </c>
      <c r="C464" s="226" t="s">
        <v>136</v>
      </c>
      <c r="D464" s="194" t="s">
        <v>1199</v>
      </c>
      <c r="E464" s="193" t="s">
        <v>17</v>
      </c>
      <c r="F464" s="220">
        <v>3.0</v>
      </c>
      <c r="G464" s="221"/>
      <c r="H464" s="222">
        <v>6000.0</v>
      </c>
      <c r="I464" s="222">
        <v>18000.0</v>
      </c>
      <c r="J464" s="222">
        <v>18000.0</v>
      </c>
      <c r="K464" s="222">
        <v>0.0</v>
      </c>
      <c r="L464" s="223">
        <v>46283.0</v>
      </c>
      <c r="M464" s="223">
        <v>46313.0</v>
      </c>
      <c r="N464" s="220">
        <v>1.0</v>
      </c>
      <c r="O464" s="220">
        <v>-583.0</v>
      </c>
      <c r="P464" s="220">
        <v>613.0</v>
      </c>
      <c r="Q464" s="209"/>
      <c r="R464" s="196" t="s">
        <v>1579</v>
      </c>
      <c r="S464" s="227" t="s">
        <v>1580</v>
      </c>
      <c r="T464" s="220">
        <v>444.0</v>
      </c>
      <c r="U464" s="198"/>
    </row>
    <row r="465" ht="22.5" customHeight="1">
      <c r="A465" s="211" t="s">
        <v>1581</v>
      </c>
      <c r="B465" s="212" t="s">
        <v>249</v>
      </c>
      <c r="C465" s="213" t="s">
        <v>136</v>
      </c>
      <c r="D465" s="214" t="s">
        <v>1582</v>
      </c>
      <c r="E465" s="212" t="s">
        <v>15</v>
      </c>
      <c r="F465" s="215">
        <v>2.0</v>
      </c>
      <c r="G465" s="210"/>
      <c r="H465" s="216">
        <v>250.0</v>
      </c>
      <c r="I465" s="216">
        <v>500.0</v>
      </c>
      <c r="J465" s="216">
        <v>11180.0</v>
      </c>
      <c r="K465" s="216">
        <v>11180.0</v>
      </c>
      <c r="L465" s="217">
        <v>46277.0</v>
      </c>
      <c r="M465" s="217">
        <v>46307.0</v>
      </c>
      <c r="N465" s="215">
        <v>0.0</v>
      </c>
      <c r="O465" s="215">
        <v>-589.0</v>
      </c>
      <c r="P465" s="215">
        <v>619.0</v>
      </c>
      <c r="Q465" s="203"/>
      <c r="R465" s="218" t="s">
        <v>1583</v>
      </c>
      <c r="S465" s="225" t="s">
        <v>1584</v>
      </c>
      <c r="T465" s="215">
        <v>445.0</v>
      </c>
      <c r="U465" s="204"/>
    </row>
    <row r="466" ht="22.5" customHeight="1">
      <c r="A466" s="192" t="s">
        <v>1585</v>
      </c>
      <c r="B466" s="193" t="s">
        <v>291</v>
      </c>
      <c r="C466" s="226" t="s">
        <v>136</v>
      </c>
      <c r="D466" s="194" t="s">
        <v>1547</v>
      </c>
      <c r="E466" s="193" t="s">
        <v>17</v>
      </c>
      <c r="F466" s="220">
        <v>2.0</v>
      </c>
      <c r="G466" s="221"/>
      <c r="H466" s="222">
        <v>8000.0</v>
      </c>
      <c r="I466" s="222">
        <v>16000.0</v>
      </c>
      <c r="J466" s="222">
        <v>16000.0</v>
      </c>
      <c r="K466" s="222">
        <v>0.0</v>
      </c>
      <c r="L466" s="223">
        <v>46276.0</v>
      </c>
      <c r="M466" s="223">
        <v>46306.0</v>
      </c>
      <c r="N466" s="220">
        <v>1.0</v>
      </c>
      <c r="O466" s="220">
        <v>-590.0</v>
      </c>
      <c r="P466" s="220">
        <v>620.0</v>
      </c>
      <c r="Q466" s="209"/>
      <c r="R466" s="196" t="s">
        <v>1586</v>
      </c>
      <c r="S466" s="227" t="s">
        <v>1587</v>
      </c>
      <c r="T466" s="220">
        <v>446.0</v>
      </c>
      <c r="U466" s="198"/>
    </row>
    <row r="467" ht="22.5" customHeight="1">
      <c r="A467" s="211" t="s">
        <v>1588</v>
      </c>
      <c r="B467" s="212" t="s">
        <v>349</v>
      </c>
      <c r="C467" s="213" t="s">
        <v>136</v>
      </c>
      <c r="D467" s="214" t="s">
        <v>1294</v>
      </c>
      <c r="E467" s="212" t="s">
        <v>100</v>
      </c>
      <c r="F467" s="215">
        <v>8.0</v>
      </c>
      <c r="G467" s="147"/>
      <c r="H467" s="216">
        <v>12.0</v>
      </c>
      <c r="I467" s="216">
        <v>96.0</v>
      </c>
      <c r="J467" s="216">
        <v>8054.4</v>
      </c>
      <c r="K467" s="216">
        <v>8054.4</v>
      </c>
      <c r="L467" s="217">
        <v>46267.0</v>
      </c>
      <c r="M467" s="217">
        <v>46297.0</v>
      </c>
      <c r="N467" s="215">
        <v>0.0</v>
      </c>
      <c r="O467" s="215">
        <v>-599.0</v>
      </c>
      <c r="P467" s="215">
        <v>629.0</v>
      </c>
      <c r="Q467" s="203"/>
      <c r="R467" s="218" t="s">
        <v>1589</v>
      </c>
      <c r="S467" s="225" t="s">
        <v>1590</v>
      </c>
      <c r="T467" s="215">
        <v>447.0</v>
      </c>
      <c r="U467" s="204"/>
    </row>
    <row r="468" ht="22.5" customHeight="1">
      <c r="A468" s="192" t="s">
        <v>1591</v>
      </c>
      <c r="B468" s="193" t="s">
        <v>330</v>
      </c>
      <c r="C468" s="226" t="s">
        <v>136</v>
      </c>
      <c r="D468" s="194" t="s">
        <v>1552</v>
      </c>
      <c r="E468" s="193" t="s">
        <v>17</v>
      </c>
      <c r="F468" s="220">
        <v>2.0</v>
      </c>
      <c r="G468" s="221"/>
      <c r="H468" s="197" t="s">
        <v>1200</v>
      </c>
      <c r="I468" s="222">
        <v>15000.0</v>
      </c>
      <c r="J468" s="222">
        <v>15000.0</v>
      </c>
      <c r="K468" s="222">
        <v>0.0</v>
      </c>
      <c r="L468" s="223">
        <v>46274.0</v>
      </c>
      <c r="M468" s="223">
        <v>46304.0</v>
      </c>
      <c r="N468" s="220">
        <v>1.0</v>
      </c>
      <c r="O468" s="220">
        <v>-592.0</v>
      </c>
      <c r="P468" s="220">
        <v>622.0</v>
      </c>
      <c r="Q468" s="209"/>
      <c r="R468" s="196" t="s">
        <v>1592</v>
      </c>
      <c r="S468" s="227" t="s">
        <v>1593</v>
      </c>
      <c r="T468" s="220">
        <v>448.0</v>
      </c>
      <c r="U468" s="198"/>
    </row>
    <row r="469" ht="22.5" customHeight="1">
      <c r="A469" s="211" t="s">
        <v>1423</v>
      </c>
      <c r="B469" s="212" t="s">
        <v>345</v>
      </c>
      <c r="C469" s="213" t="s">
        <v>136</v>
      </c>
      <c r="D469" s="214" t="s">
        <v>1160</v>
      </c>
      <c r="E469" s="212" t="s">
        <v>17</v>
      </c>
      <c r="F469" s="215">
        <v>3.0</v>
      </c>
      <c r="G469" s="210"/>
      <c r="H469" s="216">
        <v>3000.0</v>
      </c>
      <c r="I469" s="216">
        <v>9000.0</v>
      </c>
      <c r="J469" s="216">
        <v>9000.0</v>
      </c>
      <c r="K469" s="216">
        <v>0.0</v>
      </c>
      <c r="L469" s="217">
        <v>46285.0</v>
      </c>
      <c r="M469" s="217">
        <v>46315.0</v>
      </c>
      <c r="N469" s="215">
        <v>1.0</v>
      </c>
      <c r="O469" s="215">
        <v>-581.0</v>
      </c>
      <c r="P469" s="215">
        <v>611.0</v>
      </c>
      <c r="Q469" s="203"/>
      <c r="R469" s="218" t="s">
        <v>1594</v>
      </c>
      <c r="S469" s="225" t="s">
        <v>1595</v>
      </c>
      <c r="T469" s="215">
        <v>449.0</v>
      </c>
      <c r="U469" s="204"/>
    </row>
    <row r="470" ht="22.5" customHeight="1">
      <c r="A470" s="205"/>
      <c r="B470" s="193" t="s">
        <v>338</v>
      </c>
      <c r="C470" s="226" t="s">
        <v>136</v>
      </c>
      <c r="D470" s="194" t="s">
        <v>1469</v>
      </c>
      <c r="E470" s="193" t="s">
        <v>108</v>
      </c>
      <c r="F470" s="220">
        <v>10.25</v>
      </c>
      <c r="G470" s="221"/>
      <c r="H470" s="222">
        <v>30.0</v>
      </c>
      <c r="I470" s="222">
        <v>307.5</v>
      </c>
      <c r="J470" s="222">
        <v>0.0</v>
      </c>
      <c r="K470" s="222">
        <v>0.0</v>
      </c>
      <c r="L470" s="223">
        <v>46274.0</v>
      </c>
      <c r="M470" s="223">
        <v>46304.0</v>
      </c>
      <c r="N470" s="220">
        <v>1.0</v>
      </c>
      <c r="O470" s="220">
        <v>-592.0</v>
      </c>
      <c r="P470" s="220">
        <v>622.0</v>
      </c>
      <c r="Q470" s="209"/>
      <c r="R470" s="196" t="s">
        <v>1596</v>
      </c>
      <c r="S470" s="227" t="s">
        <v>1597</v>
      </c>
      <c r="T470" s="220">
        <v>450.0</v>
      </c>
      <c r="U470" s="198"/>
    </row>
    <row r="471" ht="22.5" customHeight="1">
      <c r="A471" s="199"/>
      <c r="B471" s="212" t="s">
        <v>332</v>
      </c>
      <c r="C471" s="213" t="s">
        <v>136</v>
      </c>
      <c r="D471" s="214" t="s">
        <v>1472</v>
      </c>
      <c r="E471" s="212" t="s">
        <v>15</v>
      </c>
      <c r="F471" s="215">
        <v>1.0</v>
      </c>
      <c r="G471" s="210"/>
      <c r="H471" s="216">
        <v>150.0</v>
      </c>
      <c r="I471" s="216">
        <v>150.0</v>
      </c>
      <c r="J471" s="216">
        <v>3300.0</v>
      </c>
      <c r="K471" s="216">
        <v>3300.0</v>
      </c>
      <c r="L471" s="217">
        <v>46285.0</v>
      </c>
      <c r="M471" s="217">
        <v>46315.0</v>
      </c>
      <c r="N471" s="215">
        <v>0.0</v>
      </c>
      <c r="O471" s="215">
        <v>-581.0</v>
      </c>
      <c r="P471" s="215">
        <v>611.0</v>
      </c>
      <c r="Q471" s="203"/>
      <c r="R471" s="218" t="s">
        <v>1598</v>
      </c>
      <c r="S471" s="225" t="s">
        <v>1599</v>
      </c>
      <c r="T471" s="215">
        <v>451.0</v>
      </c>
      <c r="U471" s="204"/>
    </row>
    <row r="472" ht="22.5" customHeight="1">
      <c r="A472" s="205"/>
      <c r="B472" s="193" t="s">
        <v>334</v>
      </c>
      <c r="C472" s="226" t="s">
        <v>136</v>
      </c>
      <c r="D472" s="194" t="s">
        <v>1426</v>
      </c>
      <c r="E472" s="193" t="s">
        <v>15</v>
      </c>
      <c r="F472" s="220">
        <v>1.0</v>
      </c>
      <c r="G472" s="221"/>
      <c r="H472" s="222">
        <v>150.0</v>
      </c>
      <c r="I472" s="222">
        <v>150.0</v>
      </c>
      <c r="J472" s="222">
        <v>3300.0</v>
      </c>
      <c r="K472" s="222">
        <v>3300.0</v>
      </c>
      <c r="L472" s="223">
        <v>46270.0</v>
      </c>
      <c r="M472" s="223">
        <v>46300.0</v>
      </c>
      <c r="N472" s="220">
        <v>0.0</v>
      </c>
      <c r="O472" s="220">
        <v>-596.0</v>
      </c>
      <c r="P472" s="220">
        <v>626.0</v>
      </c>
      <c r="Q472" s="209"/>
      <c r="R472" s="196" t="s">
        <v>1600</v>
      </c>
      <c r="S472" s="227" t="s">
        <v>1601</v>
      </c>
      <c r="T472" s="220">
        <v>452.0</v>
      </c>
      <c r="U472" s="198"/>
    </row>
    <row r="473" ht="22.5" hidden="1" customHeight="1">
      <c r="A473" s="199"/>
      <c r="B473" s="212" t="s">
        <v>923</v>
      </c>
      <c r="C473" s="240" t="s">
        <v>587</v>
      </c>
      <c r="D473" s="236"/>
      <c r="E473" s="203"/>
      <c r="F473" s="147"/>
      <c r="G473" s="186"/>
      <c r="H473" s="201"/>
      <c r="I473" s="237" t="s">
        <v>924</v>
      </c>
      <c r="J473" s="216">
        <v>125615.15</v>
      </c>
      <c r="K473" s="216">
        <v>29188.4</v>
      </c>
      <c r="L473" s="202"/>
      <c r="M473" s="202"/>
      <c r="N473" s="147"/>
      <c r="O473" s="147"/>
      <c r="P473" s="147"/>
      <c r="Q473" s="203"/>
      <c r="R473" s="186"/>
      <c r="S473" s="186"/>
      <c r="T473" s="147"/>
      <c r="U473" s="204"/>
    </row>
    <row r="474" ht="22.5" hidden="1" customHeight="1">
      <c r="A474" s="205"/>
      <c r="B474" s="193" t="s">
        <v>558</v>
      </c>
      <c r="C474" s="241" t="s">
        <v>610</v>
      </c>
      <c r="D474" s="234"/>
      <c r="E474" s="234"/>
      <c r="F474" s="150"/>
      <c r="G474" s="234"/>
      <c r="H474" s="207"/>
      <c r="I474" s="197" t="s">
        <v>925</v>
      </c>
      <c r="J474" s="222">
        <v>350260.8</v>
      </c>
      <c r="K474" s="207"/>
      <c r="L474" s="208"/>
      <c r="M474" s="196" t="s">
        <v>926</v>
      </c>
      <c r="N474" s="150"/>
      <c r="O474" s="150"/>
      <c r="P474" s="150"/>
      <c r="Q474" s="209"/>
      <c r="R474" s="234"/>
      <c r="S474" s="234"/>
      <c r="T474" s="220">
        <v>452.0</v>
      </c>
      <c r="U474" s="198"/>
    </row>
    <row r="475" ht="22.5" hidden="1" customHeight="1">
      <c r="A475" s="199"/>
      <c r="B475" s="212" t="s">
        <v>696</v>
      </c>
      <c r="C475" s="232" t="s">
        <v>1155</v>
      </c>
      <c r="D475" s="236"/>
      <c r="E475" s="236"/>
      <c r="F475" s="147"/>
      <c r="G475" s="236"/>
      <c r="H475" s="201"/>
      <c r="I475" s="237" t="s">
        <v>928</v>
      </c>
      <c r="J475" s="216">
        <v>432335.0</v>
      </c>
      <c r="K475" s="201"/>
      <c r="L475" s="202"/>
      <c r="M475" s="202"/>
      <c r="N475" s="147"/>
      <c r="O475" s="147"/>
      <c r="P475" s="147"/>
      <c r="Q475" s="203"/>
      <c r="R475" s="236"/>
      <c r="S475" s="236"/>
      <c r="T475" s="147"/>
      <c r="U475" s="204"/>
    </row>
    <row r="476" ht="22.5" hidden="1" customHeight="1">
      <c r="A476" s="205"/>
      <c r="B476" s="82"/>
      <c r="C476" s="206"/>
      <c r="D476" s="206"/>
      <c r="E476" s="206"/>
      <c r="F476" s="150"/>
      <c r="G476" s="45"/>
      <c r="H476" s="207"/>
      <c r="I476" s="207"/>
      <c r="J476" s="207"/>
      <c r="K476" s="207"/>
      <c r="L476" s="208"/>
      <c r="M476" s="208"/>
      <c r="N476" s="150"/>
      <c r="O476" s="150"/>
      <c r="P476" s="150"/>
      <c r="Q476" s="209"/>
      <c r="R476" s="45"/>
      <c r="S476" s="45"/>
      <c r="T476" s="150"/>
      <c r="U476" s="198"/>
    </row>
    <row r="477" ht="22.5" hidden="1" customHeight="1">
      <c r="A477" s="199"/>
      <c r="B477" s="146"/>
      <c r="C477" s="200"/>
      <c r="D477" s="200"/>
      <c r="E477" s="200"/>
      <c r="F477" s="147"/>
      <c r="G477" s="186"/>
      <c r="H477" s="201"/>
      <c r="I477" s="201"/>
      <c r="J477" s="201"/>
      <c r="K477" s="201"/>
      <c r="L477" s="202"/>
      <c r="M477" s="202"/>
      <c r="N477" s="147"/>
      <c r="O477" s="147"/>
      <c r="P477" s="147"/>
      <c r="Q477" s="203"/>
      <c r="R477" s="186"/>
      <c r="S477" s="186"/>
      <c r="T477" s="147"/>
      <c r="U477" s="204"/>
    </row>
    <row r="478" ht="22.5" hidden="1" customHeight="1">
      <c r="A478" s="205"/>
      <c r="B478" s="82"/>
      <c r="C478" s="206"/>
      <c r="D478" s="206"/>
      <c r="E478" s="206"/>
      <c r="F478" s="150"/>
      <c r="G478" s="45"/>
      <c r="H478" s="207"/>
      <c r="I478" s="207"/>
      <c r="J478" s="207"/>
      <c r="K478" s="207"/>
      <c r="L478" s="208"/>
      <c r="M478" s="208"/>
      <c r="N478" s="150"/>
      <c r="O478" s="150"/>
      <c r="P478" s="150"/>
      <c r="Q478" s="209"/>
      <c r="R478" s="45"/>
      <c r="S478" s="45"/>
      <c r="T478" s="150"/>
      <c r="U478" s="198"/>
    </row>
    <row r="479" ht="22.5" hidden="1" customHeight="1">
      <c r="A479" s="199"/>
      <c r="B479" s="146"/>
      <c r="C479" s="200"/>
      <c r="D479" s="200"/>
      <c r="E479" s="200"/>
      <c r="F479" s="147"/>
      <c r="G479" s="186"/>
      <c r="H479" s="201"/>
      <c r="I479" s="201"/>
      <c r="J479" s="201"/>
      <c r="K479" s="201"/>
      <c r="L479" s="202"/>
      <c r="M479" s="202"/>
      <c r="N479" s="147"/>
      <c r="O479" s="147"/>
      <c r="P479" s="147"/>
      <c r="Q479" s="203"/>
      <c r="R479" s="186"/>
      <c r="S479" s="186"/>
      <c r="T479" s="147"/>
      <c r="U479" s="204"/>
    </row>
    <row r="480" ht="22.5" hidden="1" customHeight="1">
      <c r="A480" s="192" t="s">
        <v>181</v>
      </c>
      <c r="B480" s="193" t="s">
        <v>132</v>
      </c>
      <c r="C480" s="193" t="s">
        <v>131</v>
      </c>
      <c r="D480" s="194" t="s">
        <v>870</v>
      </c>
      <c r="E480" s="193" t="s">
        <v>7</v>
      </c>
      <c r="F480" s="195" t="s">
        <v>871</v>
      </c>
      <c r="G480" s="193" t="s">
        <v>872</v>
      </c>
      <c r="H480" s="197" t="s">
        <v>8</v>
      </c>
      <c r="I480" s="197" t="s">
        <v>873</v>
      </c>
      <c r="J480" s="197" t="s">
        <v>17</v>
      </c>
      <c r="K480" s="197" t="s">
        <v>874</v>
      </c>
      <c r="L480" s="196" t="s">
        <v>875</v>
      </c>
      <c r="M480" s="196" t="s">
        <v>876</v>
      </c>
      <c r="N480" s="195" t="s">
        <v>877</v>
      </c>
      <c r="O480" s="195" t="s">
        <v>878</v>
      </c>
      <c r="P480" s="195" t="s">
        <v>879</v>
      </c>
      <c r="Q480" s="196" t="s">
        <v>880</v>
      </c>
      <c r="R480" s="196" t="s">
        <v>881</v>
      </c>
      <c r="S480" s="196" t="s">
        <v>882</v>
      </c>
      <c r="T480" s="195" t="s">
        <v>557</v>
      </c>
      <c r="U480" s="198"/>
    </row>
    <row r="481" ht="22.5" customHeight="1">
      <c r="A481" s="211" t="s">
        <v>1602</v>
      </c>
      <c r="B481" s="212" t="s">
        <v>328</v>
      </c>
      <c r="C481" s="213" t="s">
        <v>136</v>
      </c>
      <c r="D481" s="214" t="s">
        <v>1283</v>
      </c>
      <c r="E481" s="212" t="s">
        <v>19</v>
      </c>
      <c r="F481" s="215">
        <v>1.0</v>
      </c>
      <c r="G481" s="210"/>
      <c r="H481" s="216">
        <v>10.0</v>
      </c>
      <c r="I481" s="216">
        <v>10.0</v>
      </c>
      <c r="J481" s="216">
        <v>1074.19</v>
      </c>
      <c r="K481" s="201"/>
      <c r="L481" s="217">
        <v>46239.0</v>
      </c>
      <c r="M481" s="217">
        <v>46270.0</v>
      </c>
      <c r="N481" s="147"/>
      <c r="O481" s="215">
        <v>-626.0</v>
      </c>
      <c r="P481" s="215">
        <v>656.0</v>
      </c>
      <c r="Q481" s="203"/>
      <c r="R481" s="218" t="s">
        <v>1603</v>
      </c>
      <c r="S481" s="186"/>
      <c r="T481" s="215">
        <v>424.0</v>
      </c>
      <c r="U481" s="204"/>
    </row>
    <row r="482" ht="22.5" customHeight="1">
      <c r="A482" s="192" t="s">
        <v>1604</v>
      </c>
      <c r="B482" s="193" t="s">
        <v>211</v>
      </c>
      <c r="C482" s="226" t="s">
        <v>136</v>
      </c>
      <c r="D482" s="194" t="s">
        <v>1339</v>
      </c>
      <c r="E482" s="193" t="s">
        <v>15</v>
      </c>
      <c r="F482" s="220">
        <v>1.0</v>
      </c>
      <c r="G482" s="221"/>
      <c r="H482" s="222">
        <v>150.0</v>
      </c>
      <c r="I482" s="222">
        <v>150.0</v>
      </c>
      <c r="J482" s="222">
        <v>3354.0</v>
      </c>
      <c r="K482" s="222">
        <v>3354.0</v>
      </c>
      <c r="L482" s="223">
        <v>46236.0</v>
      </c>
      <c r="M482" s="223">
        <v>46267.0</v>
      </c>
      <c r="N482" s="220">
        <v>0.0</v>
      </c>
      <c r="O482" s="220">
        <v>-629.0</v>
      </c>
      <c r="P482" s="220">
        <v>659.0</v>
      </c>
      <c r="Q482" s="209"/>
      <c r="R482" s="196" t="s">
        <v>1605</v>
      </c>
      <c r="S482" s="45"/>
      <c r="T482" s="220">
        <v>425.0</v>
      </c>
      <c r="U482" s="198"/>
    </row>
    <row r="483" ht="22.5" customHeight="1">
      <c r="A483" s="211" t="s">
        <v>1606</v>
      </c>
      <c r="B483" s="212" t="s">
        <v>336</v>
      </c>
      <c r="C483" s="213" t="s">
        <v>136</v>
      </c>
      <c r="D483" s="214" t="s">
        <v>1369</v>
      </c>
      <c r="E483" s="212" t="s">
        <v>17</v>
      </c>
      <c r="F483" s="215">
        <v>3.0</v>
      </c>
      <c r="G483" s="210"/>
      <c r="H483" s="216">
        <v>1000.0</v>
      </c>
      <c r="I483" s="216">
        <v>3000.0</v>
      </c>
      <c r="J483" s="216">
        <v>3000.0</v>
      </c>
      <c r="K483" s="216">
        <v>0.0</v>
      </c>
      <c r="L483" s="217">
        <v>46240.0</v>
      </c>
      <c r="M483" s="217">
        <v>46271.0</v>
      </c>
      <c r="N483" s="215">
        <v>1.0</v>
      </c>
      <c r="O483" s="215">
        <v>-625.0</v>
      </c>
      <c r="P483" s="215">
        <v>655.0</v>
      </c>
      <c r="Q483" s="203"/>
      <c r="R483" s="218" t="s">
        <v>1607</v>
      </c>
      <c r="S483" s="186"/>
      <c r="T483" s="215">
        <v>426.0</v>
      </c>
      <c r="U483" s="204"/>
    </row>
    <row r="484" ht="22.5" customHeight="1">
      <c r="A484" s="192" t="s">
        <v>1608</v>
      </c>
      <c r="B484" s="193" t="s">
        <v>355</v>
      </c>
      <c r="C484" s="226" t="s">
        <v>136</v>
      </c>
      <c r="D484" s="194" t="s">
        <v>1369</v>
      </c>
      <c r="E484" s="193" t="s">
        <v>17</v>
      </c>
      <c r="F484" s="220">
        <v>3.0</v>
      </c>
      <c r="G484" s="221"/>
      <c r="H484" s="222">
        <v>1000.0</v>
      </c>
      <c r="I484" s="222">
        <v>3000.0</v>
      </c>
      <c r="J484" s="222">
        <v>3000.0</v>
      </c>
      <c r="K484" s="222">
        <v>0.0</v>
      </c>
      <c r="L484" s="223">
        <v>46258.0</v>
      </c>
      <c r="M484" s="223">
        <v>46289.0</v>
      </c>
      <c r="N484" s="220">
        <v>1.0</v>
      </c>
      <c r="O484" s="220">
        <v>-607.0</v>
      </c>
      <c r="P484" s="220">
        <v>637.0</v>
      </c>
      <c r="Q484" s="209"/>
      <c r="R484" s="196" t="s">
        <v>1609</v>
      </c>
      <c r="S484" s="45"/>
      <c r="T484" s="220">
        <v>427.0</v>
      </c>
      <c r="U484" s="198"/>
    </row>
    <row r="485" ht="22.5" customHeight="1">
      <c r="A485" s="211" t="s">
        <v>1610</v>
      </c>
      <c r="B485" s="212" t="s">
        <v>353</v>
      </c>
      <c r="C485" s="213" t="s">
        <v>136</v>
      </c>
      <c r="D485" s="214" t="s">
        <v>1472</v>
      </c>
      <c r="E485" s="212" t="s">
        <v>15</v>
      </c>
      <c r="F485" s="228" t="s">
        <v>1166</v>
      </c>
      <c r="G485" s="210"/>
      <c r="H485" s="216">
        <v>10.0</v>
      </c>
      <c r="I485" s="216">
        <v>80.0</v>
      </c>
      <c r="J485" s="216">
        <v>8583.2</v>
      </c>
      <c r="K485" s="216">
        <v>8583.2</v>
      </c>
      <c r="L485" s="217">
        <v>46235.0</v>
      </c>
      <c r="M485" s="217">
        <v>46266.0</v>
      </c>
      <c r="N485" s="215">
        <v>0.0</v>
      </c>
      <c r="O485" s="215">
        <v>-630.0</v>
      </c>
      <c r="P485" s="215">
        <v>660.0</v>
      </c>
      <c r="Q485" s="203"/>
      <c r="R485" s="218" t="s">
        <v>1611</v>
      </c>
      <c r="S485" s="186"/>
      <c r="T485" s="215">
        <v>428.0</v>
      </c>
      <c r="U485" s="204"/>
    </row>
    <row r="486" ht="22.5" customHeight="1">
      <c r="A486" s="192" t="s">
        <v>1453</v>
      </c>
      <c r="B486" s="193" t="s">
        <v>309</v>
      </c>
      <c r="C486" s="226" t="s">
        <v>136</v>
      </c>
      <c r="D486" s="194" t="s">
        <v>1160</v>
      </c>
      <c r="E486" s="193" t="s">
        <v>17</v>
      </c>
      <c r="F486" s="220">
        <v>3.0</v>
      </c>
      <c r="G486" s="221"/>
      <c r="H486" s="222">
        <v>3000.0</v>
      </c>
      <c r="I486" s="222">
        <v>9000.0</v>
      </c>
      <c r="J486" s="222">
        <v>9000.0</v>
      </c>
      <c r="K486" s="222">
        <v>0.0</v>
      </c>
      <c r="L486" s="223">
        <v>46237.0</v>
      </c>
      <c r="M486" s="223">
        <v>46268.0</v>
      </c>
      <c r="N486" s="220">
        <v>1.0</v>
      </c>
      <c r="O486" s="220">
        <v>-628.0</v>
      </c>
      <c r="P486" s="220">
        <v>658.0</v>
      </c>
      <c r="Q486" s="209"/>
      <c r="R486" s="196" t="s">
        <v>1612</v>
      </c>
      <c r="S486" s="45"/>
      <c r="T486" s="220">
        <v>429.0</v>
      </c>
      <c r="U486" s="198"/>
    </row>
    <row r="487" ht="22.5" customHeight="1">
      <c r="A487" s="211" t="s">
        <v>1344</v>
      </c>
      <c r="B487" s="212" t="s">
        <v>301</v>
      </c>
      <c r="C487" s="213" t="s">
        <v>136</v>
      </c>
      <c r="D487" s="214" t="s">
        <v>1199</v>
      </c>
      <c r="E487" s="212" t="s">
        <v>17</v>
      </c>
      <c r="F487" s="215">
        <v>4.0</v>
      </c>
      <c r="G487" s="210"/>
      <c r="H487" s="216">
        <v>6000.0</v>
      </c>
      <c r="I487" s="216">
        <v>24000.0</v>
      </c>
      <c r="J487" s="216">
        <v>24000.0</v>
      </c>
      <c r="K487" s="216">
        <v>0.0</v>
      </c>
      <c r="L487" s="217">
        <v>46252.0</v>
      </c>
      <c r="M487" s="217">
        <v>46283.0</v>
      </c>
      <c r="N487" s="215">
        <v>1.0</v>
      </c>
      <c r="O487" s="215">
        <v>-613.0</v>
      </c>
      <c r="P487" s="215">
        <v>643.0</v>
      </c>
      <c r="Q487" s="203"/>
      <c r="R487" s="218" t="s">
        <v>1613</v>
      </c>
      <c r="S487" s="186"/>
      <c r="T487" s="215">
        <v>430.0</v>
      </c>
      <c r="U487" s="204"/>
    </row>
    <row r="488" ht="22.5" customHeight="1">
      <c r="A488" s="192" t="s">
        <v>1614</v>
      </c>
      <c r="B488" s="193" t="s">
        <v>349</v>
      </c>
      <c r="C488" s="226" t="s">
        <v>136</v>
      </c>
      <c r="D488" s="194" t="s">
        <v>1294</v>
      </c>
      <c r="E488" s="193" t="s">
        <v>100</v>
      </c>
      <c r="F488" s="220">
        <v>8.0</v>
      </c>
      <c r="G488" s="221"/>
      <c r="H488" s="222">
        <v>12.0</v>
      </c>
      <c r="I488" s="222">
        <v>96.0</v>
      </c>
      <c r="J488" s="222">
        <v>8054.4</v>
      </c>
      <c r="K488" s="222">
        <v>8054.4</v>
      </c>
      <c r="L488" s="223">
        <v>46236.0</v>
      </c>
      <c r="M488" s="223">
        <v>46267.0</v>
      </c>
      <c r="N488" s="220">
        <v>0.0</v>
      </c>
      <c r="O488" s="220">
        <v>-629.0</v>
      </c>
      <c r="P488" s="220">
        <v>659.0</v>
      </c>
      <c r="Q488" s="209"/>
      <c r="R488" s="196" t="s">
        <v>1615</v>
      </c>
      <c r="S488" s="45"/>
      <c r="T488" s="220">
        <v>431.0</v>
      </c>
      <c r="U488" s="198"/>
    </row>
    <row r="489" ht="22.5" customHeight="1">
      <c r="A489" s="199"/>
      <c r="B489" s="212" t="s">
        <v>330</v>
      </c>
      <c r="C489" s="213" t="s">
        <v>136</v>
      </c>
      <c r="D489" s="214" t="s">
        <v>1552</v>
      </c>
      <c r="E489" s="212" t="s">
        <v>17</v>
      </c>
      <c r="F489" s="215">
        <v>2.0</v>
      </c>
      <c r="G489" s="210"/>
      <c r="H489" s="237" t="s">
        <v>1200</v>
      </c>
      <c r="I489" s="216">
        <v>15000.0</v>
      </c>
      <c r="J489" s="216">
        <v>15000.0</v>
      </c>
      <c r="K489" s="216">
        <v>0.0</v>
      </c>
      <c r="L489" s="217">
        <v>46243.0</v>
      </c>
      <c r="M489" s="217">
        <v>46274.0</v>
      </c>
      <c r="N489" s="215">
        <v>1.0</v>
      </c>
      <c r="O489" s="215">
        <v>-622.0</v>
      </c>
      <c r="P489" s="215">
        <v>652.0</v>
      </c>
      <c r="Q489" s="203"/>
      <c r="R489" s="218" t="s">
        <v>1616</v>
      </c>
      <c r="S489" s="186"/>
      <c r="T489" s="215">
        <v>432.0</v>
      </c>
      <c r="U489" s="204"/>
    </row>
    <row r="490" ht="22.5" customHeight="1">
      <c r="A490" s="192" t="s">
        <v>1617</v>
      </c>
      <c r="B490" s="193" t="s">
        <v>345</v>
      </c>
      <c r="C490" s="226" t="s">
        <v>136</v>
      </c>
      <c r="D490" s="194" t="s">
        <v>1160</v>
      </c>
      <c r="E490" s="193" t="s">
        <v>17</v>
      </c>
      <c r="F490" s="220">
        <v>3.0</v>
      </c>
      <c r="G490" s="221"/>
      <c r="H490" s="222">
        <v>3000.0</v>
      </c>
      <c r="I490" s="222">
        <v>9000.0</v>
      </c>
      <c r="J490" s="222">
        <v>9000.0</v>
      </c>
      <c r="K490" s="222">
        <v>0.0</v>
      </c>
      <c r="L490" s="223">
        <v>46254.0</v>
      </c>
      <c r="M490" s="223">
        <v>46285.0</v>
      </c>
      <c r="N490" s="220">
        <v>1.0</v>
      </c>
      <c r="O490" s="220">
        <v>-611.0</v>
      </c>
      <c r="P490" s="220">
        <v>641.0</v>
      </c>
      <c r="Q490" s="209"/>
      <c r="R490" s="196" t="s">
        <v>1618</v>
      </c>
      <c r="S490" s="45"/>
      <c r="T490" s="220">
        <v>433.0</v>
      </c>
      <c r="U490" s="198"/>
    </row>
    <row r="491" ht="22.5" customHeight="1">
      <c r="A491" s="211" t="s">
        <v>1619</v>
      </c>
      <c r="B491" s="212" t="s">
        <v>338</v>
      </c>
      <c r="C491" s="213" t="s">
        <v>136</v>
      </c>
      <c r="D491" s="214" t="s">
        <v>1469</v>
      </c>
      <c r="E491" s="212" t="s">
        <v>108</v>
      </c>
      <c r="F491" s="215">
        <v>10.25</v>
      </c>
      <c r="G491" s="210"/>
      <c r="H491" s="216">
        <v>30.0</v>
      </c>
      <c r="I491" s="216">
        <v>307.5</v>
      </c>
      <c r="J491" s="216">
        <v>19372.5</v>
      </c>
      <c r="K491" s="216">
        <v>0.0</v>
      </c>
      <c r="L491" s="217">
        <v>46243.0</v>
      </c>
      <c r="M491" s="217">
        <v>46274.0</v>
      </c>
      <c r="N491" s="215">
        <v>1.0</v>
      </c>
      <c r="O491" s="215">
        <v>-622.0</v>
      </c>
      <c r="P491" s="215">
        <v>652.0</v>
      </c>
      <c r="Q491" s="203"/>
      <c r="R491" s="218" t="s">
        <v>1620</v>
      </c>
      <c r="S491" s="186"/>
      <c r="T491" s="215">
        <v>434.0</v>
      </c>
      <c r="U491" s="204"/>
    </row>
    <row r="492" ht="22.5" customHeight="1">
      <c r="A492" s="192" t="s">
        <v>1621</v>
      </c>
      <c r="B492" s="193" t="s">
        <v>332</v>
      </c>
      <c r="C492" s="226" t="s">
        <v>136</v>
      </c>
      <c r="D492" s="194" t="s">
        <v>1472</v>
      </c>
      <c r="E492" s="193" t="s">
        <v>15</v>
      </c>
      <c r="F492" s="220">
        <v>1.0</v>
      </c>
      <c r="G492" s="221"/>
      <c r="H492" s="222">
        <v>150.0</v>
      </c>
      <c r="I492" s="222">
        <v>150.0</v>
      </c>
      <c r="J492" s="222">
        <v>3300.0</v>
      </c>
      <c r="K492" s="222">
        <v>0.0</v>
      </c>
      <c r="L492" s="223">
        <v>46254.0</v>
      </c>
      <c r="M492" s="223">
        <v>46285.0</v>
      </c>
      <c r="N492" s="220">
        <v>1.0</v>
      </c>
      <c r="O492" s="220">
        <v>-611.0</v>
      </c>
      <c r="P492" s="220">
        <v>641.0</v>
      </c>
      <c r="Q492" s="209"/>
      <c r="R492" s="196" t="s">
        <v>1622</v>
      </c>
      <c r="S492" s="45"/>
      <c r="T492" s="220">
        <v>435.0</v>
      </c>
      <c r="U492" s="198"/>
    </row>
    <row r="493" ht="22.5" customHeight="1">
      <c r="A493" s="211" t="s">
        <v>1623</v>
      </c>
      <c r="B493" s="212" t="s">
        <v>334</v>
      </c>
      <c r="C493" s="213" t="s">
        <v>136</v>
      </c>
      <c r="D493" s="214" t="s">
        <v>1426</v>
      </c>
      <c r="E493" s="212" t="s">
        <v>15</v>
      </c>
      <c r="F493" s="215">
        <v>1.0</v>
      </c>
      <c r="G493" s="210"/>
      <c r="H493" s="216">
        <v>150.0</v>
      </c>
      <c r="I493" s="216">
        <v>150.0</v>
      </c>
      <c r="J493" s="216">
        <v>3300.0</v>
      </c>
      <c r="K493" s="216">
        <v>0.0</v>
      </c>
      <c r="L493" s="217">
        <v>46239.0</v>
      </c>
      <c r="M493" s="217">
        <v>46270.0</v>
      </c>
      <c r="N493" s="215">
        <v>1.0</v>
      </c>
      <c r="O493" s="215">
        <v>-626.0</v>
      </c>
      <c r="P493" s="215">
        <v>656.0</v>
      </c>
      <c r="Q493" s="203"/>
      <c r="R493" s="218" t="s">
        <v>1624</v>
      </c>
      <c r="S493" s="186"/>
      <c r="T493" s="215">
        <v>436.0</v>
      </c>
      <c r="U493" s="204"/>
    </row>
    <row r="494" ht="22.5" hidden="1" customHeight="1">
      <c r="A494" s="205"/>
      <c r="B494" s="193" t="s">
        <v>923</v>
      </c>
      <c r="C494" s="233" t="s">
        <v>583</v>
      </c>
      <c r="D494" s="234"/>
      <c r="E494" s="209"/>
      <c r="F494" s="150"/>
      <c r="G494" s="45"/>
      <c r="H494" s="207"/>
      <c r="I494" s="197" t="s">
        <v>924</v>
      </c>
      <c r="J494" s="222">
        <v>110038.29</v>
      </c>
      <c r="K494" s="222">
        <v>19991.6</v>
      </c>
      <c r="L494" s="208"/>
      <c r="M494" s="208"/>
      <c r="N494" s="150"/>
      <c r="O494" s="150"/>
      <c r="P494" s="150"/>
      <c r="Q494" s="209"/>
      <c r="R494" s="45"/>
      <c r="S494" s="45"/>
      <c r="T494" s="150"/>
      <c r="U494" s="198"/>
    </row>
    <row r="495" ht="22.5" hidden="1" customHeight="1">
      <c r="A495" s="199"/>
      <c r="B495" s="212" t="s">
        <v>558</v>
      </c>
      <c r="C495" s="235" t="s">
        <v>608</v>
      </c>
      <c r="D495" s="236"/>
      <c r="E495" s="236"/>
      <c r="F495" s="147"/>
      <c r="G495" s="236"/>
      <c r="H495" s="201"/>
      <c r="I495" s="237" t="s">
        <v>925</v>
      </c>
      <c r="J495" s="216">
        <v>239899.2</v>
      </c>
      <c r="K495" s="201"/>
      <c r="L495" s="202"/>
      <c r="M495" s="218" t="s">
        <v>926</v>
      </c>
      <c r="N495" s="147"/>
      <c r="O495" s="147"/>
      <c r="P495" s="147"/>
      <c r="Q495" s="203"/>
      <c r="R495" s="236"/>
      <c r="S495" s="236"/>
      <c r="T495" s="215">
        <v>436.0</v>
      </c>
      <c r="U495" s="204"/>
    </row>
    <row r="496" ht="22.5" hidden="1" customHeight="1">
      <c r="A496" s="205"/>
      <c r="B496" s="193" t="s">
        <v>696</v>
      </c>
      <c r="C496" s="238" t="s">
        <v>1192</v>
      </c>
      <c r="D496" s="234"/>
      <c r="E496" s="234"/>
      <c r="F496" s="150"/>
      <c r="G496" s="234"/>
      <c r="H496" s="207"/>
      <c r="I496" s="197" t="s">
        <v>928</v>
      </c>
      <c r="J496" s="222">
        <v>403146.6</v>
      </c>
      <c r="K496" s="207"/>
      <c r="L496" s="208"/>
      <c r="M496" s="208"/>
      <c r="N496" s="150"/>
      <c r="O496" s="150"/>
      <c r="P496" s="150"/>
      <c r="Q496" s="209"/>
      <c r="R496" s="234"/>
      <c r="S496" s="234"/>
      <c r="T496" s="150"/>
      <c r="U496" s="198"/>
    </row>
    <row r="497" ht="22.5" hidden="1" customHeight="1">
      <c r="A497" s="199"/>
      <c r="B497" s="146"/>
      <c r="C497" s="200"/>
      <c r="D497" s="200"/>
      <c r="E497" s="200"/>
      <c r="F497" s="147"/>
      <c r="G497" s="186"/>
      <c r="H497" s="201"/>
      <c r="I497" s="201"/>
      <c r="J497" s="201"/>
      <c r="K497" s="201"/>
      <c r="L497" s="202"/>
      <c r="M497" s="202"/>
      <c r="N497" s="147"/>
      <c r="O497" s="147"/>
      <c r="P497" s="147"/>
      <c r="Q497" s="203"/>
      <c r="R497" s="186"/>
      <c r="S497" s="186"/>
      <c r="T497" s="147"/>
      <c r="U497" s="204"/>
    </row>
    <row r="498" ht="22.5" hidden="1" customHeight="1">
      <c r="A498" s="205"/>
      <c r="B498" s="82"/>
      <c r="C498" s="206"/>
      <c r="D498" s="206"/>
      <c r="E498" s="206"/>
      <c r="F498" s="150"/>
      <c r="G498" s="45"/>
      <c r="H498" s="207"/>
      <c r="I498" s="207"/>
      <c r="J498" s="207"/>
      <c r="K498" s="207"/>
      <c r="L498" s="208"/>
      <c r="M498" s="208"/>
      <c r="N498" s="150"/>
      <c r="O498" s="150"/>
      <c r="P498" s="150"/>
      <c r="Q498" s="209"/>
      <c r="R498" s="45"/>
      <c r="S498" s="45"/>
      <c r="T498" s="150"/>
      <c r="U498" s="198"/>
    </row>
    <row r="499" ht="22.5" hidden="1" customHeight="1">
      <c r="A499" s="199"/>
      <c r="B499" s="146"/>
      <c r="C499" s="200"/>
      <c r="D499" s="200"/>
      <c r="E499" s="200"/>
      <c r="F499" s="147"/>
      <c r="G499" s="186"/>
      <c r="H499" s="201"/>
      <c r="I499" s="201"/>
      <c r="J499" s="201"/>
      <c r="K499" s="201"/>
      <c r="L499" s="202"/>
      <c r="M499" s="202"/>
      <c r="N499" s="147"/>
      <c r="O499" s="147"/>
      <c r="P499" s="147"/>
      <c r="Q499" s="203"/>
      <c r="R499" s="186"/>
      <c r="S499" s="186"/>
      <c r="T499" s="147"/>
      <c r="U499" s="204"/>
    </row>
    <row r="500" ht="22.5" hidden="1" customHeight="1">
      <c r="A500" s="205"/>
      <c r="B500" s="82"/>
      <c r="C500" s="206"/>
      <c r="D500" s="206"/>
      <c r="E500" s="206"/>
      <c r="F500" s="150"/>
      <c r="G500" s="45"/>
      <c r="H500" s="207"/>
      <c r="I500" s="207"/>
      <c r="J500" s="207"/>
      <c r="K500" s="207"/>
      <c r="L500" s="208"/>
      <c r="M500" s="208"/>
      <c r="N500" s="150"/>
      <c r="O500" s="150"/>
      <c r="P500" s="150"/>
      <c r="Q500" s="209"/>
      <c r="R500" s="45"/>
      <c r="S500" s="45"/>
      <c r="T500" s="150"/>
      <c r="U500" s="198"/>
    </row>
    <row r="501" ht="22.5" hidden="1" customHeight="1">
      <c r="A501" s="211" t="s">
        <v>181</v>
      </c>
      <c r="B501" s="212" t="s">
        <v>132</v>
      </c>
      <c r="C501" s="212" t="s">
        <v>131</v>
      </c>
      <c r="D501" s="214" t="s">
        <v>870</v>
      </c>
      <c r="E501" s="212" t="s">
        <v>7</v>
      </c>
      <c r="F501" s="228" t="s">
        <v>871</v>
      </c>
      <c r="G501" s="212" t="s">
        <v>872</v>
      </c>
      <c r="H501" s="237" t="s">
        <v>8</v>
      </c>
      <c r="I501" s="237" t="s">
        <v>873</v>
      </c>
      <c r="J501" s="237" t="s">
        <v>17</v>
      </c>
      <c r="K501" s="237" t="s">
        <v>874</v>
      </c>
      <c r="L501" s="218" t="s">
        <v>875</v>
      </c>
      <c r="M501" s="218" t="s">
        <v>876</v>
      </c>
      <c r="N501" s="228" t="s">
        <v>877</v>
      </c>
      <c r="O501" s="228" t="s">
        <v>878</v>
      </c>
      <c r="P501" s="228" t="s">
        <v>879</v>
      </c>
      <c r="Q501" s="218" t="s">
        <v>880</v>
      </c>
      <c r="R501" s="218" t="s">
        <v>881</v>
      </c>
      <c r="S501" s="218" t="s">
        <v>882</v>
      </c>
      <c r="T501" s="228" t="s">
        <v>557</v>
      </c>
      <c r="U501" s="204"/>
    </row>
    <row r="502" ht="22.5" customHeight="1">
      <c r="A502" s="192" t="s">
        <v>1625</v>
      </c>
      <c r="B502" s="193" t="s">
        <v>211</v>
      </c>
      <c r="C502" s="226" t="s">
        <v>136</v>
      </c>
      <c r="D502" s="194" t="s">
        <v>1339</v>
      </c>
      <c r="E502" s="193" t="s">
        <v>15</v>
      </c>
      <c r="F502" s="220">
        <v>1.0</v>
      </c>
      <c r="G502" s="221"/>
      <c r="H502" s="222">
        <v>150.0</v>
      </c>
      <c r="I502" s="222">
        <v>150.0</v>
      </c>
      <c r="J502" s="222">
        <v>3333.67</v>
      </c>
      <c r="K502" s="222">
        <v>3354.0</v>
      </c>
      <c r="L502" s="223">
        <v>46205.0</v>
      </c>
      <c r="M502" s="223">
        <v>46236.0</v>
      </c>
      <c r="N502" s="220">
        <v>0.0</v>
      </c>
      <c r="O502" s="220">
        <v>-660.0</v>
      </c>
      <c r="P502" s="220">
        <v>690.0</v>
      </c>
      <c r="Q502" s="209"/>
      <c r="R502" s="196" t="s">
        <v>1626</v>
      </c>
      <c r="S502" s="45"/>
      <c r="T502" s="220">
        <v>410.0</v>
      </c>
      <c r="U502" s="198"/>
    </row>
    <row r="503" ht="22.5" customHeight="1">
      <c r="A503" s="211" t="s">
        <v>1606</v>
      </c>
      <c r="B503" s="212" t="s">
        <v>336</v>
      </c>
      <c r="C503" s="213" t="s">
        <v>136</v>
      </c>
      <c r="D503" s="214" t="s">
        <v>1369</v>
      </c>
      <c r="E503" s="212" t="s">
        <v>17</v>
      </c>
      <c r="F503" s="215">
        <v>3.0</v>
      </c>
      <c r="G503" s="210"/>
      <c r="H503" s="216">
        <v>1000.0</v>
      </c>
      <c r="I503" s="216">
        <v>3000.0</v>
      </c>
      <c r="J503" s="216">
        <v>3000.0</v>
      </c>
      <c r="K503" s="216">
        <v>0.0</v>
      </c>
      <c r="L503" s="217">
        <v>46209.0</v>
      </c>
      <c r="M503" s="217">
        <v>46240.0</v>
      </c>
      <c r="N503" s="215">
        <v>1.0</v>
      </c>
      <c r="O503" s="215">
        <v>-656.0</v>
      </c>
      <c r="P503" s="215">
        <v>686.0</v>
      </c>
      <c r="Q503" s="232">
        <v>46255.0</v>
      </c>
      <c r="R503" s="218" t="s">
        <v>1627</v>
      </c>
      <c r="S503" s="186"/>
      <c r="T503" s="215">
        <v>411.0</v>
      </c>
      <c r="U503" s="204"/>
    </row>
    <row r="504" ht="22.5" customHeight="1">
      <c r="A504" s="192" t="s">
        <v>1628</v>
      </c>
      <c r="B504" s="193" t="s">
        <v>355</v>
      </c>
      <c r="C504" s="226" t="s">
        <v>136</v>
      </c>
      <c r="D504" s="194" t="s">
        <v>1369</v>
      </c>
      <c r="E504" s="193" t="s">
        <v>17</v>
      </c>
      <c r="F504" s="220">
        <v>3.0</v>
      </c>
      <c r="G504" s="150"/>
      <c r="H504" s="222">
        <v>1000.0</v>
      </c>
      <c r="I504" s="222">
        <v>3000.0</v>
      </c>
      <c r="J504" s="222">
        <v>3000.0</v>
      </c>
      <c r="K504" s="222">
        <v>0.0</v>
      </c>
      <c r="L504" s="223">
        <v>46227.0</v>
      </c>
      <c r="M504" s="223">
        <v>46258.0</v>
      </c>
      <c r="N504" s="220">
        <v>1.0</v>
      </c>
      <c r="O504" s="220">
        <v>-638.0</v>
      </c>
      <c r="P504" s="220">
        <v>668.0</v>
      </c>
      <c r="Q504" s="209"/>
      <c r="R504" s="196" t="s">
        <v>1629</v>
      </c>
      <c r="S504" s="45"/>
      <c r="T504" s="220">
        <v>412.0</v>
      </c>
      <c r="U504" s="198"/>
    </row>
    <row r="505" ht="22.5" customHeight="1">
      <c r="A505" s="211" t="s">
        <v>1630</v>
      </c>
      <c r="B505" s="212" t="s">
        <v>219</v>
      </c>
      <c r="C505" s="213" t="s">
        <v>136</v>
      </c>
      <c r="D505" s="214" t="s">
        <v>1573</v>
      </c>
      <c r="E505" s="212" t="s">
        <v>15</v>
      </c>
      <c r="F505" s="215">
        <v>8.0</v>
      </c>
      <c r="G505" s="210"/>
      <c r="H505" s="216">
        <v>10.0</v>
      </c>
      <c r="I505" s="216">
        <v>80.0</v>
      </c>
      <c r="J505" s="216">
        <v>8561.6</v>
      </c>
      <c r="K505" s="216">
        <v>0.0</v>
      </c>
      <c r="L505" s="217">
        <v>46219.0</v>
      </c>
      <c r="M505" s="217">
        <v>46250.0</v>
      </c>
      <c r="N505" s="215">
        <v>1.0</v>
      </c>
      <c r="O505" s="215">
        <v>-646.0</v>
      </c>
      <c r="P505" s="215">
        <v>676.0</v>
      </c>
      <c r="Q505" s="203"/>
      <c r="R505" s="218" t="s">
        <v>1631</v>
      </c>
      <c r="S505" s="186"/>
      <c r="T505" s="215">
        <v>413.0</v>
      </c>
      <c r="U505" s="204"/>
    </row>
    <row r="506" ht="22.5" customHeight="1">
      <c r="A506" s="205"/>
      <c r="B506" s="193" t="s">
        <v>353</v>
      </c>
      <c r="C506" s="226" t="s">
        <v>136</v>
      </c>
      <c r="D506" s="194" t="s">
        <v>1472</v>
      </c>
      <c r="E506" s="193" t="s">
        <v>15</v>
      </c>
      <c r="F506" s="195" t="s">
        <v>1166</v>
      </c>
      <c r="G506" s="150"/>
      <c r="H506" s="222">
        <v>10.0</v>
      </c>
      <c r="I506" s="222">
        <v>80.0</v>
      </c>
      <c r="J506" s="222">
        <v>8583.2</v>
      </c>
      <c r="K506" s="222">
        <v>0.0</v>
      </c>
      <c r="L506" s="223">
        <v>46204.0</v>
      </c>
      <c r="M506" s="223">
        <v>46235.0</v>
      </c>
      <c r="N506" s="220">
        <v>1.0</v>
      </c>
      <c r="O506" s="220">
        <v>-661.0</v>
      </c>
      <c r="P506" s="220">
        <v>691.0</v>
      </c>
      <c r="Q506" s="209"/>
      <c r="R506" s="196" t="s">
        <v>1632</v>
      </c>
      <c r="S506" s="45"/>
      <c r="T506" s="220">
        <v>414.0</v>
      </c>
      <c r="U506" s="198"/>
    </row>
    <row r="507" ht="22.5" customHeight="1">
      <c r="A507" s="211" t="s">
        <v>1453</v>
      </c>
      <c r="B507" s="212" t="s">
        <v>309</v>
      </c>
      <c r="C507" s="213" t="s">
        <v>136</v>
      </c>
      <c r="D507" s="214" t="s">
        <v>1160</v>
      </c>
      <c r="E507" s="212" t="s">
        <v>17</v>
      </c>
      <c r="F507" s="215">
        <v>3.0</v>
      </c>
      <c r="G507" s="210"/>
      <c r="H507" s="216">
        <v>3000.0</v>
      </c>
      <c r="I507" s="216">
        <v>9000.0</v>
      </c>
      <c r="J507" s="216">
        <v>9000.0</v>
      </c>
      <c r="K507" s="216">
        <v>0.0</v>
      </c>
      <c r="L507" s="217">
        <v>46206.0</v>
      </c>
      <c r="M507" s="217">
        <v>46237.0</v>
      </c>
      <c r="N507" s="215">
        <v>1.0</v>
      </c>
      <c r="O507" s="215">
        <v>-659.0</v>
      </c>
      <c r="P507" s="215">
        <v>689.0</v>
      </c>
      <c r="Q507" s="203"/>
      <c r="R507" s="218" t="s">
        <v>1633</v>
      </c>
      <c r="S507" s="186"/>
      <c r="T507" s="215">
        <v>415.0</v>
      </c>
      <c r="U507" s="204"/>
    </row>
    <row r="508" ht="22.5" customHeight="1">
      <c r="A508" s="192" t="s">
        <v>1634</v>
      </c>
      <c r="B508" s="193" t="s">
        <v>301</v>
      </c>
      <c r="C508" s="226" t="s">
        <v>136</v>
      </c>
      <c r="D508" s="194" t="s">
        <v>1199</v>
      </c>
      <c r="E508" s="193" t="s">
        <v>17</v>
      </c>
      <c r="F508" s="220">
        <v>4.0</v>
      </c>
      <c r="G508" s="221"/>
      <c r="H508" s="222">
        <v>6000.0</v>
      </c>
      <c r="I508" s="222">
        <v>24000.0</v>
      </c>
      <c r="J508" s="222">
        <v>24000.0</v>
      </c>
      <c r="K508" s="222">
        <v>0.0</v>
      </c>
      <c r="L508" s="223">
        <v>46207.0</v>
      </c>
      <c r="M508" s="223">
        <v>46238.0</v>
      </c>
      <c r="N508" s="220">
        <v>1.0</v>
      </c>
      <c r="O508" s="220">
        <v>-658.0</v>
      </c>
      <c r="P508" s="220">
        <v>688.0</v>
      </c>
      <c r="Q508" s="209"/>
      <c r="R508" s="196" t="s">
        <v>1635</v>
      </c>
      <c r="S508" s="45"/>
      <c r="T508" s="220">
        <v>416.0</v>
      </c>
      <c r="U508" s="198"/>
    </row>
    <row r="509" ht="22.5" customHeight="1">
      <c r="A509" s="211" t="s">
        <v>1636</v>
      </c>
      <c r="B509" s="212" t="s">
        <v>249</v>
      </c>
      <c r="C509" s="213" t="s">
        <v>136</v>
      </c>
      <c r="D509" s="214" t="s">
        <v>1637</v>
      </c>
      <c r="E509" s="212" t="s">
        <v>15</v>
      </c>
      <c r="F509" s="215">
        <v>2.0</v>
      </c>
      <c r="G509" s="210"/>
      <c r="H509" s="216">
        <v>250.0</v>
      </c>
      <c r="I509" s="216">
        <v>500.0</v>
      </c>
      <c r="J509" s="216">
        <v>11180.0</v>
      </c>
      <c r="K509" s="216">
        <v>0.0</v>
      </c>
      <c r="L509" s="217">
        <v>46229.0</v>
      </c>
      <c r="M509" s="217">
        <v>46260.0</v>
      </c>
      <c r="N509" s="215">
        <v>1.0</v>
      </c>
      <c r="O509" s="215">
        <v>-636.0</v>
      </c>
      <c r="P509" s="215">
        <v>666.0</v>
      </c>
      <c r="Q509" s="203"/>
      <c r="R509" s="218" t="s">
        <v>1638</v>
      </c>
      <c r="S509" s="186"/>
      <c r="T509" s="215">
        <v>417.0</v>
      </c>
      <c r="U509" s="204"/>
    </row>
    <row r="510" ht="22.5" customHeight="1">
      <c r="A510" s="192" t="s">
        <v>1614</v>
      </c>
      <c r="B510" s="193" t="s">
        <v>349</v>
      </c>
      <c r="C510" s="226" t="s">
        <v>136</v>
      </c>
      <c r="D510" s="194" t="s">
        <v>1294</v>
      </c>
      <c r="E510" s="193" t="s">
        <v>100</v>
      </c>
      <c r="F510" s="220">
        <v>8.0</v>
      </c>
      <c r="G510" s="150"/>
      <c r="H510" s="222">
        <v>12.0</v>
      </c>
      <c r="I510" s="222">
        <v>96.0</v>
      </c>
      <c r="J510" s="222">
        <v>8054.4</v>
      </c>
      <c r="K510" s="222">
        <v>2081.0</v>
      </c>
      <c r="L510" s="223">
        <v>46205.0</v>
      </c>
      <c r="M510" s="223">
        <v>46236.0</v>
      </c>
      <c r="N510" s="220">
        <v>0.0</v>
      </c>
      <c r="O510" s="220">
        <v>-660.0</v>
      </c>
      <c r="P510" s="220">
        <v>690.0</v>
      </c>
      <c r="Q510" s="209"/>
      <c r="R510" s="196" t="s">
        <v>1639</v>
      </c>
      <c r="S510" s="45"/>
      <c r="T510" s="220">
        <v>418.0</v>
      </c>
      <c r="U510" s="198"/>
    </row>
    <row r="511" ht="22.5" customHeight="1">
      <c r="A511" s="199"/>
      <c r="B511" s="212" t="s">
        <v>330</v>
      </c>
      <c r="C511" s="213" t="s">
        <v>136</v>
      </c>
      <c r="D511" s="214" t="s">
        <v>1552</v>
      </c>
      <c r="E511" s="212" t="s">
        <v>17</v>
      </c>
      <c r="F511" s="215">
        <v>2.0</v>
      </c>
      <c r="G511" s="210"/>
      <c r="H511" s="237" t="s">
        <v>1200</v>
      </c>
      <c r="I511" s="216">
        <v>15000.0</v>
      </c>
      <c r="J511" s="216">
        <v>15000.0</v>
      </c>
      <c r="K511" s="216">
        <v>0.0</v>
      </c>
      <c r="L511" s="217">
        <v>46212.0</v>
      </c>
      <c r="M511" s="217">
        <v>46243.0</v>
      </c>
      <c r="N511" s="215">
        <v>1.0</v>
      </c>
      <c r="O511" s="215">
        <v>-653.0</v>
      </c>
      <c r="P511" s="215">
        <v>683.0</v>
      </c>
      <c r="Q511" s="203"/>
      <c r="R511" s="218" t="s">
        <v>1640</v>
      </c>
      <c r="S511" s="186"/>
      <c r="T511" s="215">
        <v>419.0</v>
      </c>
      <c r="U511" s="204"/>
    </row>
    <row r="512" ht="22.5" customHeight="1">
      <c r="A512" s="192" t="s">
        <v>1617</v>
      </c>
      <c r="B512" s="193" t="s">
        <v>345</v>
      </c>
      <c r="C512" s="226" t="s">
        <v>136</v>
      </c>
      <c r="D512" s="194" t="s">
        <v>1160</v>
      </c>
      <c r="E512" s="193" t="s">
        <v>17</v>
      </c>
      <c r="F512" s="220">
        <v>3.0</v>
      </c>
      <c r="G512" s="150"/>
      <c r="H512" s="222">
        <v>3000.0</v>
      </c>
      <c r="I512" s="222">
        <v>9000.0</v>
      </c>
      <c r="J512" s="222">
        <v>9000.0</v>
      </c>
      <c r="K512" s="222">
        <v>0.0</v>
      </c>
      <c r="L512" s="223">
        <v>46223.0</v>
      </c>
      <c r="M512" s="223">
        <v>46254.0</v>
      </c>
      <c r="N512" s="220">
        <v>1.0</v>
      </c>
      <c r="O512" s="220">
        <v>-642.0</v>
      </c>
      <c r="P512" s="220">
        <v>672.0</v>
      </c>
      <c r="Q512" s="209"/>
      <c r="R512" s="196" t="s">
        <v>1641</v>
      </c>
      <c r="S512" s="45"/>
      <c r="T512" s="220">
        <v>420.0</v>
      </c>
      <c r="U512" s="198"/>
    </row>
    <row r="513" ht="22.5" customHeight="1">
      <c r="A513" s="211" t="s">
        <v>1642</v>
      </c>
      <c r="B513" s="212" t="s">
        <v>338</v>
      </c>
      <c r="C513" s="213" t="s">
        <v>136</v>
      </c>
      <c r="D513" s="214" t="s">
        <v>1469</v>
      </c>
      <c r="E513" s="212" t="s">
        <v>108</v>
      </c>
      <c r="F513" s="215">
        <v>10.25</v>
      </c>
      <c r="G513" s="147"/>
      <c r="H513" s="216">
        <v>30.0</v>
      </c>
      <c r="I513" s="216">
        <v>307.5</v>
      </c>
      <c r="J513" s="216">
        <v>0.0</v>
      </c>
      <c r="K513" s="216">
        <v>0.0</v>
      </c>
      <c r="L513" s="217">
        <v>46212.0</v>
      </c>
      <c r="M513" s="217">
        <v>46243.0</v>
      </c>
      <c r="N513" s="215">
        <v>1.0</v>
      </c>
      <c r="O513" s="215">
        <v>-653.0</v>
      </c>
      <c r="P513" s="215">
        <v>683.0</v>
      </c>
      <c r="Q513" s="203"/>
      <c r="R513" s="218" t="s">
        <v>1643</v>
      </c>
      <c r="S513" s="186"/>
      <c r="T513" s="215">
        <v>421.0</v>
      </c>
      <c r="U513" s="204"/>
    </row>
    <row r="514" ht="22.5" customHeight="1">
      <c r="A514" s="192">
        <v>0.1667</v>
      </c>
      <c r="B514" s="193" t="s">
        <v>332</v>
      </c>
      <c r="C514" s="226" t="s">
        <v>136</v>
      </c>
      <c r="D514" s="194" t="s">
        <v>1472</v>
      </c>
      <c r="E514" s="193" t="s">
        <v>15</v>
      </c>
      <c r="F514" s="220">
        <v>1.0</v>
      </c>
      <c r="G514" s="221"/>
      <c r="H514" s="222">
        <v>150.0</v>
      </c>
      <c r="I514" s="222">
        <v>150.0</v>
      </c>
      <c r="J514" s="222">
        <v>3300.0</v>
      </c>
      <c r="K514" s="222">
        <v>3300.0</v>
      </c>
      <c r="L514" s="223">
        <v>46223.0</v>
      </c>
      <c r="M514" s="223">
        <v>46254.0</v>
      </c>
      <c r="N514" s="220">
        <v>0.0</v>
      </c>
      <c r="O514" s="220">
        <v>-642.0</v>
      </c>
      <c r="P514" s="220">
        <v>672.0</v>
      </c>
      <c r="Q514" s="209"/>
      <c r="R514" s="196" t="s">
        <v>1644</v>
      </c>
      <c r="S514" s="45"/>
      <c r="T514" s="220">
        <v>422.0</v>
      </c>
      <c r="U514" s="198"/>
    </row>
    <row r="515" ht="22.5" customHeight="1">
      <c r="A515" s="211" t="s">
        <v>1645</v>
      </c>
      <c r="B515" s="212" t="s">
        <v>334</v>
      </c>
      <c r="C515" s="213" t="s">
        <v>136</v>
      </c>
      <c r="D515" s="214" t="s">
        <v>1426</v>
      </c>
      <c r="E515" s="212" t="s">
        <v>15</v>
      </c>
      <c r="F515" s="215">
        <v>1.0</v>
      </c>
      <c r="G515" s="210"/>
      <c r="H515" s="216">
        <v>150.0</v>
      </c>
      <c r="I515" s="216">
        <v>150.0</v>
      </c>
      <c r="J515" s="216">
        <v>3300.0</v>
      </c>
      <c r="K515" s="216">
        <v>3300.0</v>
      </c>
      <c r="L515" s="217">
        <v>46208.0</v>
      </c>
      <c r="M515" s="217">
        <v>46239.0</v>
      </c>
      <c r="N515" s="215">
        <v>0.0</v>
      </c>
      <c r="O515" s="215">
        <v>-657.0</v>
      </c>
      <c r="P515" s="215">
        <v>687.0</v>
      </c>
      <c r="Q515" s="203"/>
      <c r="R515" s="218" t="s">
        <v>1646</v>
      </c>
      <c r="S515" s="186"/>
      <c r="T515" s="215">
        <v>423.0</v>
      </c>
      <c r="U515" s="204"/>
    </row>
    <row r="516" ht="22.5" hidden="1" customHeight="1">
      <c r="A516" s="205"/>
      <c r="B516" s="193" t="s">
        <v>923</v>
      </c>
      <c r="C516" s="233" t="s">
        <v>585</v>
      </c>
      <c r="D516" s="234"/>
      <c r="E516" s="209"/>
      <c r="F516" s="150"/>
      <c r="G516" s="45"/>
      <c r="H516" s="207"/>
      <c r="I516" s="197" t="s">
        <v>924</v>
      </c>
      <c r="J516" s="222">
        <v>109312.87</v>
      </c>
      <c r="K516" s="222">
        <v>12035.0</v>
      </c>
      <c r="L516" s="208"/>
      <c r="M516" s="208"/>
      <c r="N516" s="150"/>
      <c r="O516" s="150"/>
      <c r="P516" s="150"/>
      <c r="Q516" s="209"/>
      <c r="R516" s="45"/>
      <c r="S516" s="45"/>
      <c r="T516" s="150"/>
      <c r="U516" s="198"/>
    </row>
    <row r="517" ht="22.5" hidden="1" customHeight="1">
      <c r="A517" s="199"/>
      <c r="B517" s="212" t="s">
        <v>558</v>
      </c>
      <c r="C517" s="235" t="s">
        <v>606</v>
      </c>
      <c r="D517" s="236"/>
      <c r="E517" s="236"/>
      <c r="F517" s="147"/>
      <c r="G517" s="236"/>
      <c r="H517" s="201"/>
      <c r="I517" s="237" t="s">
        <v>925</v>
      </c>
      <c r="J517" s="216">
        <v>144420.0</v>
      </c>
      <c r="K517" s="201"/>
      <c r="L517" s="202"/>
      <c r="M517" s="218" t="s">
        <v>926</v>
      </c>
      <c r="N517" s="147"/>
      <c r="O517" s="147"/>
      <c r="P517" s="147"/>
      <c r="Q517" s="203"/>
      <c r="R517" s="236"/>
      <c r="S517" s="236"/>
      <c r="T517" s="215">
        <v>423.0</v>
      </c>
      <c r="U517" s="204"/>
    </row>
    <row r="518" ht="22.5" hidden="1" customHeight="1">
      <c r="A518" s="205"/>
      <c r="B518" s="193" t="s">
        <v>696</v>
      </c>
      <c r="C518" s="238" t="s">
        <v>1224</v>
      </c>
      <c r="D518" s="234"/>
      <c r="E518" s="234"/>
      <c r="F518" s="150"/>
      <c r="G518" s="234"/>
      <c r="H518" s="207"/>
      <c r="I518" s="197" t="s">
        <v>928</v>
      </c>
      <c r="J518" s="222">
        <v>383155.0</v>
      </c>
      <c r="K518" s="207"/>
      <c r="L518" s="208"/>
      <c r="M518" s="208"/>
      <c r="N518" s="150"/>
      <c r="O518" s="150"/>
      <c r="P518" s="150"/>
      <c r="Q518" s="209"/>
      <c r="R518" s="234"/>
      <c r="S518" s="234"/>
      <c r="T518" s="150"/>
      <c r="U518" s="198"/>
    </row>
    <row r="519" ht="22.5" hidden="1" customHeight="1">
      <c r="A519" s="199"/>
      <c r="B519" s="146"/>
      <c r="C519" s="200"/>
      <c r="D519" s="200"/>
      <c r="E519" s="200"/>
      <c r="F519" s="147"/>
      <c r="G519" s="186"/>
      <c r="H519" s="201"/>
      <c r="I519" s="201"/>
      <c r="J519" s="201"/>
      <c r="K519" s="201"/>
      <c r="L519" s="202"/>
      <c r="M519" s="202"/>
      <c r="N519" s="147"/>
      <c r="O519" s="147"/>
      <c r="P519" s="147"/>
      <c r="Q519" s="203"/>
      <c r="R519" s="186"/>
      <c r="S519" s="186"/>
      <c r="T519" s="147"/>
      <c r="U519" s="204"/>
    </row>
    <row r="520" ht="22.5" hidden="1" customHeight="1">
      <c r="A520" s="205"/>
      <c r="B520" s="82"/>
      <c r="C520" s="206"/>
      <c r="D520" s="206"/>
      <c r="E520" s="206"/>
      <c r="F520" s="150"/>
      <c r="G520" s="45"/>
      <c r="H520" s="207"/>
      <c r="I520" s="207"/>
      <c r="J520" s="207"/>
      <c r="K520" s="207"/>
      <c r="L520" s="208"/>
      <c r="M520" s="208"/>
      <c r="N520" s="150"/>
      <c r="O520" s="150"/>
      <c r="P520" s="150"/>
      <c r="Q520" s="209"/>
      <c r="R520" s="45"/>
      <c r="S520" s="45"/>
      <c r="T520" s="150"/>
      <c r="U520" s="198"/>
    </row>
    <row r="521" ht="22.5" hidden="1" customHeight="1">
      <c r="A521" s="199"/>
      <c r="B521" s="146"/>
      <c r="C521" s="200"/>
      <c r="D521" s="200"/>
      <c r="E521" s="200"/>
      <c r="F521" s="147"/>
      <c r="G521" s="186"/>
      <c r="H521" s="201"/>
      <c r="I521" s="201"/>
      <c r="J521" s="201"/>
      <c r="K521" s="201"/>
      <c r="L521" s="202"/>
      <c r="M521" s="202"/>
      <c r="N521" s="147"/>
      <c r="O521" s="147"/>
      <c r="P521" s="147"/>
      <c r="Q521" s="203"/>
      <c r="R521" s="186"/>
      <c r="S521" s="186"/>
      <c r="T521" s="147"/>
      <c r="U521" s="204"/>
    </row>
    <row r="522" ht="22.5" hidden="1" customHeight="1">
      <c r="A522" s="205"/>
      <c r="B522" s="82"/>
      <c r="C522" s="206"/>
      <c r="D522" s="206"/>
      <c r="E522" s="206"/>
      <c r="F522" s="150"/>
      <c r="G522" s="45"/>
      <c r="H522" s="207"/>
      <c r="I522" s="207"/>
      <c r="J522" s="207"/>
      <c r="K522" s="207"/>
      <c r="L522" s="208"/>
      <c r="M522" s="208"/>
      <c r="N522" s="150"/>
      <c r="O522" s="150"/>
      <c r="P522" s="150"/>
      <c r="Q522" s="209"/>
      <c r="R522" s="45"/>
      <c r="S522" s="45"/>
      <c r="T522" s="150"/>
      <c r="U522" s="198"/>
    </row>
    <row r="523" ht="22.5" hidden="1" customHeight="1">
      <c r="A523" s="211" t="s">
        <v>181</v>
      </c>
      <c r="B523" s="212" t="s">
        <v>132</v>
      </c>
      <c r="C523" s="212" t="s">
        <v>131</v>
      </c>
      <c r="D523" s="214" t="s">
        <v>870</v>
      </c>
      <c r="E523" s="212" t="s">
        <v>7</v>
      </c>
      <c r="F523" s="228" t="s">
        <v>871</v>
      </c>
      <c r="G523" s="212" t="s">
        <v>872</v>
      </c>
      <c r="H523" s="237" t="s">
        <v>8</v>
      </c>
      <c r="I523" s="237" t="s">
        <v>873</v>
      </c>
      <c r="J523" s="237" t="s">
        <v>17</v>
      </c>
      <c r="K523" s="237" t="s">
        <v>874</v>
      </c>
      <c r="L523" s="218" t="s">
        <v>875</v>
      </c>
      <c r="M523" s="218" t="s">
        <v>876</v>
      </c>
      <c r="N523" s="228" t="s">
        <v>877</v>
      </c>
      <c r="O523" s="228" t="s">
        <v>878</v>
      </c>
      <c r="P523" s="228" t="s">
        <v>879</v>
      </c>
      <c r="Q523" s="218" t="s">
        <v>880</v>
      </c>
      <c r="R523" s="218" t="s">
        <v>881</v>
      </c>
      <c r="S523" s="218" t="s">
        <v>882</v>
      </c>
      <c r="T523" s="228" t="s">
        <v>557</v>
      </c>
      <c r="U523" s="204"/>
    </row>
    <row r="524" ht="22.5" customHeight="1">
      <c r="A524" s="192" t="s">
        <v>1647</v>
      </c>
      <c r="B524" s="193" t="s">
        <v>328</v>
      </c>
      <c r="C524" s="226" t="s">
        <v>136</v>
      </c>
      <c r="D524" s="194" t="s">
        <v>1283</v>
      </c>
      <c r="E524" s="193" t="s">
        <v>19</v>
      </c>
      <c r="F524" s="220">
        <v>0.0</v>
      </c>
      <c r="G524" s="221"/>
      <c r="H524" s="222">
        <v>10.0</v>
      </c>
      <c r="I524" s="222">
        <v>0.0</v>
      </c>
      <c r="J524" s="222">
        <v>0.0</v>
      </c>
      <c r="K524" s="222">
        <v>0.0</v>
      </c>
      <c r="L524" s="223">
        <v>46178.0</v>
      </c>
      <c r="M524" s="223">
        <v>46208.0</v>
      </c>
      <c r="N524" s="220">
        <v>1.0</v>
      </c>
      <c r="O524" s="220">
        <v>-688.0</v>
      </c>
      <c r="P524" s="220">
        <v>718.0</v>
      </c>
      <c r="Q524" s="209"/>
      <c r="R524" s="196" t="s">
        <v>1648</v>
      </c>
      <c r="S524" s="45"/>
      <c r="T524" s="220">
        <v>397.0</v>
      </c>
      <c r="U524" s="198"/>
    </row>
    <row r="525" ht="22.5" customHeight="1">
      <c r="A525" s="211" t="s">
        <v>1649</v>
      </c>
      <c r="B525" s="212" t="s">
        <v>211</v>
      </c>
      <c r="C525" s="213" t="s">
        <v>136</v>
      </c>
      <c r="D525" s="214" t="s">
        <v>1650</v>
      </c>
      <c r="E525" s="212" t="s">
        <v>15</v>
      </c>
      <c r="F525" s="215">
        <v>4.0</v>
      </c>
      <c r="G525" s="210"/>
      <c r="H525" s="216">
        <v>150.0</v>
      </c>
      <c r="I525" s="216">
        <v>600.0</v>
      </c>
      <c r="J525" s="216">
        <v>13416.0</v>
      </c>
      <c r="K525" s="216">
        <v>13416.0</v>
      </c>
      <c r="L525" s="217">
        <v>46175.0</v>
      </c>
      <c r="M525" s="217">
        <v>46205.0</v>
      </c>
      <c r="N525" s="215">
        <v>0.0</v>
      </c>
      <c r="O525" s="215">
        <v>-691.0</v>
      </c>
      <c r="P525" s="215">
        <v>721.0</v>
      </c>
      <c r="Q525" s="203"/>
      <c r="R525" s="218" t="s">
        <v>1651</v>
      </c>
      <c r="S525" s="186"/>
      <c r="T525" s="215">
        <v>398.0</v>
      </c>
      <c r="U525" s="204"/>
    </row>
    <row r="526" ht="22.5" customHeight="1">
      <c r="A526" s="192" t="s">
        <v>1606</v>
      </c>
      <c r="B526" s="193" t="s">
        <v>336</v>
      </c>
      <c r="C526" s="226" t="s">
        <v>136</v>
      </c>
      <c r="D526" s="194" t="s">
        <v>1369</v>
      </c>
      <c r="E526" s="193" t="s">
        <v>17</v>
      </c>
      <c r="F526" s="220">
        <v>3.0</v>
      </c>
      <c r="G526" s="221"/>
      <c r="H526" s="222">
        <v>1000.0</v>
      </c>
      <c r="I526" s="222">
        <v>3000.0</v>
      </c>
      <c r="J526" s="222">
        <v>2499.9</v>
      </c>
      <c r="K526" s="222">
        <v>0.0</v>
      </c>
      <c r="L526" s="223">
        <v>46179.0</v>
      </c>
      <c r="M526" s="223">
        <v>46209.0</v>
      </c>
      <c r="N526" s="220">
        <v>1.0</v>
      </c>
      <c r="O526" s="220">
        <v>-687.0</v>
      </c>
      <c r="P526" s="220">
        <v>717.0</v>
      </c>
      <c r="Q526" s="209"/>
      <c r="R526" s="196" t="s">
        <v>1652</v>
      </c>
      <c r="S526" s="45"/>
      <c r="T526" s="220">
        <v>399.0</v>
      </c>
      <c r="U526" s="198"/>
    </row>
    <row r="527" ht="22.5" customHeight="1">
      <c r="A527" s="199"/>
      <c r="B527" s="212" t="s">
        <v>313</v>
      </c>
      <c r="C527" s="213" t="s">
        <v>136</v>
      </c>
      <c r="D527" s="214" t="s">
        <v>1653</v>
      </c>
      <c r="E527" s="212" t="s">
        <v>17</v>
      </c>
      <c r="F527" s="228" t="s">
        <v>1654</v>
      </c>
      <c r="G527" s="210"/>
      <c r="H527" s="216">
        <v>700.0</v>
      </c>
      <c r="I527" s="216">
        <v>3500.0</v>
      </c>
      <c r="J527" s="216">
        <v>3500.0</v>
      </c>
      <c r="K527" s="216">
        <v>0.0</v>
      </c>
      <c r="L527" s="217">
        <v>46181.0</v>
      </c>
      <c r="M527" s="217">
        <v>46211.0</v>
      </c>
      <c r="N527" s="215">
        <v>1.0</v>
      </c>
      <c r="O527" s="215">
        <v>-685.0</v>
      </c>
      <c r="P527" s="215">
        <v>715.0</v>
      </c>
      <c r="Q527" s="203"/>
      <c r="R527" s="218" t="s">
        <v>1655</v>
      </c>
      <c r="S527" s="186"/>
      <c r="T527" s="215">
        <v>400.0</v>
      </c>
      <c r="U527" s="204"/>
    </row>
    <row r="528" ht="22.5" customHeight="1">
      <c r="A528" s="192" t="s">
        <v>1656</v>
      </c>
      <c r="B528" s="193" t="s">
        <v>309</v>
      </c>
      <c r="C528" s="226" t="s">
        <v>136</v>
      </c>
      <c r="D528" s="194" t="s">
        <v>1160</v>
      </c>
      <c r="E528" s="193" t="s">
        <v>17</v>
      </c>
      <c r="F528" s="220">
        <v>3.0</v>
      </c>
      <c r="G528" s="221"/>
      <c r="H528" s="222">
        <v>2500.0</v>
      </c>
      <c r="I528" s="222">
        <v>7500.0</v>
      </c>
      <c r="J528" s="222">
        <v>7500.0</v>
      </c>
      <c r="K528" s="222">
        <v>0.0</v>
      </c>
      <c r="L528" s="223">
        <v>46176.0</v>
      </c>
      <c r="M528" s="223">
        <v>46206.0</v>
      </c>
      <c r="N528" s="220">
        <v>1.0</v>
      </c>
      <c r="O528" s="220">
        <v>-690.0</v>
      </c>
      <c r="P528" s="220">
        <v>720.0</v>
      </c>
      <c r="Q528" s="209"/>
      <c r="R528" s="196" t="s">
        <v>1657</v>
      </c>
      <c r="S528" s="45"/>
      <c r="T528" s="220">
        <v>401.0</v>
      </c>
      <c r="U528" s="198"/>
    </row>
    <row r="529" ht="22.5" customHeight="1">
      <c r="A529" s="211" t="s">
        <v>1658</v>
      </c>
      <c r="B529" s="212" t="s">
        <v>351</v>
      </c>
      <c r="C529" s="213" t="s">
        <v>136</v>
      </c>
      <c r="D529" s="214" t="s">
        <v>1659</v>
      </c>
      <c r="E529" s="212" t="s">
        <v>22</v>
      </c>
      <c r="F529" s="215">
        <v>3.0</v>
      </c>
      <c r="G529" s="215">
        <v>20.0</v>
      </c>
      <c r="H529" s="216">
        <v>15000.0</v>
      </c>
      <c r="I529" s="216">
        <v>36000.0</v>
      </c>
      <c r="J529" s="216">
        <v>10843.37</v>
      </c>
      <c r="K529" s="216">
        <v>0.0</v>
      </c>
      <c r="L529" s="217">
        <v>46175.0</v>
      </c>
      <c r="M529" s="202"/>
      <c r="N529" s="215">
        <v>1.0</v>
      </c>
      <c r="O529" s="147"/>
      <c r="P529" s="215">
        <v>30.0</v>
      </c>
      <c r="Q529" s="203"/>
      <c r="R529" s="218" t="s">
        <v>1660</v>
      </c>
      <c r="S529" s="186"/>
      <c r="T529" s="215">
        <v>402.0</v>
      </c>
      <c r="U529" s="204"/>
    </row>
    <row r="530" ht="22.5" customHeight="1">
      <c r="A530" s="192" t="s">
        <v>1661</v>
      </c>
      <c r="B530" s="193" t="s">
        <v>301</v>
      </c>
      <c r="C530" s="226" t="s">
        <v>136</v>
      </c>
      <c r="D530" s="194" t="s">
        <v>1199</v>
      </c>
      <c r="E530" s="193" t="s">
        <v>17</v>
      </c>
      <c r="F530" s="220">
        <v>3.0</v>
      </c>
      <c r="G530" s="221"/>
      <c r="H530" s="222">
        <v>5000.0</v>
      </c>
      <c r="I530" s="222">
        <v>15000.0</v>
      </c>
      <c r="J530" s="222">
        <v>15000.0</v>
      </c>
      <c r="K530" s="222">
        <v>0.0</v>
      </c>
      <c r="L530" s="223">
        <v>46191.0</v>
      </c>
      <c r="M530" s="223">
        <v>46221.0</v>
      </c>
      <c r="N530" s="220">
        <v>1.0</v>
      </c>
      <c r="O530" s="220">
        <v>-675.0</v>
      </c>
      <c r="P530" s="220">
        <v>705.0</v>
      </c>
      <c r="Q530" s="209"/>
      <c r="R530" s="196" t="s">
        <v>1662</v>
      </c>
      <c r="S530" s="45"/>
      <c r="T530" s="220">
        <v>403.0</v>
      </c>
      <c r="U530" s="198"/>
    </row>
    <row r="531" ht="22.5" customHeight="1">
      <c r="A531" s="211" t="s">
        <v>1663</v>
      </c>
      <c r="B531" s="212" t="s">
        <v>349</v>
      </c>
      <c r="C531" s="213" t="s">
        <v>136</v>
      </c>
      <c r="D531" s="214" t="s">
        <v>1294</v>
      </c>
      <c r="E531" s="212" t="s">
        <v>100</v>
      </c>
      <c r="F531" s="215">
        <v>13.25</v>
      </c>
      <c r="G531" s="210"/>
      <c r="H531" s="216">
        <v>12.0</v>
      </c>
      <c r="I531" s="216">
        <v>159.0</v>
      </c>
      <c r="J531" s="216">
        <v>13340.1</v>
      </c>
      <c r="K531" s="216">
        <v>12081.6</v>
      </c>
      <c r="L531" s="217">
        <v>46175.0</v>
      </c>
      <c r="M531" s="217">
        <v>46205.0</v>
      </c>
      <c r="N531" s="215">
        <v>0.0</v>
      </c>
      <c r="O531" s="215">
        <v>-691.0</v>
      </c>
      <c r="P531" s="215">
        <v>721.0</v>
      </c>
      <c r="Q531" s="203"/>
      <c r="R531" s="218" t="s">
        <v>1664</v>
      </c>
      <c r="S531" s="186"/>
      <c r="T531" s="215">
        <v>404.0</v>
      </c>
      <c r="U531" s="204"/>
    </row>
    <row r="532" ht="22.5" customHeight="1">
      <c r="A532" s="205"/>
      <c r="B532" s="193" t="s">
        <v>330</v>
      </c>
      <c r="C532" s="226" t="s">
        <v>136</v>
      </c>
      <c r="D532" s="194" t="s">
        <v>1552</v>
      </c>
      <c r="E532" s="193" t="s">
        <v>17</v>
      </c>
      <c r="F532" s="220">
        <v>2.0</v>
      </c>
      <c r="G532" s="221"/>
      <c r="H532" s="197" t="s">
        <v>1200</v>
      </c>
      <c r="I532" s="222">
        <v>15000.0</v>
      </c>
      <c r="J532" s="222">
        <v>15000.0</v>
      </c>
      <c r="K532" s="222">
        <v>0.0</v>
      </c>
      <c r="L532" s="223">
        <v>46182.0</v>
      </c>
      <c r="M532" s="223">
        <v>46212.0</v>
      </c>
      <c r="N532" s="220">
        <v>1.0</v>
      </c>
      <c r="O532" s="220">
        <v>-684.0</v>
      </c>
      <c r="P532" s="220">
        <v>714.0</v>
      </c>
      <c r="Q532" s="209"/>
      <c r="R532" s="196" t="s">
        <v>1665</v>
      </c>
      <c r="S532" s="45"/>
      <c r="T532" s="220">
        <v>405.0</v>
      </c>
      <c r="U532" s="198"/>
    </row>
    <row r="533" ht="22.5" customHeight="1">
      <c r="A533" s="211" t="s">
        <v>1423</v>
      </c>
      <c r="B533" s="212" t="s">
        <v>345</v>
      </c>
      <c r="C533" s="213" t="s">
        <v>136</v>
      </c>
      <c r="D533" s="214" t="s">
        <v>1160</v>
      </c>
      <c r="E533" s="212" t="s">
        <v>17</v>
      </c>
      <c r="F533" s="215">
        <v>3.0</v>
      </c>
      <c r="G533" s="210"/>
      <c r="H533" s="216">
        <v>3000.0</v>
      </c>
      <c r="I533" s="216">
        <v>9000.0</v>
      </c>
      <c r="J533" s="216">
        <v>9000.0</v>
      </c>
      <c r="K533" s="216">
        <v>0.0</v>
      </c>
      <c r="L533" s="217">
        <v>46193.0</v>
      </c>
      <c r="M533" s="217">
        <v>46223.0</v>
      </c>
      <c r="N533" s="215">
        <v>1.0</v>
      </c>
      <c r="O533" s="215">
        <v>-673.0</v>
      </c>
      <c r="P533" s="215">
        <v>703.0</v>
      </c>
      <c r="Q533" s="203"/>
      <c r="R533" s="218" t="s">
        <v>1666</v>
      </c>
      <c r="S533" s="186"/>
      <c r="T533" s="215">
        <v>406.0</v>
      </c>
      <c r="U533" s="204"/>
    </row>
    <row r="534" ht="22.5" customHeight="1">
      <c r="A534" s="205"/>
      <c r="B534" s="193" t="s">
        <v>338</v>
      </c>
      <c r="C534" s="226" t="s">
        <v>136</v>
      </c>
      <c r="D534" s="194" t="s">
        <v>1469</v>
      </c>
      <c r="E534" s="193" t="s">
        <v>108</v>
      </c>
      <c r="F534" s="220">
        <v>10.25</v>
      </c>
      <c r="G534" s="9"/>
      <c r="H534" s="222">
        <v>30.0</v>
      </c>
      <c r="I534" s="222">
        <v>307.5</v>
      </c>
      <c r="J534" s="222">
        <v>0.0</v>
      </c>
      <c r="K534" s="222">
        <v>0.0</v>
      </c>
      <c r="L534" s="223">
        <v>46182.0</v>
      </c>
      <c r="M534" s="223">
        <v>46212.0</v>
      </c>
      <c r="N534" s="220">
        <v>1.0</v>
      </c>
      <c r="O534" s="220">
        <v>-684.0</v>
      </c>
      <c r="P534" s="220">
        <v>714.0</v>
      </c>
      <c r="Q534" s="209"/>
      <c r="R534" s="196" t="s">
        <v>1667</v>
      </c>
      <c r="S534" s="45"/>
      <c r="T534" s="220">
        <v>407.0</v>
      </c>
      <c r="U534" s="198"/>
    </row>
    <row r="535" ht="22.5" customHeight="1">
      <c r="A535" s="211">
        <v>0.1667</v>
      </c>
      <c r="B535" s="212" t="s">
        <v>332</v>
      </c>
      <c r="C535" s="213" t="s">
        <v>136</v>
      </c>
      <c r="D535" s="214" t="s">
        <v>1472</v>
      </c>
      <c r="E535" s="212" t="s">
        <v>15</v>
      </c>
      <c r="F535" s="215">
        <v>1.0</v>
      </c>
      <c r="G535" s="210"/>
      <c r="H535" s="216">
        <v>150.0</v>
      </c>
      <c r="I535" s="216">
        <v>150.0</v>
      </c>
      <c r="J535" s="216">
        <v>3300.0</v>
      </c>
      <c r="K535" s="201"/>
      <c r="L535" s="217">
        <v>46193.0</v>
      </c>
      <c r="M535" s="217">
        <v>46223.0</v>
      </c>
      <c r="N535" s="147"/>
      <c r="O535" s="215">
        <v>-673.0</v>
      </c>
      <c r="P535" s="215">
        <v>703.0</v>
      </c>
      <c r="Q535" s="203"/>
      <c r="R535" s="218" t="s">
        <v>1668</v>
      </c>
      <c r="S535" s="186"/>
      <c r="T535" s="215">
        <v>408.0</v>
      </c>
      <c r="U535" s="204"/>
    </row>
    <row r="536" ht="22.5" customHeight="1">
      <c r="A536" s="205"/>
      <c r="B536" s="193" t="s">
        <v>334</v>
      </c>
      <c r="C536" s="226" t="s">
        <v>136</v>
      </c>
      <c r="D536" s="194" t="s">
        <v>1426</v>
      </c>
      <c r="E536" s="193" t="s">
        <v>15</v>
      </c>
      <c r="F536" s="220">
        <v>1.0</v>
      </c>
      <c r="G536" s="221"/>
      <c r="H536" s="222">
        <v>150.0</v>
      </c>
      <c r="I536" s="222">
        <v>150.0</v>
      </c>
      <c r="J536" s="222">
        <v>3300.0</v>
      </c>
      <c r="K536" s="207"/>
      <c r="L536" s="223">
        <v>46178.0</v>
      </c>
      <c r="M536" s="223">
        <v>46208.0</v>
      </c>
      <c r="N536" s="150"/>
      <c r="O536" s="220">
        <v>-688.0</v>
      </c>
      <c r="P536" s="220">
        <v>718.0</v>
      </c>
      <c r="Q536" s="209"/>
      <c r="R536" s="196" t="s">
        <v>1669</v>
      </c>
      <c r="S536" s="45"/>
      <c r="T536" s="220">
        <v>409.0</v>
      </c>
      <c r="U536" s="198"/>
    </row>
    <row r="537" ht="22.5" hidden="1" customHeight="1">
      <c r="A537" s="199"/>
      <c r="B537" s="212" t="s">
        <v>923</v>
      </c>
      <c r="C537" s="240" t="s">
        <v>583</v>
      </c>
      <c r="D537" s="236"/>
      <c r="E537" s="203"/>
      <c r="F537" s="147"/>
      <c r="G537" s="186"/>
      <c r="H537" s="201"/>
      <c r="I537" s="237" t="s">
        <v>924</v>
      </c>
      <c r="J537" s="216">
        <v>96699.37</v>
      </c>
      <c r="K537" s="216">
        <v>25497.6</v>
      </c>
      <c r="L537" s="202"/>
      <c r="M537" s="202"/>
      <c r="N537" s="147"/>
      <c r="O537" s="147"/>
      <c r="P537" s="147"/>
      <c r="Q537" s="203"/>
      <c r="R537" s="186"/>
      <c r="S537" s="186"/>
      <c r="T537" s="147"/>
      <c r="U537" s="204"/>
    </row>
    <row r="538" ht="22.5" hidden="1" customHeight="1">
      <c r="A538" s="205"/>
      <c r="B538" s="193" t="s">
        <v>558</v>
      </c>
      <c r="C538" s="241" t="s">
        <v>604</v>
      </c>
      <c r="D538" s="234"/>
      <c r="E538" s="234"/>
      <c r="F538" s="150"/>
      <c r="G538" s="234"/>
      <c r="H538" s="207"/>
      <c r="I538" s="197" t="s">
        <v>925</v>
      </c>
      <c r="J538" s="222">
        <v>305971.2</v>
      </c>
      <c r="K538" s="207"/>
      <c r="L538" s="208"/>
      <c r="M538" s="196" t="s">
        <v>926</v>
      </c>
      <c r="N538" s="150"/>
      <c r="O538" s="150"/>
      <c r="P538" s="150"/>
      <c r="Q538" s="209"/>
      <c r="R538" s="234"/>
      <c r="S538" s="234"/>
      <c r="T538" s="220">
        <v>409.0</v>
      </c>
      <c r="U538" s="198"/>
    </row>
    <row r="539" ht="22.5" hidden="1" customHeight="1">
      <c r="A539" s="199"/>
      <c r="B539" s="212" t="s">
        <v>696</v>
      </c>
      <c r="C539" s="232" t="s">
        <v>1252</v>
      </c>
      <c r="D539" s="236"/>
      <c r="E539" s="236"/>
      <c r="F539" s="147"/>
      <c r="G539" s="236"/>
      <c r="H539" s="201"/>
      <c r="I539" s="237" t="s">
        <v>928</v>
      </c>
      <c r="J539" s="216">
        <v>371120.0</v>
      </c>
      <c r="K539" s="201"/>
      <c r="L539" s="202"/>
      <c r="M539" s="202"/>
      <c r="N539" s="147"/>
      <c r="O539" s="147"/>
      <c r="P539" s="147"/>
      <c r="Q539" s="203"/>
      <c r="R539" s="236"/>
      <c r="S539" s="236"/>
      <c r="T539" s="147"/>
      <c r="U539" s="204"/>
    </row>
    <row r="540" ht="22.5" hidden="1" customHeight="1">
      <c r="A540" s="205"/>
      <c r="B540" s="82"/>
      <c r="C540" s="206"/>
      <c r="D540" s="206"/>
      <c r="E540" s="206"/>
      <c r="F540" s="150"/>
      <c r="G540" s="45"/>
      <c r="H540" s="207"/>
      <c r="I540" s="207"/>
      <c r="J540" s="207"/>
      <c r="K540" s="207"/>
      <c r="L540" s="208"/>
      <c r="M540" s="208"/>
      <c r="N540" s="150"/>
      <c r="O540" s="150"/>
      <c r="P540" s="150"/>
      <c r="Q540" s="209"/>
      <c r="R540" s="45"/>
      <c r="S540" s="45"/>
      <c r="T540" s="150"/>
      <c r="U540" s="198"/>
    </row>
    <row r="541" ht="22.5" hidden="1" customHeight="1">
      <c r="A541" s="199"/>
      <c r="B541" s="146"/>
      <c r="C541" s="200"/>
      <c r="D541" s="200"/>
      <c r="E541" s="200"/>
      <c r="F541" s="147"/>
      <c r="G541" s="186"/>
      <c r="H541" s="201"/>
      <c r="I541" s="201"/>
      <c r="J541" s="201"/>
      <c r="K541" s="201"/>
      <c r="L541" s="202"/>
      <c r="M541" s="202"/>
      <c r="N541" s="147"/>
      <c r="O541" s="147"/>
      <c r="P541" s="147"/>
      <c r="Q541" s="203"/>
      <c r="R541" s="186"/>
      <c r="S541" s="186"/>
      <c r="T541" s="147"/>
      <c r="U541" s="204"/>
    </row>
    <row r="542" ht="22.5" hidden="1" customHeight="1">
      <c r="A542" s="205"/>
      <c r="B542" s="82"/>
      <c r="C542" s="206"/>
      <c r="D542" s="206"/>
      <c r="E542" s="206"/>
      <c r="F542" s="150"/>
      <c r="G542" s="45"/>
      <c r="H542" s="207"/>
      <c r="I542" s="207"/>
      <c r="J542" s="207"/>
      <c r="K542" s="207"/>
      <c r="L542" s="208"/>
      <c r="M542" s="208"/>
      <c r="N542" s="150"/>
      <c r="O542" s="150"/>
      <c r="P542" s="150"/>
      <c r="Q542" s="209"/>
      <c r="R542" s="45"/>
      <c r="S542" s="45"/>
      <c r="T542" s="150"/>
      <c r="U542" s="198"/>
    </row>
    <row r="543" ht="22.5" hidden="1" customHeight="1">
      <c r="A543" s="199"/>
      <c r="B543" s="146"/>
      <c r="C543" s="200"/>
      <c r="D543" s="200"/>
      <c r="E543" s="200"/>
      <c r="F543" s="147"/>
      <c r="G543" s="186"/>
      <c r="H543" s="201"/>
      <c r="I543" s="201"/>
      <c r="J543" s="201"/>
      <c r="K543" s="201"/>
      <c r="L543" s="202"/>
      <c r="M543" s="202"/>
      <c r="N543" s="147"/>
      <c r="O543" s="147"/>
      <c r="P543" s="147"/>
      <c r="Q543" s="203"/>
      <c r="R543" s="186"/>
      <c r="S543" s="186"/>
      <c r="T543" s="147"/>
      <c r="U543" s="204"/>
    </row>
    <row r="544" ht="22.5" hidden="1" customHeight="1">
      <c r="A544" s="192" t="s">
        <v>181</v>
      </c>
      <c r="B544" s="193" t="s">
        <v>132</v>
      </c>
      <c r="C544" s="193" t="s">
        <v>131</v>
      </c>
      <c r="D544" s="194" t="s">
        <v>870</v>
      </c>
      <c r="E544" s="193" t="s">
        <v>7</v>
      </c>
      <c r="F544" s="195" t="s">
        <v>871</v>
      </c>
      <c r="G544" s="193" t="s">
        <v>872</v>
      </c>
      <c r="H544" s="197" t="s">
        <v>8</v>
      </c>
      <c r="I544" s="197" t="s">
        <v>873</v>
      </c>
      <c r="J544" s="197" t="s">
        <v>17</v>
      </c>
      <c r="K544" s="197" t="s">
        <v>874</v>
      </c>
      <c r="L544" s="196" t="s">
        <v>875</v>
      </c>
      <c r="M544" s="196" t="s">
        <v>876</v>
      </c>
      <c r="N544" s="195" t="s">
        <v>877</v>
      </c>
      <c r="O544" s="195" t="s">
        <v>878</v>
      </c>
      <c r="P544" s="195" t="s">
        <v>879</v>
      </c>
      <c r="Q544" s="196" t="s">
        <v>880</v>
      </c>
      <c r="R544" s="196" t="s">
        <v>881</v>
      </c>
      <c r="S544" s="196" t="s">
        <v>882</v>
      </c>
      <c r="T544" s="195" t="s">
        <v>557</v>
      </c>
      <c r="U544" s="198"/>
    </row>
    <row r="545" ht="22.5" customHeight="1">
      <c r="A545" s="199"/>
      <c r="B545" s="212" t="s">
        <v>328</v>
      </c>
      <c r="C545" s="213" t="s">
        <v>136</v>
      </c>
      <c r="D545" s="214" t="s">
        <v>1283</v>
      </c>
      <c r="E545" s="212" t="s">
        <v>19</v>
      </c>
      <c r="F545" s="215">
        <v>0.0</v>
      </c>
      <c r="G545" s="210"/>
      <c r="H545" s="216">
        <v>10.0</v>
      </c>
      <c r="I545" s="216">
        <v>0.0</v>
      </c>
      <c r="J545" s="216">
        <v>0.0</v>
      </c>
      <c r="K545" s="216">
        <v>0.0</v>
      </c>
      <c r="L545" s="217">
        <v>46147.0</v>
      </c>
      <c r="M545" s="217">
        <v>46178.0</v>
      </c>
      <c r="N545" s="215">
        <v>1.0</v>
      </c>
      <c r="O545" s="215">
        <v>-718.0</v>
      </c>
      <c r="P545" s="215">
        <v>748.0</v>
      </c>
      <c r="Q545" s="203"/>
      <c r="R545" s="218" t="s">
        <v>1670</v>
      </c>
      <c r="S545" s="186"/>
      <c r="T545" s="215">
        <v>381.0</v>
      </c>
      <c r="U545" s="204"/>
    </row>
    <row r="546" ht="22.5" customHeight="1">
      <c r="A546" s="192" t="s">
        <v>1671</v>
      </c>
      <c r="B546" s="193" t="s">
        <v>211</v>
      </c>
      <c r="C546" s="226" t="s">
        <v>136</v>
      </c>
      <c r="D546" s="194" t="s">
        <v>1650</v>
      </c>
      <c r="E546" s="193" t="s">
        <v>15</v>
      </c>
      <c r="F546" s="220">
        <v>4.0</v>
      </c>
      <c r="G546" s="221"/>
      <c r="H546" s="222">
        <v>150.0</v>
      </c>
      <c r="I546" s="222">
        <v>600.0</v>
      </c>
      <c r="J546" s="222">
        <v>12600.0</v>
      </c>
      <c r="K546" s="222">
        <v>4725.0</v>
      </c>
      <c r="L546" s="223">
        <v>46144.0</v>
      </c>
      <c r="M546" s="223">
        <v>46175.0</v>
      </c>
      <c r="N546" s="220">
        <v>0.0</v>
      </c>
      <c r="O546" s="220">
        <v>-721.0</v>
      </c>
      <c r="P546" s="220">
        <v>751.0</v>
      </c>
      <c r="Q546" s="238">
        <v>46293.0</v>
      </c>
      <c r="R546" s="196" t="s">
        <v>1672</v>
      </c>
      <c r="S546" s="45"/>
      <c r="T546" s="220">
        <v>382.0</v>
      </c>
      <c r="U546" s="198"/>
    </row>
    <row r="547" ht="22.5" customHeight="1">
      <c r="A547" s="211" t="s">
        <v>1673</v>
      </c>
      <c r="B547" s="212" t="s">
        <v>336</v>
      </c>
      <c r="C547" s="213" t="s">
        <v>136</v>
      </c>
      <c r="D547" s="214" t="s">
        <v>1369</v>
      </c>
      <c r="E547" s="212" t="s">
        <v>17</v>
      </c>
      <c r="F547" s="215">
        <v>3.0</v>
      </c>
      <c r="G547" s="210"/>
      <c r="H547" s="216">
        <v>1000.0</v>
      </c>
      <c r="I547" s="216">
        <v>3000.0</v>
      </c>
      <c r="J547" s="216">
        <v>2499.9</v>
      </c>
      <c r="K547" s="216">
        <v>0.0</v>
      </c>
      <c r="L547" s="217">
        <v>46148.0</v>
      </c>
      <c r="M547" s="217">
        <v>46179.0</v>
      </c>
      <c r="N547" s="215">
        <v>1.0</v>
      </c>
      <c r="O547" s="215">
        <v>-717.0</v>
      </c>
      <c r="P547" s="215">
        <v>747.0</v>
      </c>
      <c r="Q547" s="203"/>
      <c r="R547" s="218" t="s">
        <v>1674</v>
      </c>
      <c r="S547" s="186"/>
      <c r="T547" s="215">
        <v>383.0</v>
      </c>
      <c r="U547" s="204"/>
    </row>
    <row r="548" ht="22.5" customHeight="1">
      <c r="A548" s="205"/>
      <c r="B548" s="193" t="s">
        <v>313</v>
      </c>
      <c r="C548" s="226" t="s">
        <v>136</v>
      </c>
      <c r="D548" s="194" t="s">
        <v>1653</v>
      </c>
      <c r="E548" s="193" t="s">
        <v>17</v>
      </c>
      <c r="F548" s="195" t="s">
        <v>1311</v>
      </c>
      <c r="G548" s="221"/>
      <c r="H548" s="222">
        <v>700.0</v>
      </c>
      <c r="I548" s="222">
        <v>2100.0</v>
      </c>
      <c r="J548" s="222">
        <v>2100.0</v>
      </c>
      <c r="K548" s="222">
        <v>0.0</v>
      </c>
      <c r="L548" s="223">
        <v>46150.0</v>
      </c>
      <c r="M548" s="223">
        <v>46181.0</v>
      </c>
      <c r="N548" s="220">
        <v>1.0</v>
      </c>
      <c r="O548" s="220">
        <v>-715.0</v>
      </c>
      <c r="P548" s="220">
        <v>745.0</v>
      </c>
      <c r="Q548" s="209"/>
      <c r="R548" s="196" t="s">
        <v>1675</v>
      </c>
      <c r="S548" s="45"/>
      <c r="T548" s="220">
        <v>384.0</v>
      </c>
      <c r="U548" s="198"/>
    </row>
    <row r="549" ht="22.5" customHeight="1">
      <c r="A549" s="199"/>
      <c r="B549" s="212" t="s">
        <v>309</v>
      </c>
      <c r="C549" s="213" t="s">
        <v>136</v>
      </c>
      <c r="D549" s="214" t="s">
        <v>1676</v>
      </c>
      <c r="E549" s="212" t="s">
        <v>17</v>
      </c>
      <c r="F549" s="215">
        <v>2.0</v>
      </c>
      <c r="G549" s="210"/>
      <c r="H549" s="216">
        <v>2500.0</v>
      </c>
      <c r="I549" s="216">
        <v>5000.0</v>
      </c>
      <c r="J549" s="216">
        <v>5000.0</v>
      </c>
      <c r="K549" s="216">
        <v>0.0</v>
      </c>
      <c r="L549" s="217">
        <v>46145.0</v>
      </c>
      <c r="M549" s="217">
        <v>46176.0</v>
      </c>
      <c r="N549" s="215">
        <v>1.0</v>
      </c>
      <c r="O549" s="215">
        <v>-720.0</v>
      </c>
      <c r="P549" s="215">
        <v>750.0</v>
      </c>
      <c r="Q549" s="203"/>
      <c r="R549" s="218" t="s">
        <v>1677</v>
      </c>
      <c r="S549" s="186"/>
      <c r="T549" s="215">
        <v>385.0</v>
      </c>
      <c r="U549" s="204"/>
    </row>
    <row r="550" ht="22.5" customHeight="1">
      <c r="A550" s="192" t="s">
        <v>1661</v>
      </c>
      <c r="B550" s="193" t="s">
        <v>301</v>
      </c>
      <c r="C550" s="226" t="s">
        <v>136</v>
      </c>
      <c r="D550" s="194" t="s">
        <v>1678</v>
      </c>
      <c r="E550" s="193" t="s">
        <v>17</v>
      </c>
      <c r="F550" s="220">
        <v>3.0</v>
      </c>
      <c r="G550" s="230">
        <v>0.17</v>
      </c>
      <c r="H550" s="222">
        <v>6000.0</v>
      </c>
      <c r="I550" s="222">
        <v>15000.0</v>
      </c>
      <c r="J550" s="222">
        <v>15000.0</v>
      </c>
      <c r="K550" s="222">
        <v>0.0</v>
      </c>
      <c r="L550" s="223">
        <v>46160.0</v>
      </c>
      <c r="M550" s="223">
        <v>46191.0</v>
      </c>
      <c r="N550" s="220">
        <v>1.0</v>
      </c>
      <c r="O550" s="220">
        <v>-705.0</v>
      </c>
      <c r="P550" s="220">
        <v>735.0</v>
      </c>
      <c r="Q550" s="209"/>
      <c r="R550" s="196" t="s">
        <v>1679</v>
      </c>
      <c r="S550" s="45"/>
      <c r="T550" s="220">
        <v>386.0</v>
      </c>
      <c r="U550" s="198"/>
    </row>
    <row r="551" ht="22.5" customHeight="1">
      <c r="A551" s="211" t="s">
        <v>1680</v>
      </c>
      <c r="B551" s="212" t="s">
        <v>249</v>
      </c>
      <c r="C551" s="213" t="s">
        <v>136</v>
      </c>
      <c r="D551" s="214" t="s">
        <v>1637</v>
      </c>
      <c r="E551" s="212" t="s">
        <v>15</v>
      </c>
      <c r="F551" s="215">
        <v>2.0</v>
      </c>
      <c r="G551" s="210"/>
      <c r="H551" s="216">
        <v>18.75</v>
      </c>
      <c r="I551" s="216">
        <v>37.5</v>
      </c>
      <c r="J551" s="216">
        <v>825.0</v>
      </c>
      <c r="K551" s="216">
        <v>0.0</v>
      </c>
      <c r="L551" s="217">
        <v>46153.0</v>
      </c>
      <c r="M551" s="217">
        <v>46184.0</v>
      </c>
      <c r="N551" s="215">
        <v>1.0</v>
      </c>
      <c r="O551" s="215">
        <v>-712.0</v>
      </c>
      <c r="P551" s="215">
        <v>742.0</v>
      </c>
      <c r="Q551" s="203"/>
      <c r="R551" s="218" t="s">
        <v>1681</v>
      </c>
      <c r="S551" s="186"/>
      <c r="T551" s="215">
        <v>387.0</v>
      </c>
      <c r="U551" s="204"/>
    </row>
    <row r="552" ht="22.5" customHeight="1">
      <c r="A552" s="192" t="s">
        <v>684</v>
      </c>
      <c r="B552" s="193" t="s">
        <v>291</v>
      </c>
      <c r="C552" s="206"/>
      <c r="D552" s="206"/>
      <c r="E552" s="206"/>
      <c r="F552" s="220">
        <v>5.0</v>
      </c>
      <c r="G552" s="221"/>
      <c r="H552" s="197" t="s">
        <v>1682</v>
      </c>
      <c r="I552" s="222">
        <v>21000.0</v>
      </c>
      <c r="J552" s="207"/>
      <c r="K552" s="207"/>
      <c r="L552" s="223">
        <v>46145.0</v>
      </c>
      <c r="M552" s="223">
        <v>46176.0</v>
      </c>
      <c r="N552" s="150"/>
      <c r="O552" s="220">
        <v>-720.0</v>
      </c>
      <c r="P552" s="220">
        <v>750.0</v>
      </c>
      <c r="Q552" s="209"/>
      <c r="R552" s="196" t="s">
        <v>1683</v>
      </c>
      <c r="S552" s="45"/>
      <c r="T552" s="220">
        <v>388.0</v>
      </c>
      <c r="U552" s="198"/>
    </row>
    <row r="553" ht="22.5" customHeight="1">
      <c r="A553" s="211" t="s">
        <v>1684</v>
      </c>
      <c r="B553" s="212" t="s">
        <v>347</v>
      </c>
      <c r="C553" s="213" t="s">
        <v>136</v>
      </c>
      <c r="D553" s="214" t="s">
        <v>48</v>
      </c>
      <c r="E553" s="212" t="s">
        <v>17</v>
      </c>
      <c r="F553" s="228" t="s">
        <v>1166</v>
      </c>
      <c r="G553" s="210"/>
      <c r="H553" s="216">
        <v>1000.0</v>
      </c>
      <c r="I553" s="216">
        <v>8000.0</v>
      </c>
      <c r="J553" s="216">
        <v>8000.0</v>
      </c>
      <c r="K553" s="216">
        <v>0.0</v>
      </c>
      <c r="L553" s="217">
        <v>46151.0</v>
      </c>
      <c r="M553" s="217">
        <v>46182.0</v>
      </c>
      <c r="N553" s="215">
        <v>1.0</v>
      </c>
      <c r="O553" s="215">
        <v>-714.0</v>
      </c>
      <c r="P553" s="215">
        <v>744.0</v>
      </c>
      <c r="Q553" s="203"/>
      <c r="R553" s="218" t="s">
        <v>1685</v>
      </c>
      <c r="S553" s="186"/>
      <c r="T553" s="215">
        <v>389.0</v>
      </c>
      <c r="U553" s="204"/>
    </row>
    <row r="554" ht="22.5" customHeight="1">
      <c r="A554" s="205"/>
      <c r="B554" s="193" t="s">
        <v>330</v>
      </c>
      <c r="C554" s="226" t="s">
        <v>136</v>
      </c>
      <c r="D554" s="194" t="s">
        <v>1552</v>
      </c>
      <c r="E554" s="193" t="s">
        <v>17</v>
      </c>
      <c r="F554" s="220">
        <v>2.0</v>
      </c>
      <c r="G554" s="221"/>
      <c r="H554" s="197" t="s">
        <v>1200</v>
      </c>
      <c r="I554" s="222">
        <v>15000.0</v>
      </c>
      <c r="J554" s="222">
        <v>15000.0</v>
      </c>
      <c r="K554" s="222">
        <v>0.0</v>
      </c>
      <c r="L554" s="223">
        <v>46151.0</v>
      </c>
      <c r="M554" s="223">
        <v>46182.0</v>
      </c>
      <c r="N554" s="220">
        <v>1.0</v>
      </c>
      <c r="O554" s="220">
        <v>-714.0</v>
      </c>
      <c r="P554" s="220">
        <v>744.0</v>
      </c>
      <c r="Q554" s="209"/>
      <c r="R554" s="196" t="s">
        <v>1686</v>
      </c>
      <c r="S554" s="45"/>
      <c r="T554" s="220">
        <v>390.0</v>
      </c>
      <c r="U554" s="198"/>
    </row>
    <row r="555" ht="22.5" customHeight="1">
      <c r="A555" s="211" t="s">
        <v>1687</v>
      </c>
      <c r="B555" s="212" t="s">
        <v>345</v>
      </c>
      <c r="C555" s="213" t="s">
        <v>136</v>
      </c>
      <c r="D555" s="214" t="s">
        <v>1160</v>
      </c>
      <c r="E555" s="212" t="s">
        <v>17</v>
      </c>
      <c r="F555" s="215">
        <v>3.0</v>
      </c>
      <c r="G555" s="210"/>
      <c r="H555" s="216">
        <v>3000.0</v>
      </c>
      <c r="I555" s="216">
        <v>9000.0</v>
      </c>
      <c r="J555" s="216">
        <v>9000.0</v>
      </c>
      <c r="K555" s="216">
        <v>0.0</v>
      </c>
      <c r="L555" s="217">
        <v>46162.0</v>
      </c>
      <c r="M555" s="217">
        <v>46193.0</v>
      </c>
      <c r="N555" s="215">
        <v>1.0</v>
      </c>
      <c r="O555" s="215">
        <v>-703.0</v>
      </c>
      <c r="P555" s="215">
        <v>733.0</v>
      </c>
      <c r="Q555" s="203"/>
      <c r="R555" s="218" t="s">
        <v>1688</v>
      </c>
      <c r="S555" s="186"/>
      <c r="T555" s="215">
        <v>391.0</v>
      </c>
      <c r="U555" s="204"/>
    </row>
    <row r="556" ht="22.5" customHeight="1">
      <c r="A556" s="192" t="s">
        <v>1619</v>
      </c>
      <c r="B556" s="193" t="s">
        <v>338</v>
      </c>
      <c r="C556" s="226" t="s">
        <v>136</v>
      </c>
      <c r="D556" s="194" t="s">
        <v>1469</v>
      </c>
      <c r="E556" s="193" t="s">
        <v>108</v>
      </c>
      <c r="F556" s="220">
        <v>10.25</v>
      </c>
      <c r="G556" s="221"/>
      <c r="H556" s="222">
        <v>30.0</v>
      </c>
      <c r="I556" s="222">
        <v>307.5</v>
      </c>
      <c r="J556" s="222">
        <v>0.0</v>
      </c>
      <c r="K556" s="222">
        <v>0.0</v>
      </c>
      <c r="L556" s="223">
        <v>46151.0</v>
      </c>
      <c r="M556" s="223">
        <v>46182.0</v>
      </c>
      <c r="N556" s="220">
        <v>1.0</v>
      </c>
      <c r="O556" s="220">
        <v>-714.0</v>
      </c>
      <c r="P556" s="220">
        <v>744.0</v>
      </c>
      <c r="Q556" s="209"/>
      <c r="R556" s="196" t="s">
        <v>1689</v>
      </c>
      <c r="S556" s="45"/>
      <c r="T556" s="220">
        <v>392.0</v>
      </c>
      <c r="U556" s="198"/>
    </row>
    <row r="557" ht="22.5" customHeight="1">
      <c r="A557" s="211">
        <v>0.1667</v>
      </c>
      <c r="B557" s="212" t="s">
        <v>332</v>
      </c>
      <c r="C557" s="213" t="s">
        <v>136</v>
      </c>
      <c r="D557" s="214" t="s">
        <v>1472</v>
      </c>
      <c r="E557" s="212" t="s">
        <v>15</v>
      </c>
      <c r="F557" s="215">
        <v>1.0</v>
      </c>
      <c r="G557" s="210"/>
      <c r="H557" s="216">
        <v>150.0</v>
      </c>
      <c r="I557" s="216">
        <v>150.0</v>
      </c>
      <c r="J557" s="216">
        <v>3300.0</v>
      </c>
      <c r="K557" s="201"/>
      <c r="L557" s="217">
        <v>46162.0</v>
      </c>
      <c r="M557" s="217">
        <v>46193.0</v>
      </c>
      <c r="N557" s="147"/>
      <c r="O557" s="215">
        <v>-703.0</v>
      </c>
      <c r="P557" s="215">
        <v>733.0</v>
      </c>
      <c r="Q557" s="203"/>
      <c r="R557" s="218" t="s">
        <v>1690</v>
      </c>
      <c r="S557" s="186"/>
      <c r="T557" s="215">
        <v>393.0</v>
      </c>
      <c r="U557" s="204"/>
    </row>
    <row r="558" ht="22.5" customHeight="1">
      <c r="A558" s="192" t="s">
        <v>1691</v>
      </c>
      <c r="B558" s="193" t="s">
        <v>343</v>
      </c>
      <c r="C558" s="226" t="s">
        <v>136</v>
      </c>
      <c r="D558" s="194" t="s">
        <v>1692</v>
      </c>
      <c r="E558" s="193" t="s">
        <v>15</v>
      </c>
      <c r="F558" s="220">
        <v>2.0</v>
      </c>
      <c r="G558" s="230">
        <v>0.17</v>
      </c>
      <c r="H558" s="222">
        <v>130.0</v>
      </c>
      <c r="I558" s="222">
        <v>360.0</v>
      </c>
      <c r="J558" s="222">
        <v>7200.0</v>
      </c>
      <c r="K558" s="222">
        <v>7200.0</v>
      </c>
      <c r="L558" s="223">
        <v>46162.0</v>
      </c>
      <c r="M558" s="223">
        <v>46193.0</v>
      </c>
      <c r="N558" s="220">
        <v>0.0</v>
      </c>
      <c r="O558" s="220">
        <v>-703.0</v>
      </c>
      <c r="P558" s="220">
        <v>733.0</v>
      </c>
      <c r="Q558" s="209"/>
      <c r="R558" s="196" t="s">
        <v>1693</v>
      </c>
      <c r="S558" s="45"/>
      <c r="T558" s="220">
        <v>394.0</v>
      </c>
      <c r="U558" s="198"/>
    </row>
    <row r="559" ht="22.5" customHeight="1">
      <c r="A559" s="211" t="s">
        <v>1694</v>
      </c>
      <c r="B559" s="212" t="s">
        <v>322</v>
      </c>
      <c r="C559" s="213" t="s">
        <v>136</v>
      </c>
      <c r="D559" s="214" t="s">
        <v>1695</v>
      </c>
      <c r="E559" s="212" t="s">
        <v>15</v>
      </c>
      <c r="F559" s="215">
        <v>3.0</v>
      </c>
      <c r="G559" s="210"/>
      <c r="H559" s="216">
        <v>100.0</v>
      </c>
      <c r="I559" s="216">
        <v>300.0</v>
      </c>
      <c r="J559" s="216">
        <v>6600.0</v>
      </c>
      <c r="K559" s="216">
        <v>0.0</v>
      </c>
      <c r="L559" s="217">
        <v>46161.0</v>
      </c>
      <c r="M559" s="217">
        <v>46192.0</v>
      </c>
      <c r="N559" s="215">
        <v>1.0</v>
      </c>
      <c r="O559" s="215">
        <v>-704.0</v>
      </c>
      <c r="P559" s="215">
        <v>734.0</v>
      </c>
      <c r="Q559" s="203"/>
      <c r="R559" s="218" t="s">
        <v>1696</v>
      </c>
      <c r="S559" s="186"/>
      <c r="T559" s="215">
        <v>395.0</v>
      </c>
      <c r="U559" s="204"/>
    </row>
    <row r="560" ht="22.5" customHeight="1">
      <c r="A560" s="205"/>
      <c r="B560" s="193" t="s">
        <v>334</v>
      </c>
      <c r="C560" s="226" t="s">
        <v>136</v>
      </c>
      <c r="D560" s="194" t="s">
        <v>1426</v>
      </c>
      <c r="E560" s="193" t="s">
        <v>15</v>
      </c>
      <c r="F560" s="220">
        <v>1.0</v>
      </c>
      <c r="G560" s="221"/>
      <c r="H560" s="222">
        <v>150.0</v>
      </c>
      <c r="I560" s="222">
        <v>150.0</v>
      </c>
      <c r="J560" s="222">
        <v>3300.0</v>
      </c>
      <c r="K560" s="222">
        <v>0.0</v>
      </c>
      <c r="L560" s="223">
        <v>46147.0</v>
      </c>
      <c r="M560" s="223">
        <v>46178.0</v>
      </c>
      <c r="N560" s="220">
        <v>1.0</v>
      </c>
      <c r="O560" s="220">
        <v>-718.0</v>
      </c>
      <c r="P560" s="220">
        <v>748.0</v>
      </c>
      <c r="Q560" s="209"/>
      <c r="R560" s="196" t="s">
        <v>1697</v>
      </c>
      <c r="S560" s="45"/>
      <c r="T560" s="220">
        <v>396.0</v>
      </c>
      <c r="U560" s="198"/>
    </row>
    <row r="561" ht="22.5" hidden="1" customHeight="1">
      <c r="A561" s="199"/>
      <c r="B561" s="212" t="s">
        <v>923</v>
      </c>
      <c r="C561" s="240" t="s">
        <v>587</v>
      </c>
      <c r="D561" s="236"/>
      <c r="E561" s="203"/>
      <c r="F561" s="147"/>
      <c r="G561" s="186"/>
      <c r="H561" s="201"/>
      <c r="I561" s="237" t="s">
        <v>924</v>
      </c>
      <c r="J561" s="216">
        <v>90424.9</v>
      </c>
      <c r="K561" s="216">
        <v>11925.0</v>
      </c>
      <c r="L561" s="202"/>
      <c r="M561" s="202"/>
      <c r="N561" s="147"/>
      <c r="O561" s="147"/>
      <c r="P561" s="147"/>
      <c r="Q561" s="203"/>
      <c r="R561" s="186"/>
      <c r="S561" s="186"/>
      <c r="T561" s="147"/>
      <c r="U561" s="204"/>
    </row>
    <row r="562" ht="22.5" hidden="1" customHeight="1">
      <c r="A562" s="205"/>
      <c r="B562" s="193" t="s">
        <v>558</v>
      </c>
      <c r="C562" s="241" t="s">
        <v>602</v>
      </c>
      <c r="D562" s="234"/>
      <c r="E562" s="234"/>
      <c r="F562" s="150"/>
      <c r="G562" s="234"/>
      <c r="H562" s="207"/>
      <c r="I562" s="197" t="s">
        <v>925</v>
      </c>
      <c r="J562" s="222">
        <v>143100.0</v>
      </c>
      <c r="K562" s="207"/>
      <c r="L562" s="208"/>
      <c r="M562" s="196" t="s">
        <v>926</v>
      </c>
      <c r="N562" s="150"/>
      <c r="O562" s="150"/>
      <c r="P562" s="150"/>
      <c r="Q562" s="209"/>
      <c r="R562" s="234"/>
      <c r="S562" s="234"/>
      <c r="T562" s="220">
        <v>396.0</v>
      </c>
      <c r="U562" s="198"/>
    </row>
    <row r="563" ht="22.5" hidden="1" customHeight="1">
      <c r="A563" s="199"/>
      <c r="B563" s="212" t="s">
        <v>696</v>
      </c>
      <c r="C563" s="232" t="s">
        <v>1278</v>
      </c>
      <c r="D563" s="236"/>
      <c r="E563" s="236"/>
      <c r="F563" s="147"/>
      <c r="G563" s="236"/>
      <c r="H563" s="201"/>
      <c r="I563" s="237" t="s">
        <v>928</v>
      </c>
      <c r="J563" s="216">
        <v>345622.4</v>
      </c>
      <c r="K563" s="201"/>
      <c r="L563" s="202"/>
      <c r="M563" s="202"/>
      <c r="N563" s="147"/>
      <c r="O563" s="147"/>
      <c r="P563" s="147"/>
      <c r="Q563" s="203"/>
      <c r="R563" s="236"/>
      <c r="S563" s="236"/>
      <c r="T563" s="147"/>
      <c r="U563" s="204"/>
    </row>
    <row r="564" ht="22.5" hidden="1" customHeight="1">
      <c r="A564" s="205"/>
      <c r="B564" s="82"/>
      <c r="C564" s="206"/>
      <c r="D564" s="206"/>
      <c r="E564" s="206"/>
      <c r="F564" s="150"/>
      <c r="G564" s="45"/>
      <c r="H564" s="207"/>
      <c r="I564" s="207"/>
      <c r="J564" s="207"/>
      <c r="K564" s="207"/>
      <c r="L564" s="208"/>
      <c r="M564" s="208"/>
      <c r="N564" s="150"/>
      <c r="O564" s="150"/>
      <c r="P564" s="150"/>
      <c r="Q564" s="209"/>
      <c r="R564" s="45"/>
      <c r="S564" s="45"/>
      <c r="T564" s="150"/>
      <c r="U564" s="198"/>
    </row>
    <row r="565" ht="22.5" hidden="1" customHeight="1">
      <c r="A565" s="199"/>
      <c r="B565" s="146"/>
      <c r="C565" s="200"/>
      <c r="D565" s="200"/>
      <c r="E565" s="200"/>
      <c r="F565" s="147"/>
      <c r="G565" s="186"/>
      <c r="H565" s="201"/>
      <c r="I565" s="201"/>
      <c r="J565" s="201"/>
      <c r="K565" s="201"/>
      <c r="L565" s="202"/>
      <c r="M565" s="202"/>
      <c r="N565" s="147"/>
      <c r="O565" s="147"/>
      <c r="P565" s="147"/>
      <c r="Q565" s="203"/>
      <c r="R565" s="186"/>
      <c r="S565" s="186"/>
      <c r="T565" s="147"/>
      <c r="U565" s="204"/>
    </row>
    <row r="566" ht="22.5" hidden="1" customHeight="1">
      <c r="A566" s="205"/>
      <c r="B566" s="82"/>
      <c r="C566" s="206"/>
      <c r="D566" s="206"/>
      <c r="E566" s="206"/>
      <c r="F566" s="150"/>
      <c r="G566" s="45"/>
      <c r="H566" s="207"/>
      <c r="I566" s="207"/>
      <c r="J566" s="207"/>
      <c r="K566" s="207"/>
      <c r="L566" s="208"/>
      <c r="M566" s="208"/>
      <c r="N566" s="150"/>
      <c r="O566" s="150"/>
      <c r="P566" s="150"/>
      <c r="Q566" s="209"/>
      <c r="R566" s="45"/>
      <c r="S566" s="45"/>
      <c r="T566" s="150"/>
      <c r="U566" s="198"/>
    </row>
    <row r="567" ht="22.5" hidden="1" customHeight="1">
      <c r="A567" s="199"/>
      <c r="B567" s="146"/>
      <c r="C567" s="200"/>
      <c r="D567" s="200"/>
      <c r="E567" s="200"/>
      <c r="F567" s="147"/>
      <c r="G567" s="186"/>
      <c r="H567" s="201"/>
      <c r="I567" s="201"/>
      <c r="J567" s="201"/>
      <c r="K567" s="201"/>
      <c r="L567" s="202"/>
      <c r="M567" s="202"/>
      <c r="N567" s="147"/>
      <c r="O567" s="147"/>
      <c r="P567" s="147"/>
      <c r="Q567" s="203"/>
      <c r="R567" s="186"/>
      <c r="S567" s="186"/>
      <c r="T567" s="147"/>
      <c r="U567" s="204"/>
    </row>
    <row r="568" ht="22.5" hidden="1" customHeight="1">
      <c r="A568" s="192" t="s">
        <v>181</v>
      </c>
      <c r="B568" s="193" t="s">
        <v>132</v>
      </c>
      <c r="C568" s="193" t="s">
        <v>131</v>
      </c>
      <c r="D568" s="194" t="s">
        <v>870</v>
      </c>
      <c r="E568" s="193" t="s">
        <v>7</v>
      </c>
      <c r="F568" s="195" t="s">
        <v>871</v>
      </c>
      <c r="G568" s="193" t="s">
        <v>872</v>
      </c>
      <c r="H568" s="197" t="s">
        <v>8</v>
      </c>
      <c r="I568" s="197" t="s">
        <v>873</v>
      </c>
      <c r="J568" s="197" t="s">
        <v>17</v>
      </c>
      <c r="K568" s="197" t="s">
        <v>874</v>
      </c>
      <c r="L568" s="196" t="s">
        <v>875</v>
      </c>
      <c r="M568" s="196" t="s">
        <v>876</v>
      </c>
      <c r="N568" s="195" t="s">
        <v>877</v>
      </c>
      <c r="O568" s="195" t="s">
        <v>878</v>
      </c>
      <c r="P568" s="195" t="s">
        <v>879</v>
      </c>
      <c r="Q568" s="196" t="s">
        <v>880</v>
      </c>
      <c r="R568" s="196" t="s">
        <v>881</v>
      </c>
      <c r="S568" s="196" t="s">
        <v>882</v>
      </c>
      <c r="T568" s="195" t="s">
        <v>557</v>
      </c>
      <c r="U568" s="198"/>
    </row>
    <row r="569" ht="22.5" customHeight="1">
      <c r="A569" s="199"/>
      <c r="B569" s="212" t="s">
        <v>328</v>
      </c>
      <c r="C569" s="213" t="s">
        <v>136</v>
      </c>
      <c r="D569" s="214" t="s">
        <v>1283</v>
      </c>
      <c r="E569" s="212" t="s">
        <v>19</v>
      </c>
      <c r="F569" s="215">
        <v>0.0</v>
      </c>
      <c r="G569" s="210"/>
      <c r="H569" s="216">
        <v>10.0</v>
      </c>
      <c r="I569" s="216">
        <v>0.0</v>
      </c>
      <c r="J569" s="216">
        <v>0.0</v>
      </c>
      <c r="K569" s="216">
        <v>0.0</v>
      </c>
      <c r="L569" s="217">
        <v>46117.0</v>
      </c>
      <c r="M569" s="217">
        <v>46147.0</v>
      </c>
      <c r="N569" s="215">
        <v>1.0</v>
      </c>
      <c r="O569" s="215">
        <v>-749.0</v>
      </c>
      <c r="P569" s="215">
        <v>779.0</v>
      </c>
      <c r="Q569" s="203"/>
      <c r="R569" s="218" t="s">
        <v>1698</v>
      </c>
      <c r="S569" s="186"/>
      <c r="T569" s="215">
        <v>365.0</v>
      </c>
      <c r="U569" s="204"/>
    </row>
    <row r="570" ht="22.5" customHeight="1">
      <c r="A570" s="192" t="s">
        <v>1699</v>
      </c>
      <c r="B570" s="193" t="s">
        <v>340</v>
      </c>
      <c r="C570" s="226" t="s">
        <v>136</v>
      </c>
      <c r="D570" s="194" t="s">
        <v>1700</v>
      </c>
      <c r="E570" s="193" t="s">
        <v>16</v>
      </c>
      <c r="F570" s="220">
        <v>10.16</v>
      </c>
      <c r="G570" s="150"/>
      <c r="H570" s="222">
        <v>35.0</v>
      </c>
      <c r="I570" s="222">
        <v>355.6</v>
      </c>
      <c r="J570" s="222">
        <v>7951.22</v>
      </c>
      <c r="K570" s="222">
        <v>0.0</v>
      </c>
      <c r="L570" s="223">
        <v>46121.0</v>
      </c>
      <c r="M570" s="223">
        <v>46151.0</v>
      </c>
      <c r="N570" s="220">
        <v>1.0</v>
      </c>
      <c r="O570" s="220">
        <v>-745.0</v>
      </c>
      <c r="P570" s="220">
        <v>775.0</v>
      </c>
      <c r="Q570" s="209"/>
      <c r="R570" s="196" t="s">
        <v>1701</v>
      </c>
      <c r="S570" s="45"/>
      <c r="T570" s="220">
        <v>366.0</v>
      </c>
      <c r="U570" s="198"/>
    </row>
    <row r="571" ht="22.5" customHeight="1">
      <c r="A571" s="211" t="s">
        <v>1673</v>
      </c>
      <c r="B571" s="212" t="s">
        <v>336</v>
      </c>
      <c r="C571" s="213" t="s">
        <v>136</v>
      </c>
      <c r="D571" s="214" t="s">
        <v>1369</v>
      </c>
      <c r="E571" s="212" t="s">
        <v>17</v>
      </c>
      <c r="F571" s="215">
        <v>3.0</v>
      </c>
      <c r="G571" s="210"/>
      <c r="H571" s="216">
        <v>1000.0</v>
      </c>
      <c r="I571" s="216">
        <v>3000.0</v>
      </c>
      <c r="J571" s="216">
        <v>2499.9</v>
      </c>
      <c r="K571" s="216">
        <v>0.0</v>
      </c>
      <c r="L571" s="217">
        <v>46118.0</v>
      </c>
      <c r="M571" s="217">
        <v>46148.0</v>
      </c>
      <c r="N571" s="215">
        <v>1.0</v>
      </c>
      <c r="O571" s="215">
        <v>-748.0</v>
      </c>
      <c r="P571" s="215">
        <v>778.0</v>
      </c>
      <c r="Q571" s="203"/>
      <c r="R571" s="218" t="s">
        <v>1702</v>
      </c>
      <c r="S571" s="186"/>
      <c r="T571" s="215">
        <v>367.0</v>
      </c>
      <c r="U571" s="204"/>
    </row>
    <row r="572" ht="22.5" customHeight="1">
      <c r="A572" s="192" t="s">
        <v>1703</v>
      </c>
      <c r="B572" s="193" t="s">
        <v>255</v>
      </c>
      <c r="C572" s="226" t="s">
        <v>136</v>
      </c>
      <c r="D572" s="194" t="s">
        <v>1704</v>
      </c>
      <c r="E572" s="193" t="s">
        <v>15</v>
      </c>
      <c r="F572" s="220">
        <v>1.0</v>
      </c>
      <c r="G572" s="221"/>
      <c r="H572" s="222">
        <v>6000.0</v>
      </c>
      <c r="I572" s="222">
        <v>6000.0</v>
      </c>
      <c r="J572" s="222">
        <v>6000.0</v>
      </c>
      <c r="K572" s="222">
        <v>0.0</v>
      </c>
      <c r="L572" s="223">
        <v>46133.0</v>
      </c>
      <c r="M572" s="223">
        <v>46163.0</v>
      </c>
      <c r="N572" s="220">
        <v>1.0</v>
      </c>
      <c r="O572" s="220">
        <v>-733.0</v>
      </c>
      <c r="P572" s="220">
        <v>763.0</v>
      </c>
      <c r="Q572" s="209"/>
      <c r="R572" s="196" t="s">
        <v>1705</v>
      </c>
      <c r="S572" s="45"/>
      <c r="T572" s="220">
        <v>368.0</v>
      </c>
      <c r="U572" s="198"/>
    </row>
    <row r="573" ht="22.5" customHeight="1">
      <c r="A573" s="199"/>
      <c r="B573" s="212" t="s">
        <v>309</v>
      </c>
      <c r="C573" s="213" t="s">
        <v>136</v>
      </c>
      <c r="D573" s="214" t="s">
        <v>1676</v>
      </c>
      <c r="E573" s="212" t="s">
        <v>17</v>
      </c>
      <c r="F573" s="215">
        <v>2.0</v>
      </c>
      <c r="G573" s="210"/>
      <c r="H573" s="216">
        <v>2500.0</v>
      </c>
      <c r="I573" s="216">
        <v>5000.0</v>
      </c>
      <c r="J573" s="216">
        <v>5000.0</v>
      </c>
      <c r="K573" s="216">
        <v>0.0</v>
      </c>
      <c r="L573" s="217">
        <v>46115.0</v>
      </c>
      <c r="M573" s="217">
        <v>46145.0</v>
      </c>
      <c r="N573" s="215">
        <v>1.0</v>
      </c>
      <c r="O573" s="215">
        <v>-751.0</v>
      </c>
      <c r="P573" s="215">
        <v>781.0</v>
      </c>
      <c r="Q573" s="203"/>
      <c r="R573" s="218" t="s">
        <v>1706</v>
      </c>
      <c r="S573" s="186"/>
      <c r="T573" s="215">
        <v>369.0</v>
      </c>
      <c r="U573" s="204"/>
    </row>
    <row r="574" ht="22.5" customHeight="1">
      <c r="A574" s="192" t="s">
        <v>1707</v>
      </c>
      <c r="B574" s="193" t="s">
        <v>301</v>
      </c>
      <c r="C574" s="226" t="s">
        <v>136</v>
      </c>
      <c r="D574" s="194" t="s">
        <v>1708</v>
      </c>
      <c r="E574" s="193" t="s">
        <v>17</v>
      </c>
      <c r="F574" s="220">
        <v>2.0</v>
      </c>
      <c r="G574" s="221"/>
      <c r="H574" s="222">
        <v>6000.0</v>
      </c>
      <c r="I574" s="222">
        <v>10000.0</v>
      </c>
      <c r="J574" s="222">
        <v>10000.0</v>
      </c>
      <c r="K574" s="222">
        <v>0.0</v>
      </c>
      <c r="L574" s="223">
        <v>46130.0</v>
      </c>
      <c r="M574" s="223">
        <v>46160.0</v>
      </c>
      <c r="N574" s="220">
        <v>1.0</v>
      </c>
      <c r="O574" s="220">
        <v>-736.0</v>
      </c>
      <c r="P574" s="220">
        <v>766.0</v>
      </c>
      <c r="Q574" s="209"/>
      <c r="R574" s="196" t="s">
        <v>1709</v>
      </c>
      <c r="S574" s="45"/>
      <c r="T574" s="220">
        <v>370.0</v>
      </c>
      <c r="U574" s="198"/>
    </row>
    <row r="575" ht="22.5" customHeight="1">
      <c r="A575" s="211" t="s">
        <v>1710</v>
      </c>
      <c r="B575" s="212" t="s">
        <v>243</v>
      </c>
      <c r="C575" s="231" t="s">
        <v>684</v>
      </c>
      <c r="D575" s="214" t="s">
        <v>1711</v>
      </c>
      <c r="E575" s="212" t="s">
        <v>15</v>
      </c>
      <c r="F575" s="215">
        <v>1.0</v>
      </c>
      <c r="G575" s="210"/>
      <c r="H575" s="216">
        <v>300.0</v>
      </c>
      <c r="I575" s="216">
        <v>300.0</v>
      </c>
      <c r="J575" s="201"/>
      <c r="K575" s="201"/>
      <c r="L575" s="217">
        <v>46121.0</v>
      </c>
      <c r="M575" s="217">
        <v>46151.0</v>
      </c>
      <c r="N575" s="147"/>
      <c r="O575" s="215">
        <v>-745.0</v>
      </c>
      <c r="P575" s="215">
        <v>775.0</v>
      </c>
      <c r="Q575" s="203"/>
      <c r="R575" s="218" t="s">
        <v>1712</v>
      </c>
      <c r="S575" s="186"/>
      <c r="T575" s="215">
        <v>371.0</v>
      </c>
      <c r="U575" s="204"/>
    </row>
    <row r="576" ht="22.5" customHeight="1">
      <c r="A576" s="192" t="s">
        <v>1713</v>
      </c>
      <c r="B576" s="193" t="s">
        <v>305</v>
      </c>
      <c r="C576" s="226" t="s">
        <v>136</v>
      </c>
      <c r="D576" s="194" t="s">
        <v>1714</v>
      </c>
      <c r="E576" s="193" t="s">
        <v>17</v>
      </c>
      <c r="F576" s="220">
        <v>1.0</v>
      </c>
      <c r="G576" s="221"/>
      <c r="H576" s="222">
        <v>5000.0</v>
      </c>
      <c r="I576" s="222">
        <v>5000.0</v>
      </c>
      <c r="J576" s="222">
        <v>5000.0</v>
      </c>
      <c r="K576" s="222">
        <v>3750.0</v>
      </c>
      <c r="L576" s="223">
        <v>46132.0</v>
      </c>
      <c r="M576" s="223">
        <v>46162.0</v>
      </c>
      <c r="N576" s="220">
        <v>0.0</v>
      </c>
      <c r="O576" s="220">
        <v>-734.0</v>
      </c>
      <c r="P576" s="220">
        <v>764.0</v>
      </c>
      <c r="Q576" s="209"/>
      <c r="R576" s="196" t="s">
        <v>1715</v>
      </c>
      <c r="S576" s="45"/>
      <c r="T576" s="220">
        <v>372.0</v>
      </c>
      <c r="U576" s="198"/>
    </row>
    <row r="577" ht="22.5" customHeight="1">
      <c r="A577" s="211" t="s">
        <v>1716</v>
      </c>
      <c r="B577" s="212" t="s">
        <v>249</v>
      </c>
      <c r="C577" s="213" t="s">
        <v>136</v>
      </c>
      <c r="D577" s="214" t="s">
        <v>1717</v>
      </c>
      <c r="E577" s="212" t="s">
        <v>15</v>
      </c>
      <c r="F577" s="215">
        <v>3.0</v>
      </c>
      <c r="G577" s="210"/>
      <c r="H577" s="216">
        <v>100.0</v>
      </c>
      <c r="I577" s="216">
        <v>300.0</v>
      </c>
      <c r="J577" s="216">
        <v>6000.0</v>
      </c>
      <c r="K577" s="216">
        <v>0.0</v>
      </c>
      <c r="L577" s="217">
        <v>46123.0</v>
      </c>
      <c r="M577" s="217">
        <v>46153.0</v>
      </c>
      <c r="N577" s="215">
        <v>1.0</v>
      </c>
      <c r="O577" s="215">
        <v>-743.0</v>
      </c>
      <c r="P577" s="215">
        <v>773.0</v>
      </c>
      <c r="Q577" s="203"/>
      <c r="R577" s="218" t="s">
        <v>1718</v>
      </c>
      <c r="S577" s="186"/>
      <c r="T577" s="215">
        <v>373.0</v>
      </c>
      <c r="U577" s="204"/>
    </row>
    <row r="578" ht="22.5" customHeight="1">
      <c r="A578" s="192" t="s">
        <v>1719</v>
      </c>
      <c r="B578" s="193" t="s">
        <v>291</v>
      </c>
      <c r="C578" s="226" t="s">
        <v>136</v>
      </c>
      <c r="D578" s="206"/>
      <c r="E578" s="206"/>
      <c r="F578" s="220">
        <v>2.0</v>
      </c>
      <c r="G578" s="221"/>
      <c r="H578" s="197" t="s">
        <v>1720</v>
      </c>
      <c r="I578" s="222">
        <v>13875.0</v>
      </c>
      <c r="J578" s="222">
        <v>13875.0</v>
      </c>
      <c r="K578" s="222">
        <v>0.0</v>
      </c>
      <c r="L578" s="223">
        <v>46129.0</v>
      </c>
      <c r="M578" s="223">
        <v>46159.0</v>
      </c>
      <c r="N578" s="220">
        <v>1.0</v>
      </c>
      <c r="O578" s="220">
        <v>-737.0</v>
      </c>
      <c r="P578" s="220">
        <v>767.0</v>
      </c>
      <c r="Q578" s="209"/>
      <c r="R578" s="196" t="s">
        <v>1721</v>
      </c>
      <c r="S578" s="45"/>
      <c r="T578" s="220">
        <v>374.0</v>
      </c>
      <c r="U578" s="198"/>
    </row>
    <row r="579" ht="22.5" customHeight="1">
      <c r="A579" s="211" t="s">
        <v>1722</v>
      </c>
      <c r="B579" s="212" t="s">
        <v>330</v>
      </c>
      <c r="C579" s="213" t="s">
        <v>136</v>
      </c>
      <c r="D579" s="214" t="s">
        <v>1552</v>
      </c>
      <c r="E579" s="212" t="s">
        <v>17</v>
      </c>
      <c r="F579" s="215">
        <v>2.0</v>
      </c>
      <c r="G579" s="210"/>
      <c r="H579" s="237" t="s">
        <v>1200</v>
      </c>
      <c r="I579" s="216">
        <v>15000.0</v>
      </c>
      <c r="J579" s="216">
        <v>15000.0</v>
      </c>
      <c r="K579" s="216">
        <v>0.0</v>
      </c>
      <c r="L579" s="217">
        <v>46121.0</v>
      </c>
      <c r="M579" s="217">
        <v>46151.0</v>
      </c>
      <c r="N579" s="215">
        <v>1.0</v>
      </c>
      <c r="O579" s="215">
        <v>-745.0</v>
      </c>
      <c r="P579" s="215">
        <v>775.0</v>
      </c>
      <c r="Q579" s="203"/>
      <c r="R579" s="218" t="s">
        <v>1723</v>
      </c>
      <c r="S579" s="186"/>
      <c r="T579" s="215">
        <v>375.0</v>
      </c>
      <c r="U579" s="204"/>
    </row>
    <row r="580" ht="22.5" customHeight="1">
      <c r="A580" s="192" t="s">
        <v>1619</v>
      </c>
      <c r="B580" s="193" t="s">
        <v>338</v>
      </c>
      <c r="C580" s="226" t="s">
        <v>136</v>
      </c>
      <c r="D580" s="194" t="s">
        <v>1469</v>
      </c>
      <c r="E580" s="193" t="s">
        <v>108</v>
      </c>
      <c r="F580" s="220">
        <v>10.25</v>
      </c>
      <c r="G580" s="221"/>
      <c r="H580" s="222">
        <v>30.0</v>
      </c>
      <c r="I580" s="222">
        <v>307.5</v>
      </c>
      <c r="J580" s="222">
        <v>0.0</v>
      </c>
      <c r="K580" s="222">
        <v>0.0</v>
      </c>
      <c r="L580" s="223">
        <v>46121.0</v>
      </c>
      <c r="M580" s="223">
        <v>46151.0</v>
      </c>
      <c r="N580" s="220">
        <v>1.0</v>
      </c>
      <c r="O580" s="220">
        <v>-745.0</v>
      </c>
      <c r="P580" s="220">
        <v>775.0</v>
      </c>
      <c r="Q580" s="238">
        <v>46255.0</v>
      </c>
      <c r="R580" s="196" t="s">
        <v>1724</v>
      </c>
      <c r="S580" s="45"/>
      <c r="T580" s="220">
        <v>376.0</v>
      </c>
      <c r="U580" s="198"/>
    </row>
    <row r="581" ht="22.5" customHeight="1">
      <c r="A581" s="211">
        <v>0.1667</v>
      </c>
      <c r="B581" s="212" t="s">
        <v>332</v>
      </c>
      <c r="C581" s="213" t="s">
        <v>136</v>
      </c>
      <c r="D581" s="214" t="s">
        <v>1472</v>
      </c>
      <c r="E581" s="212" t="s">
        <v>15</v>
      </c>
      <c r="F581" s="215">
        <v>1.0</v>
      </c>
      <c r="G581" s="210"/>
      <c r="H581" s="216">
        <v>150.0</v>
      </c>
      <c r="I581" s="216">
        <v>150.0</v>
      </c>
      <c r="J581" s="216">
        <v>3300.0</v>
      </c>
      <c r="K581" s="216">
        <v>0.0</v>
      </c>
      <c r="L581" s="217">
        <v>46132.0</v>
      </c>
      <c r="M581" s="217">
        <v>46162.0</v>
      </c>
      <c r="N581" s="215">
        <v>1.0</v>
      </c>
      <c r="O581" s="215">
        <v>-734.0</v>
      </c>
      <c r="P581" s="215">
        <v>764.0</v>
      </c>
      <c r="Q581" s="203"/>
      <c r="R581" s="218" t="s">
        <v>1725</v>
      </c>
      <c r="S581" s="186"/>
      <c r="T581" s="215">
        <v>377.0</v>
      </c>
      <c r="U581" s="204"/>
    </row>
    <row r="582" ht="22.5" customHeight="1">
      <c r="A582" s="192" t="s">
        <v>1694</v>
      </c>
      <c r="B582" s="193" t="s">
        <v>322</v>
      </c>
      <c r="C582" s="226" t="s">
        <v>136</v>
      </c>
      <c r="D582" s="194" t="s">
        <v>1695</v>
      </c>
      <c r="E582" s="193" t="s">
        <v>15</v>
      </c>
      <c r="F582" s="220">
        <v>3.0</v>
      </c>
      <c r="G582" s="221"/>
      <c r="H582" s="222">
        <v>100.0</v>
      </c>
      <c r="I582" s="222">
        <v>300.0</v>
      </c>
      <c r="J582" s="222">
        <v>6600.0</v>
      </c>
      <c r="K582" s="222">
        <v>0.0</v>
      </c>
      <c r="L582" s="223">
        <v>46131.0</v>
      </c>
      <c r="M582" s="223">
        <v>46161.0</v>
      </c>
      <c r="N582" s="220">
        <v>1.0</v>
      </c>
      <c r="O582" s="220">
        <v>-735.0</v>
      </c>
      <c r="P582" s="220">
        <v>765.0</v>
      </c>
      <c r="Q582" s="209"/>
      <c r="R582" s="196" t="s">
        <v>1726</v>
      </c>
      <c r="S582" s="45"/>
      <c r="T582" s="220">
        <v>378.0</v>
      </c>
      <c r="U582" s="198"/>
    </row>
    <row r="583" ht="22.5" customHeight="1">
      <c r="A583" s="199"/>
      <c r="B583" s="212" t="s">
        <v>334</v>
      </c>
      <c r="C583" s="213" t="s">
        <v>136</v>
      </c>
      <c r="D583" s="214" t="s">
        <v>1426</v>
      </c>
      <c r="E583" s="212" t="s">
        <v>15</v>
      </c>
      <c r="F583" s="215">
        <v>1.0</v>
      </c>
      <c r="G583" s="210"/>
      <c r="H583" s="216">
        <v>150.0</v>
      </c>
      <c r="I583" s="216">
        <v>150.0</v>
      </c>
      <c r="J583" s="216">
        <v>3300.0</v>
      </c>
      <c r="K583" s="216">
        <v>0.0</v>
      </c>
      <c r="L583" s="217">
        <v>46117.0</v>
      </c>
      <c r="M583" s="217">
        <v>46147.0</v>
      </c>
      <c r="N583" s="215">
        <v>1.0</v>
      </c>
      <c r="O583" s="215">
        <v>-749.0</v>
      </c>
      <c r="P583" s="215">
        <v>779.0</v>
      </c>
      <c r="Q583" s="203"/>
      <c r="R583" s="218" t="s">
        <v>1727</v>
      </c>
      <c r="S583" s="186"/>
      <c r="T583" s="215">
        <v>379.0</v>
      </c>
      <c r="U583" s="204"/>
    </row>
    <row r="584" ht="22.5" customHeight="1">
      <c r="A584" s="192" t="s">
        <v>1619</v>
      </c>
      <c r="B584" s="193" t="s">
        <v>153</v>
      </c>
      <c r="C584" s="226" t="s">
        <v>136</v>
      </c>
      <c r="D584" s="194" t="s">
        <v>1653</v>
      </c>
      <c r="E584" s="193" t="s">
        <v>108</v>
      </c>
      <c r="F584" s="220">
        <v>47.3</v>
      </c>
      <c r="G584" s="150"/>
      <c r="H584" s="222">
        <v>20.0</v>
      </c>
      <c r="I584" s="222">
        <v>946.0</v>
      </c>
      <c r="J584" s="222">
        <v>59938.56</v>
      </c>
      <c r="K584" s="222">
        <v>0.0</v>
      </c>
      <c r="L584" s="223">
        <v>46121.0</v>
      </c>
      <c r="M584" s="223">
        <v>46151.0</v>
      </c>
      <c r="N584" s="220">
        <v>1.0</v>
      </c>
      <c r="O584" s="220">
        <v>-745.0</v>
      </c>
      <c r="P584" s="220">
        <v>775.0</v>
      </c>
      <c r="Q584" s="209"/>
      <c r="R584" s="196" t="s">
        <v>1728</v>
      </c>
      <c r="S584" s="45"/>
      <c r="T584" s="220">
        <v>380.0</v>
      </c>
      <c r="U584" s="198"/>
    </row>
    <row r="585" ht="22.5" hidden="1" customHeight="1">
      <c r="A585" s="199"/>
      <c r="B585" s="212" t="s">
        <v>923</v>
      </c>
      <c r="C585" s="240" t="s">
        <v>587</v>
      </c>
      <c r="D585" s="236"/>
      <c r="E585" s="203"/>
      <c r="F585" s="147"/>
      <c r="G585" s="186"/>
      <c r="H585" s="201"/>
      <c r="I585" s="237" t="s">
        <v>924</v>
      </c>
      <c r="J585" s="216">
        <v>144464.68</v>
      </c>
      <c r="K585" s="216">
        <v>3750.0</v>
      </c>
      <c r="L585" s="202"/>
      <c r="M585" s="202"/>
      <c r="N585" s="147"/>
      <c r="O585" s="147"/>
      <c r="P585" s="147"/>
      <c r="Q585" s="203"/>
      <c r="R585" s="186"/>
      <c r="S585" s="186"/>
      <c r="T585" s="147"/>
      <c r="U585" s="204"/>
    </row>
    <row r="586" ht="22.5" hidden="1" customHeight="1">
      <c r="A586" s="205"/>
      <c r="B586" s="193" t="s">
        <v>558</v>
      </c>
      <c r="C586" s="241" t="s">
        <v>600</v>
      </c>
      <c r="D586" s="234"/>
      <c r="E586" s="234"/>
      <c r="F586" s="150"/>
      <c r="G586" s="234"/>
      <c r="H586" s="207"/>
      <c r="I586" s="197" t="s">
        <v>925</v>
      </c>
      <c r="J586" s="222">
        <v>45000.0</v>
      </c>
      <c r="K586" s="207"/>
      <c r="L586" s="208"/>
      <c r="M586" s="196" t="s">
        <v>926</v>
      </c>
      <c r="N586" s="150"/>
      <c r="O586" s="150"/>
      <c r="P586" s="150"/>
      <c r="Q586" s="209"/>
      <c r="R586" s="234"/>
      <c r="S586" s="234"/>
      <c r="T586" s="220">
        <v>380.0</v>
      </c>
      <c r="U586" s="198"/>
    </row>
    <row r="587" ht="22.5" hidden="1" customHeight="1">
      <c r="A587" s="199"/>
      <c r="B587" s="212" t="s">
        <v>696</v>
      </c>
      <c r="C587" s="232" t="s">
        <v>927</v>
      </c>
      <c r="D587" s="236"/>
      <c r="E587" s="236"/>
      <c r="F587" s="147"/>
      <c r="G587" s="236"/>
      <c r="H587" s="201"/>
      <c r="I587" s="237" t="s">
        <v>928</v>
      </c>
      <c r="J587" s="216">
        <v>333697.4</v>
      </c>
      <c r="K587" s="201"/>
      <c r="L587" s="202"/>
      <c r="M587" s="202"/>
      <c r="N587" s="147"/>
      <c r="O587" s="147"/>
      <c r="P587" s="147"/>
      <c r="Q587" s="203"/>
      <c r="R587" s="236"/>
      <c r="S587" s="236"/>
      <c r="T587" s="147"/>
      <c r="U587" s="204"/>
    </row>
    <row r="588" ht="22.5" hidden="1" customHeight="1">
      <c r="A588" s="205"/>
      <c r="B588" s="82"/>
      <c r="C588" s="206"/>
      <c r="D588" s="206"/>
      <c r="E588" s="206"/>
      <c r="F588" s="150"/>
      <c r="G588" s="45"/>
      <c r="H588" s="207"/>
      <c r="I588" s="207"/>
      <c r="J588" s="207"/>
      <c r="K588" s="207"/>
      <c r="L588" s="208"/>
      <c r="M588" s="208"/>
      <c r="N588" s="150"/>
      <c r="O588" s="150"/>
      <c r="P588" s="150"/>
      <c r="Q588" s="209"/>
      <c r="R588" s="45"/>
      <c r="S588" s="45"/>
      <c r="T588" s="150"/>
      <c r="U588" s="198"/>
    </row>
    <row r="589" ht="22.5" hidden="1" customHeight="1">
      <c r="A589" s="199"/>
      <c r="B589" s="146"/>
      <c r="C589" s="200"/>
      <c r="D589" s="200"/>
      <c r="E589" s="200"/>
      <c r="F589" s="147"/>
      <c r="G589" s="186"/>
      <c r="H589" s="201"/>
      <c r="I589" s="201"/>
      <c r="J589" s="201"/>
      <c r="K589" s="201"/>
      <c r="L589" s="202"/>
      <c r="M589" s="202"/>
      <c r="N589" s="147"/>
      <c r="O589" s="147"/>
      <c r="P589" s="147"/>
      <c r="Q589" s="203"/>
      <c r="R589" s="186"/>
      <c r="S589" s="186"/>
      <c r="T589" s="147"/>
      <c r="U589" s="204"/>
    </row>
    <row r="590" ht="22.5" hidden="1" customHeight="1">
      <c r="A590" s="205"/>
      <c r="B590" s="82"/>
      <c r="C590" s="206"/>
      <c r="D590" s="206"/>
      <c r="E590" s="206"/>
      <c r="F590" s="150"/>
      <c r="G590" s="45"/>
      <c r="H590" s="207"/>
      <c r="I590" s="207"/>
      <c r="J590" s="207"/>
      <c r="K590" s="207"/>
      <c r="L590" s="208"/>
      <c r="M590" s="208"/>
      <c r="N590" s="150"/>
      <c r="O590" s="150"/>
      <c r="P590" s="150"/>
      <c r="Q590" s="209"/>
      <c r="R590" s="45"/>
      <c r="S590" s="45"/>
      <c r="T590" s="150"/>
      <c r="U590" s="198"/>
    </row>
    <row r="591" ht="22.5" hidden="1" customHeight="1">
      <c r="A591" s="199"/>
      <c r="B591" s="146"/>
      <c r="C591" s="200"/>
      <c r="D591" s="200"/>
      <c r="E591" s="200"/>
      <c r="F591" s="147"/>
      <c r="G591" s="186"/>
      <c r="H591" s="201"/>
      <c r="I591" s="201"/>
      <c r="J591" s="201"/>
      <c r="K591" s="201"/>
      <c r="L591" s="202"/>
      <c r="M591" s="202"/>
      <c r="N591" s="147"/>
      <c r="O591" s="147"/>
      <c r="P591" s="147"/>
      <c r="Q591" s="203"/>
      <c r="R591" s="186"/>
      <c r="S591" s="186"/>
      <c r="T591" s="147"/>
      <c r="U591" s="204"/>
    </row>
    <row r="592" ht="22.5" hidden="1" customHeight="1">
      <c r="A592" s="192" t="s">
        <v>181</v>
      </c>
      <c r="B592" s="193" t="s">
        <v>132</v>
      </c>
      <c r="C592" s="193" t="s">
        <v>131</v>
      </c>
      <c r="D592" s="194" t="s">
        <v>870</v>
      </c>
      <c r="E592" s="193" t="s">
        <v>7</v>
      </c>
      <c r="F592" s="195" t="s">
        <v>871</v>
      </c>
      <c r="G592" s="193" t="s">
        <v>872</v>
      </c>
      <c r="H592" s="197" t="s">
        <v>8</v>
      </c>
      <c r="I592" s="197" t="s">
        <v>873</v>
      </c>
      <c r="J592" s="197" t="s">
        <v>17</v>
      </c>
      <c r="K592" s="197" t="s">
        <v>874</v>
      </c>
      <c r="L592" s="196" t="s">
        <v>875</v>
      </c>
      <c r="M592" s="196" t="s">
        <v>876</v>
      </c>
      <c r="N592" s="195" t="s">
        <v>877</v>
      </c>
      <c r="O592" s="195" t="s">
        <v>878</v>
      </c>
      <c r="P592" s="195" t="s">
        <v>879</v>
      </c>
      <c r="Q592" s="196" t="s">
        <v>880</v>
      </c>
      <c r="R592" s="196" t="s">
        <v>881</v>
      </c>
      <c r="S592" s="196" t="s">
        <v>882</v>
      </c>
      <c r="T592" s="195" t="s">
        <v>557</v>
      </c>
      <c r="U592" s="198"/>
    </row>
    <row r="593" ht="22.5" customHeight="1">
      <c r="A593" s="211" t="s">
        <v>1729</v>
      </c>
      <c r="B593" s="212" t="s">
        <v>328</v>
      </c>
      <c r="C593" s="213" t="s">
        <v>136</v>
      </c>
      <c r="D593" s="214" t="s">
        <v>1283</v>
      </c>
      <c r="E593" s="212" t="s">
        <v>19</v>
      </c>
      <c r="F593" s="215">
        <v>4.0</v>
      </c>
      <c r="G593" s="210"/>
      <c r="H593" s="216">
        <v>10.0</v>
      </c>
      <c r="I593" s="216">
        <v>40.0</v>
      </c>
      <c r="J593" s="216">
        <v>4212.37</v>
      </c>
      <c r="K593" s="216">
        <v>0.0</v>
      </c>
      <c r="L593" s="217">
        <v>46086.0</v>
      </c>
      <c r="M593" s="217">
        <v>46117.0</v>
      </c>
      <c r="N593" s="215">
        <v>1.0</v>
      </c>
      <c r="O593" s="215">
        <v>-779.0</v>
      </c>
      <c r="P593" s="215">
        <v>809.0</v>
      </c>
      <c r="Q593" s="203"/>
      <c r="R593" s="218" t="s">
        <v>1730</v>
      </c>
      <c r="S593" s="186"/>
      <c r="T593" s="215">
        <v>352.0</v>
      </c>
      <c r="U593" s="204"/>
    </row>
    <row r="594" ht="22.5" customHeight="1">
      <c r="A594" s="192" t="s">
        <v>1731</v>
      </c>
      <c r="B594" s="193" t="s">
        <v>336</v>
      </c>
      <c r="C594" s="226" t="s">
        <v>136</v>
      </c>
      <c r="D594" s="194" t="s">
        <v>1369</v>
      </c>
      <c r="E594" s="193" t="s">
        <v>17</v>
      </c>
      <c r="F594" s="220">
        <v>3.0</v>
      </c>
      <c r="G594" s="221"/>
      <c r="H594" s="222">
        <v>1000.0</v>
      </c>
      <c r="I594" s="222">
        <v>3000.0</v>
      </c>
      <c r="J594" s="222">
        <v>2499.9</v>
      </c>
      <c r="K594" s="222">
        <v>2499.9</v>
      </c>
      <c r="L594" s="223">
        <v>46087.0</v>
      </c>
      <c r="M594" s="223">
        <v>46118.0</v>
      </c>
      <c r="N594" s="220">
        <v>0.0</v>
      </c>
      <c r="O594" s="220">
        <v>-778.0</v>
      </c>
      <c r="P594" s="220">
        <v>808.0</v>
      </c>
      <c r="Q594" s="209"/>
      <c r="R594" s="196" t="s">
        <v>1732</v>
      </c>
      <c r="S594" s="45"/>
      <c r="T594" s="220">
        <v>353.0</v>
      </c>
      <c r="U594" s="198"/>
    </row>
    <row r="595" ht="22.5" customHeight="1">
      <c r="A595" s="211" t="s">
        <v>1703</v>
      </c>
      <c r="B595" s="212" t="s">
        <v>255</v>
      </c>
      <c r="C595" s="213" t="s">
        <v>136</v>
      </c>
      <c r="D595" s="214" t="s">
        <v>1704</v>
      </c>
      <c r="E595" s="212" t="s">
        <v>15</v>
      </c>
      <c r="F595" s="215">
        <v>1.0</v>
      </c>
      <c r="G595" s="210"/>
      <c r="H595" s="216">
        <v>6000.0</v>
      </c>
      <c r="I595" s="216">
        <v>6000.0</v>
      </c>
      <c r="J595" s="216">
        <v>6000.0</v>
      </c>
      <c r="K595" s="216">
        <v>0.0</v>
      </c>
      <c r="L595" s="217">
        <v>46102.0</v>
      </c>
      <c r="M595" s="217">
        <v>46133.0</v>
      </c>
      <c r="N595" s="215">
        <v>1.0</v>
      </c>
      <c r="O595" s="215">
        <v>-763.0</v>
      </c>
      <c r="P595" s="215">
        <v>793.0</v>
      </c>
      <c r="Q595" s="203"/>
      <c r="R595" s="218" t="s">
        <v>1733</v>
      </c>
      <c r="S595" s="186"/>
      <c r="T595" s="215">
        <v>354.0</v>
      </c>
      <c r="U595" s="204"/>
    </row>
    <row r="596" ht="22.5" customHeight="1">
      <c r="A596" s="205"/>
      <c r="B596" s="193" t="s">
        <v>309</v>
      </c>
      <c r="C596" s="226" t="s">
        <v>136</v>
      </c>
      <c r="D596" s="194" t="s">
        <v>1676</v>
      </c>
      <c r="E596" s="193" t="s">
        <v>17</v>
      </c>
      <c r="F596" s="220">
        <v>2.0</v>
      </c>
      <c r="G596" s="221"/>
      <c r="H596" s="222">
        <v>2500.0</v>
      </c>
      <c r="I596" s="222">
        <v>5000.0</v>
      </c>
      <c r="J596" s="222">
        <v>5000.0</v>
      </c>
      <c r="K596" s="222">
        <v>0.0</v>
      </c>
      <c r="L596" s="223">
        <v>46084.0</v>
      </c>
      <c r="M596" s="223">
        <v>46115.0</v>
      </c>
      <c r="N596" s="220">
        <v>1.0</v>
      </c>
      <c r="O596" s="220">
        <v>-781.0</v>
      </c>
      <c r="P596" s="220">
        <v>811.0</v>
      </c>
      <c r="Q596" s="209"/>
      <c r="R596" s="196" t="s">
        <v>1734</v>
      </c>
      <c r="S596" s="45"/>
      <c r="T596" s="220">
        <v>355.0</v>
      </c>
      <c r="U596" s="198"/>
    </row>
    <row r="597" ht="22.5" customHeight="1">
      <c r="A597" s="211" t="s">
        <v>1661</v>
      </c>
      <c r="B597" s="212" t="s">
        <v>301</v>
      </c>
      <c r="C597" s="213" t="s">
        <v>136</v>
      </c>
      <c r="D597" s="214" t="s">
        <v>1708</v>
      </c>
      <c r="E597" s="212" t="s">
        <v>17</v>
      </c>
      <c r="F597" s="215">
        <v>2.0</v>
      </c>
      <c r="G597" s="210"/>
      <c r="H597" s="216">
        <v>6000.0</v>
      </c>
      <c r="I597" s="216">
        <v>10000.0</v>
      </c>
      <c r="J597" s="216">
        <v>10000.0</v>
      </c>
      <c r="K597" s="216">
        <v>0.0</v>
      </c>
      <c r="L597" s="217">
        <v>46099.0</v>
      </c>
      <c r="M597" s="217">
        <v>46130.0</v>
      </c>
      <c r="N597" s="215">
        <v>1.0</v>
      </c>
      <c r="O597" s="215">
        <v>-766.0</v>
      </c>
      <c r="P597" s="215">
        <v>796.0</v>
      </c>
      <c r="Q597" s="203"/>
      <c r="R597" s="218" t="s">
        <v>1735</v>
      </c>
      <c r="S597" s="186"/>
      <c r="T597" s="215">
        <v>356.0</v>
      </c>
      <c r="U597" s="204"/>
    </row>
    <row r="598" ht="22.5" customHeight="1">
      <c r="A598" s="192" t="s">
        <v>1710</v>
      </c>
      <c r="B598" s="193" t="s">
        <v>243</v>
      </c>
      <c r="C598" s="206"/>
      <c r="D598" s="194" t="s">
        <v>1711</v>
      </c>
      <c r="E598" s="206"/>
      <c r="F598" s="220">
        <v>1.0</v>
      </c>
      <c r="G598" s="221"/>
      <c r="H598" s="222">
        <v>300.0</v>
      </c>
      <c r="I598" s="222">
        <v>300.0</v>
      </c>
      <c r="J598" s="207"/>
      <c r="K598" s="207"/>
      <c r="L598" s="223">
        <v>46090.0</v>
      </c>
      <c r="M598" s="223">
        <v>46121.0</v>
      </c>
      <c r="N598" s="150"/>
      <c r="O598" s="220">
        <v>-775.0</v>
      </c>
      <c r="P598" s="220">
        <v>805.0</v>
      </c>
      <c r="Q598" s="209"/>
      <c r="R598" s="196" t="s">
        <v>1736</v>
      </c>
      <c r="S598" s="45"/>
      <c r="T598" s="220">
        <v>357.0</v>
      </c>
      <c r="U598" s="198"/>
    </row>
    <row r="599" ht="22.5" customHeight="1">
      <c r="A599" s="199"/>
      <c r="B599" s="212" t="s">
        <v>305</v>
      </c>
      <c r="C599" s="213" t="s">
        <v>136</v>
      </c>
      <c r="D599" s="214" t="s">
        <v>1714</v>
      </c>
      <c r="E599" s="212" t="s">
        <v>17</v>
      </c>
      <c r="F599" s="215">
        <v>1.0</v>
      </c>
      <c r="G599" s="210"/>
      <c r="H599" s="216">
        <v>5000.0</v>
      </c>
      <c r="I599" s="216">
        <v>5000.0</v>
      </c>
      <c r="J599" s="216">
        <v>5000.0</v>
      </c>
      <c r="K599" s="216">
        <v>0.0</v>
      </c>
      <c r="L599" s="217">
        <v>46086.0</v>
      </c>
      <c r="M599" s="217">
        <v>46117.0</v>
      </c>
      <c r="N599" s="215">
        <v>1.0</v>
      </c>
      <c r="O599" s="215">
        <v>-779.0</v>
      </c>
      <c r="P599" s="215">
        <v>809.0</v>
      </c>
      <c r="Q599" s="203"/>
      <c r="R599" s="218" t="s">
        <v>1737</v>
      </c>
      <c r="S599" s="186"/>
      <c r="T599" s="215">
        <v>358.0</v>
      </c>
      <c r="U599" s="204"/>
    </row>
    <row r="600" ht="22.5" customHeight="1">
      <c r="A600" s="192" t="s">
        <v>1738</v>
      </c>
      <c r="B600" s="193" t="s">
        <v>263</v>
      </c>
      <c r="C600" s="226" t="s">
        <v>136</v>
      </c>
      <c r="D600" s="194" t="s">
        <v>1739</v>
      </c>
      <c r="E600" s="193" t="s">
        <v>15</v>
      </c>
      <c r="F600" s="220">
        <v>3.0</v>
      </c>
      <c r="G600" s="230">
        <v>0.33</v>
      </c>
      <c r="H600" s="222">
        <v>100.0</v>
      </c>
      <c r="I600" s="222">
        <v>300.0</v>
      </c>
      <c r="J600" s="222">
        <v>6000.0</v>
      </c>
      <c r="K600" s="222">
        <v>8000.0</v>
      </c>
      <c r="L600" s="223">
        <v>46089.0</v>
      </c>
      <c r="M600" s="223">
        <v>46120.0</v>
      </c>
      <c r="N600" s="220">
        <v>0.0</v>
      </c>
      <c r="O600" s="220">
        <v>-776.0</v>
      </c>
      <c r="P600" s="220">
        <v>806.0</v>
      </c>
      <c r="Q600" s="209"/>
      <c r="R600" s="196" t="s">
        <v>1740</v>
      </c>
      <c r="S600" s="45"/>
      <c r="T600" s="220">
        <v>359.0</v>
      </c>
      <c r="U600" s="198"/>
    </row>
    <row r="601" ht="22.5" customHeight="1">
      <c r="A601" s="211" t="s">
        <v>1741</v>
      </c>
      <c r="B601" s="212" t="s">
        <v>249</v>
      </c>
      <c r="C601" s="213" t="s">
        <v>136</v>
      </c>
      <c r="D601" s="214" t="s">
        <v>1717</v>
      </c>
      <c r="E601" s="212" t="s">
        <v>15</v>
      </c>
      <c r="F601" s="215">
        <v>3.0</v>
      </c>
      <c r="G601" s="224">
        <v>0.33</v>
      </c>
      <c r="H601" s="216">
        <v>100.0</v>
      </c>
      <c r="I601" s="216">
        <v>300.0</v>
      </c>
      <c r="J601" s="216">
        <v>6000.0</v>
      </c>
      <c r="K601" s="216">
        <v>0.0</v>
      </c>
      <c r="L601" s="217">
        <v>46092.0</v>
      </c>
      <c r="M601" s="217">
        <v>46123.0</v>
      </c>
      <c r="N601" s="215">
        <v>1.0</v>
      </c>
      <c r="O601" s="215">
        <v>-773.0</v>
      </c>
      <c r="P601" s="215">
        <v>803.0</v>
      </c>
      <c r="Q601" s="203"/>
      <c r="R601" s="218" t="s">
        <v>1742</v>
      </c>
      <c r="S601" s="186"/>
      <c r="T601" s="215">
        <v>360.0</v>
      </c>
      <c r="U601" s="204"/>
    </row>
    <row r="602" ht="22.5" customHeight="1">
      <c r="A602" s="205"/>
      <c r="B602" s="193" t="s">
        <v>330</v>
      </c>
      <c r="C602" s="226" t="s">
        <v>136</v>
      </c>
      <c r="D602" s="194" t="s">
        <v>1552</v>
      </c>
      <c r="E602" s="193" t="s">
        <v>17</v>
      </c>
      <c r="F602" s="220">
        <v>2.0</v>
      </c>
      <c r="G602" s="221"/>
      <c r="H602" s="197" t="s">
        <v>1200</v>
      </c>
      <c r="I602" s="222">
        <v>15000.0</v>
      </c>
      <c r="J602" s="222">
        <v>15000.0</v>
      </c>
      <c r="K602" s="222">
        <v>0.0</v>
      </c>
      <c r="L602" s="223">
        <v>46090.0</v>
      </c>
      <c r="M602" s="223">
        <v>46121.0</v>
      </c>
      <c r="N602" s="220">
        <v>1.0</v>
      </c>
      <c r="O602" s="220">
        <v>-775.0</v>
      </c>
      <c r="P602" s="220">
        <v>805.0</v>
      </c>
      <c r="Q602" s="209"/>
      <c r="R602" s="196" t="s">
        <v>1743</v>
      </c>
      <c r="S602" s="45"/>
      <c r="T602" s="220">
        <v>361.0</v>
      </c>
      <c r="U602" s="198"/>
    </row>
    <row r="603" ht="22.5" customHeight="1">
      <c r="A603" s="211">
        <v>0.1667</v>
      </c>
      <c r="B603" s="212" t="s">
        <v>332</v>
      </c>
      <c r="C603" s="213" t="s">
        <v>136</v>
      </c>
      <c r="D603" s="214" t="s">
        <v>1472</v>
      </c>
      <c r="E603" s="212" t="s">
        <v>15</v>
      </c>
      <c r="F603" s="215">
        <v>1.0</v>
      </c>
      <c r="G603" s="210"/>
      <c r="H603" s="216">
        <v>150.0</v>
      </c>
      <c r="I603" s="216">
        <v>150.0</v>
      </c>
      <c r="J603" s="216">
        <v>3300.0</v>
      </c>
      <c r="K603" s="216">
        <v>0.0</v>
      </c>
      <c r="L603" s="217">
        <v>46101.0</v>
      </c>
      <c r="M603" s="217">
        <v>46132.0</v>
      </c>
      <c r="N603" s="215">
        <v>1.0</v>
      </c>
      <c r="O603" s="215">
        <v>-764.0</v>
      </c>
      <c r="P603" s="215">
        <v>794.0</v>
      </c>
      <c r="Q603" s="203"/>
      <c r="R603" s="218" t="s">
        <v>1744</v>
      </c>
      <c r="S603" s="186"/>
      <c r="T603" s="215">
        <v>362.0</v>
      </c>
      <c r="U603" s="204"/>
    </row>
    <row r="604" ht="22.5" customHeight="1">
      <c r="A604" s="192" t="s">
        <v>1694</v>
      </c>
      <c r="B604" s="193" t="s">
        <v>322</v>
      </c>
      <c r="C604" s="226" t="s">
        <v>136</v>
      </c>
      <c r="D604" s="194" t="s">
        <v>1695</v>
      </c>
      <c r="E604" s="193" t="s">
        <v>15</v>
      </c>
      <c r="F604" s="220">
        <v>3.0</v>
      </c>
      <c r="G604" s="221"/>
      <c r="H604" s="222">
        <v>100.0</v>
      </c>
      <c r="I604" s="222">
        <v>300.0</v>
      </c>
      <c r="J604" s="222">
        <v>6600.0</v>
      </c>
      <c r="K604" s="222">
        <v>0.0</v>
      </c>
      <c r="L604" s="223">
        <v>46100.0</v>
      </c>
      <c r="M604" s="223">
        <v>46131.0</v>
      </c>
      <c r="N604" s="220">
        <v>1.0</v>
      </c>
      <c r="O604" s="220">
        <v>-765.0</v>
      </c>
      <c r="P604" s="220">
        <v>795.0</v>
      </c>
      <c r="Q604" s="209"/>
      <c r="R604" s="196" t="s">
        <v>1745</v>
      </c>
      <c r="S604" s="45"/>
      <c r="T604" s="220">
        <v>363.0</v>
      </c>
      <c r="U604" s="198"/>
    </row>
    <row r="605" ht="22.5" customHeight="1">
      <c r="A605" s="199"/>
      <c r="B605" s="212" t="s">
        <v>334</v>
      </c>
      <c r="C605" s="213" t="s">
        <v>136</v>
      </c>
      <c r="D605" s="214" t="s">
        <v>1426</v>
      </c>
      <c r="E605" s="212" t="s">
        <v>15</v>
      </c>
      <c r="F605" s="215">
        <v>1.0</v>
      </c>
      <c r="G605" s="210"/>
      <c r="H605" s="216">
        <v>150.0</v>
      </c>
      <c r="I605" s="216">
        <v>150.0</v>
      </c>
      <c r="J605" s="216">
        <v>3300.0</v>
      </c>
      <c r="K605" s="216">
        <v>0.0</v>
      </c>
      <c r="L605" s="217">
        <v>46086.0</v>
      </c>
      <c r="M605" s="217">
        <v>46117.0</v>
      </c>
      <c r="N605" s="215">
        <v>1.0</v>
      </c>
      <c r="O605" s="215">
        <v>-779.0</v>
      </c>
      <c r="P605" s="215">
        <v>809.0</v>
      </c>
      <c r="Q605" s="203"/>
      <c r="R605" s="218" t="s">
        <v>1746</v>
      </c>
      <c r="S605" s="186"/>
      <c r="T605" s="215">
        <v>364.0</v>
      </c>
      <c r="U605" s="204"/>
    </row>
    <row r="606" ht="22.5" hidden="1" customHeight="1">
      <c r="A606" s="205"/>
      <c r="B606" s="193" t="s">
        <v>923</v>
      </c>
      <c r="C606" s="233" t="s">
        <v>581</v>
      </c>
      <c r="D606" s="234"/>
      <c r="E606" s="209"/>
      <c r="F606" s="150"/>
      <c r="G606" s="45"/>
      <c r="H606" s="207"/>
      <c r="I606" s="197" t="s">
        <v>924</v>
      </c>
      <c r="J606" s="222">
        <v>72912.27</v>
      </c>
      <c r="K606" s="222">
        <v>10499.9</v>
      </c>
      <c r="L606" s="208"/>
      <c r="M606" s="208"/>
      <c r="N606" s="150"/>
      <c r="O606" s="150"/>
      <c r="P606" s="150"/>
      <c r="Q606" s="209"/>
      <c r="R606" s="45"/>
      <c r="S606" s="45"/>
      <c r="T606" s="150"/>
      <c r="U606" s="198"/>
    </row>
    <row r="607" ht="22.5" hidden="1" customHeight="1">
      <c r="A607" s="199"/>
      <c r="B607" s="212" t="s">
        <v>558</v>
      </c>
      <c r="C607" s="235" t="s">
        <v>598</v>
      </c>
      <c r="D607" s="236"/>
      <c r="E607" s="236"/>
      <c r="F607" s="147"/>
      <c r="G607" s="236"/>
      <c r="H607" s="201"/>
      <c r="I607" s="237" t="s">
        <v>925</v>
      </c>
      <c r="J607" s="216">
        <v>125998.8</v>
      </c>
      <c r="K607" s="201"/>
      <c r="L607" s="202"/>
      <c r="M607" s="218" t="s">
        <v>926</v>
      </c>
      <c r="N607" s="147"/>
      <c r="O607" s="147"/>
      <c r="P607" s="147"/>
      <c r="Q607" s="203"/>
      <c r="R607" s="236"/>
      <c r="S607" s="236"/>
      <c r="T607" s="215">
        <v>364.0</v>
      </c>
      <c r="U607" s="204"/>
    </row>
    <row r="608" ht="22.5" hidden="1" customHeight="1">
      <c r="A608" s="205"/>
      <c r="B608" s="193" t="s">
        <v>696</v>
      </c>
      <c r="C608" s="238" t="s">
        <v>958</v>
      </c>
      <c r="D608" s="234"/>
      <c r="E608" s="234"/>
      <c r="F608" s="150"/>
      <c r="G608" s="234"/>
      <c r="H608" s="207"/>
      <c r="I608" s="197" t="s">
        <v>928</v>
      </c>
      <c r="J608" s="222">
        <v>329947.4</v>
      </c>
      <c r="K608" s="207"/>
      <c r="L608" s="208"/>
      <c r="M608" s="208"/>
      <c r="N608" s="150"/>
      <c r="O608" s="150"/>
      <c r="P608" s="150"/>
      <c r="Q608" s="209"/>
      <c r="R608" s="234"/>
      <c r="S608" s="234"/>
      <c r="T608" s="150"/>
      <c r="U608" s="198"/>
    </row>
    <row r="609" ht="22.5" hidden="1" customHeight="1">
      <c r="A609" s="199"/>
      <c r="B609" s="146"/>
      <c r="C609" s="200"/>
      <c r="D609" s="200"/>
      <c r="E609" s="200"/>
      <c r="F609" s="147"/>
      <c r="G609" s="186"/>
      <c r="H609" s="201"/>
      <c r="I609" s="201"/>
      <c r="J609" s="201"/>
      <c r="K609" s="201"/>
      <c r="L609" s="202"/>
      <c r="M609" s="202"/>
      <c r="N609" s="147"/>
      <c r="O609" s="147"/>
      <c r="P609" s="147"/>
      <c r="Q609" s="203"/>
      <c r="R609" s="186"/>
      <c r="S609" s="186"/>
      <c r="T609" s="147"/>
      <c r="U609" s="204"/>
    </row>
    <row r="610" ht="22.5" hidden="1" customHeight="1">
      <c r="A610" s="205"/>
      <c r="B610" s="82"/>
      <c r="C610" s="206"/>
      <c r="D610" s="206"/>
      <c r="E610" s="206"/>
      <c r="F610" s="150"/>
      <c r="G610" s="45"/>
      <c r="H610" s="207"/>
      <c r="I610" s="207"/>
      <c r="J610" s="207"/>
      <c r="K610" s="207"/>
      <c r="L610" s="208"/>
      <c r="M610" s="208"/>
      <c r="N610" s="150"/>
      <c r="O610" s="150"/>
      <c r="P610" s="150"/>
      <c r="Q610" s="209"/>
      <c r="R610" s="45"/>
      <c r="S610" s="45"/>
      <c r="T610" s="150"/>
      <c r="U610" s="198"/>
    </row>
    <row r="611" ht="22.5" hidden="1" customHeight="1">
      <c r="A611" s="199"/>
      <c r="B611" s="146"/>
      <c r="C611" s="200"/>
      <c r="D611" s="200"/>
      <c r="E611" s="200"/>
      <c r="F611" s="147"/>
      <c r="G611" s="186"/>
      <c r="H611" s="201"/>
      <c r="I611" s="201"/>
      <c r="J611" s="201"/>
      <c r="K611" s="201"/>
      <c r="L611" s="202"/>
      <c r="M611" s="202"/>
      <c r="N611" s="147"/>
      <c r="O611" s="147"/>
      <c r="P611" s="147"/>
      <c r="Q611" s="203"/>
      <c r="R611" s="186"/>
      <c r="S611" s="186"/>
      <c r="T611" s="147"/>
      <c r="U611" s="204"/>
    </row>
    <row r="612" ht="22.5" hidden="1" customHeight="1">
      <c r="A612" s="205"/>
      <c r="B612" s="82"/>
      <c r="C612" s="206"/>
      <c r="D612" s="206"/>
      <c r="E612" s="206"/>
      <c r="F612" s="150"/>
      <c r="G612" s="45"/>
      <c r="H612" s="207"/>
      <c r="I612" s="207"/>
      <c r="J612" s="207"/>
      <c r="K612" s="207"/>
      <c r="L612" s="208"/>
      <c r="M612" s="208"/>
      <c r="N612" s="150"/>
      <c r="O612" s="150"/>
      <c r="P612" s="150"/>
      <c r="Q612" s="209"/>
      <c r="R612" s="45"/>
      <c r="S612" s="45"/>
      <c r="T612" s="150"/>
      <c r="U612" s="198"/>
    </row>
    <row r="613" ht="22.5" hidden="1" customHeight="1">
      <c r="A613" s="211" t="s">
        <v>181</v>
      </c>
      <c r="B613" s="212" t="s">
        <v>132</v>
      </c>
      <c r="C613" s="212" t="s">
        <v>131</v>
      </c>
      <c r="D613" s="214" t="s">
        <v>870</v>
      </c>
      <c r="E613" s="212" t="s">
        <v>7</v>
      </c>
      <c r="F613" s="228" t="s">
        <v>871</v>
      </c>
      <c r="G613" s="212" t="s">
        <v>872</v>
      </c>
      <c r="H613" s="237" t="s">
        <v>8</v>
      </c>
      <c r="I613" s="237" t="s">
        <v>873</v>
      </c>
      <c r="J613" s="237" t="s">
        <v>17</v>
      </c>
      <c r="K613" s="237" t="s">
        <v>874</v>
      </c>
      <c r="L613" s="218" t="s">
        <v>875</v>
      </c>
      <c r="M613" s="218" t="s">
        <v>876</v>
      </c>
      <c r="N613" s="228" t="s">
        <v>877</v>
      </c>
      <c r="O613" s="228" t="s">
        <v>878</v>
      </c>
      <c r="P613" s="228" t="s">
        <v>879</v>
      </c>
      <c r="Q613" s="218" t="s">
        <v>880</v>
      </c>
      <c r="R613" s="218" t="s">
        <v>881</v>
      </c>
      <c r="S613" s="218" t="s">
        <v>882</v>
      </c>
      <c r="T613" s="228" t="s">
        <v>557</v>
      </c>
      <c r="U613" s="204"/>
    </row>
    <row r="614" ht="22.5" customHeight="1">
      <c r="A614" s="192">
        <v>1.0</v>
      </c>
      <c r="B614" s="193" t="s">
        <v>328</v>
      </c>
      <c r="C614" s="226" t="s">
        <v>136</v>
      </c>
      <c r="D614" s="194" t="s">
        <v>1283</v>
      </c>
      <c r="E614" s="193" t="s">
        <v>19</v>
      </c>
      <c r="F614" s="220">
        <v>1.5</v>
      </c>
      <c r="G614" s="150"/>
      <c r="H614" s="222">
        <v>10.0</v>
      </c>
      <c r="I614" s="222">
        <v>15.0</v>
      </c>
      <c r="J614" s="222">
        <v>1578.75</v>
      </c>
      <c r="K614" s="222">
        <v>0.0</v>
      </c>
      <c r="L614" s="223">
        <v>46073.0</v>
      </c>
      <c r="M614" s="223">
        <v>46101.0</v>
      </c>
      <c r="N614" s="220">
        <v>1.0</v>
      </c>
      <c r="O614" s="220">
        <v>-795.0</v>
      </c>
      <c r="P614" s="220">
        <v>825.0</v>
      </c>
      <c r="Q614" s="209"/>
      <c r="R614" s="196" t="s">
        <v>1747</v>
      </c>
      <c r="S614" s="45"/>
      <c r="T614" s="220">
        <v>334.0</v>
      </c>
      <c r="U614" s="198"/>
    </row>
    <row r="615" ht="22.5" customHeight="1">
      <c r="A615" s="211" t="s">
        <v>1748</v>
      </c>
      <c r="B615" s="212" t="s">
        <v>211</v>
      </c>
      <c r="C615" s="213" t="s">
        <v>136</v>
      </c>
      <c r="D615" s="214" t="s">
        <v>1650</v>
      </c>
      <c r="E615" s="212" t="s">
        <v>15</v>
      </c>
      <c r="F615" s="215">
        <v>4.0</v>
      </c>
      <c r="G615" s="210"/>
      <c r="H615" s="216">
        <v>150.0</v>
      </c>
      <c r="I615" s="216">
        <v>600.0</v>
      </c>
      <c r="J615" s="216">
        <v>13200.0</v>
      </c>
      <c r="K615" s="216">
        <v>0.0</v>
      </c>
      <c r="L615" s="217">
        <v>46068.0</v>
      </c>
      <c r="M615" s="217">
        <v>46096.0</v>
      </c>
      <c r="N615" s="215">
        <v>1.0</v>
      </c>
      <c r="O615" s="215">
        <v>-800.0</v>
      </c>
      <c r="P615" s="215">
        <v>830.0</v>
      </c>
      <c r="Q615" s="203"/>
      <c r="R615" s="218" t="s">
        <v>1749</v>
      </c>
      <c r="S615" s="186"/>
      <c r="T615" s="215">
        <v>335.0</v>
      </c>
      <c r="U615" s="204"/>
    </row>
    <row r="616" ht="22.5" customHeight="1">
      <c r="A616" s="192" t="s">
        <v>684</v>
      </c>
      <c r="B616" s="193" t="s">
        <v>293</v>
      </c>
      <c r="C616" s="219" t="s">
        <v>684</v>
      </c>
      <c r="D616" s="194" t="s">
        <v>1750</v>
      </c>
      <c r="E616" s="193" t="s">
        <v>17</v>
      </c>
      <c r="F616" s="220">
        <v>2.0</v>
      </c>
      <c r="G616" s="221"/>
      <c r="H616" s="197" t="s">
        <v>1751</v>
      </c>
      <c r="I616" s="222">
        <v>10000.0</v>
      </c>
      <c r="J616" s="207"/>
      <c r="K616" s="207"/>
      <c r="L616" s="223">
        <v>46056.0</v>
      </c>
      <c r="M616" s="223">
        <v>46084.0</v>
      </c>
      <c r="N616" s="150"/>
      <c r="O616" s="220">
        <v>-812.0</v>
      </c>
      <c r="P616" s="220">
        <v>842.0</v>
      </c>
      <c r="Q616" s="209"/>
      <c r="R616" s="196" t="s">
        <v>1752</v>
      </c>
      <c r="S616" s="45"/>
      <c r="T616" s="220">
        <v>336.0</v>
      </c>
      <c r="U616" s="198"/>
    </row>
    <row r="617" ht="22.5" customHeight="1">
      <c r="A617" s="199"/>
      <c r="B617" s="212" t="s">
        <v>313</v>
      </c>
      <c r="C617" s="213" t="s">
        <v>136</v>
      </c>
      <c r="D617" s="214" t="s">
        <v>1753</v>
      </c>
      <c r="E617" s="212" t="s">
        <v>17</v>
      </c>
      <c r="F617" s="215">
        <v>4.0</v>
      </c>
      <c r="G617" s="224">
        <v>0.17</v>
      </c>
      <c r="H617" s="216">
        <v>2500.0</v>
      </c>
      <c r="I617" s="216">
        <v>10000.0</v>
      </c>
      <c r="J617" s="216">
        <v>10000.0</v>
      </c>
      <c r="K617" s="216">
        <v>0.0</v>
      </c>
      <c r="L617" s="217">
        <v>46061.0</v>
      </c>
      <c r="M617" s="217">
        <v>46089.0</v>
      </c>
      <c r="N617" s="215">
        <v>1.0</v>
      </c>
      <c r="O617" s="215">
        <v>-807.0</v>
      </c>
      <c r="P617" s="215">
        <v>837.0</v>
      </c>
      <c r="Q617" s="203"/>
      <c r="R617" s="218" t="s">
        <v>1754</v>
      </c>
      <c r="S617" s="186"/>
      <c r="T617" s="215">
        <v>337.0</v>
      </c>
      <c r="U617" s="204"/>
    </row>
    <row r="618" ht="22.5" customHeight="1">
      <c r="A618" s="192" t="s">
        <v>1703</v>
      </c>
      <c r="B618" s="193" t="s">
        <v>255</v>
      </c>
      <c r="C618" s="226" t="s">
        <v>136</v>
      </c>
      <c r="D618" s="194" t="s">
        <v>1704</v>
      </c>
      <c r="E618" s="193" t="s">
        <v>15</v>
      </c>
      <c r="F618" s="220">
        <v>1.0</v>
      </c>
      <c r="G618" s="221"/>
      <c r="H618" s="222">
        <v>6000.0</v>
      </c>
      <c r="I618" s="222">
        <v>6000.0</v>
      </c>
      <c r="J618" s="222">
        <v>6000.0</v>
      </c>
      <c r="K618" s="222">
        <v>0.0</v>
      </c>
      <c r="L618" s="223">
        <v>46074.0</v>
      </c>
      <c r="M618" s="223">
        <v>46102.0</v>
      </c>
      <c r="N618" s="220">
        <v>1.0</v>
      </c>
      <c r="O618" s="220">
        <v>-794.0</v>
      </c>
      <c r="P618" s="220">
        <v>824.0</v>
      </c>
      <c r="Q618" s="209"/>
      <c r="R618" s="196" t="s">
        <v>1755</v>
      </c>
      <c r="S618" s="45"/>
      <c r="T618" s="220">
        <v>338.0</v>
      </c>
      <c r="U618" s="198"/>
    </row>
    <row r="619" ht="22.5" customHeight="1">
      <c r="A619" s="199"/>
      <c r="B619" s="212" t="s">
        <v>309</v>
      </c>
      <c r="C619" s="213" t="s">
        <v>136</v>
      </c>
      <c r="D619" s="214" t="s">
        <v>1676</v>
      </c>
      <c r="E619" s="212" t="s">
        <v>17</v>
      </c>
      <c r="F619" s="215">
        <v>2.0</v>
      </c>
      <c r="G619" s="210"/>
      <c r="H619" s="216">
        <v>2500.0</v>
      </c>
      <c r="I619" s="216">
        <v>5000.0</v>
      </c>
      <c r="J619" s="216">
        <v>5000.0</v>
      </c>
      <c r="K619" s="216">
        <v>0.0</v>
      </c>
      <c r="L619" s="217">
        <v>46056.0</v>
      </c>
      <c r="M619" s="217">
        <v>46084.0</v>
      </c>
      <c r="N619" s="215">
        <v>1.0</v>
      </c>
      <c r="O619" s="215">
        <v>-812.0</v>
      </c>
      <c r="P619" s="215">
        <v>842.0</v>
      </c>
      <c r="Q619" s="203"/>
      <c r="R619" s="218" t="s">
        <v>1756</v>
      </c>
      <c r="S619" s="186"/>
      <c r="T619" s="215">
        <v>339.0</v>
      </c>
      <c r="U619" s="204"/>
    </row>
    <row r="620" ht="22.5" customHeight="1">
      <c r="A620" s="192" t="s">
        <v>1757</v>
      </c>
      <c r="B620" s="193" t="s">
        <v>301</v>
      </c>
      <c r="C620" s="226" t="s">
        <v>136</v>
      </c>
      <c r="D620" s="194" t="s">
        <v>1708</v>
      </c>
      <c r="E620" s="193" t="s">
        <v>17</v>
      </c>
      <c r="F620" s="220">
        <v>2.0</v>
      </c>
      <c r="G620" s="221"/>
      <c r="H620" s="222">
        <v>6000.0</v>
      </c>
      <c r="I620" s="222">
        <v>10000.0</v>
      </c>
      <c r="J620" s="222">
        <v>10000.0</v>
      </c>
      <c r="K620" s="222">
        <v>0.0</v>
      </c>
      <c r="L620" s="223">
        <v>46071.0</v>
      </c>
      <c r="M620" s="223">
        <v>46099.0</v>
      </c>
      <c r="N620" s="220">
        <v>1.0</v>
      </c>
      <c r="O620" s="220">
        <v>-797.0</v>
      </c>
      <c r="P620" s="220">
        <v>827.0</v>
      </c>
      <c r="Q620" s="209"/>
      <c r="R620" s="196" t="s">
        <v>1758</v>
      </c>
      <c r="S620" s="45"/>
      <c r="T620" s="220">
        <v>340.0</v>
      </c>
      <c r="U620" s="198"/>
    </row>
    <row r="621" ht="22.5" customHeight="1">
      <c r="A621" s="211" t="s">
        <v>1710</v>
      </c>
      <c r="B621" s="212" t="s">
        <v>243</v>
      </c>
      <c r="C621" s="213" t="s">
        <v>136</v>
      </c>
      <c r="D621" s="214" t="s">
        <v>1711</v>
      </c>
      <c r="E621" s="212" t="s">
        <v>15</v>
      </c>
      <c r="F621" s="215">
        <v>1.0</v>
      </c>
      <c r="G621" s="147"/>
      <c r="H621" s="216">
        <v>300.0</v>
      </c>
      <c r="I621" s="216">
        <v>300.0</v>
      </c>
      <c r="J621" s="216">
        <v>6600.0</v>
      </c>
      <c r="K621" s="216">
        <v>6600.0</v>
      </c>
      <c r="L621" s="217">
        <v>46064.0</v>
      </c>
      <c r="M621" s="217">
        <v>46092.0</v>
      </c>
      <c r="N621" s="215">
        <v>0.0</v>
      </c>
      <c r="O621" s="215">
        <v>-804.0</v>
      </c>
      <c r="P621" s="215">
        <v>834.0</v>
      </c>
      <c r="Q621" s="203"/>
      <c r="R621" s="218" t="s">
        <v>1759</v>
      </c>
      <c r="S621" s="186"/>
      <c r="T621" s="215">
        <v>341.0</v>
      </c>
      <c r="U621" s="204"/>
    </row>
    <row r="622" ht="22.5" customHeight="1">
      <c r="A622" s="205"/>
      <c r="B622" s="193" t="s">
        <v>271</v>
      </c>
      <c r="C622" s="219" t="s">
        <v>684</v>
      </c>
      <c r="D622" s="194" t="s">
        <v>1760</v>
      </c>
      <c r="E622" s="193" t="s">
        <v>15</v>
      </c>
      <c r="F622" s="220">
        <v>5.0</v>
      </c>
      <c r="G622" s="221"/>
      <c r="H622" s="222">
        <v>100.0</v>
      </c>
      <c r="I622" s="222">
        <v>500.0</v>
      </c>
      <c r="J622" s="207"/>
      <c r="K622" s="207"/>
      <c r="L622" s="223">
        <v>46074.0</v>
      </c>
      <c r="M622" s="223">
        <v>46102.0</v>
      </c>
      <c r="N622" s="150"/>
      <c r="O622" s="220">
        <v>-794.0</v>
      </c>
      <c r="P622" s="220">
        <v>824.0</v>
      </c>
      <c r="Q622" s="209"/>
      <c r="R622" s="196" t="s">
        <v>1761</v>
      </c>
      <c r="S622" s="45"/>
      <c r="T622" s="220">
        <v>342.0</v>
      </c>
      <c r="U622" s="198"/>
    </row>
    <row r="623" ht="22.5" customHeight="1">
      <c r="A623" s="199"/>
      <c r="B623" s="212" t="s">
        <v>305</v>
      </c>
      <c r="C623" s="213" t="s">
        <v>136</v>
      </c>
      <c r="D623" s="214" t="s">
        <v>1762</v>
      </c>
      <c r="E623" s="212" t="s">
        <v>17</v>
      </c>
      <c r="F623" s="215">
        <v>3.0</v>
      </c>
      <c r="G623" s="210"/>
      <c r="H623" s="216">
        <v>2500.0</v>
      </c>
      <c r="I623" s="216">
        <v>7500.0</v>
      </c>
      <c r="J623" s="216">
        <v>7500.0</v>
      </c>
      <c r="K623" s="216">
        <v>0.0</v>
      </c>
      <c r="L623" s="217">
        <v>46058.0</v>
      </c>
      <c r="M623" s="217">
        <v>46086.0</v>
      </c>
      <c r="N623" s="215">
        <v>1.0</v>
      </c>
      <c r="O623" s="215">
        <v>-810.0</v>
      </c>
      <c r="P623" s="215">
        <v>840.0</v>
      </c>
      <c r="Q623" s="203"/>
      <c r="R623" s="218" t="s">
        <v>1763</v>
      </c>
      <c r="S623" s="186"/>
      <c r="T623" s="215">
        <v>343.0</v>
      </c>
      <c r="U623" s="204"/>
    </row>
    <row r="624" ht="22.5" customHeight="1">
      <c r="A624" s="205"/>
      <c r="B624" s="193" t="s">
        <v>263</v>
      </c>
      <c r="C624" s="226" t="s">
        <v>136</v>
      </c>
      <c r="D624" s="194" t="s">
        <v>1739</v>
      </c>
      <c r="E624" s="193" t="s">
        <v>15</v>
      </c>
      <c r="F624" s="220">
        <v>3.0</v>
      </c>
      <c r="G624" s="230">
        <v>0.33</v>
      </c>
      <c r="H624" s="222">
        <v>100.0</v>
      </c>
      <c r="I624" s="222">
        <v>300.0</v>
      </c>
      <c r="J624" s="222">
        <v>6000.0</v>
      </c>
      <c r="K624" s="222">
        <v>6000.0</v>
      </c>
      <c r="L624" s="223">
        <v>46061.0</v>
      </c>
      <c r="M624" s="223">
        <v>46089.0</v>
      </c>
      <c r="N624" s="220">
        <v>0.0</v>
      </c>
      <c r="O624" s="220">
        <v>-807.0</v>
      </c>
      <c r="P624" s="220">
        <v>837.0</v>
      </c>
      <c r="Q624" s="209"/>
      <c r="R624" s="196" t="s">
        <v>1764</v>
      </c>
      <c r="S624" s="45"/>
      <c r="T624" s="220">
        <v>344.0</v>
      </c>
      <c r="U624" s="198"/>
    </row>
    <row r="625" ht="22.5" customHeight="1">
      <c r="A625" s="211" t="s">
        <v>1765</v>
      </c>
      <c r="B625" s="212" t="s">
        <v>249</v>
      </c>
      <c r="C625" s="213" t="s">
        <v>136</v>
      </c>
      <c r="D625" s="214" t="s">
        <v>1717</v>
      </c>
      <c r="E625" s="212" t="s">
        <v>15</v>
      </c>
      <c r="F625" s="215">
        <v>3.0</v>
      </c>
      <c r="G625" s="224">
        <v>0.33</v>
      </c>
      <c r="H625" s="216">
        <v>100.0</v>
      </c>
      <c r="I625" s="216">
        <v>300.0</v>
      </c>
      <c r="J625" s="216">
        <v>6000.0</v>
      </c>
      <c r="K625" s="216">
        <v>0.0</v>
      </c>
      <c r="L625" s="217">
        <v>46064.0</v>
      </c>
      <c r="M625" s="217">
        <v>46092.0</v>
      </c>
      <c r="N625" s="215">
        <v>1.0</v>
      </c>
      <c r="O625" s="215">
        <v>-804.0</v>
      </c>
      <c r="P625" s="215">
        <v>834.0</v>
      </c>
      <c r="Q625" s="203"/>
      <c r="R625" s="218" t="s">
        <v>1766</v>
      </c>
      <c r="S625" s="186"/>
      <c r="T625" s="215">
        <v>345.0</v>
      </c>
      <c r="U625" s="204"/>
    </row>
    <row r="626" ht="22.5" customHeight="1">
      <c r="A626" s="192">
        <v>0.1667</v>
      </c>
      <c r="B626" s="193" t="s">
        <v>215</v>
      </c>
      <c r="C626" s="219" t="s">
        <v>684</v>
      </c>
      <c r="D626" s="194" t="s">
        <v>1760</v>
      </c>
      <c r="E626" s="193" t="s">
        <v>15</v>
      </c>
      <c r="F626" s="220">
        <v>5.0</v>
      </c>
      <c r="G626" s="221"/>
      <c r="H626" s="222">
        <v>120.0</v>
      </c>
      <c r="I626" s="222">
        <v>500.0</v>
      </c>
      <c r="J626" s="207"/>
      <c r="K626" s="207"/>
      <c r="L626" s="223">
        <v>46062.0</v>
      </c>
      <c r="M626" s="223">
        <v>46090.0</v>
      </c>
      <c r="N626" s="150"/>
      <c r="O626" s="220">
        <v>-806.0</v>
      </c>
      <c r="P626" s="220">
        <v>836.0</v>
      </c>
      <c r="Q626" s="209"/>
      <c r="R626" s="196" t="s">
        <v>1767</v>
      </c>
      <c r="S626" s="45"/>
      <c r="T626" s="220">
        <v>346.0</v>
      </c>
      <c r="U626" s="198"/>
    </row>
    <row r="627" ht="22.5" customHeight="1">
      <c r="A627" s="211" t="s">
        <v>1768</v>
      </c>
      <c r="B627" s="212" t="s">
        <v>291</v>
      </c>
      <c r="C627" s="213" t="s">
        <v>136</v>
      </c>
      <c r="D627" s="214" t="s">
        <v>1769</v>
      </c>
      <c r="E627" s="212" t="s">
        <v>17</v>
      </c>
      <c r="F627" s="215">
        <v>5.0</v>
      </c>
      <c r="G627" s="210"/>
      <c r="H627" s="237" t="s">
        <v>1682</v>
      </c>
      <c r="I627" s="216">
        <v>21000.0</v>
      </c>
      <c r="J627" s="216">
        <v>16500.0</v>
      </c>
      <c r="K627" s="216">
        <v>0.0</v>
      </c>
      <c r="L627" s="217">
        <v>46056.0</v>
      </c>
      <c r="M627" s="217">
        <v>46084.0</v>
      </c>
      <c r="N627" s="215">
        <v>1.0</v>
      </c>
      <c r="O627" s="215">
        <v>-812.0</v>
      </c>
      <c r="P627" s="215">
        <v>842.0</v>
      </c>
      <c r="Q627" s="203"/>
      <c r="R627" s="218" t="s">
        <v>1770</v>
      </c>
      <c r="S627" s="186"/>
      <c r="T627" s="215">
        <v>347.0</v>
      </c>
      <c r="U627" s="204"/>
    </row>
    <row r="628" ht="22.5" customHeight="1">
      <c r="A628" s="192">
        <v>0.1667</v>
      </c>
      <c r="B628" s="193" t="s">
        <v>330</v>
      </c>
      <c r="C628" s="226" t="s">
        <v>136</v>
      </c>
      <c r="D628" s="194" t="s">
        <v>1552</v>
      </c>
      <c r="E628" s="193" t="s">
        <v>17</v>
      </c>
      <c r="F628" s="220">
        <v>2.0</v>
      </c>
      <c r="G628" s="221"/>
      <c r="H628" s="197" t="s">
        <v>1200</v>
      </c>
      <c r="I628" s="222">
        <v>12500.0</v>
      </c>
      <c r="J628" s="222">
        <v>12500.0</v>
      </c>
      <c r="K628" s="222">
        <v>0.0</v>
      </c>
      <c r="L628" s="223">
        <v>46062.0</v>
      </c>
      <c r="M628" s="223">
        <v>46090.0</v>
      </c>
      <c r="N628" s="220">
        <v>1.0</v>
      </c>
      <c r="O628" s="220">
        <v>-806.0</v>
      </c>
      <c r="P628" s="220">
        <v>836.0</v>
      </c>
      <c r="Q628" s="209"/>
      <c r="R628" s="196" t="s">
        <v>1771</v>
      </c>
      <c r="S628" s="45"/>
      <c r="T628" s="220">
        <v>348.0</v>
      </c>
      <c r="U628" s="198"/>
    </row>
    <row r="629" ht="22.5" customHeight="1">
      <c r="A629" s="211">
        <v>0.1667</v>
      </c>
      <c r="B629" s="212" t="s">
        <v>332</v>
      </c>
      <c r="C629" s="213" t="s">
        <v>136</v>
      </c>
      <c r="D629" s="214" t="s">
        <v>1472</v>
      </c>
      <c r="E629" s="212" t="s">
        <v>15</v>
      </c>
      <c r="F629" s="215">
        <v>1.0</v>
      </c>
      <c r="G629" s="210"/>
      <c r="H629" s="216">
        <v>150.0</v>
      </c>
      <c r="I629" s="216">
        <v>150.0</v>
      </c>
      <c r="J629" s="216">
        <v>3300.0</v>
      </c>
      <c r="K629" s="216">
        <v>3300.0</v>
      </c>
      <c r="L629" s="217">
        <v>46073.0</v>
      </c>
      <c r="M629" s="217">
        <v>46101.0</v>
      </c>
      <c r="N629" s="215">
        <v>0.0</v>
      </c>
      <c r="O629" s="215">
        <v>-795.0</v>
      </c>
      <c r="P629" s="215">
        <v>825.0</v>
      </c>
      <c r="Q629" s="203"/>
      <c r="R629" s="218" t="s">
        <v>1772</v>
      </c>
      <c r="S629" s="186"/>
      <c r="T629" s="215">
        <v>349.0</v>
      </c>
      <c r="U629" s="204"/>
    </row>
    <row r="630" ht="22.5" customHeight="1">
      <c r="A630" s="192" t="s">
        <v>1773</v>
      </c>
      <c r="B630" s="193" t="s">
        <v>317</v>
      </c>
      <c r="C630" s="206"/>
      <c r="D630" s="194" t="s">
        <v>930</v>
      </c>
      <c r="E630" s="206"/>
      <c r="F630" s="220">
        <v>1.0</v>
      </c>
      <c r="G630" s="221"/>
      <c r="H630" s="222">
        <v>150.0</v>
      </c>
      <c r="I630" s="222">
        <v>150.0</v>
      </c>
      <c r="J630" s="207"/>
      <c r="K630" s="207"/>
      <c r="L630" s="223">
        <v>46385.0</v>
      </c>
      <c r="M630" s="223">
        <v>46051.0</v>
      </c>
      <c r="N630" s="150"/>
      <c r="O630" s="220">
        <v>-480.0</v>
      </c>
      <c r="P630" s="220">
        <v>510.0</v>
      </c>
      <c r="Q630" s="209"/>
      <c r="R630" s="196" t="s">
        <v>1774</v>
      </c>
      <c r="S630" s="45"/>
      <c r="T630" s="220">
        <v>350.0</v>
      </c>
      <c r="U630" s="198"/>
    </row>
    <row r="631" ht="22.5" customHeight="1">
      <c r="A631" s="211" t="s">
        <v>1775</v>
      </c>
      <c r="B631" s="212" t="s">
        <v>322</v>
      </c>
      <c r="C631" s="213" t="s">
        <v>136</v>
      </c>
      <c r="D631" s="214" t="s">
        <v>1695</v>
      </c>
      <c r="E631" s="212" t="s">
        <v>15</v>
      </c>
      <c r="F631" s="215">
        <v>3.0</v>
      </c>
      <c r="G631" s="210"/>
      <c r="H631" s="216">
        <v>100.0</v>
      </c>
      <c r="I631" s="216">
        <v>300.0</v>
      </c>
      <c r="J631" s="216">
        <v>6600.0</v>
      </c>
      <c r="K631" s="216">
        <v>0.0</v>
      </c>
      <c r="L631" s="217">
        <v>46060.0</v>
      </c>
      <c r="M631" s="217">
        <v>46088.0</v>
      </c>
      <c r="N631" s="215">
        <v>1.0</v>
      </c>
      <c r="O631" s="215">
        <v>-443.0</v>
      </c>
      <c r="P631" s="215">
        <v>473.0</v>
      </c>
      <c r="Q631" s="203"/>
      <c r="R631" s="218" t="s">
        <v>1776</v>
      </c>
      <c r="S631" s="186"/>
      <c r="T631" s="215">
        <v>351.0</v>
      </c>
      <c r="U631" s="204"/>
    </row>
    <row r="632" ht="22.5" hidden="1" customHeight="1">
      <c r="A632" s="205"/>
      <c r="B632" s="193" t="s">
        <v>923</v>
      </c>
      <c r="C632" s="233" t="s">
        <v>585</v>
      </c>
      <c r="D632" s="234"/>
      <c r="E632" s="209"/>
      <c r="F632" s="150"/>
      <c r="G632" s="45"/>
      <c r="H632" s="207"/>
      <c r="I632" s="197" t="s">
        <v>924</v>
      </c>
      <c r="J632" s="222">
        <v>110778.75</v>
      </c>
      <c r="K632" s="222">
        <v>15900.0</v>
      </c>
      <c r="L632" s="208"/>
      <c r="M632" s="208"/>
      <c r="N632" s="150"/>
      <c r="O632" s="150"/>
      <c r="P632" s="150"/>
      <c r="Q632" s="209"/>
      <c r="R632" s="45"/>
      <c r="S632" s="45"/>
      <c r="T632" s="150"/>
      <c r="U632" s="198"/>
    </row>
    <row r="633" ht="22.5" hidden="1" customHeight="1">
      <c r="A633" s="199"/>
      <c r="B633" s="212" t="s">
        <v>558</v>
      </c>
      <c r="C633" s="235" t="s">
        <v>596</v>
      </c>
      <c r="D633" s="236"/>
      <c r="E633" s="236"/>
      <c r="F633" s="147"/>
      <c r="G633" s="236"/>
      <c r="H633" s="201"/>
      <c r="I633" s="237" t="s">
        <v>925</v>
      </c>
      <c r="J633" s="216">
        <v>190800.0</v>
      </c>
      <c r="K633" s="201"/>
      <c r="L633" s="202"/>
      <c r="M633" s="218" t="s">
        <v>926</v>
      </c>
      <c r="N633" s="147"/>
      <c r="O633" s="147"/>
      <c r="P633" s="147"/>
      <c r="Q633" s="203"/>
      <c r="R633" s="236"/>
      <c r="S633" s="236"/>
      <c r="T633" s="215">
        <v>351.0</v>
      </c>
      <c r="U633" s="204"/>
    </row>
    <row r="634" ht="22.5" hidden="1" customHeight="1">
      <c r="A634" s="205"/>
      <c r="B634" s="193" t="s">
        <v>696</v>
      </c>
      <c r="C634" s="238" t="s">
        <v>989</v>
      </c>
      <c r="D634" s="234"/>
      <c r="E634" s="234"/>
      <c r="F634" s="150"/>
      <c r="G634" s="234"/>
      <c r="H634" s="207"/>
      <c r="I634" s="197" t="s">
        <v>928</v>
      </c>
      <c r="J634" s="222">
        <v>319447.5</v>
      </c>
      <c r="K634" s="207"/>
      <c r="L634" s="208"/>
      <c r="M634" s="208"/>
      <c r="N634" s="150"/>
      <c r="O634" s="150"/>
      <c r="P634" s="150"/>
      <c r="Q634" s="209"/>
      <c r="R634" s="234"/>
      <c r="S634" s="234"/>
      <c r="T634" s="150"/>
      <c r="U634" s="198"/>
    </row>
    <row r="635" ht="22.5" hidden="1" customHeight="1">
      <c r="A635" s="199"/>
      <c r="B635" s="146"/>
      <c r="C635" s="200"/>
      <c r="D635" s="200"/>
      <c r="E635" s="200"/>
      <c r="F635" s="147"/>
      <c r="G635" s="186"/>
      <c r="H635" s="201"/>
      <c r="I635" s="201"/>
      <c r="J635" s="201"/>
      <c r="K635" s="201"/>
      <c r="L635" s="202"/>
      <c r="M635" s="202"/>
      <c r="N635" s="147"/>
      <c r="O635" s="147"/>
      <c r="P635" s="147"/>
      <c r="Q635" s="203"/>
      <c r="R635" s="186"/>
      <c r="S635" s="186"/>
      <c r="T635" s="147"/>
      <c r="U635" s="204"/>
    </row>
    <row r="636" ht="22.5" hidden="1" customHeight="1">
      <c r="A636" s="205"/>
      <c r="B636" s="82"/>
      <c r="C636" s="206"/>
      <c r="D636" s="206"/>
      <c r="E636" s="206"/>
      <c r="F636" s="150"/>
      <c r="G636" s="45"/>
      <c r="H636" s="207"/>
      <c r="I636" s="207"/>
      <c r="J636" s="207"/>
      <c r="K636" s="207"/>
      <c r="L636" s="208"/>
      <c r="M636" s="208"/>
      <c r="N636" s="150"/>
      <c r="O636" s="150"/>
      <c r="P636" s="150"/>
      <c r="Q636" s="209"/>
      <c r="R636" s="45"/>
      <c r="S636" s="45"/>
      <c r="T636" s="150"/>
      <c r="U636" s="198"/>
    </row>
    <row r="637" ht="22.5" hidden="1" customHeight="1">
      <c r="A637" s="199"/>
      <c r="B637" s="146"/>
      <c r="C637" s="200"/>
      <c r="D637" s="200"/>
      <c r="E637" s="200"/>
      <c r="F637" s="147"/>
      <c r="G637" s="186"/>
      <c r="H637" s="201"/>
      <c r="I637" s="201"/>
      <c r="J637" s="201"/>
      <c r="K637" s="201"/>
      <c r="L637" s="202"/>
      <c r="M637" s="202"/>
      <c r="N637" s="147"/>
      <c r="O637" s="147"/>
      <c r="P637" s="147"/>
      <c r="Q637" s="203"/>
      <c r="R637" s="186"/>
      <c r="S637" s="186"/>
      <c r="T637" s="147"/>
      <c r="U637" s="204"/>
    </row>
    <row r="638" ht="22.5" hidden="1" customHeight="1">
      <c r="A638" s="205"/>
      <c r="B638" s="82"/>
      <c r="C638" s="206"/>
      <c r="D638" s="206"/>
      <c r="E638" s="206"/>
      <c r="F638" s="150"/>
      <c r="G638" s="45"/>
      <c r="H638" s="207"/>
      <c r="I638" s="207"/>
      <c r="J638" s="207"/>
      <c r="K638" s="207"/>
      <c r="L638" s="208"/>
      <c r="M638" s="208"/>
      <c r="N638" s="150"/>
      <c r="O638" s="150"/>
      <c r="P638" s="150"/>
      <c r="Q638" s="209"/>
      <c r="R638" s="45"/>
      <c r="S638" s="45"/>
      <c r="T638" s="150"/>
      <c r="U638" s="198"/>
    </row>
    <row r="639" ht="22.5" hidden="1" customHeight="1">
      <c r="A639" s="211" t="s">
        <v>181</v>
      </c>
      <c r="B639" s="212" t="s">
        <v>132</v>
      </c>
      <c r="C639" s="212" t="s">
        <v>131</v>
      </c>
      <c r="D639" s="214" t="s">
        <v>870</v>
      </c>
      <c r="E639" s="212" t="s">
        <v>7</v>
      </c>
      <c r="F639" s="228" t="s">
        <v>871</v>
      </c>
      <c r="G639" s="212" t="s">
        <v>872</v>
      </c>
      <c r="H639" s="237" t="s">
        <v>8</v>
      </c>
      <c r="I639" s="237" t="s">
        <v>873</v>
      </c>
      <c r="J639" s="237" t="s">
        <v>17</v>
      </c>
      <c r="K639" s="237" t="s">
        <v>874</v>
      </c>
      <c r="L639" s="218" t="s">
        <v>875</v>
      </c>
      <c r="M639" s="218" t="s">
        <v>876</v>
      </c>
      <c r="N639" s="228" t="s">
        <v>877</v>
      </c>
      <c r="O639" s="228" t="s">
        <v>878</v>
      </c>
      <c r="P639" s="228" t="s">
        <v>879</v>
      </c>
      <c r="Q639" s="218" t="s">
        <v>880</v>
      </c>
      <c r="R639" s="218" t="s">
        <v>881</v>
      </c>
      <c r="S639" s="218" t="s">
        <v>882</v>
      </c>
      <c r="T639" s="228" t="s">
        <v>557</v>
      </c>
      <c r="U639" s="204"/>
    </row>
    <row r="640" ht="22.5" customHeight="1">
      <c r="A640" s="192" t="s">
        <v>1777</v>
      </c>
      <c r="B640" s="193" t="s">
        <v>328</v>
      </c>
      <c r="C640" s="226" t="s">
        <v>136</v>
      </c>
      <c r="D640" s="194" t="s">
        <v>1283</v>
      </c>
      <c r="E640" s="193" t="s">
        <v>19</v>
      </c>
      <c r="F640" s="220">
        <v>4.5</v>
      </c>
      <c r="G640" s="150"/>
      <c r="H640" s="222">
        <v>10.0</v>
      </c>
      <c r="I640" s="222">
        <v>45.0</v>
      </c>
      <c r="J640" s="222">
        <v>4736.25</v>
      </c>
      <c r="K640" s="222">
        <v>0.0</v>
      </c>
      <c r="L640" s="223">
        <v>46042.0</v>
      </c>
      <c r="M640" s="223">
        <v>46073.0</v>
      </c>
      <c r="N640" s="220">
        <v>1.0</v>
      </c>
      <c r="O640" s="220">
        <v>-824.0</v>
      </c>
      <c r="P640" s="220">
        <v>854.0</v>
      </c>
      <c r="Q640" s="209"/>
      <c r="R640" s="196" t="s">
        <v>1778</v>
      </c>
      <c r="S640" s="45"/>
      <c r="T640" s="220">
        <v>316.0</v>
      </c>
      <c r="U640" s="198"/>
    </row>
    <row r="641" ht="22.5" customHeight="1">
      <c r="A641" s="211" t="s">
        <v>1779</v>
      </c>
      <c r="B641" s="212" t="s">
        <v>211</v>
      </c>
      <c r="C641" s="213" t="s">
        <v>136</v>
      </c>
      <c r="D641" s="214" t="s">
        <v>1650</v>
      </c>
      <c r="E641" s="212" t="s">
        <v>15</v>
      </c>
      <c r="F641" s="215">
        <v>4.0</v>
      </c>
      <c r="G641" s="147"/>
      <c r="H641" s="216">
        <v>150.0</v>
      </c>
      <c r="I641" s="216">
        <v>600.0</v>
      </c>
      <c r="J641" s="216">
        <v>13200.0</v>
      </c>
      <c r="K641" s="216">
        <v>700.0</v>
      </c>
      <c r="L641" s="217">
        <v>46037.0</v>
      </c>
      <c r="M641" s="217">
        <v>46068.0</v>
      </c>
      <c r="N641" s="215">
        <v>0.0</v>
      </c>
      <c r="O641" s="215">
        <v>-829.0</v>
      </c>
      <c r="P641" s="215">
        <v>859.0</v>
      </c>
      <c r="Q641" s="203"/>
      <c r="R641" s="218" t="s">
        <v>1780</v>
      </c>
      <c r="S641" s="186"/>
      <c r="T641" s="215">
        <v>317.0</v>
      </c>
      <c r="U641" s="204"/>
    </row>
    <row r="642" ht="22.5" customHeight="1">
      <c r="A642" s="192" t="s">
        <v>684</v>
      </c>
      <c r="B642" s="193" t="s">
        <v>293</v>
      </c>
      <c r="C642" s="219" t="s">
        <v>684</v>
      </c>
      <c r="D642" s="194" t="s">
        <v>1750</v>
      </c>
      <c r="E642" s="193" t="s">
        <v>17</v>
      </c>
      <c r="F642" s="220">
        <v>2.0</v>
      </c>
      <c r="G642" s="221"/>
      <c r="H642" s="197" t="s">
        <v>1751</v>
      </c>
      <c r="I642" s="222">
        <v>10000.0</v>
      </c>
      <c r="J642" s="207"/>
      <c r="K642" s="207"/>
      <c r="L642" s="223">
        <v>46025.0</v>
      </c>
      <c r="M642" s="223">
        <v>46056.0</v>
      </c>
      <c r="N642" s="150"/>
      <c r="O642" s="220">
        <v>-841.0</v>
      </c>
      <c r="P642" s="220">
        <v>871.0</v>
      </c>
      <c r="Q642" s="209"/>
      <c r="R642" s="196" t="s">
        <v>1781</v>
      </c>
      <c r="S642" s="45"/>
      <c r="T642" s="220">
        <v>318.0</v>
      </c>
      <c r="U642" s="198"/>
    </row>
    <row r="643" ht="22.5" customHeight="1">
      <c r="A643" s="211">
        <v>0.5</v>
      </c>
      <c r="B643" s="212" t="s">
        <v>326</v>
      </c>
      <c r="C643" s="213" t="s">
        <v>136</v>
      </c>
      <c r="D643" s="214" t="s">
        <v>1782</v>
      </c>
      <c r="E643" s="212" t="s">
        <v>15</v>
      </c>
      <c r="F643" s="215">
        <v>3.0</v>
      </c>
      <c r="G643" s="147"/>
      <c r="H643" s="216">
        <v>100.0</v>
      </c>
      <c r="I643" s="216">
        <v>150.0</v>
      </c>
      <c r="J643" s="216">
        <v>3300.0</v>
      </c>
      <c r="K643" s="216">
        <v>3300.0</v>
      </c>
      <c r="L643" s="217">
        <v>46030.0</v>
      </c>
      <c r="M643" s="217">
        <v>46061.0</v>
      </c>
      <c r="N643" s="215">
        <v>0.0</v>
      </c>
      <c r="O643" s="215">
        <v>-836.0</v>
      </c>
      <c r="P643" s="215">
        <v>866.0</v>
      </c>
      <c r="Q643" s="203"/>
      <c r="R643" s="218" t="s">
        <v>1783</v>
      </c>
      <c r="S643" s="186"/>
      <c r="T643" s="215">
        <v>319.0</v>
      </c>
      <c r="U643" s="204"/>
    </row>
    <row r="644" ht="22.5" customHeight="1">
      <c r="A644" s="205"/>
      <c r="B644" s="193" t="s">
        <v>324</v>
      </c>
      <c r="C644" s="226" t="s">
        <v>136</v>
      </c>
      <c r="D644" s="194" t="s">
        <v>1782</v>
      </c>
      <c r="E644" s="193" t="s">
        <v>15</v>
      </c>
      <c r="F644" s="220">
        <v>3.0</v>
      </c>
      <c r="G644" s="150"/>
      <c r="H644" s="222">
        <v>100.0</v>
      </c>
      <c r="I644" s="222">
        <v>150.0</v>
      </c>
      <c r="J644" s="222">
        <v>3300.0</v>
      </c>
      <c r="K644" s="222">
        <v>3300.0</v>
      </c>
      <c r="L644" s="223">
        <v>46023.0</v>
      </c>
      <c r="M644" s="223">
        <v>46054.0</v>
      </c>
      <c r="N644" s="220">
        <v>0.0</v>
      </c>
      <c r="O644" s="220">
        <v>-843.0</v>
      </c>
      <c r="P644" s="220">
        <v>873.0</v>
      </c>
      <c r="Q644" s="209"/>
      <c r="R644" s="196" t="s">
        <v>1784</v>
      </c>
      <c r="S644" s="45"/>
      <c r="T644" s="220">
        <v>320.0</v>
      </c>
      <c r="U644" s="198"/>
    </row>
    <row r="645" ht="22.5" customHeight="1">
      <c r="A645" s="211" t="s">
        <v>1785</v>
      </c>
      <c r="B645" s="212" t="s">
        <v>255</v>
      </c>
      <c r="C645" s="213" t="s">
        <v>136</v>
      </c>
      <c r="D645" s="214" t="s">
        <v>1704</v>
      </c>
      <c r="E645" s="212" t="s">
        <v>15</v>
      </c>
      <c r="F645" s="215">
        <v>2.0</v>
      </c>
      <c r="G645" s="210"/>
      <c r="H645" s="216">
        <v>6000.0</v>
      </c>
      <c r="I645" s="216">
        <v>12000.0</v>
      </c>
      <c r="J645" s="216">
        <v>12000.0</v>
      </c>
      <c r="K645" s="216">
        <v>0.0</v>
      </c>
      <c r="L645" s="217">
        <v>46043.0</v>
      </c>
      <c r="M645" s="217">
        <v>46074.0</v>
      </c>
      <c r="N645" s="215">
        <v>1.0</v>
      </c>
      <c r="O645" s="215">
        <v>-823.0</v>
      </c>
      <c r="P645" s="215">
        <v>853.0</v>
      </c>
      <c r="Q645" s="203"/>
      <c r="R645" s="218" t="s">
        <v>1786</v>
      </c>
      <c r="S645" s="186"/>
      <c r="T645" s="215">
        <v>321.0</v>
      </c>
      <c r="U645" s="204"/>
    </row>
    <row r="646" ht="22.5" customHeight="1">
      <c r="A646" s="192" t="s">
        <v>1787</v>
      </c>
      <c r="B646" s="193" t="s">
        <v>319</v>
      </c>
      <c r="C646" s="226" t="s">
        <v>136</v>
      </c>
      <c r="D646" s="194" t="s">
        <v>1788</v>
      </c>
      <c r="E646" s="193" t="s">
        <v>17</v>
      </c>
      <c r="F646" s="220">
        <v>3.0</v>
      </c>
      <c r="G646" s="150"/>
      <c r="H646" s="222">
        <v>2500.0</v>
      </c>
      <c r="I646" s="222">
        <v>6250.0</v>
      </c>
      <c r="J646" s="222">
        <v>6250.0</v>
      </c>
      <c r="K646" s="222">
        <v>0.0</v>
      </c>
      <c r="L646" s="223">
        <v>46034.0</v>
      </c>
      <c r="M646" s="223">
        <v>46065.0</v>
      </c>
      <c r="N646" s="220">
        <v>1.0</v>
      </c>
      <c r="O646" s="220">
        <v>-832.0</v>
      </c>
      <c r="P646" s="220">
        <v>862.0</v>
      </c>
      <c r="Q646" s="209"/>
      <c r="R646" s="196" t="s">
        <v>1789</v>
      </c>
      <c r="S646" s="45"/>
      <c r="T646" s="220">
        <v>322.0</v>
      </c>
      <c r="U646" s="198"/>
    </row>
    <row r="647" ht="22.5" customHeight="1">
      <c r="A647" s="211">
        <v>45358.0</v>
      </c>
      <c r="B647" s="212" t="s">
        <v>309</v>
      </c>
      <c r="C647" s="213" t="s">
        <v>136</v>
      </c>
      <c r="D647" s="214" t="s">
        <v>1676</v>
      </c>
      <c r="E647" s="212" t="s">
        <v>17</v>
      </c>
      <c r="F647" s="215">
        <v>2.0</v>
      </c>
      <c r="G647" s="210"/>
      <c r="H647" s="216">
        <v>2500.0</v>
      </c>
      <c r="I647" s="216">
        <v>5000.0</v>
      </c>
      <c r="J647" s="216">
        <v>5000.0</v>
      </c>
      <c r="K647" s="216">
        <v>0.0</v>
      </c>
      <c r="L647" s="217">
        <v>46025.0</v>
      </c>
      <c r="M647" s="217">
        <v>46056.0</v>
      </c>
      <c r="N647" s="215">
        <v>1.0</v>
      </c>
      <c r="O647" s="215">
        <v>-841.0</v>
      </c>
      <c r="P647" s="215">
        <v>871.0</v>
      </c>
      <c r="Q647" s="203"/>
      <c r="R647" s="218" t="s">
        <v>1790</v>
      </c>
      <c r="S647" s="186"/>
      <c r="T647" s="215">
        <v>323.0</v>
      </c>
      <c r="U647" s="204"/>
    </row>
    <row r="648" ht="22.5" customHeight="1">
      <c r="A648" s="192" t="s">
        <v>1791</v>
      </c>
      <c r="B648" s="193" t="s">
        <v>301</v>
      </c>
      <c r="C648" s="226" t="s">
        <v>136</v>
      </c>
      <c r="D648" s="194" t="s">
        <v>1708</v>
      </c>
      <c r="E648" s="193" t="s">
        <v>17</v>
      </c>
      <c r="F648" s="220">
        <v>2.0</v>
      </c>
      <c r="G648" s="221"/>
      <c r="H648" s="222">
        <v>6000.0</v>
      </c>
      <c r="I648" s="222">
        <v>10000.0</v>
      </c>
      <c r="J648" s="222">
        <v>10000.0</v>
      </c>
      <c r="K648" s="222">
        <v>0.0</v>
      </c>
      <c r="L648" s="223">
        <v>46040.0</v>
      </c>
      <c r="M648" s="223">
        <v>46071.0</v>
      </c>
      <c r="N648" s="220">
        <v>1.0</v>
      </c>
      <c r="O648" s="220">
        <v>-826.0</v>
      </c>
      <c r="P648" s="220">
        <v>856.0</v>
      </c>
      <c r="Q648" s="209"/>
      <c r="R648" s="196" t="s">
        <v>1792</v>
      </c>
      <c r="S648" s="45"/>
      <c r="T648" s="220">
        <v>324.0</v>
      </c>
      <c r="U648" s="198"/>
    </row>
    <row r="649" ht="22.5" customHeight="1">
      <c r="A649" s="211" t="s">
        <v>1793</v>
      </c>
      <c r="B649" s="212" t="s">
        <v>243</v>
      </c>
      <c r="C649" s="213" t="s">
        <v>136</v>
      </c>
      <c r="D649" s="214" t="s">
        <v>1711</v>
      </c>
      <c r="E649" s="212" t="s">
        <v>15</v>
      </c>
      <c r="F649" s="215">
        <v>2.0</v>
      </c>
      <c r="G649" s="215">
        <v>16.67</v>
      </c>
      <c r="H649" s="216">
        <v>250.0</v>
      </c>
      <c r="I649" s="216">
        <v>500.0</v>
      </c>
      <c r="J649" s="216">
        <v>11000.0</v>
      </c>
      <c r="K649" s="216">
        <v>11000.0</v>
      </c>
      <c r="L649" s="217">
        <v>46033.0</v>
      </c>
      <c r="M649" s="217">
        <v>46064.0</v>
      </c>
      <c r="N649" s="215">
        <v>0.0</v>
      </c>
      <c r="O649" s="215">
        <v>-833.0</v>
      </c>
      <c r="P649" s="215">
        <v>863.0</v>
      </c>
      <c r="Q649" s="203"/>
      <c r="R649" s="218" t="s">
        <v>1794</v>
      </c>
      <c r="S649" s="186"/>
      <c r="T649" s="215">
        <v>325.0</v>
      </c>
      <c r="U649" s="204"/>
    </row>
    <row r="650" ht="22.5" customHeight="1">
      <c r="A650" s="205"/>
      <c r="B650" s="193" t="s">
        <v>271</v>
      </c>
      <c r="C650" s="219" t="s">
        <v>684</v>
      </c>
      <c r="D650" s="194" t="s">
        <v>1760</v>
      </c>
      <c r="E650" s="193" t="s">
        <v>15</v>
      </c>
      <c r="F650" s="220">
        <v>5.0</v>
      </c>
      <c r="G650" s="221"/>
      <c r="H650" s="222">
        <v>100.0</v>
      </c>
      <c r="I650" s="222">
        <v>500.0</v>
      </c>
      <c r="J650" s="207"/>
      <c r="K650" s="207"/>
      <c r="L650" s="223">
        <v>46043.0</v>
      </c>
      <c r="M650" s="223">
        <v>46074.0</v>
      </c>
      <c r="N650" s="150"/>
      <c r="O650" s="220">
        <v>-823.0</v>
      </c>
      <c r="P650" s="220">
        <v>853.0</v>
      </c>
      <c r="Q650" s="209"/>
      <c r="R650" s="196" t="s">
        <v>1795</v>
      </c>
      <c r="S650" s="45"/>
      <c r="T650" s="220">
        <v>326.0</v>
      </c>
      <c r="U650" s="198"/>
    </row>
    <row r="651" ht="22.5" customHeight="1">
      <c r="A651" s="211" t="s">
        <v>1796</v>
      </c>
      <c r="B651" s="212" t="s">
        <v>305</v>
      </c>
      <c r="C651" s="213" t="s">
        <v>136</v>
      </c>
      <c r="D651" s="214" t="s">
        <v>1762</v>
      </c>
      <c r="E651" s="212" t="s">
        <v>17</v>
      </c>
      <c r="F651" s="215">
        <v>3.0</v>
      </c>
      <c r="G651" s="210"/>
      <c r="H651" s="216">
        <v>2500.0</v>
      </c>
      <c r="I651" s="216">
        <v>5625.0</v>
      </c>
      <c r="J651" s="216">
        <v>5625.0</v>
      </c>
      <c r="K651" s="216">
        <v>5625.0</v>
      </c>
      <c r="L651" s="217">
        <v>46042.0</v>
      </c>
      <c r="M651" s="217">
        <v>46073.0</v>
      </c>
      <c r="N651" s="215">
        <v>0.0</v>
      </c>
      <c r="O651" s="215">
        <v>-824.0</v>
      </c>
      <c r="P651" s="215">
        <v>854.0</v>
      </c>
      <c r="Q651" s="203"/>
      <c r="R651" s="218" t="s">
        <v>1797</v>
      </c>
      <c r="S651" s="186"/>
      <c r="T651" s="215">
        <v>327.0</v>
      </c>
      <c r="U651" s="204"/>
    </row>
    <row r="652" ht="22.5" customHeight="1">
      <c r="A652" s="205"/>
      <c r="B652" s="193" t="s">
        <v>263</v>
      </c>
      <c r="C652" s="226" t="s">
        <v>136</v>
      </c>
      <c r="D652" s="194" t="s">
        <v>1798</v>
      </c>
      <c r="E652" s="193" t="s">
        <v>15</v>
      </c>
      <c r="F652" s="220">
        <v>3.0</v>
      </c>
      <c r="G652" s="230">
        <v>0.33</v>
      </c>
      <c r="H652" s="222">
        <v>100.0</v>
      </c>
      <c r="I652" s="222">
        <v>300.0</v>
      </c>
      <c r="J652" s="222">
        <v>6000.0</v>
      </c>
      <c r="K652" s="222">
        <v>6000.0</v>
      </c>
      <c r="L652" s="223">
        <v>46023.0</v>
      </c>
      <c r="M652" s="223">
        <v>46054.0</v>
      </c>
      <c r="N652" s="220">
        <v>0.0</v>
      </c>
      <c r="O652" s="220">
        <v>-843.0</v>
      </c>
      <c r="P652" s="220">
        <v>873.0</v>
      </c>
      <c r="Q652" s="209"/>
      <c r="R652" s="196" t="s">
        <v>1799</v>
      </c>
      <c r="S652" s="45"/>
      <c r="T652" s="220">
        <v>328.0</v>
      </c>
      <c r="U652" s="198"/>
    </row>
    <row r="653" ht="22.5" customHeight="1">
      <c r="A653" s="211">
        <v>0.5</v>
      </c>
      <c r="B653" s="212" t="s">
        <v>249</v>
      </c>
      <c r="C653" s="213" t="s">
        <v>136</v>
      </c>
      <c r="D653" s="214" t="s">
        <v>1717</v>
      </c>
      <c r="E653" s="212" t="s">
        <v>15</v>
      </c>
      <c r="F653" s="215">
        <v>3.0</v>
      </c>
      <c r="G653" s="224">
        <v>0.33</v>
      </c>
      <c r="H653" s="216">
        <v>100.0</v>
      </c>
      <c r="I653" s="216">
        <v>150.0</v>
      </c>
      <c r="J653" s="216">
        <v>3000.0</v>
      </c>
      <c r="K653" s="216">
        <v>0.0</v>
      </c>
      <c r="L653" s="217">
        <v>46033.0</v>
      </c>
      <c r="M653" s="217">
        <v>46064.0</v>
      </c>
      <c r="N653" s="215">
        <v>1.0</v>
      </c>
      <c r="O653" s="215">
        <v>-833.0</v>
      </c>
      <c r="P653" s="215">
        <v>863.0</v>
      </c>
      <c r="Q653" s="203"/>
      <c r="R653" s="218" t="s">
        <v>1800</v>
      </c>
      <c r="S653" s="186"/>
      <c r="T653" s="215">
        <v>329.0</v>
      </c>
      <c r="U653" s="204"/>
    </row>
    <row r="654" ht="22.5" customHeight="1">
      <c r="A654" s="205"/>
      <c r="B654" s="193" t="s">
        <v>215</v>
      </c>
      <c r="C654" s="219" t="s">
        <v>684</v>
      </c>
      <c r="D654" s="194" t="s">
        <v>1760</v>
      </c>
      <c r="E654" s="193" t="s">
        <v>15</v>
      </c>
      <c r="F654" s="220">
        <v>5.0</v>
      </c>
      <c r="G654" s="221"/>
      <c r="H654" s="222">
        <v>120.0</v>
      </c>
      <c r="I654" s="222">
        <v>500.0</v>
      </c>
      <c r="J654" s="207"/>
      <c r="K654" s="207"/>
      <c r="L654" s="223">
        <v>46031.0</v>
      </c>
      <c r="M654" s="223">
        <v>46062.0</v>
      </c>
      <c r="N654" s="150"/>
      <c r="O654" s="220">
        <v>-835.0</v>
      </c>
      <c r="P654" s="220">
        <v>865.0</v>
      </c>
      <c r="Q654" s="209"/>
      <c r="R654" s="196" t="s">
        <v>1801</v>
      </c>
      <c r="S654" s="45"/>
      <c r="T654" s="220">
        <v>330.0</v>
      </c>
      <c r="U654" s="198"/>
    </row>
    <row r="655" ht="22.5" customHeight="1">
      <c r="A655" s="211" t="s">
        <v>1768</v>
      </c>
      <c r="B655" s="212" t="s">
        <v>291</v>
      </c>
      <c r="C655" s="213" t="s">
        <v>136</v>
      </c>
      <c r="D655" s="214" t="s">
        <v>1802</v>
      </c>
      <c r="E655" s="212" t="s">
        <v>17</v>
      </c>
      <c r="F655" s="215">
        <v>3.0</v>
      </c>
      <c r="G655" s="210"/>
      <c r="H655" s="237" t="s">
        <v>1682</v>
      </c>
      <c r="I655" s="216">
        <v>21000.0</v>
      </c>
      <c r="J655" s="216">
        <v>16500.0</v>
      </c>
      <c r="K655" s="216">
        <v>0.0</v>
      </c>
      <c r="L655" s="217">
        <v>46025.0</v>
      </c>
      <c r="M655" s="217">
        <v>46056.0</v>
      </c>
      <c r="N655" s="215">
        <v>1.0</v>
      </c>
      <c r="O655" s="215">
        <v>-841.0</v>
      </c>
      <c r="P655" s="215">
        <v>871.0</v>
      </c>
      <c r="Q655" s="203"/>
      <c r="R655" s="218" t="s">
        <v>1803</v>
      </c>
      <c r="S655" s="186"/>
      <c r="T655" s="215">
        <v>331.0</v>
      </c>
      <c r="U655" s="204"/>
    </row>
    <row r="656" ht="22.5" customHeight="1">
      <c r="A656" s="192" t="s">
        <v>1804</v>
      </c>
      <c r="B656" s="193" t="s">
        <v>322</v>
      </c>
      <c r="C656" s="226" t="s">
        <v>136</v>
      </c>
      <c r="D656" s="194" t="s">
        <v>1695</v>
      </c>
      <c r="E656" s="193" t="s">
        <v>15</v>
      </c>
      <c r="F656" s="220">
        <v>3.0</v>
      </c>
      <c r="G656" s="150"/>
      <c r="H656" s="222">
        <v>100.0</v>
      </c>
      <c r="I656" s="222">
        <v>225.0</v>
      </c>
      <c r="J656" s="222">
        <v>6250.0</v>
      </c>
      <c r="K656" s="222">
        <v>0.0</v>
      </c>
      <c r="L656" s="223">
        <v>46029.0</v>
      </c>
      <c r="M656" s="223">
        <v>46060.0</v>
      </c>
      <c r="N656" s="220">
        <v>1.0</v>
      </c>
      <c r="O656" s="220">
        <v>-837.0</v>
      </c>
      <c r="P656" s="220">
        <v>867.0</v>
      </c>
      <c r="Q656" s="209"/>
      <c r="R656" s="196" t="s">
        <v>1805</v>
      </c>
      <c r="S656" s="45"/>
      <c r="T656" s="220">
        <v>332.0</v>
      </c>
      <c r="U656" s="198"/>
    </row>
    <row r="657" ht="22.5" customHeight="1">
      <c r="A657" s="211" t="s">
        <v>1806</v>
      </c>
      <c r="B657" s="212" t="s">
        <v>151</v>
      </c>
      <c r="C657" s="231" t="s">
        <v>684</v>
      </c>
      <c r="D657" s="214" t="s">
        <v>1782</v>
      </c>
      <c r="E657" s="212" t="s">
        <v>15</v>
      </c>
      <c r="F657" s="215">
        <v>3.0</v>
      </c>
      <c r="G657" s="147"/>
      <c r="H657" s="216">
        <v>100.0</v>
      </c>
      <c r="I657" s="216">
        <v>300.0</v>
      </c>
      <c r="J657" s="201"/>
      <c r="K657" s="201"/>
      <c r="L657" s="217">
        <v>46029.0</v>
      </c>
      <c r="M657" s="217">
        <v>46060.0</v>
      </c>
      <c r="N657" s="147"/>
      <c r="O657" s="215">
        <v>-837.0</v>
      </c>
      <c r="P657" s="215">
        <v>867.0</v>
      </c>
      <c r="Q657" s="203"/>
      <c r="R657" s="218" t="s">
        <v>1807</v>
      </c>
      <c r="S657" s="186"/>
      <c r="T657" s="215">
        <v>333.0</v>
      </c>
      <c r="U657" s="204"/>
    </row>
    <row r="658" ht="22.5" hidden="1" customHeight="1">
      <c r="A658" s="205"/>
      <c r="B658" s="193" t="s">
        <v>923</v>
      </c>
      <c r="C658" s="233" t="s">
        <v>585</v>
      </c>
      <c r="D658" s="234"/>
      <c r="E658" s="209"/>
      <c r="F658" s="150"/>
      <c r="G658" s="45"/>
      <c r="H658" s="207"/>
      <c r="I658" s="197" t="s">
        <v>924</v>
      </c>
      <c r="J658" s="222">
        <v>106161.25</v>
      </c>
      <c r="K658" s="222">
        <v>29925.0</v>
      </c>
      <c r="L658" s="208"/>
      <c r="M658" s="208"/>
      <c r="N658" s="150"/>
      <c r="O658" s="150"/>
      <c r="P658" s="150"/>
      <c r="Q658" s="209"/>
      <c r="R658" s="45"/>
      <c r="S658" s="45"/>
      <c r="T658" s="150"/>
      <c r="U658" s="198"/>
    </row>
    <row r="659" ht="22.5" hidden="1" customHeight="1">
      <c r="A659" s="199"/>
      <c r="B659" s="212" t="s">
        <v>558</v>
      </c>
      <c r="C659" s="235" t="s">
        <v>570</v>
      </c>
      <c r="D659" s="236"/>
      <c r="E659" s="236"/>
      <c r="F659" s="147"/>
      <c r="G659" s="236"/>
      <c r="H659" s="201"/>
      <c r="I659" s="237" t="s">
        <v>925</v>
      </c>
      <c r="J659" s="216">
        <v>359100.0</v>
      </c>
      <c r="K659" s="201"/>
      <c r="L659" s="202"/>
      <c r="M659" s="218" t="s">
        <v>926</v>
      </c>
      <c r="N659" s="147"/>
      <c r="O659" s="147"/>
      <c r="P659" s="147"/>
      <c r="Q659" s="203"/>
      <c r="R659" s="236"/>
      <c r="S659" s="236"/>
      <c r="T659" s="215">
        <v>333.0</v>
      </c>
      <c r="U659" s="204"/>
    </row>
    <row r="660" ht="22.5" hidden="1" customHeight="1">
      <c r="A660" s="205"/>
      <c r="B660" s="193" t="s">
        <v>696</v>
      </c>
      <c r="C660" s="238" t="s">
        <v>1020</v>
      </c>
      <c r="D660" s="234"/>
      <c r="E660" s="234"/>
      <c r="F660" s="150"/>
      <c r="G660" s="234"/>
      <c r="H660" s="207"/>
      <c r="I660" s="197" t="s">
        <v>928</v>
      </c>
      <c r="J660" s="222">
        <v>303547.5</v>
      </c>
      <c r="K660" s="207"/>
      <c r="L660" s="208"/>
      <c r="M660" s="208"/>
      <c r="N660" s="150"/>
      <c r="O660" s="150"/>
      <c r="P660" s="150"/>
      <c r="Q660" s="209"/>
      <c r="R660" s="234"/>
      <c r="S660" s="234"/>
      <c r="T660" s="150"/>
      <c r="U660" s="198"/>
    </row>
    <row r="661" ht="22.5" hidden="1" customHeight="1">
      <c r="A661" s="199"/>
      <c r="B661" s="146"/>
      <c r="C661" s="200"/>
      <c r="D661" s="200"/>
      <c r="E661" s="200"/>
      <c r="F661" s="147"/>
      <c r="G661" s="186"/>
      <c r="H661" s="201"/>
      <c r="I661" s="201"/>
      <c r="J661" s="201"/>
      <c r="K661" s="201"/>
      <c r="L661" s="202"/>
      <c r="M661" s="202"/>
      <c r="N661" s="147"/>
      <c r="O661" s="147"/>
      <c r="P661" s="147"/>
      <c r="Q661" s="203"/>
      <c r="R661" s="186"/>
      <c r="S661" s="186"/>
      <c r="T661" s="147"/>
      <c r="U661" s="204"/>
    </row>
    <row r="662" ht="22.5" hidden="1" customHeight="1">
      <c r="A662" s="205"/>
      <c r="B662" s="82"/>
      <c r="C662" s="206"/>
      <c r="D662" s="206"/>
      <c r="E662" s="206"/>
      <c r="F662" s="150"/>
      <c r="G662" s="45"/>
      <c r="H662" s="207"/>
      <c r="I662" s="207"/>
      <c r="J662" s="207"/>
      <c r="K662" s="207"/>
      <c r="L662" s="208"/>
      <c r="M662" s="208"/>
      <c r="N662" s="150"/>
      <c r="O662" s="150"/>
      <c r="P662" s="150"/>
      <c r="Q662" s="209"/>
      <c r="R662" s="45"/>
      <c r="S662" s="45"/>
      <c r="T662" s="150"/>
      <c r="U662" s="198"/>
    </row>
    <row r="663" ht="22.5" hidden="1" customHeight="1">
      <c r="A663" s="199"/>
      <c r="B663" s="146"/>
      <c r="C663" s="200"/>
      <c r="D663" s="200"/>
      <c r="E663" s="200"/>
      <c r="F663" s="147"/>
      <c r="G663" s="186"/>
      <c r="H663" s="201"/>
      <c r="I663" s="201"/>
      <c r="J663" s="201"/>
      <c r="K663" s="201"/>
      <c r="L663" s="202"/>
      <c r="M663" s="202"/>
      <c r="N663" s="147"/>
      <c r="O663" s="147"/>
      <c r="P663" s="147"/>
      <c r="Q663" s="203"/>
      <c r="R663" s="186"/>
      <c r="S663" s="186"/>
      <c r="T663" s="147"/>
      <c r="U663" s="204"/>
    </row>
    <row r="664" ht="22.5" hidden="1" customHeight="1">
      <c r="A664" s="205"/>
      <c r="B664" s="82"/>
      <c r="C664" s="206"/>
      <c r="D664" s="206"/>
      <c r="E664" s="206"/>
      <c r="F664" s="150"/>
      <c r="G664" s="45"/>
      <c r="H664" s="207"/>
      <c r="I664" s="207"/>
      <c r="J664" s="207"/>
      <c r="K664" s="207"/>
      <c r="L664" s="208"/>
      <c r="M664" s="208"/>
      <c r="N664" s="150"/>
      <c r="O664" s="150"/>
      <c r="P664" s="150"/>
      <c r="Q664" s="209"/>
      <c r="R664" s="45"/>
      <c r="S664" s="45"/>
      <c r="T664" s="150"/>
      <c r="U664" s="198"/>
    </row>
    <row r="665" ht="22.5" hidden="1" customHeight="1">
      <c r="A665" s="211" t="s">
        <v>181</v>
      </c>
      <c r="B665" s="212" t="s">
        <v>132</v>
      </c>
      <c r="C665" s="212" t="s">
        <v>131</v>
      </c>
      <c r="D665" s="214" t="s">
        <v>870</v>
      </c>
      <c r="E665" s="212" t="s">
        <v>7</v>
      </c>
      <c r="F665" s="228" t="s">
        <v>871</v>
      </c>
      <c r="G665" s="212" t="s">
        <v>872</v>
      </c>
      <c r="H665" s="237" t="s">
        <v>8</v>
      </c>
      <c r="I665" s="237" t="s">
        <v>873</v>
      </c>
      <c r="J665" s="237" t="s">
        <v>17</v>
      </c>
      <c r="K665" s="237" t="s">
        <v>874</v>
      </c>
      <c r="L665" s="218" t="s">
        <v>875</v>
      </c>
      <c r="M665" s="218" t="s">
        <v>876</v>
      </c>
      <c r="N665" s="228" t="s">
        <v>877</v>
      </c>
      <c r="O665" s="228" t="s">
        <v>878</v>
      </c>
      <c r="P665" s="228" t="s">
        <v>879</v>
      </c>
      <c r="Q665" s="218" t="s">
        <v>880</v>
      </c>
      <c r="R665" s="218" t="s">
        <v>881</v>
      </c>
      <c r="S665" s="218" t="s">
        <v>882</v>
      </c>
      <c r="T665" s="228" t="s">
        <v>557</v>
      </c>
      <c r="U665" s="204"/>
    </row>
    <row r="666" ht="22.5" customHeight="1">
      <c r="A666" s="205"/>
      <c r="B666" s="193" t="s">
        <v>211</v>
      </c>
      <c r="C666" s="226" t="s">
        <v>136</v>
      </c>
      <c r="D666" s="194" t="s">
        <v>1650</v>
      </c>
      <c r="E666" s="193" t="s">
        <v>15</v>
      </c>
      <c r="F666" s="220">
        <v>3.0</v>
      </c>
      <c r="G666" s="150"/>
      <c r="H666" s="222">
        <v>150.0</v>
      </c>
      <c r="I666" s="222">
        <v>450.0</v>
      </c>
      <c r="J666" s="222">
        <v>9000.0</v>
      </c>
      <c r="K666" s="222">
        <v>0.0</v>
      </c>
      <c r="L666" s="223">
        <v>46371.0</v>
      </c>
      <c r="M666" s="223">
        <v>46037.0</v>
      </c>
      <c r="N666" s="220">
        <v>1.0</v>
      </c>
      <c r="O666" s="220">
        <v>-860.0</v>
      </c>
      <c r="P666" s="220">
        <v>890.0</v>
      </c>
      <c r="Q666" s="209"/>
      <c r="R666" s="196" t="s">
        <v>1808</v>
      </c>
      <c r="S666" s="45"/>
      <c r="T666" s="220">
        <v>301.0</v>
      </c>
      <c r="U666" s="198"/>
    </row>
    <row r="667" ht="22.5" customHeight="1">
      <c r="A667" s="211" t="s">
        <v>684</v>
      </c>
      <c r="B667" s="212" t="s">
        <v>293</v>
      </c>
      <c r="C667" s="231" t="s">
        <v>684</v>
      </c>
      <c r="D667" s="214" t="s">
        <v>1750</v>
      </c>
      <c r="E667" s="212" t="s">
        <v>17</v>
      </c>
      <c r="F667" s="215">
        <v>2.0</v>
      </c>
      <c r="G667" s="210"/>
      <c r="H667" s="237" t="s">
        <v>1751</v>
      </c>
      <c r="I667" s="216">
        <v>10000.0</v>
      </c>
      <c r="J667" s="201"/>
      <c r="K667" s="201"/>
      <c r="L667" s="217">
        <v>46359.0</v>
      </c>
      <c r="M667" s="217">
        <v>46025.0</v>
      </c>
      <c r="N667" s="147"/>
      <c r="O667" s="215">
        <v>-872.0</v>
      </c>
      <c r="P667" s="215">
        <v>902.0</v>
      </c>
      <c r="Q667" s="203"/>
      <c r="R667" s="218" t="s">
        <v>1809</v>
      </c>
      <c r="S667" s="186"/>
      <c r="T667" s="215">
        <v>302.0</v>
      </c>
      <c r="U667" s="204"/>
    </row>
    <row r="668" ht="22.5" customHeight="1">
      <c r="A668" s="205"/>
      <c r="B668" s="193" t="s">
        <v>324</v>
      </c>
      <c r="C668" s="226" t="s">
        <v>136</v>
      </c>
      <c r="D668" s="194" t="s">
        <v>1782</v>
      </c>
      <c r="E668" s="193" t="s">
        <v>15</v>
      </c>
      <c r="F668" s="220">
        <v>3.0</v>
      </c>
      <c r="G668" s="150"/>
      <c r="H668" s="222">
        <v>100.0</v>
      </c>
      <c r="I668" s="222">
        <v>300.0</v>
      </c>
      <c r="J668" s="222">
        <v>6600.0</v>
      </c>
      <c r="K668" s="222">
        <v>6600.0</v>
      </c>
      <c r="L668" s="223">
        <v>46357.0</v>
      </c>
      <c r="M668" s="223">
        <v>46023.0</v>
      </c>
      <c r="N668" s="220">
        <v>0.0</v>
      </c>
      <c r="O668" s="220">
        <v>-874.0</v>
      </c>
      <c r="P668" s="220">
        <v>904.0</v>
      </c>
      <c r="Q668" s="209"/>
      <c r="R668" s="196" t="s">
        <v>1810</v>
      </c>
      <c r="S668" s="45"/>
      <c r="T668" s="220">
        <v>303.0</v>
      </c>
      <c r="U668" s="198"/>
    </row>
    <row r="669" ht="22.5" customHeight="1">
      <c r="A669" s="211" t="s">
        <v>1785</v>
      </c>
      <c r="B669" s="212" t="s">
        <v>255</v>
      </c>
      <c r="C669" s="213" t="s">
        <v>136</v>
      </c>
      <c r="D669" s="214" t="s">
        <v>1704</v>
      </c>
      <c r="E669" s="212" t="s">
        <v>15</v>
      </c>
      <c r="F669" s="215">
        <v>2.0</v>
      </c>
      <c r="G669" s="210"/>
      <c r="H669" s="216">
        <v>6000.0</v>
      </c>
      <c r="I669" s="216">
        <v>12000.0</v>
      </c>
      <c r="J669" s="216">
        <v>12000.0</v>
      </c>
      <c r="K669" s="216">
        <v>0.0</v>
      </c>
      <c r="L669" s="217">
        <v>46377.0</v>
      </c>
      <c r="M669" s="217">
        <v>46043.0</v>
      </c>
      <c r="N669" s="215">
        <v>1.0</v>
      </c>
      <c r="O669" s="215">
        <v>-854.0</v>
      </c>
      <c r="P669" s="215">
        <v>884.0</v>
      </c>
      <c r="Q669" s="203"/>
      <c r="R669" s="218" t="s">
        <v>1811</v>
      </c>
      <c r="S669" s="186"/>
      <c r="T669" s="215">
        <v>304.0</v>
      </c>
      <c r="U669" s="204"/>
    </row>
    <row r="670" ht="22.5" customHeight="1">
      <c r="A670" s="192">
        <v>0.25</v>
      </c>
      <c r="B670" s="193" t="s">
        <v>319</v>
      </c>
      <c r="C670" s="226" t="s">
        <v>136</v>
      </c>
      <c r="D670" s="194" t="s">
        <v>1788</v>
      </c>
      <c r="E670" s="193" t="s">
        <v>17</v>
      </c>
      <c r="F670" s="220">
        <v>3.0</v>
      </c>
      <c r="G670" s="150"/>
      <c r="H670" s="222">
        <v>2000.0</v>
      </c>
      <c r="I670" s="222">
        <v>5625.0</v>
      </c>
      <c r="J670" s="222">
        <v>5625.0</v>
      </c>
      <c r="K670" s="222">
        <v>0.0</v>
      </c>
      <c r="L670" s="223">
        <v>46368.0</v>
      </c>
      <c r="M670" s="223">
        <v>46034.0</v>
      </c>
      <c r="N670" s="220">
        <v>1.0</v>
      </c>
      <c r="O670" s="220">
        <v>-863.0</v>
      </c>
      <c r="P670" s="220">
        <v>893.0</v>
      </c>
      <c r="Q670" s="209"/>
      <c r="R670" s="196" t="s">
        <v>1812</v>
      </c>
      <c r="S670" s="45"/>
      <c r="T670" s="220">
        <v>305.0</v>
      </c>
      <c r="U670" s="198"/>
    </row>
    <row r="671" ht="22.5" customHeight="1">
      <c r="A671" s="199"/>
      <c r="B671" s="212" t="s">
        <v>309</v>
      </c>
      <c r="C671" s="213" t="s">
        <v>136</v>
      </c>
      <c r="D671" s="214" t="s">
        <v>1676</v>
      </c>
      <c r="E671" s="212" t="s">
        <v>17</v>
      </c>
      <c r="F671" s="215">
        <v>2.0</v>
      </c>
      <c r="G671" s="210"/>
      <c r="H671" s="216">
        <v>2500.0</v>
      </c>
      <c r="I671" s="216">
        <v>5000.0</v>
      </c>
      <c r="J671" s="216">
        <v>5000.0</v>
      </c>
      <c r="K671" s="216">
        <v>0.0</v>
      </c>
      <c r="L671" s="217">
        <v>46359.0</v>
      </c>
      <c r="M671" s="217">
        <v>46025.0</v>
      </c>
      <c r="N671" s="215">
        <v>1.0</v>
      </c>
      <c r="O671" s="215">
        <v>-872.0</v>
      </c>
      <c r="P671" s="215">
        <v>902.0</v>
      </c>
      <c r="Q671" s="203"/>
      <c r="R671" s="218" t="s">
        <v>1813</v>
      </c>
      <c r="S671" s="186"/>
      <c r="T671" s="215">
        <v>306.0</v>
      </c>
      <c r="U671" s="204"/>
    </row>
    <row r="672" ht="22.5" customHeight="1">
      <c r="A672" s="192" t="s">
        <v>1814</v>
      </c>
      <c r="B672" s="193" t="s">
        <v>301</v>
      </c>
      <c r="C672" s="226" t="s">
        <v>136</v>
      </c>
      <c r="D672" s="194" t="s">
        <v>1708</v>
      </c>
      <c r="E672" s="193" t="s">
        <v>17</v>
      </c>
      <c r="F672" s="220">
        <v>2.0</v>
      </c>
      <c r="G672" s="221"/>
      <c r="H672" s="222">
        <v>6000.0</v>
      </c>
      <c r="I672" s="222">
        <v>10000.0</v>
      </c>
      <c r="J672" s="222">
        <v>10000.0</v>
      </c>
      <c r="K672" s="222">
        <v>0.0</v>
      </c>
      <c r="L672" s="223">
        <v>46374.0</v>
      </c>
      <c r="M672" s="223">
        <v>46040.0</v>
      </c>
      <c r="N672" s="220">
        <v>1.0</v>
      </c>
      <c r="O672" s="220">
        <v>-857.0</v>
      </c>
      <c r="P672" s="220">
        <v>887.0</v>
      </c>
      <c r="Q672" s="209"/>
      <c r="R672" s="196" t="s">
        <v>1815</v>
      </c>
      <c r="S672" s="45"/>
      <c r="T672" s="220">
        <v>307.0</v>
      </c>
      <c r="U672" s="198"/>
    </row>
    <row r="673" ht="22.5" customHeight="1">
      <c r="A673" s="199"/>
      <c r="B673" s="212" t="s">
        <v>259</v>
      </c>
      <c r="C673" s="213" t="s">
        <v>136</v>
      </c>
      <c r="D673" s="214" t="s">
        <v>1816</v>
      </c>
      <c r="E673" s="212" t="s">
        <v>15</v>
      </c>
      <c r="F673" s="215">
        <v>2.0</v>
      </c>
      <c r="G673" s="210"/>
      <c r="H673" s="216">
        <v>5000.0</v>
      </c>
      <c r="I673" s="216">
        <v>10000.0</v>
      </c>
      <c r="J673" s="216">
        <v>10000.0</v>
      </c>
      <c r="K673" s="216">
        <v>0.0</v>
      </c>
      <c r="L673" s="217">
        <v>46365.0</v>
      </c>
      <c r="M673" s="217">
        <v>46031.0</v>
      </c>
      <c r="N673" s="215">
        <v>1.0</v>
      </c>
      <c r="O673" s="215">
        <v>-866.0</v>
      </c>
      <c r="P673" s="215">
        <v>896.0</v>
      </c>
      <c r="Q673" s="203"/>
      <c r="R673" s="218" t="s">
        <v>1817</v>
      </c>
      <c r="S673" s="186"/>
      <c r="T673" s="215">
        <v>308.0</v>
      </c>
      <c r="U673" s="204"/>
    </row>
    <row r="674" ht="22.5" customHeight="1">
      <c r="A674" s="205"/>
      <c r="B674" s="193" t="s">
        <v>271</v>
      </c>
      <c r="C674" s="219" t="s">
        <v>684</v>
      </c>
      <c r="D674" s="194" t="s">
        <v>1760</v>
      </c>
      <c r="E674" s="193" t="s">
        <v>15</v>
      </c>
      <c r="F674" s="220">
        <v>5.0</v>
      </c>
      <c r="G674" s="221"/>
      <c r="H674" s="222">
        <v>100.0</v>
      </c>
      <c r="I674" s="222">
        <v>500.0</v>
      </c>
      <c r="J674" s="207"/>
      <c r="K674" s="207"/>
      <c r="L674" s="223">
        <v>46377.0</v>
      </c>
      <c r="M674" s="223">
        <v>46043.0</v>
      </c>
      <c r="N674" s="150"/>
      <c r="O674" s="220">
        <v>-854.0</v>
      </c>
      <c r="P674" s="220">
        <v>884.0</v>
      </c>
      <c r="Q674" s="209"/>
      <c r="R674" s="196" t="s">
        <v>1818</v>
      </c>
      <c r="S674" s="45"/>
      <c r="T674" s="220">
        <v>309.0</v>
      </c>
      <c r="U674" s="198"/>
    </row>
    <row r="675" ht="22.5" customHeight="1">
      <c r="A675" s="211" t="s">
        <v>1819</v>
      </c>
      <c r="B675" s="212" t="s">
        <v>305</v>
      </c>
      <c r="C675" s="213" t="s">
        <v>136</v>
      </c>
      <c r="D675" s="214" t="s">
        <v>1762</v>
      </c>
      <c r="E675" s="212" t="s">
        <v>17</v>
      </c>
      <c r="F675" s="215">
        <v>3.0</v>
      </c>
      <c r="G675" s="210"/>
      <c r="H675" s="216">
        <v>2500.0</v>
      </c>
      <c r="I675" s="216">
        <v>5625.0</v>
      </c>
      <c r="J675" s="216">
        <v>5625.0</v>
      </c>
      <c r="K675" s="216">
        <v>5625.0</v>
      </c>
      <c r="L675" s="217">
        <v>46376.0</v>
      </c>
      <c r="M675" s="217">
        <v>46042.0</v>
      </c>
      <c r="N675" s="215">
        <v>0.0</v>
      </c>
      <c r="O675" s="215">
        <v>-855.0</v>
      </c>
      <c r="P675" s="215">
        <v>885.0</v>
      </c>
      <c r="Q675" s="203"/>
      <c r="R675" s="218" t="s">
        <v>1820</v>
      </c>
      <c r="S675" s="186"/>
      <c r="T675" s="215">
        <v>310.0</v>
      </c>
      <c r="U675" s="204"/>
    </row>
    <row r="676" ht="22.5" customHeight="1">
      <c r="A676" s="205"/>
      <c r="B676" s="193" t="s">
        <v>263</v>
      </c>
      <c r="C676" s="226" t="s">
        <v>136</v>
      </c>
      <c r="D676" s="194" t="s">
        <v>1739</v>
      </c>
      <c r="E676" s="193" t="s">
        <v>15</v>
      </c>
      <c r="F676" s="220">
        <v>3.0</v>
      </c>
      <c r="G676" s="230">
        <v>0.33</v>
      </c>
      <c r="H676" s="222">
        <v>100.0</v>
      </c>
      <c r="I676" s="222">
        <v>300.0</v>
      </c>
      <c r="J676" s="222">
        <v>6000.0</v>
      </c>
      <c r="K676" s="222">
        <v>6000.0</v>
      </c>
      <c r="L676" s="223">
        <v>46357.0</v>
      </c>
      <c r="M676" s="223">
        <v>46023.0</v>
      </c>
      <c r="N676" s="220">
        <v>0.0</v>
      </c>
      <c r="O676" s="220">
        <v>-874.0</v>
      </c>
      <c r="P676" s="220">
        <v>904.0</v>
      </c>
      <c r="Q676" s="209"/>
      <c r="R676" s="196" t="s">
        <v>1821</v>
      </c>
      <c r="S676" s="45"/>
      <c r="T676" s="220">
        <v>311.0</v>
      </c>
      <c r="U676" s="198"/>
    </row>
    <row r="677" ht="22.5" customHeight="1">
      <c r="A677" s="199"/>
      <c r="B677" s="212" t="s">
        <v>249</v>
      </c>
      <c r="C677" s="213" t="s">
        <v>136</v>
      </c>
      <c r="D677" s="214" t="s">
        <v>1717</v>
      </c>
      <c r="E677" s="212" t="s">
        <v>15</v>
      </c>
      <c r="F677" s="215">
        <v>3.0</v>
      </c>
      <c r="G677" s="224">
        <v>0.33</v>
      </c>
      <c r="H677" s="216">
        <v>100.0</v>
      </c>
      <c r="I677" s="216">
        <v>300.0</v>
      </c>
      <c r="J677" s="216">
        <v>6000.0</v>
      </c>
      <c r="K677" s="216">
        <v>0.0</v>
      </c>
      <c r="L677" s="217">
        <v>46367.0</v>
      </c>
      <c r="M677" s="217">
        <v>46033.0</v>
      </c>
      <c r="N677" s="215">
        <v>1.0</v>
      </c>
      <c r="O677" s="215">
        <v>-864.0</v>
      </c>
      <c r="P677" s="215">
        <v>894.0</v>
      </c>
      <c r="Q677" s="203"/>
      <c r="R677" s="218" t="s">
        <v>1822</v>
      </c>
      <c r="S677" s="186"/>
      <c r="T677" s="215">
        <v>312.0</v>
      </c>
      <c r="U677" s="204"/>
    </row>
    <row r="678" ht="22.5" customHeight="1">
      <c r="A678" s="192" t="s">
        <v>1823</v>
      </c>
      <c r="B678" s="193" t="s">
        <v>291</v>
      </c>
      <c r="C678" s="226" t="s">
        <v>136</v>
      </c>
      <c r="D678" s="194" t="s">
        <v>1824</v>
      </c>
      <c r="E678" s="193" t="s">
        <v>17</v>
      </c>
      <c r="F678" s="220">
        <v>6.0</v>
      </c>
      <c r="G678" s="221"/>
      <c r="H678" s="197" t="s">
        <v>1825</v>
      </c>
      <c r="I678" s="222">
        <v>39000.0</v>
      </c>
      <c r="J678" s="222">
        <v>39000.0</v>
      </c>
      <c r="K678" s="222">
        <v>-6500.0</v>
      </c>
      <c r="L678" s="223">
        <v>46359.0</v>
      </c>
      <c r="M678" s="223">
        <v>46025.0</v>
      </c>
      <c r="N678" s="220">
        <v>1.0</v>
      </c>
      <c r="O678" s="220">
        <v>-872.0</v>
      </c>
      <c r="P678" s="220">
        <v>902.0</v>
      </c>
      <c r="Q678" s="209"/>
      <c r="R678" s="196" t="s">
        <v>1826</v>
      </c>
      <c r="S678" s="45"/>
      <c r="T678" s="220">
        <v>313.0</v>
      </c>
      <c r="U678" s="198"/>
    </row>
    <row r="679" ht="22.5" customHeight="1">
      <c r="A679" s="199"/>
      <c r="B679" s="212" t="s">
        <v>322</v>
      </c>
      <c r="C679" s="213" t="s">
        <v>136</v>
      </c>
      <c r="D679" s="214" t="s">
        <v>1827</v>
      </c>
      <c r="E679" s="212" t="s">
        <v>15</v>
      </c>
      <c r="F679" s="215">
        <v>4.0</v>
      </c>
      <c r="G679" s="215">
        <v>33.3</v>
      </c>
      <c r="H679" s="216">
        <v>100.0</v>
      </c>
      <c r="I679" s="216">
        <v>400.0</v>
      </c>
      <c r="J679" s="216">
        <v>8000.0</v>
      </c>
      <c r="K679" s="216">
        <v>0.0</v>
      </c>
      <c r="L679" s="217">
        <v>46363.0</v>
      </c>
      <c r="M679" s="217">
        <v>46029.0</v>
      </c>
      <c r="N679" s="215">
        <v>1.0</v>
      </c>
      <c r="O679" s="215">
        <v>-868.0</v>
      </c>
      <c r="P679" s="215">
        <v>898.0</v>
      </c>
      <c r="Q679" s="203"/>
      <c r="R679" s="218" t="s">
        <v>1828</v>
      </c>
      <c r="S679" s="186"/>
      <c r="T679" s="215">
        <v>314.0</v>
      </c>
      <c r="U679" s="204"/>
    </row>
    <row r="680" ht="22.5" customHeight="1">
      <c r="A680" s="205"/>
      <c r="B680" s="193" t="s">
        <v>151</v>
      </c>
      <c r="C680" s="226" t="s">
        <v>136</v>
      </c>
      <c r="D680" s="194" t="s">
        <v>1782</v>
      </c>
      <c r="E680" s="193" t="s">
        <v>15</v>
      </c>
      <c r="F680" s="220">
        <v>3.0</v>
      </c>
      <c r="G680" s="150"/>
      <c r="H680" s="222">
        <v>100.0</v>
      </c>
      <c r="I680" s="222">
        <v>300.0</v>
      </c>
      <c r="J680" s="222">
        <v>6000.0</v>
      </c>
      <c r="K680" s="222">
        <v>6000.0</v>
      </c>
      <c r="L680" s="223">
        <v>46363.0</v>
      </c>
      <c r="M680" s="223">
        <v>46029.0</v>
      </c>
      <c r="N680" s="220">
        <v>0.0</v>
      </c>
      <c r="O680" s="220">
        <v>-868.0</v>
      </c>
      <c r="P680" s="220">
        <v>898.0</v>
      </c>
      <c r="Q680" s="209"/>
      <c r="R680" s="196" t="s">
        <v>1829</v>
      </c>
      <c r="S680" s="45"/>
      <c r="T680" s="220">
        <v>315.0</v>
      </c>
      <c r="U680" s="198"/>
    </row>
    <row r="681" ht="22.5" hidden="1" customHeight="1">
      <c r="A681" s="199"/>
      <c r="B681" s="212" t="s">
        <v>923</v>
      </c>
      <c r="C681" s="240" t="s">
        <v>583</v>
      </c>
      <c r="D681" s="236"/>
      <c r="E681" s="203"/>
      <c r="F681" s="147"/>
      <c r="G681" s="186"/>
      <c r="H681" s="201"/>
      <c r="I681" s="237" t="s">
        <v>924</v>
      </c>
      <c r="J681" s="216">
        <v>128850.0</v>
      </c>
      <c r="K681" s="216">
        <v>17725.0</v>
      </c>
      <c r="L681" s="202"/>
      <c r="M681" s="202"/>
      <c r="N681" s="147"/>
      <c r="O681" s="147"/>
      <c r="P681" s="147"/>
      <c r="Q681" s="203"/>
      <c r="R681" s="186"/>
      <c r="S681" s="186"/>
      <c r="T681" s="147"/>
      <c r="U681" s="204"/>
    </row>
    <row r="682" ht="22.5" hidden="1" customHeight="1">
      <c r="A682" s="205"/>
      <c r="B682" s="193" t="s">
        <v>558</v>
      </c>
      <c r="C682" s="241" t="s">
        <v>592</v>
      </c>
      <c r="D682" s="234"/>
      <c r="E682" s="234"/>
      <c r="F682" s="150"/>
      <c r="G682" s="234"/>
      <c r="H682" s="207"/>
      <c r="I682" s="197" t="s">
        <v>925</v>
      </c>
      <c r="J682" s="222">
        <v>212700.0</v>
      </c>
      <c r="K682" s="207"/>
      <c r="L682" s="208"/>
      <c r="M682" s="196" t="s">
        <v>926</v>
      </c>
      <c r="N682" s="150"/>
      <c r="O682" s="150"/>
      <c r="P682" s="150"/>
      <c r="Q682" s="209"/>
      <c r="R682" s="234"/>
      <c r="S682" s="234"/>
      <c r="T682" s="220">
        <v>315.0</v>
      </c>
      <c r="U682" s="198"/>
    </row>
    <row r="683" ht="22.5" hidden="1" customHeight="1">
      <c r="A683" s="199"/>
      <c r="B683" s="212" t="s">
        <v>696</v>
      </c>
      <c r="C683" s="232" t="s">
        <v>1050</v>
      </c>
      <c r="D683" s="236"/>
      <c r="E683" s="236"/>
      <c r="F683" s="147"/>
      <c r="G683" s="236"/>
      <c r="H683" s="201"/>
      <c r="I683" s="237" t="s">
        <v>928</v>
      </c>
      <c r="J683" s="216">
        <v>273622.5</v>
      </c>
      <c r="K683" s="201"/>
      <c r="L683" s="202"/>
      <c r="M683" s="202"/>
      <c r="N683" s="147"/>
      <c r="O683" s="147"/>
      <c r="P683" s="147"/>
      <c r="Q683" s="203"/>
      <c r="R683" s="236"/>
      <c r="S683" s="236"/>
      <c r="T683" s="147"/>
      <c r="U683" s="204"/>
    </row>
    <row r="684" ht="22.5" hidden="1" customHeight="1">
      <c r="A684" s="205"/>
      <c r="B684" s="82"/>
      <c r="C684" s="206"/>
      <c r="D684" s="206"/>
      <c r="E684" s="206"/>
      <c r="F684" s="150"/>
      <c r="G684" s="45"/>
      <c r="H684" s="207"/>
      <c r="I684" s="207"/>
      <c r="J684" s="207"/>
      <c r="K684" s="207"/>
      <c r="L684" s="208"/>
      <c r="M684" s="208"/>
      <c r="N684" s="150"/>
      <c r="O684" s="150"/>
      <c r="P684" s="150"/>
      <c r="Q684" s="209"/>
      <c r="R684" s="45"/>
      <c r="S684" s="45"/>
      <c r="T684" s="150"/>
      <c r="U684" s="198"/>
    </row>
    <row r="685" ht="22.5" hidden="1" customHeight="1">
      <c r="A685" s="199"/>
      <c r="B685" s="146"/>
      <c r="C685" s="200"/>
      <c r="D685" s="200"/>
      <c r="E685" s="200"/>
      <c r="F685" s="147"/>
      <c r="G685" s="186"/>
      <c r="H685" s="201"/>
      <c r="I685" s="201"/>
      <c r="J685" s="201"/>
      <c r="K685" s="201"/>
      <c r="L685" s="202"/>
      <c r="M685" s="202"/>
      <c r="N685" s="147"/>
      <c r="O685" s="147"/>
      <c r="P685" s="147"/>
      <c r="Q685" s="203"/>
      <c r="R685" s="186"/>
      <c r="S685" s="186"/>
      <c r="T685" s="147"/>
      <c r="U685" s="204"/>
    </row>
    <row r="686" ht="22.5" hidden="1" customHeight="1">
      <c r="A686" s="205"/>
      <c r="B686" s="82"/>
      <c r="C686" s="206"/>
      <c r="D686" s="206"/>
      <c r="E686" s="206"/>
      <c r="F686" s="150"/>
      <c r="G686" s="45"/>
      <c r="H686" s="207"/>
      <c r="I686" s="207"/>
      <c r="J686" s="207"/>
      <c r="K686" s="207"/>
      <c r="L686" s="208"/>
      <c r="M686" s="208"/>
      <c r="N686" s="150"/>
      <c r="O686" s="150"/>
      <c r="P686" s="150"/>
      <c r="Q686" s="209"/>
      <c r="R686" s="45"/>
      <c r="S686" s="45"/>
      <c r="T686" s="150"/>
      <c r="U686" s="198"/>
    </row>
    <row r="687" ht="22.5" hidden="1" customHeight="1">
      <c r="A687" s="199"/>
      <c r="B687" s="146"/>
      <c r="C687" s="200"/>
      <c r="D687" s="200"/>
      <c r="E687" s="200"/>
      <c r="F687" s="147"/>
      <c r="G687" s="186"/>
      <c r="H687" s="201"/>
      <c r="I687" s="201"/>
      <c r="J687" s="201"/>
      <c r="K687" s="201"/>
      <c r="L687" s="202"/>
      <c r="M687" s="202"/>
      <c r="N687" s="147"/>
      <c r="O687" s="147"/>
      <c r="P687" s="147"/>
      <c r="Q687" s="203"/>
      <c r="R687" s="186"/>
      <c r="S687" s="186"/>
      <c r="T687" s="147"/>
      <c r="U687" s="204"/>
    </row>
    <row r="688" ht="22.5" hidden="1" customHeight="1">
      <c r="A688" s="192" t="s">
        <v>181</v>
      </c>
      <c r="B688" s="193" t="s">
        <v>132</v>
      </c>
      <c r="C688" s="193" t="s">
        <v>131</v>
      </c>
      <c r="D688" s="194" t="s">
        <v>870</v>
      </c>
      <c r="E688" s="193" t="s">
        <v>7</v>
      </c>
      <c r="F688" s="195" t="s">
        <v>871</v>
      </c>
      <c r="G688" s="193" t="s">
        <v>872</v>
      </c>
      <c r="H688" s="197" t="s">
        <v>8</v>
      </c>
      <c r="I688" s="197" t="s">
        <v>873</v>
      </c>
      <c r="J688" s="197" t="s">
        <v>17</v>
      </c>
      <c r="K688" s="197" t="s">
        <v>874</v>
      </c>
      <c r="L688" s="196" t="s">
        <v>875</v>
      </c>
      <c r="M688" s="196" t="s">
        <v>876</v>
      </c>
      <c r="N688" s="195" t="s">
        <v>877</v>
      </c>
      <c r="O688" s="195" t="s">
        <v>878</v>
      </c>
      <c r="P688" s="195" t="s">
        <v>879</v>
      </c>
      <c r="Q688" s="196" t="s">
        <v>880</v>
      </c>
      <c r="R688" s="196" t="s">
        <v>881</v>
      </c>
      <c r="S688" s="196" t="s">
        <v>882</v>
      </c>
      <c r="T688" s="195" t="s">
        <v>557</v>
      </c>
      <c r="U688" s="198"/>
    </row>
    <row r="689" ht="22.5" customHeight="1">
      <c r="A689" s="211" t="s">
        <v>1830</v>
      </c>
      <c r="B689" s="212" t="s">
        <v>293</v>
      </c>
      <c r="C689" s="231" t="s">
        <v>684</v>
      </c>
      <c r="D689" s="214" t="s">
        <v>1750</v>
      </c>
      <c r="E689" s="212" t="s">
        <v>17</v>
      </c>
      <c r="F689" s="215">
        <v>2.0</v>
      </c>
      <c r="G689" s="210"/>
      <c r="H689" s="237" t="s">
        <v>1751</v>
      </c>
      <c r="I689" s="216">
        <v>10000.0</v>
      </c>
      <c r="J689" s="201"/>
      <c r="K689" s="201"/>
      <c r="L689" s="217">
        <v>46329.0</v>
      </c>
      <c r="M689" s="217">
        <v>46359.0</v>
      </c>
      <c r="N689" s="147"/>
      <c r="O689" s="215">
        <v>-903.0</v>
      </c>
      <c r="P689" s="215">
        <v>933.0</v>
      </c>
      <c r="Q689" s="203"/>
      <c r="R689" s="218" t="s">
        <v>1831</v>
      </c>
      <c r="S689" s="186"/>
      <c r="T689" s="215">
        <v>285.0</v>
      </c>
      <c r="U689" s="204"/>
    </row>
    <row r="690" ht="22.5" customHeight="1">
      <c r="A690" s="192" t="s">
        <v>1832</v>
      </c>
      <c r="B690" s="193" t="s">
        <v>313</v>
      </c>
      <c r="C690" s="226" t="s">
        <v>136</v>
      </c>
      <c r="D690" s="194" t="s">
        <v>1753</v>
      </c>
      <c r="E690" s="193" t="s">
        <v>17</v>
      </c>
      <c r="F690" s="220">
        <v>4.0</v>
      </c>
      <c r="G690" s="221"/>
      <c r="H690" s="222">
        <v>2500.0</v>
      </c>
      <c r="I690" s="222">
        <v>7000.0</v>
      </c>
      <c r="J690" s="222">
        <v>6993.0</v>
      </c>
      <c r="K690" s="222">
        <v>0.0</v>
      </c>
      <c r="L690" s="223">
        <v>46329.0</v>
      </c>
      <c r="M690" s="223">
        <v>46359.0</v>
      </c>
      <c r="N690" s="220">
        <v>1.0</v>
      </c>
      <c r="O690" s="220">
        <v>-903.0</v>
      </c>
      <c r="P690" s="220">
        <v>933.0</v>
      </c>
      <c r="Q690" s="209"/>
      <c r="R690" s="196" t="s">
        <v>1833</v>
      </c>
      <c r="S690" s="45"/>
      <c r="T690" s="220">
        <v>286.0</v>
      </c>
      <c r="U690" s="198"/>
    </row>
    <row r="691" ht="22.5" customHeight="1">
      <c r="A691" s="211" t="s">
        <v>1785</v>
      </c>
      <c r="B691" s="212" t="s">
        <v>255</v>
      </c>
      <c r="C691" s="213" t="s">
        <v>136</v>
      </c>
      <c r="D691" s="214" t="s">
        <v>1704</v>
      </c>
      <c r="E691" s="212" t="s">
        <v>15</v>
      </c>
      <c r="F691" s="215">
        <v>2.0</v>
      </c>
      <c r="G691" s="210"/>
      <c r="H691" s="216">
        <v>6000.0</v>
      </c>
      <c r="I691" s="216">
        <v>9000.0</v>
      </c>
      <c r="J691" s="216">
        <v>6000.0</v>
      </c>
      <c r="K691" s="216">
        <v>0.0</v>
      </c>
      <c r="L691" s="217">
        <v>46347.0</v>
      </c>
      <c r="M691" s="217">
        <v>46377.0</v>
      </c>
      <c r="N691" s="215">
        <v>1.0</v>
      </c>
      <c r="O691" s="215">
        <v>-885.0</v>
      </c>
      <c r="P691" s="215">
        <v>915.0</v>
      </c>
      <c r="Q691" s="203"/>
      <c r="R691" s="218" t="s">
        <v>1834</v>
      </c>
      <c r="S691" s="186"/>
      <c r="T691" s="215">
        <v>287.0</v>
      </c>
      <c r="U691" s="204"/>
    </row>
    <row r="692" ht="22.5" customHeight="1">
      <c r="A692" s="192" t="s">
        <v>1835</v>
      </c>
      <c r="B692" s="193" t="s">
        <v>319</v>
      </c>
      <c r="C692" s="226" t="s">
        <v>136</v>
      </c>
      <c r="D692" s="194" t="s">
        <v>1788</v>
      </c>
      <c r="E692" s="193" t="s">
        <v>17</v>
      </c>
      <c r="F692" s="220">
        <v>3.0</v>
      </c>
      <c r="G692" s="221"/>
      <c r="H692" s="222">
        <v>2000.0</v>
      </c>
      <c r="I692" s="222">
        <v>7500.0</v>
      </c>
      <c r="J692" s="222">
        <v>7500.0</v>
      </c>
      <c r="K692" s="222">
        <v>0.0</v>
      </c>
      <c r="L692" s="223">
        <v>46338.0</v>
      </c>
      <c r="M692" s="223">
        <v>46368.0</v>
      </c>
      <c r="N692" s="220">
        <v>1.0</v>
      </c>
      <c r="O692" s="220">
        <v>-894.0</v>
      </c>
      <c r="P692" s="220">
        <v>924.0</v>
      </c>
      <c r="Q692" s="209"/>
      <c r="R692" s="196" t="s">
        <v>1836</v>
      </c>
      <c r="S692" s="45"/>
      <c r="T692" s="220">
        <v>288.0</v>
      </c>
      <c r="U692" s="198"/>
    </row>
    <row r="693" ht="22.5" customHeight="1">
      <c r="A693" s="199"/>
      <c r="B693" s="212" t="s">
        <v>309</v>
      </c>
      <c r="C693" s="213" t="s">
        <v>136</v>
      </c>
      <c r="D693" s="214" t="s">
        <v>1676</v>
      </c>
      <c r="E693" s="212" t="s">
        <v>17</v>
      </c>
      <c r="F693" s="215">
        <v>2.0</v>
      </c>
      <c r="G693" s="210"/>
      <c r="H693" s="216">
        <v>2500.0</v>
      </c>
      <c r="I693" s="216">
        <v>5000.0</v>
      </c>
      <c r="J693" s="216">
        <v>5000.0</v>
      </c>
      <c r="K693" s="216">
        <v>0.0</v>
      </c>
      <c r="L693" s="217">
        <v>46329.0</v>
      </c>
      <c r="M693" s="217">
        <v>46359.0</v>
      </c>
      <c r="N693" s="215">
        <v>1.0</v>
      </c>
      <c r="O693" s="215">
        <v>-903.0</v>
      </c>
      <c r="P693" s="215">
        <v>933.0</v>
      </c>
      <c r="Q693" s="203"/>
      <c r="R693" s="218" t="s">
        <v>1837</v>
      </c>
      <c r="S693" s="186"/>
      <c r="T693" s="215">
        <v>289.0</v>
      </c>
      <c r="U693" s="204"/>
    </row>
    <row r="694" ht="22.5" customHeight="1">
      <c r="A694" s="192" t="s">
        <v>1814</v>
      </c>
      <c r="B694" s="193" t="s">
        <v>301</v>
      </c>
      <c r="C694" s="226" t="s">
        <v>136</v>
      </c>
      <c r="D694" s="194" t="s">
        <v>1708</v>
      </c>
      <c r="E694" s="193" t="s">
        <v>17</v>
      </c>
      <c r="F694" s="220">
        <v>2.0</v>
      </c>
      <c r="G694" s="221"/>
      <c r="H694" s="222">
        <v>6000.0</v>
      </c>
      <c r="I694" s="222">
        <v>10000.0</v>
      </c>
      <c r="J694" s="222">
        <v>10000.0</v>
      </c>
      <c r="K694" s="222">
        <v>0.0</v>
      </c>
      <c r="L694" s="223">
        <v>46344.0</v>
      </c>
      <c r="M694" s="223">
        <v>46374.0</v>
      </c>
      <c r="N694" s="220">
        <v>1.0</v>
      </c>
      <c r="O694" s="220">
        <v>-888.0</v>
      </c>
      <c r="P694" s="220">
        <v>918.0</v>
      </c>
      <c r="Q694" s="209"/>
      <c r="R694" s="196" t="s">
        <v>1838</v>
      </c>
      <c r="S694" s="45"/>
      <c r="T694" s="220">
        <v>290.0</v>
      </c>
      <c r="U694" s="198"/>
    </row>
    <row r="695" ht="22.5" customHeight="1">
      <c r="A695" s="199"/>
      <c r="B695" s="212" t="s">
        <v>259</v>
      </c>
      <c r="C695" s="213" t="s">
        <v>136</v>
      </c>
      <c r="D695" s="214" t="s">
        <v>1816</v>
      </c>
      <c r="E695" s="212" t="s">
        <v>15</v>
      </c>
      <c r="F695" s="215">
        <v>2.0</v>
      </c>
      <c r="G695" s="210"/>
      <c r="H695" s="216">
        <v>5000.0</v>
      </c>
      <c r="I695" s="216">
        <v>10000.0</v>
      </c>
      <c r="J695" s="216">
        <v>10000.0</v>
      </c>
      <c r="K695" s="216">
        <v>0.0</v>
      </c>
      <c r="L695" s="217">
        <v>46335.0</v>
      </c>
      <c r="M695" s="217">
        <v>46365.0</v>
      </c>
      <c r="N695" s="215">
        <v>1.0</v>
      </c>
      <c r="O695" s="215">
        <v>-897.0</v>
      </c>
      <c r="P695" s="215">
        <v>927.0</v>
      </c>
      <c r="Q695" s="203"/>
      <c r="R695" s="218" t="s">
        <v>1839</v>
      </c>
      <c r="S695" s="186"/>
      <c r="T695" s="215">
        <v>291.0</v>
      </c>
      <c r="U695" s="204"/>
    </row>
    <row r="696" ht="22.5" customHeight="1">
      <c r="A696" s="192" t="s">
        <v>1840</v>
      </c>
      <c r="B696" s="193" t="s">
        <v>209</v>
      </c>
      <c r="C696" s="226" t="s">
        <v>136</v>
      </c>
      <c r="D696" s="194" t="s">
        <v>1676</v>
      </c>
      <c r="E696" s="193" t="s">
        <v>17</v>
      </c>
      <c r="F696" s="220">
        <v>2.0</v>
      </c>
      <c r="G696" s="221"/>
      <c r="H696" s="222">
        <v>2500.0</v>
      </c>
      <c r="I696" s="222">
        <v>3750.0</v>
      </c>
      <c r="J696" s="222">
        <v>3750.0</v>
      </c>
      <c r="K696" s="222">
        <v>3750.0</v>
      </c>
      <c r="L696" s="223">
        <v>46332.0</v>
      </c>
      <c r="M696" s="223">
        <v>46362.0</v>
      </c>
      <c r="N696" s="220">
        <v>0.0</v>
      </c>
      <c r="O696" s="220">
        <v>-900.0</v>
      </c>
      <c r="P696" s="220">
        <v>930.0</v>
      </c>
      <c r="Q696" s="209"/>
      <c r="R696" s="196" t="s">
        <v>1841</v>
      </c>
      <c r="S696" s="45"/>
      <c r="T696" s="220">
        <v>292.0</v>
      </c>
      <c r="U696" s="198"/>
    </row>
    <row r="697" ht="22.5" customHeight="1">
      <c r="A697" s="199"/>
      <c r="B697" s="212" t="s">
        <v>271</v>
      </c>
      <c r="C697" s="231" t="s">
        <v>684</v>
      </c>
      <c r="D697" s="214" t="s">
        <v>1760</v>
      </c>
      <c r="E697" s="212" t="s">
        <v>15</v>
      </c>
      <c r="F697" s="215">
        <v>5.0</v>
      </c>
      <c r="G697" s="210"/>
      <c r="H697" s="216">
        <v>100.0</v>
      </c>
      <c r="I697" s="216">
        <v>500.0</v>
      </c>
      <c r="J697" s="201"/>
      <c r="K697" s="201"/>
      <c r="L697" s="217">
        <v>46347.0</v>
      </c>
      <c r="M697" s="217">
        <v>46377.0</v>
      </c>
      <c r="N697" s="147"/>
      <c r="O697" s="215">
        <v>-885.0</v>
      </c>
      <c r="P697" s="215">
        <v>915.0</v>
      </c>
      <c r="Q697" s="203"/>
      <c r="R697" s="218" t="s">
        <v>1842</v>
      </c>
      <c r="S697" s="186"/>
      <c r="T697" s="215">
        <v>293.0</v>
      </c>
      <c r="U697" s="204"/>
    </row>
    <row r="698" ht="22.5" customHeight="1">
      <c r="A698" s="192" t="s">
        <v>1819</v>
      </c>
      <c r="B698" s="193" t="s">
        <v>305</v>
      </c>
      <c r="C698" s="226" t="s">
        <v>136</v>
      </c>
      <c r="D698" s="194" t="s">
        <v>1762</v>
      </c>
      <c r="E698" s="193" t="s">
        <v>17</v>
      </c>
      <c r="F698" s="220">
        <v>3.0</v>
      </c>
      <c r="G698" s="221"/>
      <c r="H698" s="222">
        <v>2500.0</v>
      </c>
      <c r="I698" s="222">
        <v>5625.0</v>
      </c>
      <c r="J698" s="222">
        <v>5625.0</v>
      </c>
      <c r="K698" s="222">
        <v>5625.0</v>
      </c>
      <c r="L698" s="223">
        <v>46346.0</v>
      </c>
      <c r="M698" s="223">
        <v>46376.0</v>
      </c>
      <c r="N698" s="220">
        <v>0.0</v>
      </c>
      <c r="O698" s="220">
        <v>-886.0</v>
      </c>
      <c r="P698" s="220">
        <v>916.0</v>
      </c>
      <c r="Q698" s="209"/>
      <c r="R698" s="196" t="s">
        <v>1843</v>
      </c>
      <c r="S698" s="45"/>
      <c r="T698" s="220">
        <v>294.0</v>
      </c>
      <c r="U698" s="198"/>
    </row>
    <row r="699" ht="22.5" customHeight="1">
      <c r="A699" s="211" t="s">
        <v>1840</v>
      </c>
      <c r="B699" s="212" t="s">
        <v>263</v>
      </c>
      <c r="C699" s="213" t="s">
        <v>136</v>
      </c>
      <c r="D699" s="214" t="s">
        <v>1739</v>
      </c>
      <c r="E699" s="212" t="s">
        <v>15</v>
      </c>
      <c r="F699" s="215">
        <v>3.0</v>
      </c>
      <c r="G699" s="224">
        <v>0.33</v>
      </c>
      <c r="H699" s="216">
        <v>100.0</v>
      </c>
      <c r="I699" s="216">
        <v>250.0</v>
      </c>
      <c r="J699" s="216">
        <v>5000.0</v>
      </c>
      <c r="K699" s="216">
        <v>4000.0</v>
      </c>
      <c r="L699" s="217">
        <v>46327.0</v>
      </c>
      <c r="M699" s="217">
        <v>46357.0</v>
      </c>
      <c r="N699" s="215">
        <v>0.0</v>
      </c>
      <c r="O699" s="215">
        <v>-905.0</v>
      </c>
      <c r="P699" s="215">
        <v>935.0</v>
      </c>
      <c r="Q699" s="203"/>
      <c r="R699" s="218" t="s">
        <v>1844</v>
      </c>
      <c r="S699" s="186"/>
      <c r="T699" s="215">
        <v>295.0</v>
      </c>
      <c r="U699" s="204"/>
    </row>
    <row r="700" ht="22.5" customHeight="1">
      <c r="A700" s="205"/>
      <c r="B700" s="193" t="s">
        <v>249</v>
      </c>
      <c r="C700" s="226" t="s">
        <v>136</v>
      </c>
      <c r="D700" s="194" t="s">
        <v>1845</v>
      </c>
      <c r="E700" s="193" t="s">
        <v>15</v>
      </c>
      <c r="F700" s="220">
        <v>4.0</v>
      </c>
      <c r="G700" s="230">
        <v>0.33</v>
      </c>
      <c r="H700" s="222">
        <v>100.0</v>
      </c>
      <c r="I700" s="222">
        <v>400.0</v>
      </c>
      <c r="J700" s="222">
        <v>8000.0</v>
      </c>
      <c r="K700" s="222">
        <v>0.0</v>
      </c>
      <c r="L700" s="223">
        <v>46337.0</v>
      </c>
      <c r="M700" s="223">
        <v>46367.0</v>
      </c>
      <c r="N700" s="220">
        <v>1.0</v>
      </c>
      <c r="O700" s="220">
        <v>-895.0</v>
      </c>
      <c r="P700" s="220">
        <v>925.0</v>
      </c>
      <c r="Q700" s="209"/>
      <c r="R700" s="196" t="s">
        <v>1846</v>
      </c>
      <c r="S700" s="45"/>
      <c r="T700" s="220">
        <v>296.0</v>
      </c>
      <c r="U700" s="198"/>
    </row>
    <row r="701" ht="22.5" customHeight="1">
      <c r="A701" s="211" t="s">
        <v>1847</v>
      </c>
      <c r="B701" s="212" t="s">
        <v>291</v>
      </c>
      <c r="C701" s="213" t="s">
        <v>136</v>
      </c>
      <c r="D701" s="214" t="s">
        <v>1848</v>
      </c>
      <c r="E701" s="212" t="s">
        <v>17</v>
      </c>
      <c r="F701" s="215">
        <v>5.0</v>
      </c>
      <c r="G701" s="210"/>
      <c r="H701" s="216">
        <v>6000.0</v>
      </c>
      <c r="I701" s="216">
        <v>23730.0</v>
      </c>
      <c r="J701" s="216">
        <v>23730.0</v>
      </c>
      <c r="K701" s="216">
        <v>0.0</v>
      </c>
      <c r="L701" s="217">
        <v>46329.0</v>
      </c>
      <c r="M701" s="217">
        <v>46359.0</v>
      </c>
      <c r="N701" s="215">
        <v>1.0</v>
      </c>
      <c r="O701" s="215">
        <v>-903.0</v>
      </c>
      <c r="P701" s="215">
        <v>933.0</v>
      </c>
      <c r="Q701" s="203"/>
      <c r="R701" s="218" t="s">
        <v>1849</v>
      </c>
      <c r="S701" s="186"/>
      <c r="T701" s="215">
        <v>297.0</v>
      </c>
      <c r="U701" s="204"/>
    </row>
    <row r="702" ht="22.5" customHeight="1">
      <c r="A702" s="205"/>
      <c r="B702" s="193" t="s">
        <v>192</v>
      </c>
      <c r="C702" s="219" t="s">
        <v>684</v>
      </c>
      <c r="D702" s="194" t="s">
        <v>1850</v>
      </c>
      <c r="E702" s="193" t="s">
        <v>17</v>
      </c>
      <c r="F702" s="220">
        <v>1.0</v>
      </c>
      <c r="G702" s="221"/>
      <c r="H702" s="197" t="s">
        <v>1851</v>
      </c>
      <c r="I702" s="222">
        <v>5000.0</v>
      </c>
      <c r="J702" s="207"/>
      <c r="K702" s="207"/>
      <c r="L702" s="223">
        <v>46334.0</v>
      </c>
      <c r="M702" s="223">
        <v>46364.0</v>
      </c>
      <c r="N702" s="150"/>
      <c r="O702" s="220">
        <v>-898.0</v>
      </c>
      <c r="P702" s="220">
        <v>928.0</v>
      </c>
      <c r="Q702" s="209"/>
      <c r="R702" s="196" t="s">
        <v>1852</v>
      </c>
      <c r="S702" s="45"/>
      <c r="T702" s="220">
        <v>298.0</v>
      </c>
      <c r="U702" s="198"/>
    </row>
    <row r="703" ht="22.5" customHeight="1">
      <c r="A703" s="199"/>
      <c r="B703" s="212" t="s">
        <v>151</v>
      </c>
      <c r="C703" s="213" t="s">
        <v>136</v>
      </c>
      <c r="D703" s="214" t="s">
        <v>1782</v>
      </c>
      <c r="E703" s="212" t="s">
        <v>15</v>
      </c>
      <c r="F703" s="215">
        <v>3.0</v>
      </c>
      <c r="G703" s="210"/>
      <c r="H703" s="216">
        <v>100.0</v>
      </c>
      <c r="I703" s="216">
        <v>300.0</v>
      </c>
      <c r="J703" s="216">
        <v>6000.0</v>
      </c>
      <c r="K703" s="216">
        <v>6000.0</v>
      </c>
      <c r="L703" s="217">
        <v>46333.0</v>
      </c>
      <c r="M703" s="217">
        <v>46363.0</v>
      </c>
      <c r="N703" s="215">
        <v>0.0</v>
      </c>
      <c r="O703" s="215">
        <v>-899.0</v>
      </c>
      <c r="P703" s="215">
        <v>929.0</v>
      </c>
      <c r="Q703" s="203"/>
      <c r="R703" s="218" t="s">
        <v>1853</v>
      </c>
      <c r="S703" s="186"/>
      <c r="T703" s="215">
        <v>299.0</v>
      </c>
      <c r="U703" s="204"/>
    </row>
    <row r="704" ht="22.5" customHeight="1">
      <c r="A704" s="205"/>
      <c r="B704" s="193" t="s">
        <v>317</v>
      </c>
      <c r="C704" s="219" t="s">
        <v>684</v>
      </c>
      <c r="D704" s="194" t="s">
        <v>930</v>
      </c>
      <c r="E704" s="193" t="s">
        <v>15</v>
      </c>
      <c r="F704" s="220">
        <v>1.0</v>
      </c>
      <c r="G704" s="221"/>
      <c r="H704" s="222">
        <v>150.0</v>
      </c>
      <c r="I704" s="222">
        <v>150.0</v>
      </c>
      <c r="J704" s="207"/>
      <c r="K704" s="207"/>
      <c r="L704" s="223">
        <v>46294.0</v>
      </c>
      <c r="M704" s="223">
        <v>46324.0</v>
      </c>
      <c r="N704" s="150"/>
      <c r="O704" s="220">
        <v>-938.0</v>
      </c>
      <c r="P704" s="220">
        <v>968.0</v>
      </c>
      <c r="Q704" s="209"/>
      <c r="R704" s="196" t="s">
        <v>1854</v>
      </c>
      <c r="S704" s="45"/>
      <c r="T704" s="220">
        <v>300.0</v>
      </c>
      <c r="U704" s="198"/>
    </row>
    <row r="705" ht="22.5" hidden="1" customHeight="1">
      <c r="A705" s="199"/>
      <c r="B705" s="212" t="s">
        <v>923</v>
      </c>
      <c r="C705" s="240" t="s">
        <v>581</v>
      </c>
      <c r="D705" s="236"/>
      <c r="E705" s="203"/>
      <c r="F705" s="147"/>
      <c r="G705" s="186"/>
      <c r="H705" s="201"/>
      <c r="I705" s="237" t="s">
        <v>924</v>
      </c>
      <c r="J705" s="216">
        <v>97598.0</v>
      </c>
      <c r="K705" s="216">
        <v>19375.0</v>
      </c>
      <c r="L705" s="202"/>
      <c r="M705" s="202"/>
      <c r="N705" s="147"/>
      <c r="O705" s="147"/>
      <c r="P705" s="147"/>
      <c r="Q705" s="203"/>
      <c r="R705" s="186"/>
      <c r="S705" s="186"/>
      <c r="T705" s="147"/>
      <c r="U705" s="204"/>
    </row>
    <row r="706" ht="22.5" hidden="1" customHeight="1">
      <c r="A706" s="205"/>
      <c r="B706" s="193" t="s">
        <v>558</v>
      </c>
      <c r="C706" s="241" t="s">
        <v>590</v>
      </c>
      <c r="D706" s="234"/>
      <c r="E706" s="234"/>
      <c r="F706" s="150"/>
      <c r="G706" s="234"/>
      <c r="H706" s="207"/>
      <c r="I706" s="197" t="s">
        <v>925</v>
      </c>
      <c r="J706" s="222">
        <v>232500.0</v>
      </c>
      <c r="K706" s="207"/>
      <c r="L706" s="208"/>
      <c r="M706" s="196" t="s">
        <v>926</v>
      </c>
      <c r="N706" s="150"/>
      <c r="O706" s="150"/>
      <c r="P706" s="150"/>
      <c r="Q706" s="209"/>
      <c r="R706" s="234"/>
      <c r="S706" s="234"/>
      <c r="T706" s="220">
        <v>300.0</v>
      </c>
      <c r="U706" s="198"/>
    </row>
    <row r="707" ht="22.5" hidden="1" customHeight="1">
      <c r="A707" s="199"/>
      <c r="B707" s="212" t="s">
        <v>696</v>
      </c>
      <c r="C707" s="232" t="s">
        <v>1080</v>
      </c>
      <c r="D707" s="236"/>
      <c r="E707" s="236"/>
      <c r="F707" s="147"/>
      <c r="G707" s="236"/>
      <c r="H707" s="201"/>
      <c r="I707" s="237" t="s">
        <v>928</v>
      </c>
      <c r="J707" s="216">
        <v>255897.5</v>
      </c>
      <c r="K707" s="201"/>
      <c r="L707" s="202"/>
      <c r="M707" s="202"/>
      <c r="N707" s="147"/>
      <c r="O707" s="147"/>
      <c r="P707" s="147"/>
      <c r="Q707" s="203"/>
      <c r="R707" s="236"/>
      <c r="S707" s="236"/>
      <c r="T707" s="147"/>
      <c r="U707" s="204"/>
    </row>
    <row r="708" ht="22.5" hidden="1" customHeight="1">
      <c r="A708" s="205"/>
      <c r="B708" s="82"/>
      <c r="C708" s="206"/>
      <c r="D708" s="206"/>
      <c r="E708" s="206"/>
      <c r="F708" s="150"/>
      <c r="G708" s="45"/>
      <c r="H708" s="207"/>
      <c r="I708" s="207"/>
      <c r="J708" s="207"/>
      <c r="K708" s="207"/>
      <c r="L708" s="208"/>
      <c r="M708" s="208"/>
      <c r="N708" s="150"/>
      <c r="O708" s="150"/>
      <c r="P708" s="150"/>
      <c r="Q708" s="209"/>
      <c r="R708" s="45"/>
      <c r="S708" s="45"/>
      <c r="T708" s="150"/>
      <c r="U708" s="198"/>
    </row>
    <row r="709" ht="22.5" hidden="1" customHeight="1">
      <c r="A709" s="199"/>
      <c r="B709" s="146"/>
      <c r="C709" s="200"/>
      <c r="D709" s="200"/>
      <c r="E709" s="200"/>
      <c r="F709" s="147"/>
      <c r="G709" s="186"/>
      <c r="H709" s="201"/>
      <c r="I709" s="201"/>
      <c r="J709" s="201"/>
      <c r="K709" s="201"/>
      <c r="L709" s="202"/>
      <c r="M709" s="202"/>
      <c r="N709" s="147"/>
      <c r="O709" s="147"/>
      <c r="P709" s="147"/>
      <c r="Q709" s="203"/>
      <c r="R709" s="186"/>
      <c r="S709" s="186"/>
      <c r="T709" s="147"/>
      <c r="U709" s="204"/>
    </row>
    <row r="710" ht="22.5" hidden="1" customHeight="1">
      <c r="A710" s="205"/>
      <c r="B710" s="82"/>
      <c r="C710" s="206"/>
      <c r="D710" s="206"/>
      <c r="E710" s="206"/>
      <c r="F710" s="150"/>
      <c r="G710" s="45"/>
      <c r="H710" s="207"/>
      <c r="I710" s="207"/>
      <c r="J710" s="207"/>
      <c r="K710" s="207"/>
      <c r="L710" s="208"/>
      <c r="M710" s="208"/>
      <c r="N710" s="150"/>
      <c r="O710" s="150"/>
      <c r="P710" s="150"/>
      <c r="Q710" s="209"/>
      <c r="R710" s="45"/>
      <c r="S710" s="45"/>
      <c r="T710" s="150"/>
      <c r="U710" s="198"/>
    </row>
    <row r="711" ht="22.5" hidden="1" customHeight="1">
      <c r="A711" s="199"/>
      <c r="B711" s="146"/>
      <c r="C711" s="200"/>
      <c r="D711" s="200"/>
      <c r="E711" s="200"/>
      <c r="F711" s="147"/>
      <c r="G711" s="186"/>
      <c r="H711" s="201"/>
      <c r="I711" s="201"/>
      <c r="J711" s="201"/>
      <c r="K711" s="201"/>
      <c r="L711" s="202"/>
      <c r="M711" s="202"/>
      <c r="N711" s="147"/>
      <c r="O711" s="147"/>
      <c r="P711" s="147"/>
      <c r="Q711" s="203"/>
      <c r="R711" s="186"/>
      <c r="S711" s="186"/>
      <c r="T711" s="147"/>
      <c r="U711" s="204"/>
    </row>
    <row r="712" ht="22.5" hidden="1" customHeight="1">
      <c r="A712" s="192" t="s">
        <v>181</v>
      </c>
      <c r="B712" s="193" t="s">
        <v>132</v>
      </c>
      <c r="C712" s="193" t="s">
        <v>131</v>
      </c>
      <c r="D712" s="194" t="s">
        <v>870</v>
      </c>
      <c r="E712" s="193" t="s">
        <v>7</v>
      </c>
      <c r="F712" s="195" t="s">
        <v>871</v>
      </c>
      <c r="G712" s="193" t="s">
        <v>872</v>
      </c>
      <c r="H712" s="197" t="s">
        <v>8</v>
      </c>
      <c r="I712" s="197" t="s">
        <v>873</v>
      </c>
      <c r="J712" s="197" t="s">
        <v>17</v>
      </c>
      <c r="K712" s="197" t="s">
        <v>874</v>
      </c>
      <c r="L712" s="196" t="s">
        <v>875</v>
      </c>
      <c r="M712" s="196" t="s">
        <v>876</v>
      </c>
      <c r="N712" s="195" t="s">
        <v>877</v>
      </c>
      <c r="O712" s="195" t="s">
        <v>878</v>
      </c>
      <c r="P712" s="195" t="s">
        <v>879</v>
      </c>
      <c r="Q712" s="196" t="s">
        <v>880</v>
      </c>
      <c r="R712" s="196" t="s">
        <v>881</v>
      </c>
      <c r="S712" s="196" t="s">
        <v>882</v>
      </c>
      <c r="T712" s="195" t="s">
        <v>557</v>
      </c>
      <c r="U712" s="198"/>
    </row>
    <row r="713" ht="22.5" customHeight="1">
      <c r="A713" s="211" t="s">
        <v>1855</v>
      </c>
      <c r="B713" s="212" t="s">
        <v>293</v>
      </c>
      <c r="C713" s="213" t="s">
        <v>136</v>
      </c>
      <c r="D713" s="214" t="s">
        <v>1750</v>
      </c>
      <c r="E713" s="212" t="s">
        <v>17</v>
      </c>
      <c r="F713" s="215">
        <v>2.0</v>
      </c>
      <c r="G713" s="210"/>
      <c r="H713" s="237" t="s">
        <v>1751</v>
      </c>
      <c r="I713" s="216">
        <v>5210.0</v>
      </c>
      <c r="J713" s="216">
        <v>5210.0</v>
      </c>
      <c r="K713" s="216">
        <v>5210.0</v>
      </c>
      <c r="L713" s="217">
        <v>46298.0</v>
      </c>
      <c r="M713" s="217">
        <v>46329.0</v>
      </c>
      <c r="N713" s="215">
        <v>0.0</v>
      </c>
      <c r="O713" s="215">
        <v>-933.0</v>
      </c>
      <c r="P713" s="215">
        <v>963.0</v>
      </c>
      <c r="Q713" s="203"/>
      <c r="R713" s="218" t="s">
        <v>1856</v>
      </c>
      <c r="S713" s="186"/>
      <c r="T713" s="215">
        <v>271.0</v>
      </c>
      <c r="U713" s="204"/>
    </row>
    <row r="714" ht="22.5" customHeight="1">
      <c r="A714" s="205"/>
      <c r="B714" s="193" t="s">
        <v>241</v>
      </c>
      <c r="C714" s="226" t="s">
        <v>136</v>
      </c>
      <c r="D714" s="194" t="s">
        <v>1857</v>
      </c>
      <c r="E714" s="193" t="s">
        <v>15</v>
      </c>
      <c r="F714" s="220">
        <v>1.0</v>
      </c>
      <c r="G714" s="230">
        <v>0.17</v>
      </c>
      <c r="H714" s="222">
        <v>256.13</v>
      </c>
      <c r="I714" s="222">
        <v>256.13</v>
      </c>
      <c r="J714" s="222">
        <v>5122.6</v>
      </c>
      <c r="K714" s="222">
        <v>0.0</v>
      </c>
      <c r="L714" s="223">
        <v>46305.0</v>
      </c>
      <c r="M714" s="223">
        <v>46336.0</v>
      </c>
      <c r="N714" s="220">
        <v>1.0</v>
      </c>
      <c r="O714" s="220">
        <v>-926.0</v>
      </c>
      <c r="P714" s="220">
        <v>956.0</v>
      </c>
      <c r="Q714" s="238">
        <v>46038.0</v>
      </c>
      <c r="R714" s="196" t="s">
        <v>1858</v>
      </c>
      <c r="S714" s="45"/>
      <c r="T714" s="220">
        <v>272.0</v>
      </c>
      <c r="U714" s="198"/>
    </row>
    <row r="715" ht="22.5" customHeight="1">
      <c r="A715" s="211" t="s">
        <v>1859</v>
      </c>
      <c r="B715" s="212" t="s">
        <v>313</v>
      </c>
      <c r="C715" s="213" t="s">
        <v>136</v>
      </c>
      <c r="D715" s="214" t="s">
        <v>1753</v>
      </c>
      <c r="E715" s="212" t="s">
        <v>17</v>
      </c>
      <c r="F715" s="215">
        <v>4.0</v>
      </c>
      <c r="G715" s="210"/>
      <c r="H715" s="216">
        <v>2500.0</v>
      </c>
      <c r="I715" s="216">
        <v>8000.0</v>
      </c>
      <c r="J715" s="216">
        <v>6993.0</v>
      </c>
      <c r="K715" s="216">
        <v>0.0</v>
      </c>
      <c r="L715" s="217">
        <v>46298.0</v>
      </c>
      <c r="M715" s="217">
        <v>46329.0</v>
      </c>
      <c r="N715" s="215">
        <v>1.0</v>
      </c>
      <c r="O715" s="215">
        <v>-933.0</v>
      </c>
      <c r="P715" s="215">
        <v>963.0</v>
      </c>
      <c r="Q715" s="203"/>
      <c r="R715" s="218" t="s">
        <v>1860</v>
      </c>
      <c r="S715" s="186"/>
      <c r="T715" s="215">
        <v>273.0</v>
      </c>
      <c r="U715" s="204"/>
    </row>
    <row r="716" ht="22.5" customHeight="1">
      <c r="A716" s="192" t="s">
        <v>1861</v>
      </c>
      <c r="B716" s="193" t="s">
        <v>255</v>
      </c>
      <c r="C716" s="226" t="s">
        <v>136</v>
      </c>
      <c r="D716" s="194" t="s">
        <v>1704</v>
      </c>
      <c r="E716" s="193" t="s">
        <v>15</v>
      </c>
      <c r="F716" s="220">
        <v>2.0</v>
      </c>
      <c r="G716" s="221"/>
      <c r="H716" s="222">
        <v>6000.0</v>
      </c>
      <c r="I716" s="222">
        <v>7500.0</v>
      </c>
      <c r="J716" s="222">
        <v>6000.0</v>
      </c>
      <c r="K716" s="222">
        <v>0.0</v>
      </c>
      <c r="L716" s="223">
        <v>46316.0</v>
      </c>
      <c r="M716" s="223">
        <v>46347.0</v>
      </c>
      <c r="N716" s="220">
        <v>1.0</v>
      </c>
      <c r="O716" s="220">
        <v>-915.0</v>
      </c>
      <c r="P716" s="220">
        <v>945.0</v>
      </c>
      <c r="Q716" s="209"/>
      <c r="R716" s="196" t="s">
        <v>1862</v>
      </c>
      <c r="S716" s="45"/>
      <c r="T716" s="220">
        <v>274.0</v>
      </c>
      <c r="U716" s="198"/>
    </row>
    <row r="717" ht="22.5" customHeight="1">
      <c r="A717" s="199"/>
      <c r="B717" s="212" t="s">
        <v>309</v>
      </c>
      <c r="C717" s="213" t="s">
        <v>136</v>
      </c>
      <c r="D717" s="214" t="s">
        <v>1676</v>
      </c>
      <c r="E717" s="212" t="s">
        <v>17</v>
      </c>
      <c r="F717" s="215">
        <v>2.0</v>
      </c>
      <c r="G717" s="210"/>
      <c r="H717" s="216">
        <v>2500.0</v>
      </c>
      <c r="I717" s="216">
        <v>5000.0</v>
      </c>
      <c r="J717" s="216">
        <v>5000.0</v>
      </c>
      <c r="K717" s="216">
        <v>0.0</v>
      </c>
      <c r="L717" s="217">
        <v>46298.0</v>
      </c>
      <c r="M717" s="217">
        <v>46329.0</v>
      </c>
      <c r="N717" s="215">
        <v>1.0</v>
      </c>
      <c r="O717" s="215">
        <v>-933.0</v>
      </c>
      <c r="P717" s="215">
        <v>963.0</v>
      </c>
      <c r="Q717" s="203"/>
      <c r="R717" s="218" t="s">
        <v>1863</v>
      </c>
      <c r="S717" s="186"/>
      <c r="T717" s="215">
        <v>275.0</v>
      </c>
      <c r="U717" s="204"/>
    </row>
    <row r="718" ht="22.5" customHeight="1">
      <c r="A718" s="192" t="s">
        <v>1864</v>
      </c>
      <c r="B718" s="193" t="s">
        <v>301</v>
      </c>
      <c r="C718" s="226" t="s">
        <v>136</v>
      </c>
      <c r="D718" s="194" t="s">
        <v>1708</v>
      </c>
      <c r="E718" s="193" t="s">
        <v>17</v>
      </c>
      <c r="F718" s="220">
        <v>2.0</v>
      </c>
      <c r="G718" s="221"/>
      <c r="H718" s="222">
        <v>6000.0</v>
      </c>
      <c r="I718" s="222">
        <v>10000.0</v>
      </c>
      <c r="J718" s="222">
        <v>10000.0</v>
      </c>
      <c r="K718" s="222">
        <v>0.0</v>
      </c>
      <c r="L718" s="223">
        <v>46313.0</v>
      </c>
      <c r="M718" s="223">
        <v>46344.0</v>
      </c>
      <c r="N718" s="220">
        <v>1.0</v>
      </c>
      <c r="O718" s="220">
        <v>-918.0</v>
      </c>
      <c r="P718" s="220">
        <v>948.0</v>
      </c>
      <c r="Q718" s="209"/>
      <c r="R718" s="196" t="s">
        <v>1865</v>
      </c>
      <c r="S718" s="45"/>
      <c r="T718" s="220">
        <v>276.0</v>
      </c>
      <c r="U718" s="198"/>
    </row>
    <row r="719" ht="22.5" customHeight="1">
      <c r="A719" s="199"/>
      <c r="B719" s="212" t="s">
        <v>259</v>
      </c>
      <c r="C719" s="213" t="s">
        <v>136</v>
      </c>
      <c r="D719" s="214" t="s">
        <v>1816</v>
      </c>
      <c r="E719" s="212" t="s">
        <v>15</v>
      </c>
      <c r="F719" s="215">
        <v>2.0</v>
      </c>
      <c r="G719" s="210"/>
      <c r="H719" s="216">
        <v>5000.0</v>
      </c>
      <c r="I719" s="216">
        <v>10000.0</v>
      </c>
      <c r="J719" s="216">
        <v>10000.0</v>
      </c>
      <c r="K719" s="216">
        <v>0.0</v>
      </c>
      <c r="L719" s="217">
        <v>46304.0</v>
      </c>
      <c r="M719" s="217">
        <v>46335.0</v>
      </c>
      <c r="N719" s="215">
        <v>1.0</v>
      </c>
      <c r="O719" s="215">
        <v>-927.0</v>
      </c>
      <c r="P719" s="215">
        <v>957.0</v>
      </c>
      <c r="Q719" s="203"/>
      <c r="R719" s="218" t="s">
        <v>1866</v>
      </c>
      <c r="S719" s="186"/>
      <c r="T719" s="215">
        <v>277.0</v>
      </c>
      <c r="U719" s="204"/>
    </row>
    <row r="720" ht="22.5" customHeight="1">
      <c r="A720" s="205"/>
      <c r="B720" s="193" t="s">
        <v>209</v>
      </c>
      <c r="C720" s="226" t="s">
        <v>136</v>
      </c>
      <c r="D720" s="194" t="s">
        <v>1676</v>
      </c>
      <c r="E720" s="193" t="s">
        <v>17</v>
      </c>
      <c r="F720" s="220">
        <v>2.0</v>
      </c>
      <c r="G720" s="221"/>
      <c r="H720" s="222">
        <v>2500.0</v>
      </c>
      <c r="I720" s="222">
        <v>5000.0</v>
      </c>
      <c r="J720" s="222">
        <v>4000.0</v>
      </c>
      <c r="K720" s="222">
        <v>4000.0</v>
      </c>
      <c r="L720" s="223">
        <v>46301.0</v>
      </c>
      <c r="M720" s="223">
        <v>46332.0</v>
      </c>
      <c r="N720" s="220">
        <v>0.0</v>
      </c>
      <c r="O720" s="220">
        <v>-930.0</v>
      </c>
      <c r="P720" s="220">
        <v>960.0</v>
      </c>
      <c r="Q720" s="209"/>
      <c r="R720" s="196" t="s">
        <v>1867</v>
      </c>
      <c r="S720" s="45"/>
      <c r="T720" s="220">
        <v>278.0</v>
      </c>
      <c r="U720" s="198"/>
    </row>
    <row r="721" ht="22.5" customHeight="1">
      <c r="A721" s="199"/>
      <c r="B721" s="212" t="s">
        <v>271</v>
      </c>
      <c r="C721" s="231" t="s">
        <v>684</v>
      </c>
      <c r="D721" s="214" t="s">
        <v>1760</v>
      </c>
      <c r="E721" s="212" t="s">
        <v>15</v>
      </c>
      <c r="F721" s="215">
        <v>5.0</v>
      </c>
      <c r="G721" s="210"/>
      <c r="H721" s="216">
        <v>100.0</v>
      </c>
      <c r="I721" s="216">
        <v>500.0</v>
      </c>
      <c r="J721" s="201"/>
      <c r="K721" s="201"/>
      <c r="L721" s="217">
        <v>46316.0</v>
      </c>
      <c r="M721" s="217">
        <v>46347.0</v>
      </c>
      <c r="N721" s="147"/>
      <c r="O721" s="215">
        <v>-915.0</v>
      </c>
      <c r="P721" s="215">
        <v>945.0</v>
      </c>
      <c r="Q721" s="203"/>
      <c r="R721" s="218" t="s">
        <v>1868</v>
      </c>
      <c r="S721" s="186"/>
      <c r="T721" s="215">
        <v>279.0</v>
      </c>
      <c r="U721" s="204"/>
    </row>
    <row r="722" ht="22.5" customHeight="1">
      <c r="A722" s="192" t="s">
        <v>1869</v>
      </c>
      <c r="B722" s="193" t="s">
        <v>305</v>
      </c>
      <c r="C722" s="226" t="s">
        <v>136</v>
      </c>
      <c r="D722" s="194" t="s">
        <v>1762</v>
      </c>
      <c r="E722" s="193" t="s">
        <v>17</v>
      </c>
      <c r="F722" s="220">
        <v>3.0</v>
      </c>
      <c r="G722" s="221"/>
      <c r="H722" s="222">
        <v>2500.0</v>
      </c>
      <c r="I722" s="222">
        <v>5000.0</v>
      </c>
      <c r="J722" s="222">
        <v>5000.0</v>
      </c>
      <c r="K722" s="222">
        <v>5000.0</v>
      </c>
      <c r="L722" s="223">
        <v>46315.0</v>
      </c>
      <c r="M722" s="223">
        <v>46346.0</v>
      </c>
      <c r="N722" s="220">
        <v>0.0</v>
      </c>
      <c r="O722" s="220">
        <v>-916.0</v>
      </c>
      <c r="P722" s="220">
        <v>946.0</v>
      </c>
      <c r="Q722" s="209"/>
      <c r="R722" s="196" t="s">
        <v>1870</v>
      </c>
      <c r="S722" s="45"/>
      <c r="T722" s="220">
        <v>280.0</v>
      </c>
      <c r="U722" s="198"/>
    </row>
    <row r="723" ht="22.5" customHeight="1">
      <c r="A723" s="199"/>
      <c r="B723" s="212" t="s">
        <v>263</v>
      </c>
      <c r="C723" s="213" t="s">
        <v>136</v>
      </c>
      <c r="D723" s="214" t="s">
        <v>1798</v>
      </c>
      <c r="E723" s="212" t="s">
        <v>15</v>
      </c>
      <c r="F723" s="215">
        <v>4.0</v>
      </c>
      <c r="G723" s="224">
        <v>0.33</v>
      </c>
      <c r="H723" s="216">
        <v>100.0</v>
      </c>
      <c r="I723" s="216">
        <v>400.0</v>
      </c>
      <c r="J723" s="216">
        <v>8000.0</v>
      </c>
      <c r="K723" s="216">
        <v>0.0</v>
      </c>
      <c r="L723" s="217">
        <v>46296.0</v>
      </c>
      <c r="M723" s="217">
        <v>46327.0</v>
      </c>
      <c r="N723" s="215">
        <v>1.0</v>
      </c>
      <c r="O723" s="215">
        <v>-935.0</v>
      </c>
      <c r="P723" s="215">
        <v>965.0</v>
      </c>
      <c r="Q723" s="203"/>
      <c r="R723" s="218" t="s">
        <v>1871</v>
      </c>
      <c r="S723" s="186"/>
      <c r="T723" s="215">
        <v>281.0</v>
      </c>
      <c r="U723" s="204"/>
    </row>
    <row r="724" ht="22.5" customHeight="1">
      <c r="A724" s="205"/>
      <c r="B724" s="193" t="s">
        <v>249</v>
      </c>
      <c r="C724" s="226" t="s">
        <v>136</v>
      </c>
      <c r="D724" s="194" t="s">
        <v>1845</v>
      </c>
      <c r="E724" s="193" t="s">
        <v>15</v>
      </c>
      <c r="F724" s="220">
        <v>4.0</v>
      </c>
      <c r="G724" s="230">
        <v>0.33</v>
      </c>
      <c r="H724" s="222">
        <v>100.0</v>
      </c>
      <c r="I724" s="222">
        <v>400.0</v>
      </c>
      <c r="J724" s="222">
        <v>8000.0</v>
      </c>
      <c r="K724" s="222">
        <v>0.0</v>
      </c>
      <c r="L724" s="223">
        <v>46306.0</v>
      </c>
      <c r="M724" s="223">
        <v>46337.0</v>
      </c>
      <c r="N724" s="220">
        <v>1.0</v>
      </c>
      <c r="O724" s="220">
        <v>-925.0</v>
      </c>
      <c r="P724" s="220">
        <v>955.0</v>
      </c>
      <c r="Q724" s="209"/>
      <c r="R724" s="196" t="s">
        <v>1872</v>
      </c>
      <c r="S724" s="45"/>
      <c r="T724" s="220">
        <v>282.0</v>
      </c>
      <c r="U724" s="198"/>
    </row>
    <row r="725" ht="22.5" customHeight="1">
      <c r="A725" s="211" t="s">
        <v>1873</v>
      </c>
      <c r="B725" s="212" t="s">
        <v>291</v>
      </c>
      <c r="C725" s="213" t="s">
        <v>136</v>
      </c>
      <c r="D725" s="214" t="s">
        <v>1848</v>
      </c>
      <c r="E725" s="212" t="s">
        <v>17</v>
      </c>
      <c r="F725" s="215">
        <v>6.0</v>
      </c>
      <c r="G725" s="210"/>
      <c r="H725" s="237" t="s">
        <v>1874</v>
      </c>
      <c r="I725" s="216">
        <v>21875.0</v>
      </c>
      <c r="J725" s="216">
        <v>21875.0</v>
      </c>
      <c r="K725" s="216">
        <v>0.0</v>
      </c>
      <c r="L725" s="217">
        <v>46298.0</v>
      </c>
      <c r="M725" s="217">
        <v>46329.0</v>
      </c>
      <c r="N725" s="215">
        <v>1.0</v>
      </c>
      <c r="O725" s="215">
        <v>-933.0</v>
      </c>
      <c r="P725" s="215">
        <v>963.0</v>
      </c>
      <c r="Q725" s="203"/>
      <c r="R725" s="218" t="s">
        <v>1875</v>
      </c>
      <c r="S725" s="186"/>
      <c r="T725" s="215">
        <v>283.0</v>
      </c>
      <c r="U725" s="204"/>
    </row>
    <row r="726" ht="22.5" customHeight="1">
      <c r="A726" s="205"/>
      <c r="B726" s="193" t="s">
        <v>192</v>
      </c>
      <c r="C726" s="226" t="s">
        <v>136</v>
      </c>
      <c r="D726" s="194" t="s">
        <v>1850</v>
      </c>
      <c r="E726" s="193" t="s">
        <v>17</v>
      </c>
      <c r="F726" s="220">
        <v>1.0</v>
      </c>
      <c r="G726" s="221"/>
      <c r="H726" s="197" t="s">
        <v>1851</v>
      </c>
      <c r="I726" s="222">
        <v>5000.0</v>
      </c>
      <c r="J726" s="197" t="s">
        <v>1876</v>
      </c>
      <c r="K726" s="197" t="s">
        <v>1876</v>
      </c>
      <c r="L726" s="223">
        <v>46303.0</v>
      </c>
      <c r="M726" s="223">
        <v>46334.0</v>
      </c>
      <c r="N726" s="220">
        <v>0.0</v>
      </c>
      <c r="O726" s="220">
        <v>-928.0</v>
      </c>
      <c r="P726" s="220">
        <v>958.0</v>
      </c>
      <c r="Q726" s="209"/>
      <c r="R726" s="196" t="s">
        <v>1877</v>
      </c>
      <c r="S726" s="45"/>
      <c r="T726" s="220">
        <v>284.0</v>
      </c>
      <c r="U726" s="198"/>
    </row>
    <row r="727" ht="22.5" hidden="1" customHeight="1">
      <c r="A727" s="199"/>
      <c r="B727" s="212" t="s">
        <v>923</v>
      </c>
      <c r="C727" s="240" t="s">
        <v>583</v>
      </c>
      <c r="D727" s="236"/>
      <c r="E727" s="203"/>
      <c r="F727" s="147"/>
      <c r="G727" s="186"/>
      <c r="H727" s="201"/>
      <c r="I727" s="237" t="s">
        <v>924</v>
      </c>
      <c r="J727" s="216">
        <v>95200.6</v>
      </c>
      <c r="K727" s="216">
        <v>14210.0</v>
      </c>
      <c r="L727" s="202"/>
      <c r="M727" s="202"/>
      <c r="N727" s="147"/>
      <c r="O727" s="147"/>
      <c r="P727" s="147"/>
      <c r="Q727" s="203"/>
      <c r="R727" s="186"/>
      <c r="S727" s="186"/>
      <c r="T727" s="147"/>
      <c r="U727" s="204"/>
    </row>
    <row r="728" ht="22.5" hidden="1" customHeight="1">
      <c r="A728" s="205"/>
      <c r="B728" s="193" t="s">
        <v>558</v>
      </c>
      <c r="C728" s="241" t="s">
        <v>588</v>
      </c>
      <c r="D728" s="234"/>
      <c r="E728" s="234"/>
      <c r="F728" s="150"/>
      <c r="G728" s="234"/>
      <c r="H728" s="207"/>
      <c r="I728" s="197" t="s">
        <v>925</v>
      </c>
      <c r="J728" s="222">
        <v>170520.0</v>
      </c>
      <c r="K728" s="207"/>
      <c r="L728" s="208"/>
      <c r="M728" s="196" t="s">
        <v>926</v>
      </c>
      <c r="N728" s="150"/>
      <c r="O728" s="150"/>
      <c r="P728" s="150"/>
      <c r="Q728" s="209"/>
      <c r="R728" s="234"/>
      <c r="S728" s="234"/>
      <c r="T728" s="220">
        <v>284.0</v>
      </c>
      <c r="U728" s="198"/>
    </row>
    <row r="729" ht="22.5" hidden="1" customHeight="1">
      <c r="A729" s="199"/>
      <c r="B729" s="212" t="s">
        <v>696</v>
      </c>
      <c r="C729" s="232" t="s">
        <v>1116</v>
      </c>
      <c r="D729" s="236"/>
      <c r="E729" s="236"/>
      <c r="F729" s="147"/>
      <c r="G729" s="236"/>
      <c r="H729" s="201"/>
      <c r="I729" s="237" t="s">
        <v>928</v>
      </c>
      <c r="J729" s="216">
        <v>236522.5</v>
      </c>
      <c r="K729" s="201"/>
      <c r="L729" s="202"/>
      <c r="M729" s="202"/>
      <c r="N729" s="147"/>
      <c r="O729" s="147"/>
      <c r="P729" s="147"/>
      <c r="Q729" s="203"/>
      <c r="R729" s="236"/>
      <c r="S729" s="236"/>
      <c r="T729" s="147"/>
      <c r="U729" s="204"/>
    </row>
    <row r="730" ht="22.5" hidden="1" customHeight="1">
      <c r="A730" s="205"/>
      <c r="B730" s="82"/>
      <c r="C730" s="206"/>
      <c r="D730" s="206"/>
      <c r="E730" s="206"/>
      <c r="F730" s="150"/>
      <c r="G730" s="45"/>
      <c r="H730" s="207"/>
      <c r="I730" s="207"/>
      <c r="J730" s="207"/>
      <c r="K730" s="207"/>
      <c r="L730" s="208"/>
      <c r="M730" s="208"/>
      <c r="N730" s="150"/>
      <c r="O730" s="150"/>
      <c r="P730" s="150"/>
      <c r="Q730" s="209"/>
      <c r="R730" s="45"/>
      <c r="S730" s="45"/>
      <c r="T730" s="150"/>
      <c r="U730" s="198"/>
    </row>
    <row r="731" ht="22.5" hidden="1" customHeight="1">
      <c r="A731" s="199"/>
      <c r="B731" s="146"/>
      <c r="C731" s="200"/>
      <c r="D731" s="200"/>
      <c r="E731" s="200"/>
      <c r="F731" s="147"/>
      <c r="G731" s="186"/>
      <c r="H731" s="201"/>
      <c r="I731" s="201"/>
      <c r="J731" s="201"/>
      <c r="K731" s="201"/>
      <c r="L731" s="202"/>
      <c r="M731" s="202"/>
      <c r="N731" s="147"/>
      <c r="O731" s="147"/>
      <c r="P731" s="147"/>
      <c r="Q731" s="203"/>
      <c r="R731" s="186"/>
      <c r="S731" s="186"/>
      <c r="T731" s="147"/>
      <c r="U731" s="204"/>
    </row>
    <row r="732" ht="22.5" hidden="1" customHeight="1">
      <c r="A732" s="205"/>
      <c r="B732" s="82"/>
      <c r="C732" s="206"/>
      <c r="D732" s="206"/>
      <c r="E732" s="206"/>
      <c r="F732" s="150"/>
      <c r="G732" s="45"/>
      <c r="H732" s="207"/>
      <c r="I732" s="207"/>
      <c r="J732" s="207"/>
      <c r="K732" s="207"/>
      <c r="L732" s="208"/>
      <c r="M732" s="208"/>
      <c r="N732" s="150"/>
      <c r="O732" s="150"/>
      <c r="P732" s="150"/>
      <c r="Q732" s="209"/>
      <c r="R732" s="45"/>
      <c r="S732" s="45"/>
      <c r="T732" s="150"/>
      <c r="U732" s="198"/>
    </row>
    <row r="733" ht="22.5" hidden="1" customHeight="1">
      <c r="A733" s="199"/>
      <c r="B733" s="146"/>
      <c r="C733" s="200"/>
      <c r="D733" s="200"/>
      <c r="E733" s="200"/>
      <c r="F733" s="147"/>
      <c r="G733" s="186"/>
      <c r="H733" s="201"/>
      <c r="I733" s="201"/>
      <c r="J733" s="201"/>
      <c r="K733" s="201"/>
      <c r="L733" s="202"/>
      <c r="M733" s="202"/>
      <c r="N733" s="147"/>
      <c r="O733" s="147"/>
      <c r="P733" s="147"/>
      <c r="Q733" s="203"/>
      <c r="R733" s="186"/>
      <c r="S733" s="186"/>
      <c r="T733" s="147"/>
      <c r="U733" s="204"/>
    </row>
    <row r="734" ht="22.5" hidden="1" customHeight="1">
      <c r="A734" s="192" t="s">
        <v>181</v>
      </c>
      <c r="B734" s="193" t="s">
        <v>132</v>
      </c>
      <c r="C734" s="193" t="s">
        <v>131</v>
      </c>
      <c r="D734" s="194" t="s">
        <v>870</v>
      </c>
      <c r="E734" s="193" t="s">
        <v>7</v>
      </c>
      <c r="F734" s="195" t="s">
        <v>871</v>
      </c>
      <c r="G734" s="193" t="s">
        <v>872</v>
      </c>
      <c r="H734" s="197" t="s">
        <v>8</v>
      </c>
      <c r="I734" s="197" t="s">
        <v>873</v>
      </c>
      <c r="J734" s="197" t="s">
        <v>17</v>
      </c>
      <c r="K734" s="197" t="s">
        <v>874</v>
      </c>
      <c r="L734" s="196" t="s">
        <v>875</v>
      </c>
      <c r="M734" s="196" t="s">
        <v>876</v>
      </c>
      <c r="N734" s="195" t="s">
        <v>877</v>
      </c>
      <c r="O734" s="195" t="s">
        <v>878</v>
      </c>
      <c r="P734" s="195" t="s">
        <v>879</v>
      </c>
      <c r="Q734" s="196" t="s">
        <v>880</v>
      </c>
      <c r="R734" s="196" t="s">
        <v>881</v>
      </c>
      <c r="S734" s="196" t="s">
        <v>882</v>
      </c>
      <c r="T734" s="195" t="s">
        <v>557</v>
      </c>
      <c r="U734" s="198"/>
    </row>
    <row r="735" ht="22.5" customHeight="1">
      <c r="A735" s="211" t="s">
        <v>1878</v>
      </c>
      <c r="B735" s="212" t="s">
        <v>283</v>
      </c>
      <c r="C735" s="231" t="s">
        <v>684</v>
      </c>
      <c r="D735" s="214" t="s">
        <v>1472</v>
      </c>
      <c r="E735" s="212" t="s">
        <v>15</v>
      </c>
      <c r="F735" s="215">
        <v>1.0</v>
      </c>
      <c r="G735" s="210"/>
      <c r="H735" s="216">
        <v>150.0</v>
      </c>
      <c r="I735" s="216">
        <v>150.0</v>
      </c>
      <c r="J735" s="201"/>
      <c r="K735" s="201"/>
      <c r="L735" s="217">
        <v>46275.0</v>
      </c>
      <c r="M735" s="217">
        <v>46305.0</v>
      </c>
      <c r="N735" s="147"/>
      <c r="O735" s="215">
        <v>-957.0</v>
      </c>
      <c r="P735" s="215">
        <v>987.0</v>
      </c>
      <c r="Q735" s="203"/>
      <c r="R735" s="218" t="s">
        <v>1879</v>
      </c>
      <c r="S735" s="186"/>
      <c r="T735" s="215">
        <v>248.0</v>
      </c>
      <c r="U735" s="204"/>
    </row>
    <row r="736" ht="22.5" customHeight="1">
      <c r="A736" s="205"/>
      <c r="B736" s="193" t="s">
        <v>281</v>
      </c>
      <c r="C736" s="226" t="s">
        <v>136</v>
      </c>
      <c r="D736" s="194" t="s">
        <v>1472</v>
      </c>
      <c r="E736" s="193" t="s">
        <v>15</v>
      </c>
      <c r="F736" s="220">
        <v>1.0</v>
      </c>
      <c r="G736" s="221"/>
      <c r="H736" s="222">
        <v>150.0</v>
      </c>
      <c r="I736" s="222">
        <v>150.0</v>
      </c>
      <c r="J736" s="222">
        <v>3000.0</v>
      </c>
      <c r="K736" s="222">
        <v>0.0</v>
      </c>
      <c r="L736" s="223">
        <v>46275.0</v>
      </c>
      <c r="M736" s="223">
        <v>46305.0</v>
      </c>
      <c r="N736" s="220">
        <v>1.0</v>
      </c>
      <c r="O736" s="220">
        <v>-957.0</v>
      </c>
      <c r="P736" s="220">
        <v>987.0</v>
      </c>
      <c r="Q736" s="209"/>
      <c r="R736" s="196" t="s">
        <v>1880</v>
      </c>
      <c r="S736" s="45"/>
      <c r="T736" s="220">
        <v>249.0</v>
      </c>
      <c r="U736" s="198"/>
    </row>
    <row r="737" ht="22.5" customHeight="1">
      <c r="A737" s="211" t="s">
        <v>1881</v>
      </c>
      <c r="B737" s="212" t="s">
        <v>311</v>
      </c>
      <c r="C737" s="231" t="s">
        <v>684</v>
      </c>
      <c r="D737" s="214" t="s">
        <v>1472</v>
      </c>
      <c r="E737" s="212" t="s">
        <v>15</v>
      </c>
      <c r="F737" s="215">
        <v>1.0</v>
      </c>
      <c r="G737" s="147"/>
      <c r="H737" s="216">
        <v>150.0</v>
      </c>
      <c r="I737" s="216">
        <v>150.0</v>
      </c>
      <c r="J737" s="201"/>
      <c r="K737" s="201"/>
      <c r="L737" s="217">
        <v>46267.0</v>
      </c>
      <c r="M737" s="217">
        <v>46297.0</v>
      </c>
      <c r="N737" s="147"/>
      <c r="O737" s="215">
        <v>-965.0</v>
      </c>
      <c r="P737" s="215">
        <v>995.0</v>
      </c>
      <c r="Q737" s="203"/>
      <c r="R737" s="218" t="s">
        <v>1882</v>
      </c>
      <c r="S737" s="186"/>
      <c r="T737" s="215">
        <v>250.0</v>
      </c>
      <c r="U737" s="204"/>
    </row>
    <row r="738" ht="22.5" customHeight="1">
      <c r="A738" s="205"/>
      <c r="B738" s="193" t="s">
        <v>279</v>
      </c>
      <c r="C738" s="226" t="s">
        <v>136</v>
      </c>
      <c r="D738" s="194" t="s">
        <v>1883</v>
      </c>
      <c r="E738" s="193" t="s">
        <v>15</v>
      </c>
      <c r="F738" s="220">
        <v>1.0</v>
      </c>
      <c r="G738" s="221"/>
      <c r="H738" s="222">
        <v>250.0</v>
      </c>
      <c r="I738" s="222">
        <v>250.0</v>
      </c>
      <c r="J738" s="222">
        <v>5000.0</v>
      </c>
      <c r="K738" s="222">
        <v>5000.0</v>
      </c>
      <c r="L738" s="223">
        <v>46283.0</v>
      </c>
      <c r="M738" s="223">
        <v>46313.0</v>
      </c>
      <c r="N738" s="220">
        <v>0.0</v>
      </c>
      <c r="O738" s="220">
        <v>-949.0</v>
      </c>
      <c r="P738" s="220">
        <v>979.0</v>
      </c>
      <c r="Q738" s="209"/>
      <c r="R738" s="196" t="s">
        <v>1884</v>
      </c>
      <c r="S738" s="45"/>
      <c r="T738" s="220">
        <v>251.0</v>
      </c>
      <c r="U738" s="198"/>
    </row>
    <row r="739" ht="22.5" customHeight="1">
      <c r="A739" s="211">
        <v>0.625</v>
      </c>
      <c r="B739" s="212" t="s">
        <v>293</v>
      </c>
      <c r="C739" s="213" t="s">
        <v>136</v>
      </c>
      <c r="D739" s="214" t="s">
        <v>1750</v>
      </c>
      <c r="E739" s="212" t="s">
        <v>17</v>
      </c>
      <c r="F739" s="215">
        <v>2.0</v>
      </c>
      <c r="G739" s="147"/>
      <c r="H739" s="216">
        <v>6000.0</v>
      </c>
      <c r="I739" s="216">
        <v>4500.0</v>
      </c>
      <c r="J739" s="216">
        <v>4500.0</v>
      </c>
      <c r="K739" s="216">
        <v>4500.0</v>
      </c>
      <c r="L739" s="217">
        <v>46268.0</v>
      </c>
      <c r="M739" s="202"/>
      <c r="N739" s="215">
        <v>0.0</v>
      </c>
      <c r="O739" s="147"/>
      <c r="P739" s="215">
        <v>30.0</v>
      </c>
      <c r="Q739" s="203"/>
      <c r="R739" s="218" t="s">
        <v>1885</v>
      </c>
      <c r="S739" s="186"/>
      <c r="T739" s="215">
        <v>252.0</v>
      </c>
      <c r="U739" s="204"/>
    </row>
    <row r="740" ht="22.5" customHeight="1">
      <c r="A740" s="205"/>
      <c r="B740" s="193" t="s">
        <v>295</v>
      </c>
      <c r="C740" s="226" t="s">
        <v>136</v>
      </c>
      <c r="D740" s="194" t="s">
        <v>1886</v>
      </c>
      <c r="E740" s="193" t="s">
        <v>17</v>
      </c>
      <c r="F740" s="220">
        <v>2.0</v>
      </c>
      <c r="G740" s="150"/>
      <c r="H740" s="197" t="s">
        <v>1887</v>
      </c>
      <c r="I740" s="222">
        <v>2000.0</v>
      </c>
      <c r="J740" s="222">
        <v>2000.0</v>
      </c>
      <c r="K740" s="222">
        <v>2000.0</v>
      </c>
      <c r="L740" s="223">
        <v>46287.0</v>
      </c>
      <c r="M740" s="223">
        <v>46317.0</v>
      </c>
      <c r="N740" s="220">
        <v>0.0</v>
      </c>
      <c r="O740" s="220">
        <v>-945.0</v>
      </c>
      <c r="P740" s="220">
        <v>975.0</v>
      </c>
      <c r="Q740" s="209"/>
      <c r="R740" s="196" t="s">
        <v>1888</v>
      </c>
      <c r="S740" s="45"/>
      <c r="T740" s="220">
        <v>253.0</v>
      </c>
      <c r="U740" s="198"/>
    </row>
    <row r="741" ht="22.5" customHeight="1">
      <c r="A741" s="211" t="s">
        <v>1889</v>
      </c>
      <c r="B741" s="212" t="s">
        <v>313</v>
      </c>
      <c r="C741" s="213" t="s">
        <v>136</v>
      </c>
      <c r="D741" s="214" t="s">
        <v>1890</v>
      </c>
      <c r="E741" s="212" t="s">
        <v>17</v>
      </c>
      <c r="F741" s="215">
        <v>5.0</v>
      </c>
      <c r="G741" s="147"/>
      <c r="H741" s="216">
        <v>2500.0</v>
      </c>
      <c r="I741" s="216">
        <v>8750.0</v>
      </c>
      <c r="J741" s="216">
        <v>6993.0</v>
      </c>
      <c r="K741" s="216">
        <v>0.0</v>
      </c>
      <c r="L741" s="217">
        <v>46268.0</v>
      </c>
      <c r="M741" s="217">
        <v>46298.0</v>
      </c>
      <c r="N741" s="215">
        <v>1.0</v>
      </c>
      <c r="O741" s="215">
        <v>-964.0</v>
      </c>
      <c r="P741" s="215">
        <v>994.0</v>
      </c>
      <c r="Q741" s="203"/>
      <c r="R741" s="218" t="s">
        <v>1891</v>
      </c>
      <c r="S741" s="186"/>
      <c r="T741" s="215">
        <v>254.0</v>
      </c>
      <c r="U741" s="204"/>
    </row>
    <row r="742" ht="22.5" customHeight="1">
      <c r="A742" s="205"/>
      <c r="B742" s="193" t="s">
        <v>255</v>
      </c>
      <c r="C742" s="226" t="s">
        <v>136</v>
      </c>
      <c r="D742" s="194" t="s">
        <v>1704</v>
      </c>
      <c r="E742" s="193" t="s">
        <v>15</v>
      </c>
      <c r="F742" s="220">
        <v>1.0</v>
      </c>
      <c r="G742" s="221"/>
      <c r="H742" s="222">
        <v>6000.0</v>
      </c>
      <c r="I742" s="222">
        <v>6000.0</v>
      </c>
      <c r="J742" s="222">
        <v>6000.0</v>
      </c>
      <c r="K742" s="222">
        <v>0.0</v>
      </c>
      <c r="L742" s="223">
        <v>46286.0</v>
      </c>
      <c r="M742" s="223">
        <v>46316.0</v>
      </c>
      <c r="N742" s="220">
        <v>1.0</v>
      </c>
      <c r="O742" s="220">
        <v>-946.0</v>
      </c>
      <c r="P742" s="220">
        <v>976.0</v>
      </c>
      <c r="Q742" s="209"/>
      <c r="R742" s="196" t="s">
        <v>1892</v>
      </c>
      <c r="S742" s="45"/>
      <c r="T742" s="220">
        <v>255.0</v>
      </c>
      <c r="U742" s="198"/>
    </row>
    <row r="743" ht="22.5" customHeight="1">
      <c r="A743" s="199"/>
      <c r="B743" s="212" t="s">
        <v>309</v>
      </c>
      <c r="C743" s="213" t="s">
        <v>136</v>
      </c>
      <c r="D743" s="214" t="s">
        <v>1676</v>
      </c>
      <c r="E743" s="212" t="s">
        <v>17</v>
      </c>
      <c r="F743" s="215">
        <v>2.0</v>
      </c>
      <c r="G743" s="147"/>
      <c r="H743" s="216">
        <v>2500.0</v>
      </c>
      <c r="I743" s="216">
        <v>5000.0</v>
      </c>
      <c r="J743" s="216">
        <v>5000.0</v>
      </c>
      <c r="K743" s="216">
        <v>0.0</v>
      </c>
      <c r="L743" s="217">
        <v>46268.0</v>
      </c>
      <c r="M743" s="217">
        <v>46298.0</v>
      </c>
      <c r="N743" s="215">
        <v>1.0</v>
      </c>
      <c r="O743" s="215">
        <v>-964.0</v>
      </c>
      <c r="P743" s="215">
        <v>994.0</v>
      </c>
      <c r="Q743" s="203"/>
      <c r="R743" s="218" t="s">
        <v>1893</v>
      </c>
      <c r="S743" s="186"/>
      <c r="T743" s="215">
        <v>256.0</v>
      </c>
      <c r="U743" s="204"/>
    </row>
    <row r="744" ht="22.5" customHeight="1">
      <c r="A744" s="205"/>
      <c r="B744" s="193" t="s">
        <v>273</v>
      </c>
      <c r="C744" s="226" t="s">
        <v>136</v>
      </c>
      <c r="D744" s="194" t="s">
        <v>1788</v>
      </c>
      <c r="E744" s="193" t="s">
        <v>17</v>
      </c>
      <c r="F744" s="220">
        <v>3.0</v>
      </c>
      <c r="G744" s="221"/>
      <c r="H744" s="222">
        <v>1750.0</v>
      </c>
      <c r="I744" s="222">
        <v>5250.0</v>
      </c>
      <c r="J744" s="222">
        <v>5250.0</v>
      </c>
      <c r="K744" s="222">
        <v>5250.0</v>
      </c>
      <c r="L744" s="223">
        <v>46290.0</v>
      </c>
      <c r="M744" s="223">
        <v>46320.0</v>
      </c>
      <c r="N744" s="220">
        <v>0.0</v>
      </c>
      <c r="O744" s="220">
        <v>-942.0</v>
      </c>
      <c r="P744" s="220">
        <v>972.0</v>
      </c>
      <c r="Q744" s="209"/>
      <c r="R744" s="196" t="s">
        <v>1894</v>
      </c>
      <c r="S744" s="45"/>
      <c r="T744" s="220">
        <v>257.0</v>
      </c>
      <c r="U744" s="198"/>
    </row>
    <row r="745" ht="22.5" customHeight="1">
      <c r="A745" s="211" t="s">
        <v>1350</v>
      </c>
      <c r="B745" s="212" t="s">
        <v>223</v>
      </c>
      <c r="C745" s="200"/>
      <c r="D745" s="214" t="s">
        <v>1472</v>
      </c>
      <c r="E745" s="200"/>
      <c r="F745" s="215">
        <v>1.0</v>
      </c>
      <c r="G745" s="210"/>
      <c r="H745" s="216">
        <v>150.0</v>
      </c>
      <c r="I745" s="216">
        <v>150.0</v>
      </c>
      <c r="J745" s="201"/>
      <c r="K745" s="201"/>
      <c r="L745" s="217">
        <v>46289.0</v>
      </c>
      <c r="M745" s="217">
        <v>46319.0</v>
      </c>
      <c r="N745" s="147"/>
      <c r="O745" s="215">
        <v>-943.0</v>
      </c>
      <c r="P745" s="215">
        <v>973.0</v>
      </c>
      <c r="Q745" s="203"/>
      <c r="R745" s="218" t="s">
        <v>1895</v>
      </c>
      <c r="S745" s="186"/>
      <c r="T745" s="215">
        <v>258.0</v>
      </c>
      <c r="U745" s="204"/>
    </row>
    <row r="746" ht="22.5" customHeight="1">
      <c r="A746" s="205"/>
      <c r="B746" s="193" t="s">
        <v>261</v>
      </c>
      <c r="C746" s="226" t="s">
        <v>136</v>
      </c>
      <c r="D746" s="194" t="s">
        <v>1711</v>
      </c>
      <c r="E746" s="193" t="s">
        <v>15</v>
      </c>
      <c r="F746" s="220">
        <v>1.0</v>
      </c>
      <c r="G746" s="221"/>
      <c r="H746" s="222">
        <v>300.0</v>
      </c>
      <c r="I746" s="222">
        <v>300.0</v>
      </c>
      <c r="J746" s="222">
        <v>6000.0</v>
      </c>
      <c r="K746" s="222">
        <v>0.0</v>
      </c>
      <c r="L746" s="223">
        <v>46269.0</v>
      </c>
      <c r="M746" s="223">
        <v>46299.0</v>
      </c>
      <c r="N746" s="220">
        <v>1.0</v>
      </c>
      <c r="O746" s="220">
        <v>-963.0</v>
      </c>
      <c r="P746" s="220">
        <v>993.0</v>
      </c>
      <c r="Q746" s="209"/>
      <c r="R746" s="196" t="s">
        <v>1896</v>
      </c>
      <c r="S746" s="45"/>
      <c r="T746" s="220">
        <v>259.0</v>
      </c>
      <c r="U746" s="198"/>
    </row>
    <row r="747" ht="22.5" customHeight="1">
      <c r="A747" s="211" t="s">
        <v>1814</v>
      </c>
      <c r="B747" s="212" t="s">
        <v>301</v>
      </c>
      <c r="C747" s="213" t="s">
        <v>136</v>
      </c>
      <c r="D747" s="214" t="s">
        <v>1708</v>
      </c>
      <c r="E747" s="212" t="s">
        <v>17</v>
      </c>
      <c r="F747" s="215">
        <v>2.0</v>
      </c>
      <c r="G747" s="147"/>
      <c r="H747" s="216">
        <v>6000.0</v>
      </c>
      <c r="I747" s="216">
        <v>10000.0</v>
      </c>
      <c r="J747" s="216">
        <v>10000.0</v>
      </c>
      <c r="K747" s="216">
        <v>0.0</v>
      </c>
      <c r="L747" s="217">
        <v>46283.0</v>
      </c>
      <c r="M747" s="217">
        <v>46313.0</v>
      </c>
      <c r="N747" s="215">
        <v>1.0</v>
      </c>
      <c r="O747" s="215">
        <v>-949.0</v>
      </c>
      <c r="P747" s="215">
        <v>979.0</v>
      </c>
      <c r="Q747" s="203"/>
      <c r="R747" s="218" t="s">
        <v>1897</v>
      </c>
      <c r="S747" s="186"/>
      <c r="T747" s="215">
        <v>260.0</v>
      </c>
      <c r="U747" s="204"/>
    </row>
    <row r="748" ht="22.5" customHeight="1">
      <c r="A748" s="192" t="s">
        <v>1898</v>
      </c>
      <c r="B748" s="193" t="s">
        <v>209</v>
      </c>
      <c r="C748" s="226" t="s">
        <v>136</v>
      </c>
      <c r="D748" s="194" t="s">
        <v>1899</v>
      </c>
      <c r="E748" s="193" t="s">
        <v>17</v>
      </c>
      <c r="F748" s="220">
        <v>3.0</v>
      </c>
      <c r="G748" s="150"/>
      <c r="H748" s="197" t="s">
        <v>1900</v>
      </c>
      <c r="I748" s="222">
        <v>2812.5</v>
      </c>
      <c r="J748" s="222">
        <v>6000.0</v>
      </c>
      <c r="K748" s="222">
        <v>6000.0</v>
      </c>
      <c r="L748" s="223">
        <v>46271.0</v>
      </c>
      <c r="M748" s="223">
        <v>46301.0</v>
      </c>
      <c r="N748" s="220">
        <v>0.0</v>
      </c>
      <c r="O748" s="220">
        <v>-961.0</v>
      </c>
      <c r="P748" s="220">
        <v>991.0</v>
      </c>
      <c r="Q748" s="209"/>
      <c r="R748" s="196" t="s">
        <v>1901</v>
      </c>
      <c r="S748" s="45"/>
      <c r="T748" s="220">
        <v>261.0</v>
      </c>
      <c r="U748" s="198"/>
    </row>
    <row r="749" ht="22.5" customHeight="1">
      <c r="A749" s="199"/>
      <c r="B749" s="212" t="s">
        <v>271</v>
      </c>
      <c r="C749" s="214" t="s">
        <v>489</v>
      </c>
      <c r="D749" s="214" t="s">
        <v>1760</v>
      </c>
      <c r="E749" s="212" t="s">
        <v>15</v>
      </c>
      <c r="F749" s="215">
        <v>5.0</v>
      </c>
      <c r="G749" s="210"/>
      <c r="H749" s="216">
        <v>100.0</v>
      </c>
      <c r="I749" s="216">
        <v>500.0</v>
      </c>
      <c r="J749" s="201"/>
      <c r="K749" s="201"/>
      <c r="L749" s="217">
        <v>46286.0</v>
      </c>
      <c r="M749" s="217">
        <v>46316.0</v>
      </c>
      <c r="N749" s="147"/>
      <c r="O749" s="215">
        <v>-946.0</v>
      </c>
      <c r="P749" s="215">
        <v>976.0</v>
      </c>
      <c r="Q749" s="203"/>
      <c r="R749" s="218" t="s">
        <v>1902</v>
      </c>
      <c r="S749" s="186"/>
      <c r="T749" s="215">
        <v>262.0</v>
      </c>
      <c r="U749" s="204"/>
    </row>
    <row r="750" ht="22.5" customHeight="1">
      <c r="A750" s="192" t="s">
        <v>1796</v>
      </c>
      <c r="B750" s="193" t="s">
        <v>305</v>
      </c>
      <c r="C750" s="226" t="s">
        <v>136</v>
      </c>
      <c r="D750" s="194" t="s">
        <v>1762</v>
      </c>
      <c r="E750" s="193" t="s">
        <v>17</v>
      </c>
      <c r="F750" s="220">
        <v>3.0</v>
      </c>
      <c r="G750" s="150"/>
      <c r="H750" s="222">
        <v>2500.0</v>
      </c>
      <c r="I750" s="222">
        <v>5625.0</v>
      </c>
      <c r="J750" s="222">
        <v>5625.0</v>
      </c>
      <c r="K750" s="222">
        <v>5625.0</v>
      </c>
      <c r="L750" s="223">
        <v>46285.0</v>
      </c>
      <c r="M750" s="223">
        <v>46315.0</v>
      </c>
      <c r="N750" s="220">
        <v>0.0</v>
      </c>
      <c r="O750" s="220">
        <v>-947.0</v>
      </c>
      <c r="P750" s="220">
        <v>977.0</v>
      </c>
      <c r="Q750" s="209"/>
      <c r="R750" s="196" t="s">
        <v>1903</v>
      </c>
      <c r="S750" s="45"/>
      <c r="T750" s="220">
        <v>263.0</v>
      </c>
      <c r="U750" s="198"/>
    </row>
    <row r="751" ht="22.5" customHeight="1">
      <c r="A751" s="199"/>
      <c r="B751" s="212" t="s">
        <v>263</v>
      </c>
      <c r="C751" s="213" t="s">
        <v>136</v>
      </c>
      <c r="D751" s="214" t="s">
        <v>1798</v>
      </c>
      <c r="E751" s="212" t="s">
        <v>15</v>
      </c>
      <c r="F751" s="215">
        <v>4.0</v>
      </c>
      <c r="G751" s="224">
        <v>0.33</v>
      </c>
      <c r="H751" s="216">
        <v>100.0</v>
      </c>
      <c r="I751" s="216">
        <v>400.0</v>
      </c>
      <c r="J751" s="216">
        <v>8000.0</v>
      </c>
      <c r="K751" s="216">
        <v>0.0</v>
      </c>
      <c r="L751" s="217">
        <v>46266.0</v>
      </c>
      <c r="M751" s="217">
        <v>46296.0</v>
      </c>
      <c r="N751" s="215">
        <v>1.0</v>
      </c>
      <c r="O751" s="215">
        <v>-966.0</v>
      </c>
      <c r="P751" s="215">
        <v>996.0</v>
      </c>
      <c r="Q751" s="203"/>
      <c r="R751" s="218" t="s">
        <v>1904</v>
      </c>
      <c r="S751" s="186"/>
      <c r="T751" s="215">
        <v>264.0</v>
      </c>
      <c r="U751" s="204"/>
    </row>
    <row r="752" ht="22.5" customHeight="1">
      <c r="A752" s="205"/>
      <c r="B752" s="193" t="s">
        <v>249</v>
      </c>
      <c r="C752" s="226" t="s">
        <v>136</v>
      </c>
      <c r="D752" s="194" t="s">
        <v>1760</v>
      </c>
      <c r="E752" s="193" t="s">
        <v>15</v>
      </c>
      <c r="F752" s="220">
        <v>5.0</v>
      </c>
      <c r="G752" s="230">
        <v>0.33</v>
      </c>
      <c r="H752" s="222">
        <v>100.0</v>
      </c>
      <c r="I752" s="222">
        <v>500.0</v>
      </c>
      <c r="J752" s="222">
        <v>10000.0</v>
      </c>
      <c r="K752" s="222">
        <v>0.0</v>
      </c>
      <c r="L752" s="223">
        <v>46276.0</v>
      </c>
      <c r="M752" s="223">
        <v>46306.0</v>
      </c>
      <c r="N752" s="220">
        <v>1.0</v>
      </c>
      <c r="O752" s="220">
        <v>-956.0</v>
      </c>
      <c r="P752" s="220">
        <v>986.0</v>
      </c>
      <c r="Q752" s="209"/>
      <c r="R752" s="196" t="s">
        <v>1905</v>
      </c>
      <c r="S752" s="45"/>
      <c r="T752" s="220">
        <v>265.0</v>
      </c>
      <c r="U752" s="198"/>
    </row>
    <row r="753" ht="22.5" customHeight="1">
      <c r="A753" s="211" t="s">
        <v>1906</v>
      </c>
      <c r="B753" s="212" t="s">
        <v>291</v>
      </c>
      <c r="C753" s="213" t="s">
        <v>136</v>
      </c>
      <c r="D753" s="214" t="s">
        <v>1848</v>
      </c>
      <c r="E753" s="212" t="s">
        <v>17</v>
      </c>
      <c r="F753" s="215">
        <v>6.0</v>
      </c>
      <c r="G753" s="210"/>
      <c r="H753" s="237" t="s">
        <v>1874</v>
      </c>
      <c r="I753" s="216">
        <v>23345.0</v>
      </c>
      <c r="J753" s="216">
        <v>23345.0</v>
      </c>
      <c r="K753" s="216">
        <v>0.0</v>
      </c>
      <c r="L753" s="217">
        <v>46268.0</v>
      </c>
      <c r="M753" s="217">
        <v>46298.0</v>
      </c>
      <c r="N753" s="215">
        <v>1.0</v>
      </c>
      <c r="O753" s="215">
        <v>-964.0</v>
      </c>
      <c r="P753" s="215">
        <v>994.0</v>
      </c>
      <c r="Q753" s="232">
        <v>46255.0</v>
      </c>
      <c r="R753" s="218" t="s">
        <v>1907</v>
      </c>
      <c r="S753" s="186"/>
      <c r="T753" s="215">
        <v>266.0</v>
      </c>
      <c r="U753" s="204"/>
    </row>
    <row r="754" ht="22.5" customHeight="1">
      <c r="A754" s="192" t="s">
        <v>1908</v>
      </c>
      <c r="B754" s="193" t="s">
        <v>192</v>
      </c>
      <c r="C754" s="226" t="s">
        <v>136</v>
      </c>
      <c r="D754" s="194" t="s">
        <v>1850</v>
      </c>
      <c r="E754" s="193" t="s">
        <v>17</v>
      </c>
      <c r="F754" s="220">
        <v>1.0</v>
      </c>
      <c r="G754" s="221"/>
      <c r="H754" s="197" t="s">
        <v>1851</v>
      </c>
      <c r="I754" s="222">
        <v>5000.0</v>
      </c>
      <c r="J754" s="222">
        <v>5000.0</v>
      </c>
      <c r="K754" s="197" t="s">
        <v>1909</v>
      </c>
      <c r="L754" s="223">
        <v>46273.0</v>
      </c>
      <c r="M754" s="223">
        <v>46303.0</v>
      </c>
      <c r="N754" s="220">
        <v>0.0</v>
      </c>
      <c r="O754" s="220">
        <v>-959.0</v>
      </c>
      <c r="P754" s="220">
        <v>989.0</v>
      </c>
      <c r="Q754" s="209"/>
      <c r="R754" s="196" t="s">
        <v>1910</v>
      </c>
      <c r="S754" s="45"/>
      <c r="T754" s="220">
        <v>267.0</v>
      </c>
      <c r="U754" s="198"/>
    </row>
    <row r="755" ht="22.5" customHeight="1">
      <c r="A755" s="199"/>
      <c r="B755" s="212" t="s">
        <v>227</v>
      </c>
      <c r="C755" s="231" t="s">
        <v>684</v>
      </c>
      <c r="D755" s="214" t="s">
        <v>1472</v>
      </c>
      <c r="E755" s="212" t="s">
        <v>15</v>
      </c>
      <c r="F755" s="215">
        <v>1.0</v>
      </c>
      <c r="G755" s="147"/>
      <c r="H755" s="216">
        <v>150.0</v>
      </c>
      <c r="I755" s="216">
        <v>150.0</v>
      </c>
      <c r="J755" s="201"/>
      <c r="K755" s="201"/>
      <c r="L755" s="217">
        <v>46288.0</v>
      </c>
      <c r="M755" s="217">
        <v>46318.0</v>
      </c>
      <c r="N755" s="147"/>
      <c r="O755" s="215">
        <v>-944.0</v>
      </c>
      <c r="P755" s="215">
        <v>974.0</v>
      </c>
      <c r="Q755" s="203"/>
      <c r="R755" s="218" t="s">
        <v>1911</v>
      </c>
      <c r="S755" s="186"/>
      <c r="T755" s="215">
        <v>268.0</v>
      </c>
      <c r="U755" s="204"/>
    </row>
    <row r="756" ht="22.5" customHeight="1">
      <c r="A756" s="205"/>
      <c r="B756" s="193" t="s">
        <v>307</v>
      </c>
      <c r="C756" s="226" t="s">
        <v>136</v>
      </c>
      <c r="D756" s="194" t="s">
        <v>1912</v>
      </c>
      <c r="E756" s="193" t="s">
        <v>15</v>
      </c>
      <c r="F756" s="220">
        <v>3.0</v>
      </c>
      <c r="G756" s="150"/>
      <c r="H756" s="222">
        <v>150.0</v>
      </c>
      <c r="I756" s="222">
        <v>450.0</v>
      </c>
      <c r="J756" s="222">
        <v>9000.0</v>
      </c>
      <c r="K756" s="197" t="s">
        <v>1909</v>
      </c>
      <c r="L756" s="223">
        <v>46284.0</v>
      </c>
      <c r="M756" s="223">
        <v>46314.0</v>
      </c>
      <c r="N756" s="220">
        <v>0.0</v>
      </c>
      <c r="O756" s="220">
        <v>-948.0</v>
      </c>
      <c r="P756" s="220">
        <v>978.0</v>
      </c>
      <c r="Q756" s="209"/>
      <c r="R756" s="196" t="s">
        <v>1913</v>
      </c>
      <c r="S756" s="45"/>
      <c r="T756" s="220">
        <v>269.0</v>
      </c>
      <c r="U756" s="198"/>
    </row>
    <row r="757" ht="22.5" customHeight="1">
      <c r="A757" s="211" t="s">
        <v>1914</v>
      </c>
      <c r="B757" s="212" t="s">
        <v>317</v>
      </c>
      <c r="C757" s="213" t="s">
        <v>136</v>
      </c>
      <c r="D757" s="214" t="s">
        <v>930</v>
      </c>
      <c r="E757" s="212" t="s">
        <v>15</v>
      </c>
      <c r="F757" s="215">
        <v>1.0</v>
      </c>
      <c r="G757" s="147"/>
      <c r="H757" s="216">
        <v>150.0</v>
      </c>
      <c r="I757" s="216">
        <v>85.0</v>
      </c>
      <c r="J757" s="216">
        <v>1700.0</v>
      </c>
      <c r="K757" s="237" t="s">
        <v>1909</v>
      </c>
      <c r="L757" s="217">
        <v>46294.0</v>
      </c>
      <c r="M757" s="217">
        <v>46324.0</v>
      </c>
      <c r="N757" s="215">
        <v>0.0</v>
      </c>
      <c r="O757" s="215">
        <v>-938.0</v>
      </c>
      <c r="P757" s="215">
        <v>968.0</v>
      </c>
      <c r="Q757" s="203"/>
      <c r="R757" s="218" t="s">
        <v>1915</v>
      </c>
      <c r="S757" s="186"/>
      <c r="T757" s="215">
        <v>270.0</v>
      </c>
      <c r="U757" s="204"/>
    </row>
    <row r="758" ht="22.5" hidden="1" customHeight="1">
      <c r="A758" s="205"/>
      <c r="B758" s="193" t="s">
        <v>923</v>
      </c>
      <c r="C758" s="233" t="s">
        <v>593</v>
      </c>
      <c r="D758" s="234"/>
      <c r="E758" s="209"/>
      <c r="F758" s="150"/>
      <c r="G758" s="45"/>
      <c r="H758" s="207"/>
      <c r="I758" s="197" t="s">
        <v>924</v>
      </c>
      <c r="J758" s="222">
        <v>122413.0</v>
      </c>
      <c r="K758" s="222">
        <v>28375.0</v>
      </c>
      <c r="L758" s="208"/>
      <c r="M758" s="208"/>
      <c r="N758" s="150"/>
      <c r="O758" s="150"/>
      <c r="P758" s="150"/>
      <c r="Q758" s="209"/>
      <c r="R758" s="45"/>
      <c r="S758" s="45"/>
      <c r="T758" s="150"/>
      <c r="U758" s="198"/>
    </row>
    <row r="759" ht="22.5" hidden="1" customHeight="1">
      <c r="A759" s="199"/>
      <c r="B759" s="212" t="s">
        <v>558</v>
      </c>
      <c r="C759" s="235" t="s">
        <v>586</v>
      </c>
      <c r="D759" s="236"/>
      <c r="E759" s="236"/>
      <c r="F759" s="147"/>
      <c r="G759" s="236"/>
      <c r="H759" s="201"/>
      <c r="I759" s="237" t="s">
        <v>925</v>
      </c>
      <c r="J759" s="216">
        <v>340500.0</v>
      </c>
      <c r="K759" s="201"/>
      <c r="L759" s="202"/>
      <c r="M759" s="218" t="s">
        <v>926</v>
      </c>
      <c r="N759" s="147"/>
      <c r="O759" s="147"/>
      <c r="P759" s="147"/>
      <c r="Q759" s="203"/>
      <c r="R759" s="236"/>
      <c r="S759" s="236"/>
      <c r="T759" s="215">
        <v>270.0</v>
      </c>
      <c r="U759" s="204"/>
    </row>
    <row r="760" ht="22.5" hidden="1" customHeight="1">
      <c r="A760" s="205"/>
      <c r="B760" s="193" t="s">
        <v>696</v>
      </c>
      <c r="C760" s="238" t="s">
        <v>1155</v>
      </c>
      <c r="D760" s="234"/>
      <c r="E760" s="234"/>
      <c r="F760" s="150"/>
      <c r="G760" s="234"/>
      <c r="H760" s="207"/>
      <c r="I760" s="197" t="s">
        <v>928</v>
      </c>
      <c r="J760" s="222">
        <v>222312.5</v>
      </c>
      <c r="K760" s="207"/>
      <c r="L760" s="208"/>
      <c r="M760" s="208"/>
      <c r="N760" s="150"/>
      <c r="O760" s="150"/>
      <c r="P760" s="150"/>
      <c r="Q760" s="209"/>
      <c r="R760" s="234"/>
      <c r="S760" s="234"/>
      <c r="T760" s="150"/>
      <c r="U760" s="198"/>
    </row>
    <row r="761" ht="22.5" hidden="1" customHeight="1">
      <c r="A761" s="199"/>
      <c r="B761" s="146"/>
      <c r="C761" s="200"/>
      <c r="D761" s="200"/>
      <c r="E761" s="200"/>
      <c r="F761" s="147"/>
      <c r="G761" s="186"/>
      <c r="H761" s="201"/>
      <c r="I761" s="201"/>
      <c r="J761" s="201"/>
      <c r="K761" s="201"/>
      <c r="L761" s="202"/>
      <c r="M761" s="202"/>
      <c r="N761" s="147"/>
      <c r="O761" s="147"/>
      <c r="P761" s="147"/>
      <c r="Q761" s="203"/>
      <c r="R761" s="186"/>
      <c r="S761" s="186"/>
      <c r="T761" s="147"/>
      <c r="U761" s="204"/>
    </row>
    <row r="762" ht="22.5" hidden="1" customHeight="1">
      <c r="A762" s="205"/>
      <c r="B762" s="82"/>
      <c r="C762" s="206"/>
      <c r="D762" s="206"/>
      <c r="E762" s="206"/>
      <c r="F762" s="150"/>
      <c r="G762" s="45"/>
      <c r="H762" s="207"/>
      <c r="I762" s="207"/>
      <c r="J762" s="207"/>
      <c r="K762" s="207"/>
      <c r="L762" s="208"/>
      <c r="M762" s="208"/>
      <c r="N762" s="150"/>
      <c r="O762" s="150"/>
      <c r="P762" s="150"/>
      <c r="Q762" s="209"/>
      <c r="R762" s="45"/>
      <c r="S762" s="45"/>
      <c r="T762" s="150"/>
      <c r="U762" s="198"/>
    </row>
    <row r="763" ht="22.5" hidden="1" customHeight="1">
      <c r="A763" s="199"/>
      <c r="B763" s="146"/>
      <c r="C763" s="200"/>
      <c r="D763" s="200"/>
      <c r="E763" s="200"/>
      <c r="F763" s="147"/>
      <c r="G763" s="186"/>
      <c r="H763" s="201"/>
      <c r="I763" s="201"/>
      <c r="J763" s="201"/>
      <c r="K763" s="201"/>
      <c r="L763" s="202"/>
      <c r="M763" s="202"/>
      <c r="N763" s="147"/>
      <c r="O763" s="147"/>
      <c r="P763" s="147"/>
      <c r="Q763" s="203"/>
      <c r="R763" s="186"/>
      <c r="S763" s="186"/>
      <c r="T763" s="147"/>
      <c r="U763" s="204"/>
    </row>
    <row r="764" ht="22.5" hidden="1" customHeight="1">
      <c r="A764" s="205"/>
      <c r="B764" s="82"/>
      <c r="C764" s="206"/>
      <c r="D764" s="206"/>
      <c r="E764" s="206"/>
      <c r="F764" s="150"/>
      <c r="G764" s="45"/>
      <c r="H764" s="207"/>
      <c r="I764" s="207"/>
      <c r="J764" s="207"/>
      <c r="K764" s="207"/>
      <c r="L764" s="208"/>
      <c r="M764" s="208"/>
      <c r="N764" s="150"/>
      <c r="O764" s="150"/>
      <c r="P764" s="150"/>
      <c r="Q764" s="209"/>
      <c r="R764" s="45"/>
      <c r="S764" s="45"/>
      <c r="T764" s="150"/>
      <c r="U764" s="198"/>
    </row>
    <row r="765" ht="22.5" hidden="1" customHeight="1">
      <c r="A765" s="211" t="s">
        <v>181</v>
      </c>
      <c r="B765" s="212" t="s">
        <v>132</v>
      </c>
      <c r="C765" s="212" t="s">
        <v>131</v>
      </c>
      <c r="D765" s="214" t="s">
        <v>870</v>
      </c>
      <c r="E765" s="212" t="s">
        <v>7</v>
      </c>
      <c r="F765" s="228" t="s">
        <v>871</v>
      </c>
      <c r="G765" s="212" t="s">
        <v>872</v>
      </c>
      <c r="H765" s="237" t="s">
        <v>8</v>
      </c>
      <c r="I765" s="237" t="s">
        <v>873</v>
      </c>
      <c r="J765" s="237" t="s">
        <v>17</v>
      </c>
      <c r="K765" s="237" t="s">
        <v>874</v>
      </c>
      <c r="L765" s="218" t="s">
        <v>875</v>
      </c>
      <c r="M765" s="218" t="s">
        <v>876</v>
      </c>
      <c r="N765" s="228" t="s">
        <v>877</v>
      </c>
      <c r="O765" s="228" t="s">
        <v>878</v>
      </c>
      <c r="P765" s="228" t="s">
        <v>879</v>
      </c>
      <c r="Q765" s="218" t="s">
        <v>880</v>
      </c>
      <c r="R765" s="218" t="s">
        <v>881</v>
      </c>
      <c r="S765" s="218" t="s">
        <v>882</v>
      </c>
      <c r="T765" s="228" t="s">
        <v>557</v>
      </c>
      <c r="U765" s="204"/>
    </row>
    <row r="766" ht="22.5" customHeight="1">
      <c r="A766" s="205"/>
      <c r="B766" s="193" t="s">
        <v>283</v>
      </c>
      <c r="C766" s="226" t="s">
        <v>136</v>
      </c>
      <c r="D766" s="194" t="s">
        <v>1472</v>
      </c>
      <c r="E766" s="193" t="s">
        <v>15</v>
      </c>
      <c r="F766" s="220">
        <v>1.0</v>
      </c>
      <c r="G766" s="150"/>
      <c r="H766" s="222">
        <v>150.0</v>
      </c>
      <c r="I766" s="222">
        <v>150.0</v>
      </c>
      <c r="J766" s="222">
        <v>3000.0</v>
      </c>
      <c r="K766" s="222">
        <v>0.0</v>
      </c>
      <c r="L766" s="223">
        <v>46244.0</v>
      </c>
      <c r="M766" s="223">
        <v>46275.0</v>
      </c>
      <c r="N766" s="220">
        <v>1.0</v>
      </c>
      <c r="O766" s="220">
        <v>-987.0</v>
      </c>
      <c r="P766" s="220">
        <v>1017.0</v>
      </c>
      <c r="Q766" s="209"/>
      <c r="R766" s="196" t="s">
        <v>1916</v>
      </c>
      <c r="S766" s="45"/>
      <c r="T766" s="220">
        <v>224.0</v>
      </c>
      <c r="U766" s="198"/>
    </row>
    <row r="767" ht="22.5" customHeight="1">
      <c r="A767" s="199"/>
      <c r="B767" s="212" t="s">
        <v>281</v>
      </c>
      <c r="C767" s="213" t="s">
        <v>136</v>
      </c>
      <c r="D767" s="214" t="s">
        <v>1472</v>
      </c>
      <c r="E767" s="212" t="s">
        <v>15</v>
      </c>
      <c r="F767" s="215">
        <v>1.0</v>
      </c>
      <c r="G767" s="147"/>
      <c r="H767" s="216">
        <v>150.0</v>
      </c>
      <c r="I767" s="216">
        <v>150.0</v>
      </c>
      <c r="J767" s="216">
        <v>3000.0</v>
      </c>
      <c r="K767" s="216">
        <v>0.0</v>
      </c>
      <c r="L767" s="217">
        <v>46244.0</v>
      </c>
      <c r="M767" s="217">
        <v>46275.0</v>
      </c>
      <c r="N767" s="215">
        <v>1.0</v>
      </c>
      <c r="O767" s="215">
        <v>-987.0</v>
      </c>
      <c r="P767" s="215">
        <v>1017.0</v>
      </c>
      <c r="Q767" s="203"/>
      <c r="R767" s="218" t="s">
        <v>1917</v>
      </c>
      <c r="S767" s="186"/>
      <c r="T767" s="215">
        <v>225.0</v>
      </c>
      <c r="U767" s="204"/>
    </row>
    <row r="768" ht="22.5" customHeight="1">
      <c r="A768" s="205"/>
      <c r="B768" s="193" t="s">
        <v>311</v>
      </c>
      <c r="C768" s="226" t="s">
        <v>136</v>
      </c>
      <c r="D768" s="194" t="s">
        <v>1472</v>
      </c>
      <c r="E768" s="193" t="s">
        <v>15</v>
      </c>
      <c r="F768" s="220">
        <v>1.0</v>
      </c>
      <c r="G768" s="150"/>
      <c r="H768" s="222">
        <v>150.0</v>
      </c>
      <c r="I768" s="222">
        <v>150.0</v>
      </c>
      <c r="J768" s="222">
        <v>3000.0</v>
      </c>
      <c r="K768" s="222">
        <v>0.0</v>
      </c>
      <c r="L768" s="223">
        <v>46236.0</v>
      </c>
      <c r="M768" s="223">
        <v>46267.0</v>
      </c>
      <c r="N768" s="220">
        <v>1.0</v>
      </c>
      <c r="O768" s="220">
        <v>-995.0</v>
      </c>
      <c r="P768" s="220">
        <v>1025.0</v>
      </c>
      <c r="Q768" s="209"/>
      <c r="R768" s="196" t="s">
        <v>1918</v>
      </c>
      <c r="S768" s="45"/>
      <c r="T768" s="220">
        <v>226.0</v>
      </c>
      <c r="U768" s="198"/>
    </row>
    <row r="769" ht="22.5" customHeight="1">
      <c r="A769" s="199"/>
      <c r="B769" s="212" t="s">
        <v>279</v>
      </c>
      <c r="C769" s="213" t="s">
        <v>136</v>
      </c>
      <c r="D769" s="214" t="s">
        <v>1883</v>
      </c>
      <c r="E769" s="212" t="s">
        <v>15</v>
      </c>
      <c r="F769" s="215">
        <v>1.0</v>
      </c>
      <c r="G769" s="147"/>
      <c r="H769" s="216">
        <v>250.0</v>
      </c>
      <c r="I769" s="216">
        <v>250.0</v>
      </c>
      <c r="J769" s="216">
        <v>5000.0</v>
      </c>
      <c r="K769" s="216">
        <v>5000.0</v>
      </c>
      <c r="L769" s="217">
        <v>46252.0</v>
      </c>
      <c r="M769" s="217">
        <v>46283.0</v>
      </c>
      <c r="N769" s="215">
        <v>0.0</v>
      </c>
      <c r="O769" s="215">
        <v>-979.0</v>
      </c>
      <c r="P769" s="215">
        <v>1009.0</v>
      </c>
      <c r="Q769" s="203"/>
      <c r="R769" s="218" t="s">
        <v>1919</v>
      </c>
      <c r="S769" s="186"/>
      <c r="T769" s="215">
        <v>227.0</v>
      </c>
      <c r="U769" s="204"/>
    </row>
    <row r="770" ht="22.5" customHeight="1">
      <c r="A770" s="192" t="s">
        <v>1920</v>
      </c>
      <c r="B770" s="193" t="s">
        <v>293</v>
      </c>
      <c r="C770" s="226" t="s">
        <v>136</v>
      </c>
      <c r="D770" s="194" t="s">
        <v>1750</v>
      </c>
      <c r="E770" s="193" t="s">
        <v>17</v>
      </c>
      <c r="F770" s="220">
        <v>2.0</v>
      </c>
      <c r="G770" s="150"/>
      <c r="H770" s="222">
        <v>6000.0</v>
      </c>
      <c r="I770" s="222">
        <v>10000.0</v>
      </c>
      <c r="J770" s="222">
        <v>10000.0</v>
      </c>
      <c r="K770" s="222">
        <v>10000.0</v>
      </c>
      <c r="L770" s="223">
        <v>46237.0</v>
      </c>
      <c r="M770" s="223">
        <v>46268.0</v>
      </c>
      <c r="N770" s="220">
        <v>0.0</v>
      </c>
      <c r="O770" s="220">
        <v>-994.0</v>
      </c>
      <c r="P770" s="220">
        <v>1024.0</v>
      </c>
      <c r="Q770" s="209"/>
      <c r="R770" s="196" t="s">
        <v>1921</v>
      </c>
      <c r="S770" s="45"/>
      <c r="T770" s="220">
        <v>228.0</v>
      </c>
      <c r="U770" s="198"/>
    </row>
    <row r="771" ht="22.5" customHeight="1">
      <c r="A771" s="199"/>
      <c r="B771" s="212" t="s">
        <v>295</v>
      </c>
      <c r="C771" s="213" t="s">
        <v>136</v>
      </c>
      <c r="D771" s="214" t="s">
        <v>1886</v>
      </c>
      <c r="E771" s="212" t="s">
        <v>17</v>
      </c>
      <c r="F771" s="215">
        <v>2.0</v>
      </c>
      <c r="G771" s="147"/>
      <c r="H771" s="237" t="s">
        <v>1887</v>
      </c>
      <c r="I771" s="216">
        <v>2000.0</v>
      </c>
      <c r="J771" s="216">
        <v>2000.0</v>
      </c>
      <c r="K771" s="216">
        <v>2000.0</v>
      </c>
      <c r="L771" s="217">
        <v>46256.0</v>
      </c>
      <c r="M771" s="217">
        <v>46287.0</v>
      </c>
      <c r="N771" s="215">
        <v>0.0</v>
      </c>
      <c r="O771" s="215">
        <v>-975.0</v>
      </c>
      <c r="P771" s="215">
        <v>1005.0</v>
      </c>
      <c r="Q771" s="203"/>
      <c r="R771" s="218" t="s">
        <v>1922</v>
      </c>
      <c r="S771" s="186"/>
      <c r="T771" s="215">
        <v>229.0</v>
      </c>
      <c r="U771" s="204"/>
    </row>
    <row r="772" ht="22.5" customHeight="1">
      <c r="A772" s="205"/>
      <c r="B772" s="193" t="s">
        <v>313</v>
      </c>
      <c r="C772" s="226" t="s">
        <v>136</v>
      </c>
      <c r="D772" s="194" t="s">
        <v>1890</v>
      </c>
      <c r="E772" s="193" t="s">
        <v>17</v>
      </c>
      <c r="F772" s="220">
        <v>5.0</v>
      </c>
      <c r="G772" s="150"/>
      <c r="H772" s="222">
        <v>2500.0</v>
      </c>
      <c r="I772" s="222">
        <v>10000.0</v>
      </c>
      <c r="J772" s="222">
        <v>10000.0</v>
      </c>
      <c r="K772" s="222">
        <v>0.0</v>
      </c>
      <c r="L772" s="223">
        <v>46237.0</v>
      </c>
      <c r="M772" s="223">
        <v>46268.0</v>
      </c>
      <c r="N772" s="220">
        <v>1.0</v>
      </c>
      <c r="O772" s="220">
        <v>-994.0</v>
      </c>
      <c r="P772" s="220">
        <v>1024.0</v>
      </c>
      <c r="Q772" s="209"/>
      <c r="R772" s="196" t="s">
        <v>1923</v>
      </c>
      <c r="S772" s="45"/>
      <c r="T772" s="220">
        <v>230.0</v>
      </c>
      <c r="U772" s="198"/>
    </row>
    <row r="773" ht="22.5" customHeight="1">
      <c r="A773" s="199"/>
      <c r="B773" s="212" t="s">
        <v>255</v>
      </c>
      <c r="C773" s="213" t="s">
        <v>136</v>
      </c>
      <c r="D773" s="214" t="s">
        <v>1704</v>
      </c>
      <c r="E773" s="212" t="s">
        <v>15</v>
      </c>
      <c r="F773" s="215">
        <v>1.0</v>
      </c>
      <c r="G773" s="147"/>
      <c r="H773" s="216">
        <v>6000.0</v>
      </c>
      <c r="I773" s="216">
        <v>6000.0</v>
      </c>
      <c r="J773" s="216">
        <v>6000.0</v>
      </c>
      <c r="K773" s="216">
        <v>0.0</v>
      </c>
      <c r="L773" s="217">
        <v>46255.0</v>
      </c>
      <c r="M773" s="217">
        <v>46286.0</v>
      </c>
      <c r="N773" s="215">
        <v>1.0</v>
      </c>
      <c r="O773" s="215">
        <v>-976.0</v>
      </c>
      <c r="P773" s="215">
        <v>1006.0</v>
      </c>
      <c r="Q773" s="203"/>
      <c r="R773" s="218" t="s">
        <v>1924</v>
      </c>
      <c r="S773" s="186"/>
      <c r="T773" s="215">
        <v>231.0</v>
      </c>
      <c r="U773" s="204"/>
    </row>
    <row r="774" ht="22.5" customHeight="1">
      <c r="A774" s="205"/>
      <c r="B774" s="193" t="s">
        <v>309</v>
      </c>
      <c r="C774" s="226" t="s">
        <v>136</v>
      </c>
      <c r="D774" s="194" t="s">
        <v>1676</v>
      </c>
      <c r="E774" s="193" t="s">
        <v>17</v>
      </c>
      <c r="F774" s="220">
        <v>2.0</v>
      </c>
      <c r="G774" s="150"/>
      <c r="H774" s="222">
        <v>2500.0</v>
      </c>
      <c r="I774" s="222">
        <v>5000.0</v>
      </c>
      <c r="J774" s="222">
        <v>5000.0</v>
      </c>
      <c r="K774" s="222">
        <v>0.0</v>
      </c>
      <c r="L774" s="223">
        <v>46237.0</v>
      </c>
      <c r="M774" s="223">
        <v>46268.0</v>
      </c>
      <c r="N774" s="220">
        <v>1.0</v>
      </c>
      <c r="O774" s="220">
        <v>-994.0</v>
      </c>
      <c r="P774" s="220">
        <v>1024.0</v>
      </c>
      <c r="Q774" s="209"/>
      <c r="R774" s="196" t="s">
        <v>1925</v>
      </c>
      <c r="S774" s="45"/>
      <c r="T774" s="220">
        <v>232.0</v>
      </c>
      <c r="U774" s="198"/>
    </row>
    <row r="775" ht="22.5" customHeight="1">
      <c r="A775" s="199"/>
      <c r="B775" s="212" t="s">
        <v>273</v>
      </c>
      <c r="C775" s="213" t="s">
        <v>136</v>
      </c>
      <c r="D775" s="214" t="s">
        <v>1788</v>
      </c>
      <c r="E775" s="212" t="s">
        <v>17</v>
      </c>
      <c r="F775" s="215">
        <v>3.0</v>
      </c>
      <c r="G775" s="147"/>
      <c r="H775" s="216">
        <v>1750.0</v>
      </c>
      <c r="I775" s="216">
        <v>5250.0</v>
      </c>
      <c r="J775" s="216">
        <v>5250.0</v>
      </c>
      <c r="K775" s="216">
        <v>5250.0</v>
      </c>
      <c r="L775" s="217">
        <v>46259.0</v>
      </c>
      <c r="M775" s="217">
        <v>46290.0</v>
      </c>
      <c r="N775" s="215">
        <v>0.0</v>
      </c>
      <c r="O775" s="215">
        <v>-972.0</v>
      </c>
      <c r="P775" s="215">
        <v>1002.0</v>
      </c>
      <c r="Q775" s="203"/>
      <c r="R775" s="218" t="s">
        <v>1926</v>
      </c>
      <c r="S775" s="186"/>
      <c r="T775" s="215">
        <v>233.0</v>
      </c>
      <c r="U775" s="204"/>
    </row>
    <row r="776" ht="22.5" customHeight="1">
      <c r="A776" s="205"/>
      <c r="B776" s="193" t="s">
        <v>223</v>
      </c>
      <c r="C776" s="226" t="s">
        <v>136</v>
      </c>
      <c r="D776" s="194" t="s">
        <v>1472</v>
      </c>
      <c r="E776" s="193" t="s">
        <v>15</v>
      </c>
      <c r="F776" s="220">
        <v>1.0</v>
      </c>
      <c r="G776" s="150"/>
      <c r="H776" s="222">
        <v>150.0</v>
      </c>
      <c r="I776" s="222">
        <v>150.0</v>
      </c>
      <c r="J776" s="222">
        <v>3000.0</v>
      </c>
      <c r="K776" s="222">
        <v>3000.0</v>
      </c>
      <c r="L776" s="223">
        <v>46258.0</v>
      </c>
      <c r="M776" s="223">
        <v>46289.0</v>
      </c>
      <c r="N776" s="220">
        <v>0.0</v>
      </c>
      <c r="O776" s="220">
        <v>-973.0</v>
      </c>
      <c r="P776" s="220">
        <v>1003.0</v>
      </c>
      <c r="Q776" s="209"/>
      <c r="R776" s="196" t="s">
        <v>1927</v>
      </c>
      <c r="S776" s="45"/>
      <c r="T776" s="220">
        <v>234.0</v>
      </c>
      <c r="U776" s="198"/>
    </row>
    <row r="777" ht="22.5" customHeight="1">
      <c r="A777" s="199"/>
      <c r="B777" s="212" t="s">
        <v>261</v>
      </c>
      <c r="C777" s="213" t="s">
        <v>136</v>
      </c>
      <c r="D777" s="214" t="s">
        <v>1711</v>
      </c>
      <c r="E777" s="212" t="s">
        <v>15</v>
      </c>
      <c r="F777" s="215">
        <v>1.0</v>
      </c>
      <c r="G777" s="147"/>
      <c r="H777" s="216">
        <v>300.0</v>
      </c>
      <c r="I777" s="216">
        <v>300.0</v>
      </c>
      <c r="J777" s="216">
        <v>6000.0</v>
      </c>
      <c r="K777" s="216">
        <v>0.0</v>
      </c>
      <c r="L777" s="217">
        <v>46238.0</v>
      </c>
      <c r="M777" s="217">
        <v>46269.0</v>
      </c>
      <c r="N777" s="215">
        <v>1.0</v>
      </c>
      <c r="O777" s="215">
        <v>-993.0</v>
      </c>
      <c r="P777" s="215">
        <v>1023.0</v>
      </c>
      <c r="Q777" s="203"/>
      <c r="R777" s="218" t="s">
        <v>1928</v>
      </c>
      <c r="S777" s="186"/>
      <c r="T777" s="215">
        <v>235.0</v>
      </c>
      <c r="U777" s="204"/>
    </row>
    <row r="778" ht="22.5" customHeight="1">
      <c r="A778" s="205"/>
      <c r="B778" s="193" t="s">
        <v>301</v>
      </c>
      <c r="C778" s="226" t="s">
        <v>136</v>
      </c>
      <c r="D778" s="194" t="s">
        <v>1708</v>
      </c>
      <c r="E778" s="193" t="s">
        <v>17</v>
      </c>
      <c r="F778" s="220">
        <v>2.0</v>
      </c>
      <c r="G778" s="150"/>
      <c r="H778" s="222">
        <v>6000.0</v>
      </c>
      <c r="I778" s="222">
        <v>10000.0</v>
      </c>
      <c r="J778" s="222">
        <v>10000.0</v>
      </c>
      <c r="K778" s="222">
        <v>0.0</v>
      </c>
      <c r="L778" s="223">
        <v>46252.0</v>
      </c>
      <c r="M778" s="223">
        <v>46283.0</v>
      </c>
      <c r="N778" s="220">
        <v>1.0</v>
      </c>
      <c r="O778" s="220">
        <v>-979.0</v>
      </c>
      <c r="P778" s="220">
        <v>1009.0</v>
      </c>
      <c r="Q778" s="209"/>
      <c r="R778" s="196" t="s">
        <v>1929</v>
      </c>
      <c r="S778" s="45"/>
      <c r="T778" s="220">
        <v>236.0</v>
      </c>
      <c r="U778" s="198"/>
    </row>
    <row r="779" ht="22.5" customHeight="1">
      <c r="A779" s="199"/>
      <c r="B779" s="212" t="s">
        <v>194</v>
      </c>
      <c r="C779" s="213" t="s">
        <v>136</v>
      </c>
      <c r="D779" s="214" t="s">
        <v>1782</v>
      </c>
      <c r="E779" s="212" t="s">
        <v>15</v>
      </c>
      <c r="F779" s="215">
        <v>3.0</v>
      </c>
      <c r="G779" s="147"/>
      <c r="H779" s="216">
        <v>100.0</v>
      </c>
      <c r="I779" s="237" t="s">
        <v>1930</v>
      </c>
      <c r="J779" s="216">
        <v>6000.0</v>
      </c>
      <c r="K779" s="216">
        <v>6000.0</v>
      </c>
      <c r="L779" s="217">
        <v>46256.0</v>
      </c>
      <c r="M779" s="217">
        <v>46287.0</v>
      </c>
      <c r="N779" s="215">
        <v>0.0</v>
      </c>
      <c r="O779" s="215">
        <v>-975.0</v>
      </c>
      <c r="P779" s="215">
        <v>1005.0</v>
      </c>
      <c r="Q779" s="203"/>
      <c r="R779" s="218" t="s">
        <v>1931</v>
      </c>
      <c r="S779" s="186"/>
      <c r="T779" s="215">
        <v>237.0</v>
      </c>
      <c r="U779" s="204"/>
    </row>
    <row r="780" ht="22.5" customHeight="1">
      <c r="A780" s="205"/>
      <c r="B780" s="193" t="s">
        <v>289</v>
      </c>
      <c r="C780" s="226" t="s">
        <v>136</v>
      </c>
      <c r="D780" s="194" t="s">
        <v>1472</v>
      </c>
      <c r="E780" s="193" t="s">
        <v>15</v>
      </c>
      <c r="F780" s="220">
        <v>1.0</v>
      </c>
      <c r="G780" s="150"/>
      <c r="H780" s="222">
        <v>150.0</v>
      </c>
      <c r="I780" s="222">
        <v>150.0</v>
      </c>
      <c r="J780" s="222">
        <v>3000.0</v>
      </c>
      <c r="K780" s="222">
        <v>3000.0</v>
      </c>
      <c r="L780" s="223">
        <v>46238.0</v>
      </c>
      <c r="M780" s="223">
        <v>46269.0</v>
      </c>
      <c r="N780" s="220">
        <v>0.0</v>
      </c>
      <c r="O780" s="220">
        <v>-993.0</v>
      </c>
      <c r="P780" s="220">
        <v>1023.0</v>
      </c>
      <c r="Q780" s="209"/>
      <c r="R780" s="196" t="s">
        <v>1932</v>
      </c>
      <c r="S780" s="45"/>
      <c r="T780" s="220">
        <v>238.0</v>
      </c>
      <c r="U780" s="198"/>
    </row>
    <row r="781" ht="22.5" customHeight="1">
      <c r="A781" s="199"/>
      <c r="B781" s="212" t="s">
        <v>209</v>
      </c>
      <c r="C781" s="213" t="s">
        <v>136</v>
      </c>
      <c r="D781" s="214" t="s">
        <v>1788</v>
      </c>
      <c r="E781" s="212" t="s">
        <v>17</v>
      </c>
      <c r="F781" s="215">
        <v>3.0</v>
      </c>
      <c r="G781" s="147"/>
      <c r="H781" s="237" t="s">
        <v>1900</v>
      </c>
      <c r="I781" s="216">
        <v>6000.0</v>
      </c>
      <c r="J781" s="216">
        <v>6000.0</v>
      </c>
      <c r="K781" s="216">
        <v>0.0</v>
      </c>
      <c r="L781" s="217">
        <v>46240.0</v>
      </c>
      <c r="M781" s="202"/>
      <c r="N781" s="215">
        <v>1.0</v>
      </c>
      <c r="O781" s="147"/>
      <c r="P781" s="215">
        <v>30.0</v>
      </c>
      <c r="Q781" s="203"/>
      <c r="R781" s="218" t="s">
        <v>1933</v>
      </c>
      <c r="S781" s="186"/>
      <c r="T781" s="215">
        <v>239.0</v>
      </c>
      <c r="U781" s="204"/>
    </row>
    <row r="782" ht="22.5" customHeight="1">
      <c r="A782" s="205"/>
      <c r="B782" s="193" t="s">
        <v>271</v>
      </c>
      <c r="C782" s="226" t="s">
        <v>136</v>
      </c>
      <c r="D782" s="194" t="s">
        <v>1760</v>
      </c>
      <c r="E782" s="193" t="s">
        <v>15</v>
      </c>
      <c r="F782" s="220">
        <v>5.0</v>
      </c>
      <c r="G782" s="150"/>
      <c r="H782" s="222">
        <v>100.0</v>
      </c>
      <c r="I782" s="222">
        <v>500.0</v>
      </c>
      <c r="J782" s="222">
        <v>10000.0</v>
      </c>
      <c r="K782" s="197" t="s">
        <v>1909</v>
      </c>
      <c r="L782" s="223">
        <v>46255.0</v>
      </c>
      <c r="M782" s="223">
        <v>46286.0</v>
      </c>
      <c r="N782" s="220">
        <v>0.0</v>
      </c>
      <c r="O782" s="220">
        <v>-976.0</v>
      </c>
      <c r="P782" s="220">
        <v>1006.0</v>
      </c>
      <c r="Q782" s="209"/>
      <c r="R782" s="196" t="s">
        <v>1934</v>
      </c>
      <c r="S782" s="45"/>
      <c r="T782" s="220">
        <v>240.0</v>
      </c>
      <c r="U782" s="198"/>
    </row>
    <row r="783" ht="22.5" customHeight="1">
      <c r="A783" s="199"/>
      <c r="B783" s="212" t="s">
        <v>305</v>
      </c>
      <c r="C783" s="213" t="s">
        <v>136</v>
      </c>
      <c r="D783" s="214" t="s">
        <v>1935</v>
      </c>
      <c r="E783" s="212" t="s">
        <v>17</v>
      </c>
      <c r="F783" s="215">
        <v>2.0</v>
      </c>
      <c r="G783" s="147"/>
      <c r="H783" s="216">
        <v>2500.0</v>
      </c>
      <c r="I783" s="216">
        <v>5000.0</v>
      </c>
      <c r="J783" s="216">
        <v>5000.0</v>
      </c>
      <c r="K783" s="216">
        <v>0.0</v>
      </c>
      <c r="L783" s="217">
        <v>46254.0</v>
      </c>
      <c r="M783" s="217">
        <v>46285.0</v>
      </c>
      <c r="N783" s="215">
        <v>1.0</v>
      </c>
      <c r="O783" s="215">
        <v>-977.0</v>
      </c>
      <c r="P783" s="215">
        <v>1007.0</v>
      </c>
      <c r="Q783" s="203"/>
      <c r="R783" s="218" t="s">
        <v>1936</v>
      </c>
      <c r="S783" s="186"/>
      <c r="T783" s="215">
        <v>241.0</v>
      </c>
      <c r="U783" s="204"/>
    </row>
    <row r="784" ht="22.5" customHeight="1">
      <c r="A784" s="192">
        <v>1.0</v>
      </c>
      <c r="B784" s="193" t="s">
        <v>263</v>
      </c>
      <c r="C784" s="226" t="s">
        <v>136</v>
      </c>
      <c r="D784" s="194" t="s">
        <v>1394</v>
      </c>
      <c r="E784" s="193" t="s">
        <v>15</v>
      </c>
      <c r="F784" s="220">
        <v>5.0</v>
      </c>
      <c r="G784" s="220">
        <v>33.3</v>
      </c>
      <c r="H784" s="222">
        <v>100.0</v>
      </c>
      <c r="I784" s="222">
        <v>500.0</v>
      </c>
      <c r="J784" s="222">
        <v>10000.0</v>
      </c>
      <c r="K784" s="222">
        <v>0.0</v>
      </c>
      <c r="L784" s="223">
        <v>46235.0</v>
      </c>
      <c r="M784" s="223">
        <v>46266.0</v>
      </c>
      <c r="N784" s="220">
        <v>1.0</v>
      </c>
      <c r="O784" s="220">
        <v>-996.0</v>
      </c>
      <c r="P784" s="220">
        <v>1026.0</v>
      </c>
      <c r="Q784" s="209"/>
      <c r="R784" s="196" t="s">
        <v>1937</v>
      </c>
      <c r="S784" s="45"/>
      <c r="T784" s="220">
        <v>242.0</v>
      </c>
      <c r="U784" s="198"/>
    </row>
    <row r="785" ht="22.5" customHeight="1">
      <c r="A785" s="199"/>
      <c r="B785" s="212" t="s">
        <v>291</v>
      </c>
      <c r="C785" s="213" t="s">
        <v>136</v>
      </c>
      <c r="D785" s="214" t="s">
        <v>1824</v>
      </c>
      <c r="E785" s="212" t="s">
        <v>17</v>
      </c>
      <c r="F785" s="215">
        <v>5.0</v>
      </c>
      <c r="G785" s="147"/>
      <c r="H785" s="237" t="s">
        <v>1938</v>
      </c>
      <c r="I785" s="216">
        <v>30000.0</v>
      </c>
      <c r="J785" s="216">
        <v>32029.0</v>
      </c>
      <c r="K785" s="216">
        <v>0.0</v>
      </c>
      <c r="L785" s="217">
        <v>46237.0</v>
      </c>
      <c r="M785" s="217">
        <v>46268.0</v>
      </c>
      <c r="N785" s="215">
        <v>1.0</v>
      </c>
      <c r="O785" s="215">
        <v>-994.0</v>
      </c>
      <c r="P785" s="215">
        <v>1024.0</v>
      </c>
      <c r="Q785" s="203"/>
      <c r="R785" s="218" t="s">
        <v>1939</v>
      </c>
      <c r="S785" s="186"/>
      <c r="T785" s="215">
        <v>243.0</v>
      </c>
      <c r="U785" s="204"/>
    </row>
    <row r="786" ht="22.5" customHeight="1">
      <c r="A786" s="205"/>
      <c r="B786" s="193" t="s">
        <v>192</v>
      </c>
      <c r="C786" s="226" t="s">
        <v>136</v>
      </c>
      <c r="D786" s="194" t="s">
        <v>1850</v>
      </c>
      <c r="E786" s="193" t="s">
        <v>17</v>
      </c>
      <c r="F786" s="220">
        <v>1.0</v>
      </c>
      <c r="G786" s="150"/>
      <c r="H786" s="197" t="s">
        <v>1851</v>
      </c>
      <c r="I786" s="222">
        <v>5000.0</v>
      </c>
      <c r="J786" s="222">
        <v>5000.0</v>
      </c>
      <c r="K786" s="222">
        <v>5000.0</v>
      </c>
      <c r="L786" s="223">
        <v>46242.0</v>
      </c>
      <c r="M786" s="223">
        <v>46273.0</v>
      </c>
      <c r="N786" s="220">
        <v>0.0</v>
      </c>
      <c r="O786" s="220">
        <v>-989.0</v>
      </c>
      <c r="P786" s="220">
        <v>1019.0</v>
      </c>
      <c r="Q786" s="209"/>
      <c r="R786" s="196" t="s">
        <v>1940</v>
      </c>
      <c r="S786" s="45"/>
      <c r="T786" s="220">
        <v>244.0</v>
      </c>
      <c r="U786" s="198"/>
    </row>
    <row r="787" ht="22.5" customHeight="1">
      <c r="A787" s="199"/>
      <c r="B787" s="212" t="s">
        <v>227</v>
      </c>
      <c r="C787" s="213" t="s">
        <v>136</v>
      </c>
      <c r="D787" s="214" t="s">
        <v>1472</v>
      </c>
      <c r="E787" s="212" t="s">
        <v>15</v>
      </c>
      <c r="F787" s="215">
        <v>1.0</v>
      </c>
      <c r="G787" s="147"/>
      <c r="H787" s="216">
        <v>150.0</v>
      </c>
      <c r="I787" s="216">
        <v>150.0</v>
      </c>
      <c r="J787" s="216">
        <v>3000.0</v>
      </c>
      <c r="K787" s="216">
        <v>3000.0</v>
      </c>
      <c r="L787" s="217">
        <v>46257.0</v>
      </c>
      <c r="M787" s="217">
        <v>46288.0</v>
      </c>
      <c r="N787" s="215">
        <v>0.0</v>
      </c>
      <c r="O787" s="215">
        <v>-974.0</v>
      </c>
      <c r="P787" s="215">
        <v>1004.0</v>
      </c>
      <c r="Q787" s="203"/>
      <c r="R787" s="218" t="s">
        <v>1941</v>
      </c>
      <c r="S787" s="186"/>
      <c r="T787" s="215">
        <v>245.0</v>
      </c>
      <c r="U787" s="204"/>
    </row>
    <row r="788" ht="22.5" customHeight="1">
      <c r="A788" s="205"/>
      <c r="B788" s="193" t="s">
        <v>307</v>
      </c>
      <c r="C788" s="226" t="s">
        <v>136</v>
      </c>
      <c r="D788" s="194" t="s">
        <v>1912</v>
      </c>
      <c r="E788" s="193" t="s">
        <v>15</v>
      </c>
      <c r="F788" s="220">
        <v>3.0</v>
      </c>
      <c r="G788" s="150"/>
      <c r="H788" s="222">
        <v>150.0</v>
      </c>
      <c r="I788" s="222">
        <v>450.0</v>
      </c>
      <c r="J788" s="222">
        <v>9000.0</v>
      </c>
      <c r="K788" s="197" t="s">
        <v>1909</v>
      </c>
      <c r="L788" s="223">
        <v>46253.0</v>
      </c>
      <c r="M788" s="223">
        <v>46284.0</v>
      </c>
      <c r="N788" s="220">
        <v>0.0</v>
      </c>
      <c r="O788" s="220">
        <v>-978.0</v>
      </c>
      <c r="P788" s="220">
        <v>1008.0</v>
      </c>
      <c r="Q788" s="209"/>
      <c r="R788" s="196" t="s">
        <v>1942</v>
      </c>
      <c r="S788" s="45"/>
      <c r="T788" s="220">
        <v>246.0</v>
      </c>
      <c r="U788" s="198"/>
    </row>
    <row r="789" ht="22.5" customHeight="1">
      <c r="A789" s="199"/>
      <c r="B789" s="212" t="s">
        <v>317</v>
      </c>
      <c r="C789" s="213" t="s">
        <v>136</v>
      </c>
      <c r="D789" s="214" t="s">
        <v>930</v>
      </c>
      <c r="E789" s="212" t="s">
        <v>15</v>
      </c>
      <c r="F789" s="215">
        <v>1.0</v>
      </c>
      <c r="G789" s="147"/>
      <c r="H789" s="216">
        <v>150.0</v>
      </c>
      <c r="I789" s="216">
        <v>150.0</v>
      </c>
      <c r="J789" s="216">
        <v>3000.0</v>
      </c>
      <c r="K789" s="216">
        <v>3000.0</v>
      </c>
      <c r="L789" s="217">
        <v>46263.0</v>
      </c>
      <c r="M789" s="217">
        <v>46294.0</v>
      </c>
      <c r="N789" s="215">
        <v>0.0</v>
      </c>
      <c r="O789" s="215">
        <v>-968.0</v>
      </c>
      <c r="P789" s="215">
        <v>998.0</v>
      </c>
      <c r="Q789" s="232">
        <v>46255.0</v>
      </c>
      <c r="R789" s="218" t="s">
        <v>1943</v>
      </c>
      <c r="S789" s="186"/>
      <c r="T789" s="215">
        <v>247.0</v>
      </c>
      <c r="U789" s="204"/>
    </row>
    <row r="790" ht="22.5" hidden="1" customHeight="1">
      <c r="A790" s="205"/>
      <c r="B790" s="193" t="s">
        <v>923</v>
      </c>
      <c r="C790" s="233" t="s">
        <v>1944</v>
      </c>
      <c r="D790" s="234"/>
      <c r="E790" s="209"/>
      <c r="F790" s="150"/>
      <c r="G790" s="45"/>
      <c r="H790" s="207"/>
      <c r="I790" s="197" t="s">
        <v>924</v>
      </c>
      <c r="J790" s="222">
        <v>163279.0</v>
      </c>
      <c r="K790" s="222">
        <v>45250.0</v>
      </c>
      <c r="L790" s="208"/>
      <c r="M790" s="208"/>
      <c r="N790" s="150"/>
      <c r="O790" s="150"/>
      <c r="P790" s="150"/>
      <c r="Q790" s="209"/>
      <c r="R790" s="45"/>
      <c r="S790" s="45"/>
      <c r="T790" s="150"/>
      <c r="U790" s="198"/>
    </row>
    <row r="791" ht="22.5" hidden="1" customHeight="1">
      <c r="A791" s="199"/>
      <c r="B791" s="212" t="s">
        <v>558</v>
      </c>
      <c r="C791" s="235" t="s">
        <v>584</v>
      </c>
      <c r="D791" s="236"/>
      <c r="E791" s="236"/>
      <c r="F791" s="147"/>
      <c r="G791" s="236"/>
      <c r="H791" s="201"/>
      <c r="I791" s="237" t="s">
        <v>925</v>
      </c>
      <c r="J791" s="216">
        <v>543000.0</v>
      </c>
      <c r="K791" s="201"/>
      <c r="L791" s="202"/>
      <c r="M791" s="218" t="s">
        <v>926</v>
      </c>
      <c r="N791" s="147"/>
      <c r="O791" s="147"/>
      <c r="P791" s="147"/>
      <c r="Q791" s="203"/>
      <c r="R791" s="236"/>
      <c r="S791" s="236"/>
      <c r="T791" s="215">
        <v>247.0</v>
      </c>
      <c r="U791" s="204"/>
    </row>
    <row r="792" ht="22.5" hidden="1" customHeight="1">
      <c r="A792" s="205"/>
      <c r="B792" s="193" t="s">
        <v>696</v>
      </c>
      <c r="C792" s="238" t="s">
        <v>1192</v>
      </c>
      <c r="D792" s="234"/>
      <c r="E792" s="234"/>
      <c r="F792" s="150"/>
      <c r="G792" s="234"/>
      <c r="H792" s="207"/>
      <c r="I792" s="197" t="s">
        <v>928</v>
      </c>
      <c r="J792" s="222">
        <v>193937.5</v>
      </c>
      <c r="K792" s="207"/>
      <c r="L792" s="208"/>
      <c r="M792" s="208"/>
      <c r="N792" s="150"/>
      <c r="O792" s="150"/>
      <c r="P792" s="150"/>
      <c r="Q792" s="209"/>
      <c r="R792" s="234"/>
      <c r="S792" s="234"/>
      <c r="T792" s="150"/>
      <c r="U792" s="198"/>
    </row>
    <row r="793" ht="22.5" hidden="1" customHeight="1">
      <c r="A793" s="199"/>
      <c r="B793" s="146"/>
      <c r="C793" s="200"/>
      <c r="D793" s="200"/>
      <c r="E793" s="200"/>
      <c r="F793" s="147"/>
      <c r="G793" s="186"/>
      <c r="H793" s="201"/>
      <c r="I793" s="201"/>
      <c r="J793" s="201"/>
      <c r="K793" s="201"/>
      <c r="L793" s="202"/>
      <c r="M793" s="202"/>
      <c r="N793" s="147"/>
      <c r="O793" s="147"/>
      <c r="P793" s="147"/>
      <c r="Q793" s="203"/>
      <c r="R793" s="186"/>
      <c r="S793" s="186"/>
      <c r="T793" s="147"/>
      <c r="U793" s="204"/>
    </row>
    <row r="794" ht="22.5" hidden="1" customHeight="1">
      <c r="A794" s="205"/>
      <c r="B794" s="82"/>
      <c r="C794" s="206"/>
      <c r="D794" s="206"/>
      <c r="E794" s="206"/>
      <c r="F794" s="150"/>
      <c r="G794" s="45"/>
      <c r="H794" s="207"/>
      <c r="I794" s="207"/>
      <c r="J794" s="207"/>
      <c r="K794" s="207"/>
      <c r="L794" s="208"/>
      <c r="M794" s="208"/>
      <c r="N794" s="150"/>
      <c r="O794" s="150"/>
      <c r="P794" s="150"/>
      <c r="Q794" s="209"/>
      <c r="R794" s="45"/>
      <c r="S794" s="45"/>
      <c r="T794" s="150"/>
      <c r="U794" s="198"/>
    </row>
    <row r="795" ht="22.5" hidden="1" customHeight="1">
      <c r="A795" s="199"/>
      <c r="B795" s="146"/>
      <c r="C795" s="200"/>
      <c r="D795" s="200"/>
      <c r="E795" s="200"/>
      <c r="F795" s="147"/>
      <c r="G795" s="186"/>
      <c r="H795" s="201"/>
      <c r="I795" s="201"/>
      <c r="J795" s="201"/>
      <c r="K795" s="201"/>
      <c r="L795" s="202"/>
      <c r="M795" s="202"/>
      <c r="N795" s="147"/>
      <c r="O795" s="147"/>
      <c r="P795" s="147"/>
      <c r="Q795" s="203"/>
      <c r="R795" s="186"/>
      <c r="S795" s="186"/>
      <c r="T795" s="147"/>
      <c r="U795" s="204"/>
    </row>
    <row r="796" ht="22.5" hidden="1" customHeight="1">
      <c r="A796" s="205"/>
      <c r="B796" s="82"/>
      <c r="C796" s="206"/>
      <c r="D796" s="206"/>
      <c r="E796" s="206"/>
      <c r="F796" s="150"/>
      <c r="G796" s="45"/>
      <c r="H796" s="207"/>
      <c r="I796" s="207"/>
      <c r="J796" s="207"/>
      <c r="K796" s="207"/>
      <c r="L796" s="208"/>
      <c r="M796" s="208"/>
      <c r="N796" s="150"/>
      <c r="O796" s="150"/>
      <c r="P796" s="150"/>
      <c r="Q796" s="209"/>
      <c r="R796" s="45"/>
      <c r="S796" s="45"/>
      <c r="T796" s="150"/>
      <c r="U796" s="198"/>
    </row>
    <row r="797" ht="22.5" hidden="1" customHeight="1">
      <c r="A797" s="211" t="s">
        <v>181</v>
      </c>
      <c r="B797" s="212" t="s">
        <v>132</v>
      </c>
      <c r="C797" s="212" t="s">
        <v>131</v>
      </c>
      <c r="D797" s="214" t="s">
        <v>870</v>
      </c>
      <c r="E797" s="212" t="s">
        <v>7</v>
      </c>
      <c r="F797" s="228" t="s">
        <v>871</v>
      </c>
      <c r="G797" s="212" t="s">
        <v>872</v>
      </c>
      <c r="H797" s="237" t="s">
        <v>8</v>
      </c>
      <c r="I797" s="237" t="s">
        <v>873</v>
      </c>
      <c r="J797" s="237" t="s">
        <v>17</v>
      </c>
      <c r="K797" s="237" t="s">
        <v>874</v>
      </c>
      <c r="L797" s="218" t="s">
        <v>875</v>
      </c>
      <c r="M797" s="218" t="s">
        <v>876</v>
      </c>
      <c r="N797" s="228" t="s">
        <v>877</v>
      </c>
      <c r="O797" s="228" t="s">
        <v>878</v>
      </c>
      <c r="P797" s="228" t="s">
        <v>879</v>
      </c>
      <c r="Q797" s="218" t="s">
        <v>880</v>
      </c>
      <c r="R797" s="218" t="s">
        <v>881</v>
      </c>
      <c r="S797" s="218" t="s">
        <v>882</v>
      </c>
      <c r="T797" s="228" t="s">
        <v>557</v>
      </c>
      <c r="U797" s="204"/>
    </row>
    <row r="798" ht="22.5" customHeight="1">
      <c r="A798" s="205"/>
      <c r="B798" s="193" t="s">
        <v>283</v>
      </c>
      <c r="C798" s="226" t="s">
        <v>136</v>
      </c>
      <c r="D798" s="194" t="s">
        <v>1472</v>
      </c>
      <c r="E798" s="193" t="s">
        <v>15</v>
      </c>
      <c r="F798" s="220">
        <v>4.0</v>
      </c>
      <c r="G798" s="221"/>
      <c r="H798" s="222">
        <v>150.0</v>
      </c>
      <c r="I798" s="222">
        <v>400.0</v>
      </c>
      <c r="J798" s="222">
        <v>8000.0</v>
      </c>
      <c r="K798" s="222">
        <v>0.0</v>
      </c>
      <c r="L798" s="223">
        <v>46213.0</v>
      </c>
      <c r="M798" s="223">
        <v>46244.0</v>
      </c>
      <c r="N798" s="220">
        <v>1.0</v>
      </c>
      <c r="O798" s="220">
        <v>-1018.0</v>
      </c>
      <c r="P798" s="220">
        <v>1048.0</v>
      </c>
      <c r="Q798" s="209"/>
      <c r="R798" s="196" t="s">
        <v>1945</v>
      </c>
      <c r="S798" s="45"/>
      <c r="T798" s="220">
        <v>204.0</v>
      </c>
      <c r="U798" s="198"/>
    </row>
    <row r="799" ht="22.5" customHeight="1">
      <c r="A799" s="199"/>
      <c r="B799" s="212" t="s">
        <v>281</v>
      </c>
      <c r="C799" s="213" t="s">
        <v>136</v>
      </c>
      <c r="D799" s="214" t="s">
        <v>1472</v>
      </c>
      <c r="E799" s="212" t="s">
        <v>15</v>
      </c>
      <c r="F799" s="215">
        <v>1.0</v>
      </c>
      <c r="G799" s="210"/>
      <c r="H799" s="216">
        <v>150.0</v>
      </c>
      <c r="I799" s="216">
        <v>150.0</v>
      </c>
      <c r="J799" s="216">
        <v>3000.0</v>
      </c>
      <c r="K799" s="216">
        <v>0.0</v>
      </c>
      <c r="L799" s="217">
        <v>46213.0</v>
      </c>
      <c r="M799" s="217">
        <v>46244.0</v>
      </c>
      <c r="N799" s="215">
        <v>1.0</v>
      </c>
      <c r="O799" s="215">
        <v>-1018.0</v>
      </c>
      <c r="P799" s="215">
        <v>1048.0</v>
      </c>
      <c r="Q799" s="203"/>
      <c r="R799" s="218" t="s">
        <v>1946</v>
      </c>
      <c r="S799" s="186"/>
      <c r="T799" s="215">
        <v>205.0</v>
      </c>
      <c r="U799" s="204"/>
    </row>
    <row r="800" ht="22.5" customHeight="1">
      <c r="A800" s="205"/>
      <c r="B800" s="193" t="s">
        <v>279</v>
      </c>
      <c r="C800" s="226" t="s">
        <v>136</v>
      </c>
      <c r="D800" s="194" t="s">
        <v>1883</v>
      </c>
      <c r="E800" s="193" t="s">
        <v>15</v>
      </c>
      <c r="F800" s="220">
        <v>1.0</v>
      </c>
      <c r="G800" s="221"/>
      <c r="H800" s="222">
        <v>250.0</v>
      </c>
      <c r="I800" s="222">
        <v>250.0</v>
      </c>
      <c r="J800" s="222">
        <v>5000.0</v>
      </c>
      <c r="K800" s="222">
        <v>5000.0</v>
      </c>
      <c r="L800" s="223">
        <v>46221.0</v>
      </c>
      <c r="M800" s="223">
        <v>46252.0</v>
      </c>
      <c r="N800" s="220">
        <v>0.0</v>
      </c>
      <c r="O800" s="220">
        <v>-1010.0</v>
      </c>
      <c r="P800" s="220">
        <v>1040.0</v>
      </c>
      <c r="Q800" s="209"/>
      <c r="R800" s="196" t="s">
        <v>1947</v>
      </c>
      <c r="S800" s="45"/>
      <c r="T800" s="220">
        <v>206.0</v>
      </c>
      <c r="U800" s="198"/>
    </row>
    <row r="801" ht="22.5" customHeight="1">
      <c r="A801" s="199"/>
      <c r="B801" s="212" t="s">
        <v>297</v>
      </c>
      <c r="C801" s="229" t="s">
        <v>685</v>
      </c>
      <c r="D801" s="200"/>
      <c r="E801" s="200"/>
      <c r="F801" s="215">
        <v>1.0</v>
      </c>
      <c r="G801" s="210"/>
      <c r="H801" s="237" t="s">
        <v>1948</v>
      </c>
      <c r="I801" s="216">
        <v>9600.0</v>
      </c>
      <c r="J801" s="201"/>
      <c r="K801" s="201"/>
      <c r="L801" s="217">
        <v>46226.0</v>
      </c>
      <c r="M801" s="217">
        <v>46257.0</v>
      </c>
      <c r="N801" s="147"/>
      <c r="O801" s="215">
        <v>-1005.0</v>
      </c>
      <c r="P801" s="215">
        <v>1035.0</v>
      </c>
      <c r="Q801" s="203"/>
      <c r="R801" s="218" t="s">
        <v>1949</v>
      </c>
      <c r="S801" s="186"/>
      <c r="T801" s="215">
        <v>207.0</v>
      </c>
      <c r="U801" s="204"/>
    </row>
    <row r="802" ht="22.5" customHeight="1">
      <c r="A802" s="205"/>
      <c r="B802" s="193" t="s">
        <v>293</v>
      </c>
      <c r="C802" s="226" t="s">
        <v>136</v>
      </c>
      <c r="D802" s="194" t="s">
        <v>1750</v>
      </c>
      <c r="E802" s="193" t="s">
        <v>17</v>
      </c>
      <c r="F802" s="220">
        <v>2.0</v>
      </c>
      <c r="G802" s="221"/>
      <c r="H802" s="222">
        <v>6000.0</v>
      </c>
      <c r="I802" s="222">
        <v>10000.0</v>
      </c>
      <c r="J802" s="222">
        <v>10000.0</v>
      </c>
      <c r="K802" s="222">
        <v>10000.0</v>
      </c>
      <c r="L802" s="223">
        <v>46206.0</v>
      </c>
      <c r="M802" s="223">
        <v>46237.0</v>
      </c>
      <c r="N802" s="220">
        <v>0.0</v>
      </c>
      <c r="O802" s="220">
        <v>-1025.0</v>
      </c>
      <c r="P802" s="220">
        <v>1055.0</v>
      </c>
      <c r="Q802" s="209"/>
      <c r="R802" s="196" t="s">
        <v>1950</v>
      </c>
      <c r="S802" s="45"/>
      <c r="T802" s="220">
        <v>208.0</v>
      </c>
      <c r="U802" s="198"/>
    </row>
    <row r="803" ht="22.5" customHeight="1">
      <c r="A803" s="211">
        <v>0.1667</v>
      </c>
      <c r="B803" s="212" t="s">
        <v>295</v>
      </c>
      <c r="C803" s="213" t="s">
        <v>136</v>
      </c>
      <c r="D803" s="214" t="s">
        <v>1886</v>
      </c>
      <c r="E803" s="212" t="s">
        <v>17</v>
      </c>
      <c r="F803" s="215">
        <v>2.0</v>
      </c>
      <c r="G803" s="210"/>
      <c r="H803" s="237" t="s">
        <v>1887</v>
      </c>
      <c r="I803" s="216">
        <v>2000.0</v>
      </c>
      <c r="J803" s="216">
        <v>2000.0</v>
      </c>
      <c r="K803" s="216">
        <v>2000.0</v>
      </c>
      <c r="L803" s="217">
        <v>46225.0</v>
      </c>
      <c r="M803" s="217">
        <v>46256.0</v>
      </c>
      <c r="N803" s="215">
        <v>0.0</v>
      </c>
      <c r="O803" s="215">
        <v>-1006.0</v>
      </c>
      <c r="P803" s="215">
        <v>1036.0</v>
      </c>
      <c r="Q803" s="203"/>
      <c r="R803" s="218" t="s">
        <v>1951</v>
      </c>
      <c r="S803" s="186"/>
      <c r="T803" s="215">
        <v>209.0</v>
      </c>
      <c r="U803" s="204"/>
    </row>
    <row r="804" ht="22.5" customHeight="1">
      <c r="A804" s="205"/>
      <c r="B804" s="193" t="s">
        <v>303</v>
      </c>
      <c r="C804" s="226" t="s">
        <v>136</v>
      </c>
      <c r="D804" s="194" t="s">
        <v>1472</v>
      </c>
      <c r="E804" s="193" t="s">
        <v>15</v>
      </c>
      <c r="F804" s="220">
        <v>1.0</v>
      </c>
      <c r="G804" s="221"/>
      <c r="H804" s="222">
        <v>150.0</v>
      </c>
      <c r="I804" s="222">
        <v>3300.0</v>
      </c>
      <c r="J804" s="222">
        <v>3300.0</v>
      </c>
      <c r="K804" s="222">
        <v>0.0</v>
      </c>
      <c r="L804" s="196" t="s">
        <v>1909</v>
      </c>
      <c r="M804" s="247" t="e">
        <v>#VALUE!</v>
      </c>
      <c r="N804" s="220">
        <v>1.0</v>
      </c>
      <c r="O804" s="249" t="e">
        <v>#VALUE!</v>
      </c>
      <c r="P804" s="249" t="e">
        <v>#VALUE!</v>
      </c>
      <c r="Q804" s="209"/>
      <c r="R804" s="196" t="s">
        <v>1952</v>
      </c>
      <c r="S804" s="45"/>
      <c r="T804" s="220">
        <v>210.0</v>
      </c>
      <c r="U804" s="198"/>
    </row>
    <row r="805" ht="22.5" customHeight="1">
      <c r="A805" s="211" t="s">
        <v>1953</v>
      </c>
      <c r="B805" s="212" t="s">
        <v>273</v>
      </c>
      <c r="C805" s="213" t="s">
        <v>136</v>
      </c>
      <c r="D805" s="214" t="s">
        <v>1788</v>
      </c>
      <c r="E805" s="212" t="s">
        <v>17</v>
      </c>
      <c r="F805" s="215">
        <v>3.0</v>
      </c>
      <c r="G805" s="210"/>
      <c r="H805" s="216">
        <v>1750.0</v>
      </c>
      <c r="I805" s="216">
        <v>5250.0</v>
      </c>
      <c r="J805" s="216">
        <v>5250.0</v>
      </c>
      <c r="K805" s="216">
        <v>0.0</v>
      </c>
      <c r="L805" s="217">
        <v>46228.0</v>
      </c>
      <c r="M805" s="217">
        <v>46259.0</v>
      </c>
      <c r="N805" s="215">
        <v>1.0</v>
      </c>
      <c r="O805" s="215">
        <v>-1003.0</v>
      </c>
      <c r="P805" s="215">
        <v>1033.0</v>
      </c>
      <c r="Q805" s="203"/>
      <c r="R805" s="218" t="s">
        <v>1954</v>
      </c>
      <c r="S805" s="186"/>
      <c r="T805" s="215">
        <v>211.0</v>
      </c>
      <c r="U805" s="204"/>
    </row>
    <row r="806" ht="22.5" customHeight="1">
      <c r="A806" s="205"/>
      <c r="B806" s="193" t="s">
        <v>277</v>
      </c>
      <c r="C806" s="226" t="s">
        <v>136</v>
      </c>
      <c r="D806" s="194" t="s">
        <v>1883</v>
      </c>
      <c r="E806" s="193" t="s">
        <v>15</v>
      </c>
      <c r="F806" s="220">
        <v>1.0</v>
      </c>
      <c r="G806" s="221"/>
      <c r="H806" s="197" t="s">
        <v>1955</v>
      </c>
      <c r="I806" s="222">
        <v>650.0</v>
      </c>
      <c r="J806" s="222">
        <v>13000.0</v>
      </c>
      <c r="K806" s="222">
        <v>13000.0</v>
      </c>
      <c r="L806" s="223">
        <v>46221.0</v>
      </c>
      <c r="M806" s="223">
        <v>46252.0</v>
      </c>
      <c r="N806" s="220">
        <v>0.0</v>
      </c>
      <c r="O806" s="220">
        <v>-1010.0</v>
      </c>
      <c r="P806" s="220">
        <v>1040.0</v>
      </c>
      <c r="Q806" s="209"/>
      <c r="R806" s="196" t="s">
        <v>1956</v>
      </c>
      <c r="S806" s="45"/>
      <c r="T806" s="220">
        <v>212.0</v>
      </c>
      <c r="U806" s="198"/>
    </row>
    <row r="807" ht="22.5" customHeight="1">
      <c r="A807" s="199"/>
      <c r="B807" s="212" t="s">
        <v>261</v>
      </c>
      <c r="C807" s="213" t="s">
        <v>136</v>
      </c>
      <c r="D807" s="214" t="s">
        <v>1711</v>
      </c>
      <c r="E807" s="212" t="s">
        <v>15</v>
      </c>
      <c r="F807" s="215">
        <v>1.0</v>
      </c>
      <c r="G807" s="210"/>
      <c r="H807" s="216">
        <v>300.0</v>
      </c>
      <c r="I807" s="216">
        <v>300.0</v>
      </c>
      <c r="J807" s="216">
        <v>6000.0</v>
      </c>
      <c r="K807" s="216">
        <v>0.0</v>
      </c>
      <c r="L807" s="217">
        <v>46207.0</v>
      </c>
      <c r="M807" s="217">
        <v>46238.0</v>
      </c>
      <c r="N807" s="215">
        <v>1.0</v>
      </c>
      <c r="O807" s="215">
        <v>-1024.0</v>
      </c>
      <c r="P807" s="215">
        <v>1054.0</v>
      </c>
      <c r="Q807" s="203"/>
      <c r="R807" s="218" t="s">
        <v>1957</v>
      </c>
      <c r="S807" s="186"/>
      <c r="T807" s="215">
        <v>213.0</v>
      </c>
      <c r="U807" s="204"/>
    </row>
    <row r="808" ht="22.5" customHeight="1">
      <c r="A808" s="205"/>
      <c r="B808" s="193" t="s">
        <v>301</v>
      </c>
      <c r="C808" s="226" t="s">
        <v>136</v>
      </c>
      <c r="D808" s="194" t="s">
        <v>1708</v>
      </c>
      <c r="E808" s="193" t="s">
        <v>17</v>
      </c>
      <c r="F808" s="220">
        <v>2.0</v>
      </c>
      <c r="G808" s="221"/>
      <c r="H808" s="222">
        <v>6000.0</v>
      </c>
      <c r="I808" s="222">
        <v>10000.0</v>
      </c>
      <c r="J808" s="222">
        <v>10000.0</v>
      </c>
      <c r="K808" s="222">
        <v>0.0</v>
      </c>
      <c r="L808" s="223">
        <v>46221.0</v>
      </c>
      <c r="M808" s="223">
        <v>46252.0</v>
      </c>
      <c r="N808" s="220">
        <v>1.0</v>
      </c>
      <c r="O808" s="220">
        <v>-1010.0</v>
      </c>
      <c r="P808" s="220">
        <v>1040.0</v>
      </c>
      <c r="Q808" s="209"/>
      <c r="R808" s="196" t="s">
        <v>1958</v>
      </c>
      <c r="S808" s="45"/>
      <c r="T808" s="220">
        <v>214.0</v>
      </c>
      <c r="U808" s="198"/>
    </row>
    <row r="809" ht="22.5" customHeight="1">
      <c r="A809" s="199"/>
      <c r="B809" s="212" t="s">
        <v>289</v>
      </c>
      <c r="C809" s="213" t="s">
        <v>136</v>
      </c>
      <c r="D809" s="214" t="s">
        <v>1472</v>
      </c>
      <c r="E809" s="212" t="s">
        <v>15</v>
      </c>
      <c r="F809" s="215">
        <v>2.0</v>
      </c>
      <c r="G809" s="210"/>
      <c r="H809" s="216">
        <v>150.0</v>
      </c>
      <c r="I809" s="216">
        <v>300.0</v>
      </c>
      <c r="J809" s="216">
        <v>6000.0</v>
      </c>
      <c r="K809" s="216">
        <v>6000.0</v>
      </c>
      <c r="L809" s="217">
        <v>46207.0</v>
      </c>
      <c r="M809" s="217">
        <v>46238.0</v>
      </c>
      <c r="N809" s="215">
        <v>0.0</v>
      </c>
      <c r="O809" s="215">
        <v>-1024.0</v>
      </c>
      <c r="P809" s="215">
        <v>1054.0</v>
      </c>
      <c r="Q809" s="203"/>
      <c r="R809" s="218" t="s">
        <v>1959</v>
      </c>
      <c r="S809" s="186"/>
      <c r="T809" s="215">
        <v>215.0</v>
      </c>
      <c r="U809" s="204"/>
    </row>
    <row r="810" ht="22.5" customHeight="1">
      <c r="A810" s="205"/>
      <c r="B810" s="193" t="s">
        <v>209</v>
      </c>
      <c r="C810" s="219" t="s">
        <v>684</v>
      </c>
      <c r="D810" s="194" t="s">
        <v>1788</v>
      </c>
      <c r="E810" s="193" t="s">
        <v>17</v>
      </c>
      <c r="F810" s="220">
        <v>3.0</v>
      </c>
      <c r="G810" s="221"/>
      <c r="H810" s="197" t="s">
        <v>1900</v>
      </c>
      <c r="I810" s="222">
        <v>6000.0</v>
      </c>
      <c r="J810" s="207"/>
      <c r="K810" s="207"/>
      <c r="L810" s="223">
        <v>46227.0</v>
      </c>
      <c r="M810" s="223">
        <v>46258.0</v>
      </c>
      <c r="N810" s="150"/>
      <c r="O810" s="220">
        <v>-1004.0</v>
      </c>
      <c r="P810" s="220">
        <v>1034.0</v>
      </c>
      <c r="Q810" s="209"/>
      <c r="R810" s="196" t="s">
        <v>1960</v>
      </c>
      <c r="S810" s="45"/>
      <c r="T810" s="220">
        <v>216.0</v>
      </c>
      <c r="U810" s="198"/>
    </row>
    <row r="811" ht="22.5" customHeight="1">
      <c r="A811" s="199"/>
      <c r="B811" s="212" t="s">
        <v>271</v>
      </c>
      <c r="C811" s="231" t="s">
        <v>684</v>
      </c>
      <c r="D811" s="214" t="s">
        <v>1760</v>
      </c>
      <c r="E811" s="212" t="s">
        <v>15</v>
      </c>
      <c r="F811" s="215">
        <v>5.0</v>
      </c>
      <c r="G811" s="210"/>
      <c r="H811" s="216">
        <v>100.0</v>
      </c>
      <c r="I811" s="216">
        <v>500.0</v>
      </c>
      <c r="J811" s="201"/>
      <c r="K811" s="237" t="s">
        <v>1909</v>
      </c>
      <c r="L811" s="217">
        <v>46224.0</v>
      </c>
      <c r="M811" s="217">
        <v>46255.0</v>
      </c>
      <c r="N811" s="215">
        <v>0.0</v>
      </c>
      <c r="O811" s="215">
        <v>-1007.0</v>
      </c>
      <c r="P811" s="215">
        <v>1037.0</v>
      </c>
      <c r="Q811" s="203"/>
      <c r="R811" s="218" t="s">
        <v>1961</v>
      </c>
      <c r="S811" s="186"/>
      <c r="T811" s="215">
        <v>217.0</v>
      </c>
      <c r="U811" s="204"/>
    </row>
    <row r="812" ht="22.5" customHeight="1">
      <c r="A812" s="205"/>
      <c r="B812" s="193" t="s">
        <v>263</v>
      </c>
      <c r="C812" s="226" t="s">
        <v>136</v>
      </c>
      <c r="D812" s="194" t="s">
        <v>1394</v>
      </c>
      <c r="E812" s="193" t="s">
        <v>15</v>
      </c>
      <c r="F812" s="220">
        <v>5.0</v>
      </c>
      <c r="G812" s="221"/>
      <c r="H812" s="222">
        <v>100.0</v>
      </c>
      <c r="I812" s="222">
        <v>500.0</v>
      </c>
      <c r="J812" s="222">
        <v>10000.0</v>
      </c>
      <c r="K812" s="222">
        <v>0.0</v>
      </c>
      <c r="L812" s="223">
        <v>46204.0</v>
      </c>
      <c r="M812" s="223">
        <v>46235.0</v>
      </c>
      <c r="N812" s="220">
        <v>1.0</v>
      </c>
      <c r="O812" s="220">
        <v>-1027.0</v>
      </c>
      <c r="P812" s="220">
        <v>1057.0</v>
      </c>
      <c r="Q812" s="209"/>
      <c r="R812" s="196" t="s">
        <v>1962</v>
      </c>
      <c r="S812" s="45"/>
      <c r="T812" s="220">
        <v>218.0</v>
      </c>
      <c r="U812" s="198"/>
    </row>
    <row r="813" ht="22.5" customHeight="1">
      <c r="A813" s="211" t="s">
        <v>1963</v>
      </c>
      <c r="B813" s="212" t="s">
        <v>249</v>
      </c>
      <c r="C813" s="213" t="s">
        <v>136</v>
      </c>
      <c r="D813" s="214" t="s">
        <v>1760</v>
      </c>
      <c r="E813" s="212" t="s">
        <v>15</v>
      </c>
      <c r="F813" s="215">
        <v>3.0</v>
      </c>
      <c r="G813" s="210"/>
      <c r="H813" s="216">
        <v>130.0</v>
      </c>
      <c r="I813" s="216">
        <v>300.0</v>
      </c>
      <c r="J813" s="216">
        <v>6000.0</v>
      </c>
      <c r="K813" s="216">
        <v>0.0</v>
      </c>
      <c r="L813" s="217">
        <v>46214.0</v>
      </c>
      <c r="M813" s="217">
        <v>46245.0</v>
      </c>
      <c r="N813" s="215">
        <v>1.0</v>
      </c>
      <c r="O813" s="215">
        <v>-1017.0</v>
      </c>
      <c r="P813" s="215">
        <v>1047.0</v>
      </c>
      <c r="Q813" s="203"/>
      <c r="R813" s="218" t="s">
        <v>1964</v>
      </c>
      <c r="S813" s="186"/>
      <c r="T813" s="215">
        <v>219.0</v>
      </c>
      <c r="U813" s="204"/>
    </row>
    <row r="814" ht="22.5" customHeight="1">
      <c r="A814" s="192" t="s">
        <v>1963</v>
      </c>
      <c r="B814" s="193" t="s">
        <v>215</v>
      </c>
      <c r="C814" s="226" t="s">
        <v>136</v>
      </c>
      <c r="D814" s="194" t="s">
        <v>1965</v>
      </c>
      <c r="E814" s="193" t="s">
        <v>15</v>
      </c>
      <c r="F814" s="220">
        <v>6.0</v>
      </c>
      <c r="G814" s="221"/>
      <c r="H814" s="222">
        <v>120.0</v>
      </c>
      <c r="I814" s="222">
        <v>600.0</v>
      </c>
      <c r="J814" s="222">
        <v>12000.0</v>
      </c>
      <c r="K814" s="222">
        <v>0.0</v>
      </c>
      <c r="L814" s="223">
        <v>46212.0</v>
      </c>
      <c r="M814" s="223">
        <v>46243.0</v>
      </c>
      <c r="N814" s="220">
        <v>1.0</v>
      </c>
      <c r="O814" s="220">
        <v>-1019.0</v>
      </c>
      <c r="P814" s="220">
        <v>1049.0</v>
      </c>
      <c r="Q814" s="209"/>
      <c r="R814" s="196" t="s">
        <v>1966</v>
      </c>
      <c r="S814" s="45"/>
      <c r="T814" s="220">
        <v>220.0</v>
      </c>
      <c r="U814" s="198"/>
    </row>
    <row r="815" ht="22.5" customHeight="1">
      <c r="A815" s="199"/>
      <c r="B815" s="212" t="s">
        <v>291</v>
      </c>
      <c r="C815" s="213" t="s">
        <v>136</v>
      </c>
      <c r="D815" s="214" t="s">
        <v>1824</v>
      </c>
      <c r="E815" s="212" t="s">
        <v>17</v>
      </c>
      <c r="F815" s="215">
        <v>4.0</v>
      </c>
      <c r="G815" s="210"/>
      <c r="H815" s="237" t="s">
        <v>1938</v>
      </c>
      <c r="I815" s="216">
        <v>20000.0</v>
      </c>
      <c r="J815" s="216">
        <v>20000.0</v>
      </c>
      <c r="K815" s="216">
        <v>0.0</v>
      </c>
      <c r="L815" s="217">
        <v>46206.0</v>
      </c>
      <c r="M815" s="217">
        <v>46237.0</v>
      </c>
      <c r="N815" s="215">
        <v>1.0</v>
      </c>
      <c r="O815" s="215">
        <v>-1025.0</v>
      </c>
      <c r="P815" s="215">
        <v>1055.0</v>
      </c>
      <c r="Q815" s="203"/>
      <c r="R815" s="218" t="s">
        <v>1967</v>
      </c>
      <c r="S815" s="186"/>
      <c r="T815" s="215">
        <v>221.0</v>
      </c>
      <c r="U815" s="204"/>
    </row>
    <row r="816" ht="22.5" customHeight="1">
      <c r="A816" s="205"/>
      <c r="B816" s="193" t="s">
        <v>192</v>
      </c>
      <c r="C816" s="226" t="s">
        <v>136</v>
      </c>
      <c r="D816" s="194" t="s">
        <v>1850</v>
      </c>
      <c r="E816" s="193" t="s">
        <v>17</v>
      </c>
      <c r="F816" s="220">
        <v>1.0</v>
      </c>
      <c r="G816" s="221"/>
      <c r="H816" s="197" t="s">
        <v>1851</v>
      </c>
      <c r="I816" s="222">
        <v>5000.0</v>
      </c>
      <c r="J816" s="222">
        <v>5000.0</v>
      </c>
      <c r="K816" s="197" t="s">
        <v>1909</v>
      </c>
      <c r="L816" s="223">
        <v>46211.0</v>
      </c>
      <c r="M816" s="223">
        <v>46242.0</v>
      </c>
      <c r="N816" s="220">
        <v>0.0</v>
      </c>
      <c r="O816" s="220">
        <v>-1020.0</v>
      </c>
      <c r="P816" s="220">
        <v>1050.0</v>
      </c>
      <c r="Q816" s="209"/>
      <c r="R816" s="196" t="s">
        <v>1968</v>
      </c>
      <c r="S816" s="45"/>
      <c r="T816" s="220">
        <v>222.0</v>
      </c>
      <c r="U816" s="198"/>
    </row>
    <row r="817" ht="22.5" customHeight="1">
      <c r="A817" s="199"/>
      <c r="B817" s="212" t="s">
        <v>227</v>
      </c>
      <c r="C817" s="213" t="s">
        <v>136</v>
      </c>
      <c r="D817" s="214" t="s">
        <v>1472</v>
      </c>
      <c r="E817" s="212" t="s">
        <v>15</v>
      </c>
      <c r="F817" s="215">
        <v>1.0</v>
      </c>
      <c r="G817" s="210"/>
      <c r="H817" s="216">
        <v>150.0</v>
      </c>
      <c r="I817" s="216">
        <v>150.0</v>
      </c>
      <c r="J817" s="216">
        <v>3000.0</v>
      </c>
      <c r="K817" s="237" t="s">
        <v>1909</v>
      </c>
      <c r="L817" s="217">
        <v>46226.0</v>
      </c>
      <c r="M817" s="217">
        <v>46257.0</v>
      </c>
      <c r="N817" s="215">
        <v>0.0</v>
      </c>
      <c r="O817" s="215">
        <v>-1005.0</v>
      </c>
      <c r="P817" s="215">
        <v>1035.0</v>
      </c>
      <c r="Q817" s="203"/>
      <c r="R817" s="218" t="s">
        <v>1969</v>
      </c>
      <c r="S817" s="186"/>
      <c r="T817" s="215">
        <v>223.0</v>
      </c>
      <c r="U817" s="204"/>
    </row>
    <row r="818" ht="22.5" hidden="1" customHeight="1">
      <c r="A818" s="205"/>
      <c r="B818" s="193" t="s">
        <v>923</v>
      </c>
      <c r="C818" s="233" t="s">
        <v>591</v>
      </c>
      <c r="D818" s="234"/>
      <c r="E818" s="209"/>
      <c r="F818" s="150"/>
      <c r="G818" s="45"/>
      <c r="H818" s="207"/>
      <c r="I818" s="197" t="s">
        <v>924</v>
      </c>
      <c r="J818" s="222">
        <v>127550.0</v>
      </c>
      <c r="K818" s="222">
        <v>36000.0</v>
      </c>
      <c r="L818" s="208"/>
      <c r="M818" s="208"/>
      <c r="N818" s="150"/>
      <c r="O818" s="150"/>
      <c r="P818" s="150"/>
      <c r="Q818" s="209"/>
      <c r="R818" s="45"/>
      <c r="S818" s="45"/>
      <c r="T818" s="150"/>
      <c r="U818" s="198"/>
    </row>
    <row r="819" ht="22.5" hidden="1" customHeight="1">
      <c r="A819" s="199"/>
      <c r="B819" s="212" t="s">
        <v>558</v>
      </c>
      <c r="C819" s="235" t="s">
        <v>582</v>
      </c>
      <c r="D819" s="236"/>
      <c r="E819" s="236"/>
      <c r="F819" s="147"/>
      <c r="G819" s="236"/>
      <c r="H819" s="201"/>
      <c r="I819" s="237" t="s">
        <v>925</v>
      </c>
      <c r="J819" s="216">
        <v>432000.0</v>
      </c>
      <c r="K819" s="201"/>
      <c r="L819" s="202"/>
      <c r="M819" s="218" t="s">
        <v>926</v>
      </c>
      <c r="N819" s="147"/>
      <c r="O819" s="147"/>
      <c r="P819" s="147"/>
      <c r="Q819" s="203"/>
      <c r="R819" s="236"/>
      <c r="S819" s="236"/>
      <c r="T819" s="215">
        <v>223.0</v>
      </c>
      <c r="U819" s="204"/>
    </row>
    <row r="820" ht="22.5" hidden="1" customHeight="1">
      <c r="A820" s="205"/>
      <c r="B820" s="193" t="s">
        <v>696</v>
      </c>
      <c r="C820" s="238" t="s">
        <v>1224</v>
      </c>
      <c r="D820" s="234"/>
      <c r="E820" s="234"/>
      <c r="F820" s="150"/>
      <c r="G820" s="234"/>
      <c r="H820" s="207"/>
      <c r="I820" s="197" t="s">
        <v>928</v>
      </c>
      <c r="J820" s="222">
        <v>148687.5</v>
      </c>
      <c r="K820" s="207"/>
      <c r="L820" s="208"/>
      <c r="M820" s="208"/>
      <c r="N820" s="150"/>
      <c r="O820" s="150"/>
      <c r="P820" s="150"/>
      <c r="Q820" s="209"/>
      <c r="R820" s="234"/>
      <c r="S820" s="234"/>
      <c r="T820" s="150"/>
      <c r="U820" s="198"/>
    </row>
    <row r="821" ht="22.5" hidden="1" customHeight="1">
      <c r="A821" s="199"/>
      <c r="B821" s="146"/>
      <c r="C821" s="200"/>
      <c r="D821" s="200"/>
      <c r="E821" s="200"/>
      <c r="F821" s="147"/>
      <c r="G821" s="186"/>
      <c r="H821" s="201"/>
      <c r="I821" s="201"/>
      <c r="J821" s="201"/>
      <c r="K821" s="201"/>
      <c r="L821" s="202"/>
      <c r="M821" s="202"/>
      <c r="N821" s="147"/>
      <c r="O821" s="147"/>
      <c r="P821" s="147"/>
      <c r="Q821" s="203"/>
      <c r="R821" s="186"/>
      <c r="S821" s="186"/>
      <c r="T821" s="147"/>
      <c r="U821" s="204"/>
    </row>
    <row r="822" ht="22.5" hidden="1" customHeight="1">
      <c r="A822" s="205"/>
      <c r="B822" s="82"/>
      <c r="C822" s="206"/>
      <c r="D822" s="206"/>
      <c r="E822" s="206"/>
      <c r="F822" s="150"/>
      <c r="G822" s="45"/>
      <c r="H822" s="207"/>
      <c r="I822" s="207"/>
      <c r="J822" s="207"/>
      <c r="K822" s="207"/>
      <c r="L822" s="208"/>
      <c r="M822" s="208"/>
      <c r="N822" s="150"/>
      <c r="O822" s="150"/>
      <c r="P822" s="150"/>
      <c r="Q822" s="209"/>
      <c r="R822" s="45"/>
      <c r="S822" s="45"/>
      <c r="T822" s="150"/>
      <c r="U822" s="198"/>
    </row>
    <row r="823" ht="22.5" hidden="1" customHeight="1">
      <c r="A823" s="199"/>
      <c r="B823" s="146"/>
      <c r="C823" s="200"/>
      <c r="D823" s="200"/>
      <c r="E823" s="200"/>
      <c r="F823" s="147"/>
      <c r="G823" s="186"/>
      <c r="H823" s="201"/>
      <c r="I823" s="201"/>
      <c r="J823" s="201"/>
      <c r="K823" s="201"/>
      <c r="L823" s="202"/>
      <c r="M823" s="202"/>
      <c r="N823" s="147"/>
      <c r="O823" s="147"/>
      <c r="P823" s="147"/>
      <c r="Q823" s="203"/>
      <c r="R823" s="186"/>
      <c r="S823" s="186"/>
      <c r="T823" s="147"/>
      <c r="U823" s="204"/>
    </row>
    <row r="824" ht="22.5" hidden="1" customHeight="1">
      <c r="A824" s="205"/>
      <c r="B824" s="82"/>
      <c r="C824" s="206"/>
      <c r="D824" s="206"/>
      <c r="E824" s="206"/>
      <c r="F824" s="150"/>
      <c r="G824" s="45"/>
      <c r="H824" s="207"/>
      <c r="I824" s="207"/>
      <c r="J824" s="207"/>
      <c r="K824" s="207"/>
      <c r="L824" s="208"/>
      <c r="M824" s="208"/>
      <c r="N824" s="150"/>
      <c r="O824" s="150"/>
      <c r="P824" s="150"/>
      <c r="Q824" s="209"/>
      <c r="R824" s="45"/>
      <c r="S824" s="45"/>
      <c r="T824" s="150"/>
      <c r="U824" s="198"/>
    </row>
    <row r="825" ht="22.5" hidden="1" customHeight="1">
      <c r="A825" s="211" t="s">
        <v>181</v>
      </c>
      <c r="B825" s="212" t="s">
        <v>132</v>
      </c>
      <c r="C825" s="212" t="s">
        <v>131</v>
      </c>
      <c r="D825" s="214" t="s">
        <v>870</v>
      </c>
      <c r="E825" s="212" t="s">
        <v>7</v>
      </c>
      <c r="F825" s="228" t="s">
        <v>871</v>
      </c>
      <c r="G825" s="212" t="s">
        <v>872</v>
      </c>
      <c r="H825" s="237" t="s">
        <v>8</v>
      </c>
      <c r="I825" s="237" t="s">
        <v>873</v>
      </c>
      <c r="J825" s="237" t="s">
        <v>17</v>
      </c>
      <c r="K825" s="237" t="s">
        <v>874</v>
      </c>
      <c r="L825" s="218" t="s">
        <v>875</v>
      </c>
      <c r="M825" s="218" t="s">
        <v>876</v>
      </c>
      <c r="N825" s="228" t="s">
        <v>877</v>
      </c>
      <c r="O825" s="228" t="s">
        <v>878</v>
      </c>
      <c r="P825" s="228" t="s">
        <v>879</v>
      </c>
      <c r="Q825" s="218" t="s">
        <v>880</v>
      </c>
      <c r="R825" s="218" t="s">
        <v>881</v>
      </c>
      <c r="S825" s="218" t="s">
        <v>882</v>
      </c>
      <c r="T825" s="228" t="s">
        <v>557</v>
      </c>
      <c r="U825" s="204"/>
    </row>
    <row r="826" ht="22.5" customHeight="1">
      <c r="A826" s="205"/>
      <c r="B826" s="193" t="s">
        <v>283</v>
      </c>
      <c r="C826" s="226" t="s">
        <v>136</v>
      </c>
      <c r="D826" s="194" t="s">
        <v>1472</v>
      </c>
      <c r="E826" s="193" t="s">
        <v>15</v>
      </c>
      <c r="F826" s="220">
        <v>4.0</v>
      </c>
      <c r="G826" s="150"/>
      <c r="H826" s="222">
        <v>150.0</v>
      </c>
      <c r="I826" s="222">
        <v>400.0</v>
      </c>
      <c r="J826" s="222">
        <v>8000.0</v>
      </c>
      <c r="K826" s="222">
        <v>0.0</v>
      </c>
      <c r="L826" s="223">
        <v>46183.0</v>
      </c>
      <c r="M826" s="223">
        <v>46213.0</v>
      </c>
      <c r="N826" s="220">
        <v>1.0</v>
      </c>
      <c r="O826" s="220">
        <v>-1049.0</v>
      </c>
      <c r="P826" s="220">
        <v>1079.0</v>
      </c>
      <c r="Q826" s="209"/>
      <c r="R826" s="196" t="s">
        <v>1970</v>
      </c>
      <c r="S826" s="45"/>
      <c r="T826" s="220">
        <v>192.0</v>
      </c>
      <c r="U826" s="198"/>
    </row>
    <row r="827" ht="22.5" customHeight="1">
      <c r="A827" s="199"/>
      <c r="B827" s="212" t="s">
        <v>281</v>
      </c>
      <c r="C827" s="213" t="s">
        <v>136</v>
      </c>
      <c r="D827" s="214" t="s">
        <v>1472</v>
      </c>
      <c r="E827" s="212" t="s">
        <v>15</v>
      </c>
      <c r="F827" s="215">
        <v>1.0</v>
      </c>
      <c r="G827" s="147"/>
      <c r="H827" s="216">
        <v>150.0</v>
      </c>
      <c r="I827" s="216">
        <v>150.0</v>
      </c>
      <c r="J827" s="216">
        <v>3000.0</v>
      </c>
      <c r="K827" s="216">
        <v>0.0</v>
      </c>
      <c r="L827" s="217">
        <v>46183.0</v>
      </c>
      <c r="M827" s="217">
        <v>46213.0</v>
      </c>
      <c r="N827" s="215">
        <v>1.0</v>
      </c>
      <c r="O827" s="215">
        <v>-1049.0</v>
      </c>
      <c r="P827" s="215">
        <v>1079.0</v>
      </c>
      <c r="Q827" s="203"/>
      <c r="R827" s="218" t="s">
        <v>1971</v>
      </c>
      <c r="S827" s="186"/>
      <c r="T827" s="215">
        <v>193.0</v>
      </c>
      <c r="U827" s="204"/>
    </row>
    <row r="828" ht="22.5" customHeight="1">
      <c r="A828" s="205"/>
      <c r="B828" s="193" t="s">
        <v>279</v>
      </c>
      <c r="C828" s="226" t="s">
        <v>136</v>
      </c>
      <c r="D828" s="194" t="s">
        <v>1883</v>
      </c>
      <c r="E828" s="193" t="s">
        <v>15</v>
      </c>
      <c r="F828" s="220">
        <v>1.0</v>
      </c>
      <c r="G828" s="150"/>
      <c r="H828" s="222">
        <v>250.0</v>
      </c>
      <c r="I828" s="222">
        <v>250.0</v>
      </c>
      <c r="J828" s="222">
        <v>5000.0</v>
      </c>
      <c r="K828" s="222">
        <v>5000.0</v>
      </c>
      <c r="L828" s="223">
        <v>46191.0</v>
      </c>
      <c r="M828" s="223">
        <v>46221.0</v>
      </c>
      <c r="N828" s="220">
        <v>0.0</v>
      </c>
      <c r="O828" s="220">
        <v>-1041.0</v>
      </c>
      <c r="P828" s="220">
        <v>1071.0</v>
      </c>
      <c r="Q828" s="209"/>
      <c r="R828" s="196" t="s">
        <v>1972</v>
      </c>
      <c r="S828" s="45"/>
      <c r="T828" s="220">
        <v>194.0</v>
      </c>
      <c r="U828" s="198"/>
    </row>
    <row r="829" ht="22.5" customHeight="1">
      <c r="A829" s="199"/>
      <c r="B829" s="212" t="s">
        <v>273</v>
      </c>
      <c r="C829" s="213" t="s">
        <v>136</v>
      </c>
      <c r="D829" s="214" t="s">
        <v>1788</v>
      </c>
      <c r="E829" s="212" t="s">
        <v>17</v>
      </c>
      <c r="F829" s="215">
        <v>3.0</v>
      </c>
      <c r="G829" s="147"/>
      <c r="H829" s="216">
        <v>1750.0</v>
      </c>
      <c r="I829" s="216">
        <v>5250.0</v>
      </c>
      <c r="J829" s="216">
        <v>5250.0</v>
      </c>
      <c r="K829" s="216">
        <v>0.0</v>
      </c>
      <c r="L829" s="217">
        <v>46198.0</v>
      </c>
      <c r="M829" s="217">
        <v>46228.0</v>
      </c>
      <c r="N829" s="215">
        <v>1.0</v>
      </c>
      <c r="O829" s="215">
        <v>-1034.0</v>
      </c>
      <c r="P829" s="215">
        <v>1064.0</v>
      </c>
      <c r="Q829" s="203"/>
      <c r="R829" s="218" t="s">
        <v>1973</v>
      </c>
      <c r="S829" s="186"/>
      <c r="T829" s="215">
        <v>195.0</v>
      </c>
      <c r="U829" s="204"/>
    </row>
    <row r="830" ht="22.5" customHeight="1">
      <c r="A830" s="205"/>
      <c r="B830" s="193" t="s">
        <v>277</v>
      </c>
      <c r="C830" s="226" t="s">
        <v>136</v>
      </c>
      <c r="D830" s="194" t="s">
        <v>1883</v>
      </c>
      <c r="E830" s="193" t="s">
        <v>15</v>
      </c>
      <c r="F830" s="220">
        <v>1.0</v>
      </c>
      <c r="G830" s="150"/>
      <c r="H830" s="222">
        <v>250.0</v>
      </c>
      <c r="I830" s="222">
        <v>250.0</v>
      </c>
      <c r="J830" s="222">
        <v>5000.0</v>
      </c>
      <c r="K830" s="222">
        <v>5000.0</v>
      </c>
      <c r="L830" s="223">
        <v>46191.0</v>
      </c>
      <c r="M830" s="223">
        <v>46221.0</v>
      </c>
      <c r="N830" s="220">
        <v>0.0</v>
      </c>
      <c r="O830" s="220">
        <v>-1041.0</v>
      </c>
      <c r="P830" s="220">
        <v>1071.0</v>
      </c>
      <c r="Q830" s="209"/>
      <c r="R830" s="196" t="s">
        <v>1974</v>
      </c>
      <c r="S830" s="45"/>
      <c r="T830" s="220">
        <v>196.0</v>
      </c>
      <c r="U830" s="198"/>
    </row>
    <row r="831" ht="22.5" customHeight="1">
      <c r="A831" s="199"/>
      <c r="B831" s="212" t="s">
        <v>194</v>
      </c>
      <c r="C831" s="213" t="s">
        <v>136</v>
      </c>
      <c r="D831" s="214" t="s">
        <v>1782</v>
      </c>
      <c r="E831" s="212" t="s">
        <v>15</v>
      </c>
      <c r="F831" s="215">
        <v>3.0</v>
      </c>
      <c r="G831" s="147"/>
      <c r="H831" s="216">
        <v>100.0</v>
      </c>
      <c r="I831" s="237" t="s">
        <v>1930</v>
      </c>
      <c r="J831" s="216">
        <v>6000.0</v>
      </c>
      <c r="K831" s="216">
        <v>6000.0</v>
      </c>
      <c r="L831" s="217">
        <v>46195.0</v>
      </c>
      <c r="M831" s="217">
        <v>46225.0</v>
      </c>
      <c r="N831" s="215">
        <v>0.0</v>
      </c>
      <c r="O831" s="215">
        <v>-1037.0</v>
      </c>
      <c r="P831" s="215">
        <v>1067.0</v>
      </c>
      <c r="Q831" s="203"/>
      <c r="R831" s="218" t="s">
        <v>1975</v>
      </c>
      <c r="S831" s="186"/>
      <c r="T831" s="215">
        <v>197.0</v>
      </c>
      <c r="U831" s="204"/>
    </row>
    <row r="832" ht="22.5" customHeight="1">
      <c r="A832" s="205"/>
      <c r="B832" s="193" t="s">
        <v>289</v>
      </c>
      <c r="C832" s="226" t="s">
        <v>136</v>
      </c>
      <c r="D832" s="194" t="s">
        <v>1472</v>
      </c>
      <c r="E832" s="193" t="s">
        <v>15</v>
      </c>
      <c r="F832" s="220">
        <v>2.0</v>
      </c>
      <c r="G832" s="150"/>
      <c r="H832" s="222">
        <v>150.0</v>
      </c>
      <c r="I832" s="222">
        <v>300.0</v>
      </c>
      <c r="J832" s="222">
        <v>6000.0</v>
      </c>
      <c r="K832" s="222">
        <v>0.0</v>
      </c>
      <c r="L832" s="223">
        <v>46177.0</v>
      </c>
      <c r="M832" s="223">
        <v>46207.0</v>
      </c>
      <c r="N832" s="220">
        <v>1.0</v>
      </c>
      <c r="O832" s="220">
        <v>-1055.0</v>
      </c>
      <c r="P832" s="220">
        <v>1085.0</v>
      </c>
      <c r="Q832" s="209"/>
      <c r="R832" s="196" t="s">
        <v>1976</v>
      </c>
      <c r="S832" s="45"/>
      <c r="T832" s="220">
        <v>198.0</v>
      </c>
      <c r="U832" s="198"/>
    </row>
    <row r="833" ht="22.5" customHeight="1">
      <c r="A833" s="199"/>
      <c r="B833" s="212" t="s">
        <v>263</v>
      </c>
      <c r="C833" s="213" t="s">
        <v>136</v>
      </c>
      <c r="D833" s="214" t="s">
        <v>1977</v>
      </c>
      <c r="E833" s="212" t="s">
        <v>15</v>
      </c>
      <c r="F833" s="215">
        <v>5.0</v>
      </c>
      <c r="G833" s="147"/>
      <c r="H833" s="216">
        <v>100.0</v>
      </c>
      <c r="I833" s="216">
        <v>500.0</v>
      </c>
      <c r="J833" s="216">
        <v>10000.0</v>
      </c>
      <c r="K833" s="216">
        <v>0.0</v>
      </c>
      <c r="L833" s="217">
        <v>46174.0</v>
      </c>
      <c r="M833" s="217">
        <v>46204.0</v>
      </c>
      <c r="N833" s="215">
        <v>1.0</v>
      </c>
      <c r="O833" s="215">
        <v>-1058.0</v>
      </c>
      <c r="P833" s="215">
        <v>1088.0</v>
      </c>
      <c r="Q833" s="203"/>
      <c r="R833" s="218" t="s">
        <v>1978</v>
      </c>
      <c r="S833" s="186"/>
      <c r="T833" s="215">
        <v>199.0</v>
      </c>
      <c r="U833" s="204"/>
    </row>
    <row r="834" ht="22.5" customHeight="1">
      <c r="A834" s="192" t="s">
        <v>1963</v>
      </c>
      <c r="B834" s="193" t="s">
        <v>249</v>
      </c>
      <c r="C834" s="226" t="s">
        <v>136</v>
      </c>
      <c r="D834" s="194" t="s">
        <v>1782</v>
      </c>
      <c r="E834" s="193" t="s">
        <v>15</v>
      </c>
      <c r="F834" s="220">
        <v>3.0</v>
      </c>
      <c r="G834" s="150"/>
      <c r="H834" s="222">
        <v>130.0</v>
      </c>
      <c r="I834" s="222">
        <v>300.0</v>
      </c>
      <c r="J834" s="222">
        <v>6000.0</v>
      </c>
      <c r="K834" s="222">
        <v>0.0</v>
      </c>
      <c r="L834" s="223">
        <v>46184.0</v>
      </c>
      <c r="M834" s="223">
        <v>46214.0</v>
      </c>
      <c r="N834" s="220">
        <v>1.0</v>
      </c>
      <c r="O834" s="220">
        <v>-1048.0</v>
      </c>
      <c r="P834" s="220">
        <v>1078.0</v>
      </c>
      <c r="Q834" s="209"/>
      <c r="R834" s="196" t="s">
        <v>1979</v>
      </c>
      <c r="S834" s="45"/>
      <c r="T834" s="220">
        <v>200.0</v>
      </c>
      <c r="U834" s="198"/>
    </row>
    <row r="835" ht="22.5" customHeight="1">
      <c r="A835" s="199"/>
      <c r="B835" s="212" t="s">
        <v>215</v>
      </c>
      <c r="C835" s="213" t="s">
        <v>136</v>
      </c>
      <c r="D835" s="214" t="s">
        <v>1760</v>
      </c>
      <c r="E835" s="212" t="s">
        <v>15</v>
      </c>
      <c r="F835" s="215">
        <v>6.0</v>
      </c>
      <c r="G835" s="147"/>
      <c r="H835" s="216">
        <v>120.0</v>
      </c>
      <c r="I835" s="216">
        <v>600.0</v>
      </c>
      <c r="J835" s="216">
        <v>12000.0</v>
      </c>
      <c r="K835" s="216">
        <v>0.0</v>
      </c>
      <c r="L835" s="217">
        <v>46182.0</v>
      </c>
      <c r="M835" s="217">
        <v>46212.0</v>
      </c>
      <c r="N835" s="215">
        <v>1.0</v>
      </c>
      <c r="O835" s="215">
        <v>-1050.0</v>
      </c>
      <c r="P835" s="215">
        <v>1080.0</v>
      </c>
      <c r="Q835" s="203"/>
      <c r="R835" s="218" t="s">
        <v>1980</v>
      </c>
      <c r="S835" s="186"/>
      <c r="T835" s="215">
        <v>201.0</v>
      </c>
      <c r="U835" s="204"/>
    </row>
    <row r="836" ht="22.5" customHeight="1">
      <c r="A836" s="205"/>
      <c r="B836" s="193" t="s">
        <v>192</v>
      </c>
      <c r="C836" s="226" t="s">
        <v>136</v>
      </c>
      <c r="D836" s="194" t="s">
        <v>1850</v>
      </c>
      <c r="E836" s="193" t="s">
        <v>17</v>
      </c>
      <c r="F836" s="220">
        <v>1.0</v>
      </c>
      <c r="G836" s="150"/>
      <c r="H836" s="222">
        <v>7500.0</v>
      </c>
      <c r="I836" s="222">
        <v>7500.0</v>
      </c>
      <c r="J836" s="222">
        <v>7500.0</v>
      </c>
      <c r="K836" s="197" t="s">
        <v>1909</v>
      </c>
      <c r="L836" s="223">
        <v>46181.0</v>
      </c>
      <c r="M836" s="223">
        <v>46211.0</v>
      </c>
      <c r="N836" s="220">
        <v>0.0</v>
      </c>
      <c r="O836" s="220">
        <v>-1051.0</v>
      </c>
      <c r="P836" s="220">
        <v>1081.0</v>
      </c>
      <c r="Q836" s="209"/>
      <c r="R836" s="196" t="s">
        <v>1981</v>
      </c>
      <c r="S836" s="45"/>
      <c r="T836" s="220">
        <v>202.0</v>
      </c>
      <c r="U836" s="198"/>
    </row>
    <row r="837" ht="22.5" customHeight="1">
      <c r="A837" s="211" t="s">
        <v>1953</v>
      </c>
      <c r="B837" s="212" t="s">
        <v>269</v>
      </c>
      <c r="C837" s="213" t="s">
        <v>136</v>
      </c>
      <c r="D837" s="214" t="s">
        <v>1782</v>
      </c>
      <c r="E837" s="212" t="s">
        <v>15</v>
      </c>
      <c r="F837" s="215">
        <v>3.0</v>
      </c>
      <c r="G837" s="147"/>
      <c r="H837" s="216">
        <v>100.0</v>
      </c>
      <c r="I837" s="216">
        <v>300.0</v>
      </c>
      <c r="J837" s="216">
        <v>6000.0</v>
      </c>
      <c r="K837" s="216">
        <v>0.0</v>
      </c>
      <c r="L837" s="217">
        <v>46189.0</v>
      </c>
      <c r="M837" s="217">
        <v>46219.0</v>
      </c>
      <c r="N837" s="215">
        <v>1.0</v>
      </c>
      <c r="O837" s="215">
        <v>-1043.0</v>
      </c>
      <c r="P837" s="215">
        <v>1073.0</v>
      </c>
      <c r="Q837" s="203"/>
      <c r="R837" s="218" t="s">
        <v>1982</v>
      </c>
      <c r="S837" s="186"/>
      <c r="T837" s="215">
        <v>203.0</v>
      </c>
      <c r="U837" s="204"/>
    </row>
    <row r="838" ht="22.5" hidden="1" customHeight="1">
      <c r="A838" s="205"/>
      <c r="B838" s="193" t="s">
        <v>923</v>
      </c>
      <c r="C838" s="233" t="s">
        <v>1944</v>
      </c>
      <c r="D838" s="234"/>
      <c r="E838" s="209"/>
      <c r="F838" s="150"/>
      <c r="G838" s="45"/>
      <c r="H838" s="207"/>
      <c r="I838" s="197" t="s">
        <v>924</v>
      </c>
      <c r="J838" s="222">
        <v>79750.0</v>
      </c>
      <c r="K838" s="222">
        <v>16000.0</v>
      </c>
      <c r="L838" s="208"/>
      <c r="M838" s="208"/>
      <c r="N838" s="150"/>
      <c r="O838" s="150"/>
      <c r="P838" s="150"/>
      <c r="Q838" s="209"/>
      <c r="R838" s="45"/>
      <c r="S838" s="45"/>
      <c r="T838" s="150"/>
      <c r="U838" s="198"/>
    </row>
    <row r="839" ht="22.5" hidden="1" customHeight="1">
      <c r="A839" s="199"/>
      <c r="B839" s="212" t="s">
        <v>558</v>
      </c>
      <c r="C839" s="235" t="s">
        <v>580</v>
      </c>
      <c r="D839" s="236"/>
      <c r="E839" s="236"/>
      <c r="F839" s="147"/>
      <c r="G839" s="236"/>
      <c r="H839" s="201"/>
      <c r="I839" s="237" t="s">
        <v>925</v>
      </c>
      <c r="J839" s="216">
        <v>192000.0</v>
      </c>
      <c r="K839" s="201"/>
      <c r="L839" s="202"/>
      <c r="M839" s="218" t="s">
        <v>926</v>
      </c>
      <c r="N839" s="147"/>
      <c r="O839" s="147"/>
      <c r="P839" s="147"/>
      <c r="Q839" s="203"/>
      <c r="R839" s="236"/>
      <c r="S839" s="236"/>
      <c r="T839" s="215">
        <v>203.0</v>
      </c>
      <c r="U839" s="204"/>
    </row>
    <row r="840" ht="22.5" hidden="1" customHeight="1">
      <c r="A840" s="205"/>
      <c r="B840" s="193" t="s">
        <v>696</v>
      </c>
      <c r="C840" s="238" t="s">
        <v>1252</v>
      </c>
      <c r="D840" s="234"/>
      <c r="E840" s="234"/>
      <c r="F840" s="150"/>
      <c r="G840" s="234"/>
      <c r="H840" s="207"/>
      <c r="I840" s="197" t="s">
        <v>928</v>
      </c>
      <c r="J840" s="222">
        <v>112687.5</v>
      </c>
      <c r="K840" s="207"/>
      <c r="L840" s="208"/>
      <c r="M840" s="208"/>
      <c r="N840" s="150"/>
      <c r="O840" s="150"/>
      <c r="P840" s="150"/>
      <c r="Q840" s="209"/>
      <c r="R840" s="234"/>
      <c r="S840" s="234"/>
      <c r="T840" s="150"/>
      <c r="U840" s="198"/>
    </row>
    <row r="841" ht="22.5" hidden="1" customHeight="1">
      <c r="A841" s="199"/>
      <c r="B841" s="146"/>
      <c r="C841" s="200"/>
      <c r="D841" s="200"/>
      <c r="E841" s="200"/>
      <c r="F841" s="147"/>
      <c r="G841" s="186"/>
      <c r="H841" s="201"/>
      <c r="I841" s="201"/>
      <c r="J841" s="201"/>
      <c r="K841" s="201"/>
      <c r="L841" s="202"/>
      <c r="M841" s="202"/>
      <c r="N841" s="147"/>
      <c r="O841" s="147"/>
      <c r="P841" s="147"/>
      <c r="Q841" s="203"/>
      <c r="R841" s="186"/>
      <c r="S841" s="186"/>
      <c r="T841" s="147"/>
      <c r="U841" s="204"/>
    </row>
    <row r="842" ht="22.5" hidden="1" customHeight="1">
      <c r="A842" s="205"/>
      <c r="B842" s="82"/>
      <c r="C842" s="206"/>
      <c r="D842" s="206"/>
      <c r="E842" s="206"/>
      <c r="F842" s="150"/>
      <c r="G842" s="45"/>
      <c r="H842" s="207"/>
      <c r="I842" s="207"/>
      <c r="J842" s="207"/>
      <c r="K842" s="207"/>
      <c r="L842" s="208"/>
      <c r="M842" s="208"/>
      <c r="N842" s="150"/>
      <c r="O842" s="150"/>
      <c r="P842" s="150"/>
      <c r="Q842" s="209"/>
      <c r="R842" s="45"/>
      <c r="S842" s="45"/>
      <c r="T842" s="150"/>
      <c r="U842" s="198"/>
    </row>
    <row r="843" ht="22.5" hidden="1" customHeight="1">
      <c r="A843" s="199"/>
      <c r="B843" s="146"/>
      <c r="C843" s="200"/>
      <c r="D843" s="200"/>
      <c r="E843" s="200"/>
      <c r="F843" s="147"/>
      <c r="G843" s="186"/>
      <c r="H843" s="201"/>
      <c r="I843" s="201"/>
      <c r="J843" s="201"/>
      <c r="K843" s="201"/>
      <c r="L843" s="202"/>
      <c r="M843" s="202"/>
      <c r="N843" s="147"/>
      <c r="O843" s="147"/>
      <c r="P843" s="147"/>
      <c r="Q843" s="203"/>
      <c r="R843" s="186"/>
      <c r="S843" s="186"/>
      <c r="T843" s="147"/>
      <c r="U843" s="204"/>
    </row>
    <row r="844" ht="22.5" hidden="1" customHeight="1">
      <c r="A844" s="205"/>
      <c r="B844" s="82"/>
      <c r="C844" s="206"/>
      <c r="D844" s="206"/>
      <c r="E844" s="206"/>
      <c r="F844" s="150"/>
      <c r="G844" s="45"/>
      <c r="H844" s="207"/>
      <c r="I844" s="207"/>
      <c r="J844" s="207"/>
      <c r="K844" s="207"/>
      <c r="L844" s="208"/>
      <c r="M844" s="208"/>
      <c r="N844" s="150"/>
      <c r="O844" s="150"/>
      <c r="P844" s="150"/>
      <c r="Q844" s="209"/>
      <c r="R844" s="45"/>
      <c r="S844" s="45"/>
      <c r="T844" s="150"/>
      <c r="U844" s="198"/>
    </row>
    <row r="845" ht="22.5" hidden="1" customHeight="1">
      <c r="A845" s="211" t="s">
        <v>181</v>
      </c>
      <c r="B845" s="212" t="s">
        <v>132</v>
      </c>
      <c r="C845" s="212" t="s">
        <v>131</v>
      </c>
      <c r="D845" s="214" t="s">
        <v>870</v>
      </c>
      <c r="E845" s="212" t="s">
        <v>7</v>
      </c>
      <c r="F845" s="228" t="s">
        <v>871</v>
      </c>
      <c r="G845" s="212" t="s">
        <v>872</v>
      </c>
      <c r="H845" s="237" t="s">
        <v>8</v>
      </c>
      <c r="I845" s="237" t="s">
        <v>873</v>
      </c>
      <c r="J845" s="237" t="s">
        <v>17</v>
      </c>
      <c r="K845" s="237" t="s">
        <v>874</v>
      </c>
      <c r="L845" s="218" t="s">
        <v>875</v>
      </c>
      <c r="M845" s="218" t="s">
        <v>876</v>
      </c>
      <c r="N845" s="228" t="s">
        <v>877</v>
      </c>
      <c r="O845" s="228" t="s">
        <v>878</v>
      </c>
      <c r="P845" s="228" t="s">
        <v>879</v>
      </c>
      <c r="Q845" s="218" t="s">
        <v>880</v>
      </c>
      <c r="R845" s="218" t="s">
        <v>881</v>
      </c>
      <c r="S845" s="218" t="s">
        <v>882</v>
      </c>
      <c r="T845" s="228" t="s">
        <v>557</v>
      </c>
      <c r="U845" s="204"/>
    </row>
    <row r="846" ht="22.5" customHeight="1">
      <c r="A846" s="205"/>
      <c r="B846" s="193" t="s">
        <v>207</v>
      </c>
      <c r="C846" s="226" t="s">
        <v>136</v>
      </c>
      <c r="D846" s="194" t="s">
        <v>1983</v>
      </c>
      <c r="E846" s="194" t="s">
        <v>17</v>
      </c>
      <c r="F846" s="220">
        <v>2.0</v>
      </c>
      <c r="G846" s="221"/>
      <c r="H846" s="222">
        <v>1350.0</v>
      </c>
      <c r="I846" s="222">
        <v>2700.0</v>
      </c>
      <c r="J846" s="222">
        <v>2700.0</v>
      </c>
      <c r="K846" s="222">
        <v>0.0</v>
      </c>
      <c r="L846" s="223">
        <v>46159.0</v>
      </c>
      <c r="M846" s="223">
        <v>46190.0</v>
      </c>
      <c r="N846" s="220">
        <v>1.0</v>
      </c>
      <c r="O846" s="220">
        <v>-1072.0</v>
      </c>
      <c r="P846" s="220">
        <v>1102.0</v>
      </c>
      <c r="Q846" s="209"/>
      <c r="R846" s="196" t="s">
        <v>1984</v>
      </c>
      <c r="S846" s="45"/>
      <c r="T846" s="220">
        <v>175.0</v>
      </c>
      <c r="U846" s="198"/>
    </row>
    <row r="847" ht="22.5" customHeight="1">
      <c r="A847" s="199"/>
      <c r="B847" s="212" t="s">
        <v>283</v>
      </c>
      <c r="C847" s="213" t="s">
        <v>136</v>
      </c>
      <c r="D847" s="214" t="s">
        <v>1472</v>
      </c>
      <c r="E847" s="212" t="s">
        <v>15</v>
      </c>
      <c r="F847" s="215">
        <v>4.0</v>
      </c>
      <c r="G847" s="147"/>
      <c r="H847" s="216">
        <v>150.0</v>
      </c>
      <c r="I847" s="216">
        <v>400.0</v>
      </c>
      <c r="J847" s="216">
        <v>8000.0</v>
      </c>
      <c r="K847" s="216">
        <v>0.0</v>
      </c>
      <c r="L847" s="217">
        <v>46152.0</v>
      </c>
      <c r="M847" s="202"/>
      <c r="N847" s="215">
        <v>1.0</v>
      </c>
      <c r="O847" s="147"/>
      <c r="P847" s="215">
        <v>30.0</v>
      </c>
      <c r="Q847" s="203"/>
      <c r="R847" s="218" t="s">
        <v>1985</v>
      </c>
      <c r="S847" s="186"/>
      <c r="T847" s="215">
        <v>176.0</v>
      </c>
      <c r="U847" s="204"/>
    </row>
    <row r="848" ht="22.5" customHeight="1">
      <c r="A848" s="205"/>
      <c r="B848" s="193" t="s">
        <v>281</v>
      </c>
      <c r="C848" s="226" t="s">
        <v>136</v>
      </c>
      <c r="D848" s="194" t="s">
        <v>1472</v>
      </c>
      <c r="E848" s="193" t="s">
        <v>15</v>
      </c>
      <c r="F848" s="220">
        <v>1.0</v>
      </c>
      <c r="G848" s="150"/>
      <c r="H848" s="222">
        <v>150.0</v>
      </c>
      <c r="I848" s="222">
        <v>150.0</v>
      </c>
      <c r="J848" s="222">
        <v>3000.0</v>
      </c>
      <c r="K848" s="222">
        <v>0.0</v>
      </c>
      <c r="L848" s="223">
        <v>46152.0</v>
      </c>
      <c r="M848" s="208"/>
      <c r="N848" s="220">
        <v>1.0</v>
      </c>
      <c r="O848" s="150"/>
      <c r="P848" s="220">
        <v>30.0</v>
      </c>
      <c r="Q848" s="209"/>
      <c r="R848" s="196" t="s">
        <v>1986</v>
      </c>
      <c r="S848" s="45"/>
      <c r="T848" s="220">
        <v>177.0</v>
      </c>
      <c r="U848" s="198"/>
    </row>
    <row r="849" ht="22.5" customHeight="1">
      <c r="A849" s="199"/>
      <c r="B849" s="212" t="s">
        <v>279</v>
      </c>
      <c r="C849" s="213" t="s">
        <v>136</v>
      </c>
      <c r="D849" s="214" t="s">
        <v>1883</v>
      </c>
      <c r="E849" s="212" t="s">
        <v>15</v>
      </c>
      <c r="F849" s="215">
        <v>1.0</v>
      </c>
      <c r="G849" s="147"/>
      <c r="H849" s="216">
        <v>250.0</v>
      </c>
      <c r="I849" s="216">
        <v>250.0</v>
      </c>
      <c r="J849" s="216">
        <v>5000.0</v>
      </c>
      <c r="K849" s="216">
        <v>5000.0</v>
      </c>
      <c r="L849" s="217">
        <v>46158.0</v>
      </c>
      <c r="M849" s="202"/>
      <c r="N849" s="215">
        <v>0.0</v>
      </c>
      <c r="O849" s="147"/>
      <c r="P849" s="215">
        <v>30.0</v>
      </c>
      <c r="Q849" s="203"/>
      <c r="R849" s="218" t="s">
        <v>1987</v>
      </c>
      <c r="S849" s="186"/>
      <c r="T849" s="215">
        <v>178.0</v>
      </c>
      <c r="U849" s="204"/>
    </row>
    <row r="850" ht="22.5" customHeight="1">
      <c r="A850" s="205"/>
      <c r="B850" s="193" t="s">
        <v>265</v>
      </c>
      <c r="C850" s="226" t="s">
        <v>136</v>
      </c>
      <c r="D850" s="194" t="s">
        <v>1988</v>
      </c>
      <c r="E850" s="193" t="s">
        <v>17</v>
      </c>
      <c r="F850" s="220">
        <v>5.0</v>
      </c>
      <c r="G850" s="150"/>
      <c r="H850" s="222">
        <v>2000.0</v>
      </c>
      <c r="I850" s="222">
        <v>10416.25</v>
      </c>
      <c r="J850" s="222">
        <v>31248.75</v>
      </c>
      <c r="K850" s="222">
        <v>0.0</v>
      </c>
      <c r="L850" s="223">
        <v>46150.0</v>
      </c>
      <c r="M850" s="208"/>
      <c r="N850" s="220">
        <v>1.0</v>
      </c>
      <c r="O850" s="150"/>
      <c r="P850" s="220">
        <v>30.0</v>
      </c>
      <c r="Q850" s="209"/>
      <c r="R850" s="196" t="s">
        <v>1989</v>
      </c>
      <c r="S850" s="45"/>
      <c r="T850" s="220">
        <v>179.0</v>
      </c>
      <c r="U850" s="198"/>
    </row>
    <row r="851" ht="22.5" customHeight="1">
      <c r="A851" s="199"/>
      <c r="B851" s="212" t="s">
        <v>219</v>
      </c>
      <c r="C851" s="213" t="s">
        <v>136</v>
      </c>
      <c r="D851" s="214" t="s">
        <v>1760</v>
      </c>
      <c r="E851" s="212" t="s">
        <v>15</v>
      </c>
      <c r="F851" s="215">
        <v>5.0</v>
      </c>
      <c r="G851" s="210"/>
      <c r="H851" s="216">
        <v>100.0</v>
      </c>
      <c r="I851" s="216">
        <v>250.0</v>
      </c>
      <c r="J851" s="216">
        <v>5000.0</v>
      </c>
      <c r="K851" s="216">
        <v>0.0</v>
      </c>
      <c r="L851" s="217">
        <v>46158.0</v>
      </c>
      <c r="M851" s="217">
        <v>46189.0</v>
      </c>
      <c r="N851" s="215">
        <v>1.0</v>
      </c>
      <c r="O851" s="215">
        <v>-1073.0</v>
      </c>
      <c r="P851" s="215">
        <v>1103.0</v>
      </c>
      <c r="Q851" s="203"/>
      <c r="R851" s="218" t="s">
        <v>1990</v>
      </c>
      <c r="S851" s="186"/>
      <c r="T851" s="215">
        <v>180.0</v>
      </c>
      <c r="U851" s="204"/>
    </row>
    <row r="852" ht="22.5" customHeight="1">
      <c r="A852" s="205"/>
      <c r="B852" s="193" t="s">
        <v>287</v>
      </c>
      <c r="C852" s="226" t="s">
        <v>136</v>
      </c>
      <c r="D852" s="194" t="s">
        <v>1991</v>
      </c>
      <c r="E852" s="193" t="s">
        <v>15</v>
      </c>
      <c r="F852" s="220">
        <v>2.0</v>
      </c>
      <c r="G852" s="150"/>
      <c r="H852" s="222">
        <v>150.0</v>
      </c>
      <c r="I852" s="222">
        <v>300.0</v>
      </c>
      <c r="J852" s="222">
        <v>6000.0</v>
      </c>
      <c r="K852" s="222">
        <v>0.0</v>
      </c>
      <c r="L852" s="223">
        <v>46157.0</v>
      </c>
      <c r="M852" s="223">
        <v>46188.0</v>
      </c>
      <c r="N852" s="220">
        <v>1.0</v>
      </c>
      <c r="O852" s="220">
        <v>-1074.0</v>
      </c>
      <c r="P852" s="220">
        <v>1104.0</v>
      </c>
      <c r="Q852" s="209"/>
      <c r="R852" s="196" t="s">
        <v>1992</v>
      </c>
      <c r="S852" s="45"/>
      <c r="T852" s="220">
        <v>181.0</v>
      </c>
      <c r="U852" s="198"/>
    </row>
    <row r="853" ht="22.5" customHeight="1">
      <c r="A853" s="199"/>
      <c r="B853" s="212" t="s">
        <v>277</v>
      </c>
      <c r="C853" s="213" t="s">
        <v>136</v>
      </c>
      <c r="D853" s="214" t="s">
        <v>1883</v>
      </c>
      <c r="E853" s="212" t="s">
        <v>15</v>
      </c>
      <c r="F853" s="215">
        <v>1.0</v>
      </c>
      <c r="G853" s="147"/>
      <c r="H853" s="216">
        <v>250.0</v>
      </c>
      <c r="I853" s="216">
        <v>250.0</v>
      </c>
      <c r="J853" s="216">
        <v>5000.0</v>
      </c>
      <c r="K853" s="216">
        <v>0.0</v>
      </c>
      <c r="L853" s="217">
        <v>46146.0</v>
      </c>
      <c r="M853" s="202"/>
      <c r="N853" s="215">
        <v>1.0</v>
      </c>
      <c r="O853" s="147"/>
      <c r="P853" s="215">
        <v>30.0</v>
      </c>
      <c r="Q853" s="203"/>
      <c r="R853" s="218" t="s">
        <v>1993</v>
      </c>
      <c r="S853" s="186"/>
      <c r="T853" s="215">
        <v>182.0</v>
      </c>
      <c r="U853" s="204"/>
    </row>
    <row r="854" ht="22.5" customHeight="1">
      <c r="A854" s="205"/>
      <c r="B854" s="193" t="s">
        <v>217</v>
      </c>
      <c r="C854" s="226" t="s">
        <v>136</v>
      </c>
      <c r="D854" s="194" t="s">
        <v>1760</v>
      </c>
      <c r="E854" s="193" t="s">
        <v>15</v>
      </c>
      <c r="F854" s="220">
        <v>5.0</v>
      </c>
      <c r="G854" s="221"/>
      <c r="H854" s="222">
        <v>100.0</v>
      </c>
      <c r="I854" s="222">
        <v>500.0</v>
      </c>
      <c r="J854" s="222">
        <v>10000.0</v>
      </c>
      <c r="K854" s="222">
        <v>0.0</v>
      </c>
      <c r="L854" s="223">
        <v>46151.0</v>
      </c>
      <c r="M854" s="223">
        <v>46182.0</v>
      </c>
      <c r="N854" s="220">
        <v>1.0</v>
      </c>
      <c r="O854" s="220">
        <v>-1080.0</v>
      </c>
      <c r="P854" s="220">
        <v>1110.0</v>
      </c>
      <c r="Q854" s="209"/>
      <c r="R854" s="196" t="s">
        <v>1994</v>
      </c>
      <c r="S854" s="45"/>
      <c r="T854" s="220">
        <v>183.0</v>
      </c>
      <c r="U854" s="198"/>
    </row>
    <row r="855" ht="22.5" customHeight="1">
      <c r="A855" s="211" t="s">
        <v>1995</v>
      </c>
      <c r="B855" s="212" t="s">
        <v>285</v>
      </c>
      <c r="C855" s="213" t="s">
        <v>136</v>
      </c>
      <c r="D855" s="214" t="s">
        <v>1339</v>
      </c>
      <c r="E855" s="212" t="s">
        <v>15</v>
      </c>
      <c r="F855" s="215">
        <v>1.0</v>
      </c>
      <c r="G855" s="147"/>
      <c r="H855" s="216">
        <v>150.0</v>
      </c>
      <c r="I855" s="216">
        <v>150.0</v>
      </c>
      <c r="J855" s="216">
        <v>3000.0</v>
      </c>
      <c r="K855" s="216">
        <v>0.0</v>
      </c>
      <c r="L855" s="217">
        <v>46157.0</v>
      </c>
      <c r="M855" s="202"/>
      <c r="N855" s="215">
        <v>1.0</v>
      </c>
      <c r="O855" s="147"/>
      <c r="P855" s="215">
        <v>30.0</v>
      </c>
      <c r="Q855" s="203"/>
      <c r="R855" s="218" t="s">
        <v>1996</v>
      </c>
      <c r="S855" s="186"/>
      <c r="T855" s="215">
        <v>184.0</v>
      </c>
      <c r="U855" s="204"/>
    </row>
    <row r="856" ht="22.5" customHeight="1">
      <c r="A856" s="205"/>
      <c r="B856" s="193" t="s">
        <v>259</v>
      </c>
      <c r="C856" s="226" t="s">
        <v>136</v>
      </c>
      <c r="D856" s="194" t="s">
        <v>1760</v>
      </c>
      <c r="E856" s="193" t="s">
        <v>15</v>
      </c>
      <c r="F856" s="220">
        <v>5.0</v>
      </c>
      <c r="G856" s="221"/>
      <c r="H856" s="222">
        <v>100.0</v>
      </c>
      <c r="I856" s="222">
        <v>500.0</v>
      </c>
      <c r="J856" s="222">
        <v>10000.0</v>
      </c>
      <c r="K856" s="222">
        <v>0.0</v>
      </c>
      <c r="L856" s="223">
        <v>46151.0</v>
      </c>
      <c r="M856" s="223">
        <v>46182.0</v>
      </c>
      <c r="N856" s="220">
        <v>1.0</v>
      </c>
      <c r="O856" s="220">
        <v>-1080.0</v>
      </c>
      <c r="P856" s="220">
        <v>1110.0</v>
      </c>
      <c r="Q856" s="238">
        <v>46255.0</v>
      </c>
      <c r="R856" s="196" t="s">
        <v>1997</v>
      </c>
      <c r="S856" s="45"/>
      <c r="T856" s="220">
        <v>185.0</v>
      </c>
      <c r="U856" s="198"/>
    </row>
    <row r="857" ht="22.5" customHeight="1">
      <c r="A857" s="250" t="s">
        <v>1930</v>
      </c>
      <c r="B857" s="212" t="s">
        <v>194</v>
      </c>
      <c r="C857" s="213" t="s">
        <v>136</v>
      </c>
      <c r="D857" s="214" t="s">
        <v>1782</v>
      </c>
      <c r="E857" s="212" t="s">
        <v>15</v>
      </c>
      <c r="F857" s="215">
        <v>3.0</v>
      </c>
      <c r="G857" s="210"/>
      <c r="H857" s="216">
        <v>100.0</v>
      </c>
      <c r="I857" s="216">
        <v>225.0</v>
      </c>
      <c r="J857" s="216">
        <v>6000.0</v>
      </c>
      <c r="K857" s="216">
        <v>6000.0</v>
      </c>
      <c r="L857" s="217">
        <v>46164.0</v>
      </c>
      <c r="M857" s="217">
        <v>46195.0</v>
      </c>
      <c r="N857" s="215">
        <v>0.0</v>
      </c>
      <c r="O857" s="215">
        <v>-1067.0</v>
      </c>
      <c r="P857" s="215">
        <v>1097.0</v>
      </c>
      <c r="Q857" s="203"/>
      <c r="R857" s="218" t="s">
        <v>1998</v>
      </c>
      <c r="S857" s="186"/>
      <c r="T857" s="215">
        <v>186.0</v>
      </c>
      <c r="U857" s="204"/>
    </row>
    <row r="858" ht="22.5" customHeight="1">
      <c r="A858" s="205"/>
      <c r="B858" s="193" t="s">
        <v>263</v>
      </c>
      <c r="C858" s="226" t="s">
        <v>136</v>
      </c>
      <c r="D858" s="194" t="s">
        <v>1394</v>
      </c>
      <c r="E858" s="193" t="s">
        <v>15</v>
      </c>
      <c r="F858" s="220">
        <v>5.0</v>
      </c>
      <c r="G858" s="150"/>
      <c r="H858" s="222">
        <v>100.0</v>
      </c>
      <c r="I858" s="222">
        <v>500.0</v>
      </c>
      <c r="J858" s="222">
        <v>10000.0</v>
      </c>
      <c r="K858" s="222">
        <v>0.0</v>
      </c>
      <c r="L858" s="223">
        <v>46143.0</v>
      </c>
      <c r="M858" s="208"/>
      <c r="N858" s="220">
        <v>1.0</v>
      </c>
      <c r="O858" s="150"/>
      <c r="P858" s="220">
        <v>30.0</v>
      </c>
      <c r="Q858" s="209"/>
      <c r="R858" s="196" t="s">
        <v>1999</v>
      </c>
      <c r="S858" s="45"/>
      <c r="T858" s="220">
        <v>187.0</v>
      </c>
      <c r="U858" s="198"/>
    </row>
    <row r="859" ht="22.5" customHeight="1">
      <c r="A859" s="199"/>
      <c r="B859" s="212" t="s">
        <v>249</v>
      </c>
      <c r="C859" s="213" t="s">
        <v>136</v>
      </c>
      <c r="D859" s="214" t="s">
        <v>1782</v>
      </c>
      <c r="E859" s="212" t="s">
        <v>15</v>
      </c>
      <c r="F859" s="215">
        <v>3.0</v>
      </c>
      <c r="G859" s="210"/>
      <c r="H859" s="216">
        <v>130.0</v>
      </c>
      <c r="I859" s="216">
        <v>300.0</v>
      </c>
      <c r="J859" s="216">
        <v>6000.0</v>
      </c>
      <c r="K859" s="216">
        <v>0.0</v>
      </c>
      <c r="L859" s="217">
        <v>46153.0</v>
      </c>
      <c r="M859" s="217">
        <v>46184.0</v>
      </c>
      <c r="N859" s="215">
        <v>1.0</v>
      </c>
      <c r="O859" s="215">
        <v>-1078.0</v>
      </c>
      <c r="P859" s="215">
        <v>1108.0</v>
      </c>
      <c r="Q859" s="203"/>
      <c r="R859" s="218" t="s">
        <v>2000</v>
      </c>
      <c r="S859" s="186"/>
      <c r="T859" s="215">
        <v>188.0</v>
      </c>
      <c r="U859" s="204"/>
    </row>
    <row r="860" ht="22.5" customHeight="1">
      <c r="A860" s="205"/>
      <c r="B860" s="193" t="s">
        <v>215</v>
      </c>
      <c r="C860" s="226" t="s">
        <v>136</v>
      </c>
      <c r="D860" s="194" t="s">
        <v>1760</v>
      </c>
      <c r="E860" s="193" t="s">
        <v>15</v>
      </c>
      <c r="F860" s="220">
        <v>6.0</v>
      </c>
      <c r="G860" s="221"/>
      <c r="H860" s="222">
        <v>120.0</v>
      </c>
      <c r="I860" s="222">
        <v>600.0</v>
      </c>
      <c r="J860" s="222">
        <v>12000.0</v>
      </c>
      <c r="K860" s="222">
        <v>0.0</v>
      </c>
      <c r="L860" s="223">
        <v>46151.0</v>
      </c>
      <c r="M860" s="223">
        <v>46182.0</v>
      </c>
      <c r="N860" s="220">
        <v>1.0</v>
      </c>
      <c r="O860" s="220">
        <v>-1080.0</v>
      </c>
      <c r="P860" s="220">
        <v>1110.0</v>
      </c>
      <c r="Q860" s="209"/>
      <c r="R860" s="196" t="s">
        <v>2001</v>
      </c>
      <c r="S860" s="45"/>
      <c r="T860" s="220">
        <v>189.0</v>
      </c>
      <c r="U860" s="198"/>
    </row>
    <row r="861" ht="22.5" customHeight="1">
      <c r="A861" s="211" t="s">
        <v>2002</v>
      </c>
      <c r="B861" s="212" t="s">
        <v>192</v>
      </c>
      <c r="C861" s="213" t="s">
        <v>136</v>
      </c>
      <c r="D861" s="214" t="s">
        <v>1850</v>
      </c>
      <c r="E861" s="212" t="s">
        <v>17</v>
      </c>
      <c r="F861" s="215">
        <v>1.0</v>
      </c>
      <c r="G861" s="210"/>
      <c r="H861" s="216">
        <v>7500.0</v>
      </c>
      <c r="I861" s="216">
        <v>7500.0</v>
      </c>
      <c r="J861" s="216">
        <v>7500.0</v>
      </c>
      <c r="K861" s="237" t="s">
        <v>1909</v>
      </c>
      <c r="L861" s="217">
        <v>46150.0</v>
      </c>
      <c r="M861" s="217">
        <v>46181.0</v>
      </c>
      <c r="N861" s="215">
        <v>0.0</v>
      </c>
      <c r="O861" s="215">
        <v>-1081.0</v>
      </c>
      <c r="P861" s="215">
        <v>1111.0</v>
      </c>
      <c r="Q861" s="203"/>
      <c r="R861" s="218" t="s">
        <v>2003</v>
      </c>
      <c r="S861" s="186"/>
      <c r="T861" s="215">
        <v>190.0</v>
      </c>
      <c r="U861" s="204"/>
    </row>
    <row r="862" ht="22.5" customHeight="1">
      <c r="A862" s="205"/>
      <c r="B862" s="193" t="s">
        <v>142</v>
      </c>
      <c r="C862" s="226" t="s">
        <v>136</v>
      </c>
      <c r="D862" s="194" t="s">
        <v>1782</v>
      </c>
      <c r="E862" s="193" t="s">
        <v>15</v>
      </c>
      <c r="F862" s="220">
        <v>3.0</v>
      </c>
      <c r="G862" s="221"/>
      <c r="H862" s="222">
        <v>120.0</v>
      </c>
      <c r="I862" s="222">
        <v>300.0</v>
      </c>
      <c r="J862" s="222">
        <v>6000.0</v>
      </c>
      <c r="K862" s="222">
        <v>0.0</v>
      </c>
      <c r="L862" s="223">
        <v>46144.0</v>
      </c>
      <c r="M862" s="223">
        <v>46175.0</v>
      </c>
      <c r="N862" s="220">
        <v>1.0</v>
      </c>
      <c r="O862" s="220">
        <v>-1087.0</v>
      </c>
      <c r="P862" s="220">
        <v>1117.0</v>
      </c>
      <c r="Q862" s="209"/>
      <c r="R862" s="196" t="s">
        <v>2004</v>
      </c>
      <c r="S862" s="45"/>
      <c r="T862" s="220">
        <v>191.0</v>
      </c>
      <c r="U862" s="198"/>
    </row>
    <row r="863" ht="22.5" hidden="1" customHeight="1">
      <c r="A863" s="199"/>
      <c r="B863" s="212" t="s">
        <v>923</v>
      </c>
      <c r="C863" s="240" t="s">
        <v>591</v>
      </c>
      <c r="D863" s="236"/>
      <c r="E863" s="203"/>
      <c r="F863" s="147"/>
      <c r="G863" s="186"/>
      <c r="H863" s="201"/>
      <c r="I863" s="237" t="s">
        <v>924</v>
      </c>
      <c r="J863" s="216">
        <v>136448.75</v>
      </c>
      <c r="K863" s="216">
        <v>11000.0</v>
      </c>
      <c r="L863" s="202"/>
      <c r="M863" s="202"/>
      <c r="N863" s="147"/>
      <c r="O863" s="147"/>
      <c r="P863" s="147"/>
      <c r="Q863" s="203"/>
      <c r="R863" s="186"/>
      <c r="S863" s="186"/>
      <c r="T863" s="147"/>
      <c r="U863" s="204"/>
    </row>
    <row r="864" ht="22.5" hidden="1" customHeight="1">
      <c r="A864" s="205"/>
      <c r="B864" s="193" t="s">
        <v>558</v>
      </c>
      <c r="C864" s="241" t="s">
        <v>578</v>
      </c>
      <c r="D864" s="234"/>
      <c r="E864" s="234"/>
      <c r="F864" s="150"/>
      <c r="G864" s="234"/>
      <c r="H864" s="207"/>
      <c r="I864" s="197" t="s">
        <v>925</v>
      </c>
      <c r="J864" s="222">
        <v>132000.0</v>
      </c>
      <c r="K864" s="207"/>
      <c r="L864" s="208"/>
      <c r="M864" s="196" t="s">
        <v>926</v>
      </c>
      <c r="N864" s="150"/>
      <c r="O864" s="150"/>
      <c r="P864" s="150"/>
      <c r="Q864" s="209"/>
      <c r="R864" s="234"/>
      <c r="S864" s="234"/>
      <c r="T864" s="220">
        <v>191.0</v>
      </c>
      <c r="U864" s="198"/>
    </row>
    <row r="865" ht="22.5" hidden="1" customHeight="1">
      <c r="A865" s="199"/>
      <c r="B865" s="212" t="s">
        <v>696</v>
      </c>
      <c r="C865" s="232" t="s">
        <v>1278</v>
      </c>
      <c r="D865" s="236"/>
      <c r="E865" s="236"/>
      <c r="F865" s="147"/>
      <c r="G865" s="236"/>
      <c r="H865" s="201"/>
      <c r="I865" s="237" t="s">
        <v>928</v>
      </c>
      <c r="J865" s="216">
        <v>96687.5</v>
      </c>
      <c r="K865" s="201"/>
      <c r="L865" s="202"/>
      <c r="M865" s="202"/>
      <c r="N865" s="147"/>
      <c r="O865" s="147"/>
      <c r="P865" s="147"/>
      <c r="Q865" s="203"/>
      <c r="R865" s="236"/>
      <c r="S865" s="236"/>
      <c r="T865" s="147"/>
      <c r="U865" s="204"/>
    </row>
    <row r="866" ht="22.5" hidden="1" customHeight="1">
      <c r="A866" s="205"/>
      <c r="B866" s="82"/>
      <c r="C866" s="206"/>
      <c r="D866" s="206"/>
      <c r="E866" s="206"/>
      <c r="F866" s="150"/>
      <c r="G866" s="45"/>
      <c r="H866" s="207"/>
      <c r="I866" s="207"/>
      <c r="J866" s="207"/>
      <c r="K866" s="207"/>
      <c r="L866" s="208"/>
      <c r="M866" s="208"/>
      <c r="N866" s="150"/>
      <c r="O866" s="150"/>
      <c r="P866" s="150"/>
      <c r="Q866" s="209"/>
      <c r="R866" s="45"/>
      <c r="S866" s="45"/>
      <c r="T866" s="150"/>
      <c r="U866" s="198"/>
    </row>
    <row r="867" ht="22.5" hidden="1" customHeight="1">
      <c r="A867" s="199"/>
      <c r="B867" s="146"/>
      <c r="C867" s="200"/>
      <c r="D867" s="200"/>
      <c r="E867" s="200"/>
      <c r="F867" s="147"/>
      <c r="G867" s="186"/>
      <c r="H867" s="201"/>
      <c r="I867" s="201"/>
      <c r="J867" s="201"/>
      <c r="K867" s="201"/>
      <c r="L867" s="202"/>
      <c r="M867" s="202"/>
      <c r="N867" s="147"/>
      <c r="O867" s="147"/>
      <c r="P867" s="147"/>
      <c r="Q867" s="203"/>
      <c r="R867" s="186"/>
      <c r="S867" s="186"/>
      <c r="T867" s="147"/>
      <c r="U867" s="204"/>
    </row>
    <row r="868" ht="22.5" hidden="1" customHeight="1">
      <c r="A868" s="205"/>
      <c r="B868" s="82"/>
      <c r="C868" s="206"/>
      <c r="D868" s="206"/>
      <c r="E868" s="206"/>
      <c r="F868" s="150"/>
      <c r="G868" s="45"/>
      <c r="H868" s="207"/>
      <c r="I868" s="207"/>
      <c r="J868" s="207"/>
      <c r="K868" s="207"/>
      <c r="L868" s="208"/>
      <c r="M868" s="208"/>
      <c r="N868" s="150"/>
      <c r="O868" s="150"/>
      <c r="P868" s="150"/>
      <c r="Q868" s="209"/>
      <c r="R868" s="45"/>
      <c r="S868" s="45"/>
      <c r="T868" s="150"/>
      <c r="U868" s="198"/>
    </row>
    <row r="869" ht="22.5" hidden="1" customHeight="1">
      <c r="A869" s="199"/>
      <c r="B869" s="146"/>
      <c r="C869" s="200"/>
      <c r="D869" s="200"/>
      <c r="E869" s="200"/>
      <c r="F869" s="147"/>
      <c r="G869" s="186"/>
      <c r="H869" s="201"/>
      <c r="I869" s="201"/>
      <c r="J869" s="201"/>
      <c r="K869" s="201"/>
      <c r="L869" s="202"/>
      <c r="M869" s="202"/>
      <c r="N869" s="147"/>
      <c r="O869" s="147"/>
      <c r="P869" s="147"/>
      <c r="Q869" s="203"/>
      <c r="R869" s="186"/>
      <c r="S869" s="186"/>
      <c r="T869" s="147"/>
      <c r="U869" s="204"/>
    </row>
    <row r="870" ht="22.5" hidden="1" customHeight="1">
      <c r="A870" s="192" t="s">
        <v>181</v>
      </c>
      <c r="B870" s="193" t="s">
        <v>132</v>
      </c>
      <c r="C870" s="193" t="s">
        <v>131</v>
      </c>
      <c r="D870" s="194" t="s">
        <v>870</v>
      </c>
      <c r="E870" s="193" t="s">
        <v>7</v>
      </c>
      <c r="F870" s="195" t="s">
        <v>871</v>
      </c>
      <c r="G870" s="193" t="s">
        <v>872</v>
      </c>
      <c r="H870" s="197" t="s">
        <v>8</v>
      </c>
      <c r="I870" s="197" t="s">
        <v>873</v>
      </c>
      <c r="J870" s="197" t="s">
        <v>17</v>
      </c>
      <c r="K870" s="197" t="s">
        <v>874</v>
      </c>
      <c r="L870" s="196" t="s">
        <v>875</v>
      </c>
      <c r="M870" s="196" t="s">
        <v>876</v>
      </c>
      <c r="N870" s="195" t="s">
        <v>877</v>
      </c>
      <c r="O870" s="195" t="s">
        <v>878</v>
      </c>
      <c r="P870" s="195" t="s">
        <v>879</v>
      </c>
      <c r="Q870" s="196" t="s">
        <v>880</v>
      </c>
      <c r="R870" s="196" t="s">
        <v>881</v>
      </c>
      <c r="S870" s="196" t="s">
        <v>882</v>
      </c>
      <c r="T870" s="195" t="s">
        <v>557</v>
      </c>
      <c r="U870" s="198"/>
    </row>
    <row r="871" ht="22.5" customHeight="1">
      <c r="A871" s="199"/>
      <c r="B871" s="212" t="s">
        <v>207</v>
      </c>
      <c r="C871" s="213" t="s">
        <v>136</v>
      </c>
      <c r="D871" s="214" t="s">
        <v>1983</v>
      </c>
      <c r="E871" s="214" t="s">
        <v>17</v>
      </c>
      <c r="F871" s="215">
        <v>2.0</v>
      </c>
      <c r="G871" s="147"/>
      <c r="H871" s="216">
        <v>1350.0</v>
      </c>
      <c r="I871" s="216">
        <v>2700.0</v>
      </c>
      <c r="J871" s="216">
        <v>2700.0</v>
      </c>
      <c r="K871" s="216">
        <v>0.0</v>
      </c>
      <c r="L871" s="217">
        <v>46129.0</v>
      </c>
      <c r="M871" s="217">
        <v>46159.0</v>
      </c>
      <c r="N871" s="215">
        <v>1.0</v>
      </c>
      <c r="O871" s="215">
        <v>-1103.0</v>
      </c>
      <c r="P871" s="215">
        <v>1133.0</v>
      </c>
      <c r="Q871" s="203"/>
      <c r="R871" s="218" t="s">
        <v>2005</v>
      </c>
      <c r="S871" s="186"/>
      <c r="T871" s="215">
        <v>157.0</v>
      </c>
      <c r="U871" s="204"/>
    </row>
    <row r="872" ht="22.5" customHeight="1">
      <c r="A872" s="192">
        <v>1.0</v>
      </c>
      <c r="B872" s="193" t="s">
        <v>241</v>
      </c>
      <c r="C872" s="226" t="s">
        <v>136</v>
      </c>
      <c r="D872" s="194" t="s">
        <v>1782</v>
      </c>
      <c r="E872" s="193" t="s">
        <v>15</v>
      </c>
      <c r="F872" s="220">
        <v>3.0</v>
      </c>
      <c r="G872" s="150"/>
      <c r="H872" s="222">
        <v>250.0</v>
      </c>
      <c r="I872" s="222">
        <v>750.0</v>
      </c>
      <c r="J872" s="222">
        <v>15000.0</v>
      </c>
      <c r="K872" s="222">
        <v>0.0</v>
      </c>
      <c r="L872" s="223">
        <v>46122.0</v>
      </c>
      <c r="M872" s="223">
        <v>46152.0</v>
      </c>
      <c r="N872" s="220">
        <v>1.0</v>
      </c>
      <c r="O872" s="220">
        <v>-1110.0</v>
      </c>
      <c r="P872" s="220">
        <v>1140.0</v>
      </c>
      <c r="Q872" s="209"/>
      <c r="R872" s="196" t="s">
        <v>2006</v>
      </c>
      <c r="S872" s="45"/>
      <c r="T872" s="220">
        <v>158.0</v>
      </c>
      <c r="U872" s="198"/>
    </row>
    <row r="873" ht="22.5" customHeight="1">
      <c r="A873" s="211" t="s">
        <v>263</v>
      </c>
      <c r="B873" s="212" t="s">
        <v>265</v>
      </c>
      <c r="C873" s="213" t="s">
        <v>136</v>
      </c>
      <c r="D873" s="214" t="s">
        <v>1988</v>
      </c>
      <c r="E873" s="212" t="s">
        <v>17</v>
      </c>
      <c r="F873" s="215">
        <v>4.0</v>
      </c>
      <c r="G873" s="147"/>
      <c r="H873" s="216">
        <v>2000.0</v>
      </c>
      <c r="I873" s="216">
        <v>8333.0</v>
      </c>
      <c r="J873" s="216">
        <v>24999.0</v>
      </c>
      <c r="K873" s="216">
        <v>0.0</v>
      </c>
      <c r="L873" s="217">
        <v>46120.0</v>
      </c>
      <c r="M873" s="217">
        <v>46150.0</v>
      </c>
      <c r="N873" s="215">
        <v>1.0</v>
      </c>
      <c r="O873" s="215">
        <v>-1112.0</v>
      </c>
      <c r="P873" s="215">
        <v>1142.0</v>
      </c>
      <c r="Q873" s="203"/>
      <c r="R873" s="218" t="s">
        <v>2007</v>
      </c>
      <c r="S873" s="186"/>
      <c r="T873" s="215">
        <v>159.0</v>
      </c>
      <c r="U873" s="204"/>
    </row>
    <row r="874" ht="22.5" customHeight="1">
      <c r="A874" s="205"/>
      <c r="B874" s="193" t="s">
        <v>219</v>
      </c>
      <c r="C874" s="226" t="s">
        <v>136</v>
      </c>
      <c r="D874" s="194" t="s">
        <v>1760</v>
      </c>
      <c r="E874" s="193" t="s">
        <v>15</v>
      </c>
      <c r="F874" s="220">
        <v>5.0</v>
      </c>
      <c r="G874" s="150"/>
      <c r="H874" s="222">
        <v>100.0</v>
      </c>
      <c r="I874" s="222">
        <v>250.0</v>
      </c>
      <c r="J874" s="222">
        <v>5000.0</v>
      </c>
      <c r="K874" s="222">
        <v>0.0</v>
      </c>
      <c r="L874" s="223">
        <v>46128.0</v>
      </c>
      <c r="M874" s="223">
        <v>46158.0</v>
      </c>
      <c r="N874" s="220">
        <v>1.0</v>
      </c>
      <c r="O874" s="220">
        <v>-1104.0</v>
      </c>
      <c r="P874" s="220">
        <v>1134.0</v>
      </c>
      <c r="Q874" s="209"/>
      <c r="R874" s="196" t="s">
        <v>2008</v>
      </c>
      <c r="S874" s="45"/>
      <c r="T874" s="220">
        <v>160.0</v>
      </c>
      <c r="U874" s="198"/>
    </row>
    <row r="875" ht="22.5" customHeight="1">
      <c r="A875" s="199"/>
      <c r="B875" s="212" t="s">
        <v>273</v>
      </c>
      <c r="C875" s="213" t="s">
        <v>136</v>
      </c>
      <c r="D875" s="214" t="s">
        <v>1788</v>
      </c>
      <c r="E875" s="212" t="s">
        <v>17</v>
      </c>
      <c r="F875" s="215">
        <v>3.0</v>
      </c>
      <c r="G875" s="210"/>
      <c r="H875" s="216">
        <v>1500.0</v>
      </c>
      <c r="I875" s="216">
        <v>4500.0</v>
      </c>
      <c r="J875" s="216">
        <v>4500.0</v>
      </c>
      <c r="K875" s="216">
        <v>0.0</v>
      </c>
      <c r="L875" s="217">
        <v>46113.0</v>
      </c>
      <c r="M875" s="217">
        <v>46143.0</v>
      </c>
      <c r="N875" s="215">
        <v>1.0</v>
      </c>
      <c r="O875" s="215">
        <v>-1119.0</v>
      </c>
      <c r="P875" s="215">
        <v>1149.0</v>
      </c>
      <c r="Q875" s="203"/>
      <c r="R875" s="218" t="s">
        <v>2009</v>
      </c>
      <c r="S875" s="186"/>
      <c r="T875" s="215">
        <v>161.0</v>
      </c>
      <c r="U875" s="204"/>
    </row>
    <row r="876" ht="22.5" customHeight="1">
      <c r="A876" s="205"/>
      <c r="B876" s="193" t="s">
        <v>217</v>
      </c>
      <c r="C876" s="226" t="s">
        <v>136</v>
      </c>
      <c r="D876" s="194" t="s">
        <v>1760</v>
      </c>
      <c r="E876" s="193" t="s">
        <v>15</v>
      </c>
      <c r="F876" s="220">
        <v>5.0</v>
      </c>
      <c r="G876" s="150"/>
      <c r="H876" s="222">
        <v>100.0</v>
      </c>
      <c r="I876" s="222">
        <v>500.0</v>
      </c>
      <c r="J876" s="222">
        <v>10000.0</v>
      </c>
      <c r="K876" s="222">
        <v>0.0</v>
      </c>
      <c r="L876" s="223">
        <v>46121.0</v>
      </c>
      <c r="M876" s="223">
        <v>46151.0</v>
      </c>
      <c r="N876" s="220">
        <v>1.0</v>
      </c>
      <c r="O876" s="220">
        <v>-1111.0</v>
      </c>
      <c r="P876" s="220">
        <v>1141.0</v>
      </c>
      <c r="Q876" s="209"/>
      <c r="R876" s="196" t="s">
        <v>2010</v>
      </c>
      <c r="S876" s="45"/>
      <c r="T876" s="220">
        <v>162.0</v>
      </c>
      <c r="U876" s="198"/>
    </row>
    <row r="877" ht="22.5" customHeight="1">
      <c r="A877" s="199"/>
      <c r="B877" s="212" t="s">
        <v>267</v>
      </c>
      <c r="C877" s="213" t="s">
        <v>136</v>
      </c>
      <c r="D877" s="214" t="s">
        <v>1653</v>
      </c>
      <c r="E877" s="212" t="s">
        <v>15</v>
      </c>
      <c r="F877" s="215">
        <v>1.0</v>
      </c>
      <c r="G877" s="147"/>
      <c r="H877" s="216">
        <v>250.0</v>
      </c>
      <c r="I877" s="216">
        <v>250.0</v>
      </c>
      <c r="J877" s="216">
        <v>5000.0</v>
      </c>
      <c r="K877" s="216">
        <v>0.0</v>
      </c>
      <c r="L877" s="217">
        <v>46124.0</v>
      </c>
      <c r="M877" s="217">
        <v>46154.0</v>
      </c>
      <c r="N877" s="215">
        <v>1.0</v>
      </c>
      <c r="O877" s="215">
        <v>-1108.0</v>
      </c>
      <c r="P877" s="215">
        <v>1138.0</v>
      </c>
      <c r="Q877" s="232">
        <v>46255.0</v>
      </c>
      <c r="R877" s="218" t="s">
        <v>2011</v>
      </c>
      <c r="S877" s="186"/>
      <c r="T877" s="215">
        <v>163.0</v>
      </c>
      <c r="U877" s="204"/>
    </row>
    <row r="878" ht="22.5" customHeight="1">
      <c r="A878" s="205"/>
      <c r="B878" s="193" t="s">
        <v>223</v>
      </c>
      <c r="C878" s="226" t="s">
        <v>136</v>
      </c>
      <c r="D878" s="194" t="s">
        <v>1760</v>
      </c>
      <c r="E878" s="193" t="s">
        <v>15</v>
      </c>
      <c r="F878" s="220">
        <v>5.0</v>
      </c>
      <c r="G878" s="150"/>
      <c r="H878" s="222">
        <v>100.0</v>
      </c>
      <c r="I878" s="222">
        <v>500.0</v>
      </c>
      <c r="J878" s="222">
        <v>10000.0</v>
      </c>
      <c r="K878" s="222">
        <v>10000.0</v>
      </c>
      <c r="L878" s="223">
        <v>46136.0</v>
      </c>
      <c r="M878" s="223">
        <v>46166.0</v>
      </c>
      <c r="N878" s="220">
        <v>0.0</v>
      </c>
      <c r="O878" s="220">
        <v>-1096.0</v>
      </c>
      <c r="P878" s="220">
        <v>1126.0</v>
      </c>
      <c r="Q878" s="209"/>
      <c r="R878" s="196" t="s">
        <v>2012</v>
      </c>
      <c r="S878" s="45"/>
      <c r="T878" s="220">
        <v>164.0</v>
      </c>
      <c r="U878" s="198"/>
    </row>
    <row r="879" ht="22.5" customHeight="1">
      <c r="A879" s="211">
        <v>1.0</v>
      </c>
      <c r="B879" s="212" t="s">
        <v>261</v>
      </c>
      <c r="C879" s="213" t="s">
        <v>136</v>
      </c>
      <c r="D879" s="214" t="s">
        <v>2013</v>
      </c>
      <c r="E879" s="212" t="s">
        <v>15</v>
      </c>
      <c r="F879" s="215">
        <v>3.0</v>
      </c>
      <c r="G879" s="147"/>
      <c r="H879" s="216">
        <v>250.0</v>
      </c>
      <c r="I879" s="216">
        <v>750.0</v>
      </c>
      <c r="J879" s="216">
        <v>15000.0</v>
      </c>
      <c r="K879" s="216">
        <v>0.0</v>
      </c>
      <c r="L879" s="217">
        <v>46116.0</v>
      </c>
      <c r="M879" s="217">
        <v>46146.0</v>
      </c>
      <c r="N879" s="215">
        <v>1.0</v>
      </c>
      <c r="O879" s="215">
        <v>-1116.0</v>
      </c>
      <c r="P879" s="215">
        <v>1146.0</v>
      </c>
      <c r="Q879" s="203"/>
      <c r="R879" s="218" t="s">
        <v>2014</v>
      </c>
      <c r="S879" s="186"/>
      <c r="T879" s="215">
        <v>165.0</v>
      </c>
      <c r="U879" s="204"/>
    </row>
    <row r="880" ht="22.5" customHeight="1">
      <c r="A880" s="205"/>
      <c r="B880" s="193" t="s">
        <v>259</v>
      </c>
      <c r="C880" s="226" t="s">
        <v>136</v>
      </c>
      <c r="D880" s="194" t="s">
        <v>1760</v>
      </c>
      <c r="E880" s="193" t="s">
        <v>15</v>
      </c>
      <c r="F880" s="220">
        <v>5.0</v>
      </c>
      <c r="G880" s="150"/>
      <c r="H880" s="222">
        <v>100.0</v>
      </c>
      <c r="I880" s="222">
        <v>500.0</v>
      </c>
      <c r="J880" s="222">
        <v>10000.0</v>
      </c>
      <c r="K880" s="222">
        <v>0.0</v>
      </c>
      <c r="L880" s="223">
        <v>46121.0</v>
      </c>
      <c r="M880" s="223">
        <v>46151.0</v>
      </c>
      <c r="N880" s="220">
        <v>1.0</v>
      </c>
      <c r="O880" s="220">
        <v>-1111.0</v>
      </c>
      <c r="P880" s="220">
        <v>1141.0</v>
      </c>
      <c r="Q880" s="209"/>
      <c r="R880" s="196" t="s">
        <v>2015</v>
      </c>
      <c r="S880" s="45"/>
      <c r="T880" s="220">
        <v>166.0</v>
      </c>
      <c r="U880" s="198"/>
    </row>
    <row r="881" ht="22.5" customHeight="1">
      <c r="A881" s="211">
        <v>1.0</v>
      </c>
      <c r="B881" s="212" t="s">
        <v>194</v>
      </c>
      <c r="C881" s="213" t="s">
        <v>136</v>
      </c>
      <c r="D881" s="214" t="s">
        <v>1760</v>
      </c>
      <c r="E881" s="212" t="s">
        <v>15</v>
      </c>
      <c r="F881" s="215">
        <v>3.0</v>
      </c>
      <c r="G881" s="147"/>
      <c r="H881" s="216">
        <v>100.0</v>
      </c>
      <c r="I881" s="216">
        <v>300.0</v>
      </c>
      <c r="J881" s="216">
        <v>6000.0</v>
      </c>
      <c r="K881" s="216">
        <v>6000.0</v>
      </c>
      <c r="L881" s="217">
        <v>46134.0</v>
      </c>
      <c r="M881" s="217">
        <v>46164.0</v>
      </c>
      <c r="N881" s="215">
        <v>0.0</v>
      </c>
      <c r="O881" s="215">
        <v>-1098.0</v>
      </c>
      <c r="P881" s="215">
        <v>1128.0</v>
      </c>
      <c r="Q881" s="203"/>
      <c r="R881" s="218" t="s">
        <v>2016</v>
      </c>
      <c r="S881" s="186"/>
      <c r="T881" s="215">
        <v>167.0</v>
      </c>
      <c r="U881" s="204"/>
    </row>
    <row r="882" ht="22.5" customHeight="1">
      <c r="A882" s="205"/>
      <c r="B882" s="193" t="s">
        <v>243</v>
      </c>
      <c r="C882" s="226" t="s">
        <v>136</v>
      </c>
      <c r="D882" s="194" t="s">
        <v>1782</v>
      </c>
      <c r="E882" s="193" t="s">
        <v>15</v>
      </c>
      <c r="F882" s="220">
        <v>3.0</v>
      </c>
      <c r="G882" s="150"/>
      <c r="H882" s="222">
        <v>130.0</v>
      </c>
      <c r="I882" s="222">
        <v>390.0</v>
      </c>
      <c r="J882" s="222">
        <v>7800.0</v>
      </c>
      <c r="K882" s="222">
        <v>0.0</v>
      </c>
      <c r="L882" s="223">
        <v>46128.0</v>
      </c>
      <c r="M882" s="223">
        <v>46158.0</v>
      </c>
      <c r="N882" s="220">
        <v>1.0</v>
      </c>
      <c r="O882" s="220">
        <v>-1104.0</v>
      </c>
      <c r="P882" s="220">
        <v>1134.0</v>
      </c>
      <c r="Q882" s="209"/>
      <c r="R882" s="196" t="s">
        <v>2017</v>
      </c>
      <c r="S882" s="45"/>
      <c r="T882" s="220">
        <v>168.0</v>
      </c>
      <c r="U882" s="198"/>
    </row>
    <row r="883" ht="22.5" customHeight="1">
      <c r="A883" s="199"/>
      <c r="B883" s="212" t="s">
        <v>271</v>
      </c>
      <c r="C883" s="231" t="s">
        <v>684</v>
      </c>
      <c r="D883" s="214" t="s">
        <v>2018</v>
      </c>
      <c r="E883" s="212" t="s">
        <v>15</v>
      </c>
      <c r="F883" s="215">
        <v>4.0</v>
      </c>
      <c r="G883" s="210"/>
      <c r="H883" s="216">
        <v>100.0</v>
      </c>
      <c r="I883" s="216">
        <v>400.0</v>
      </c>
      <c r="J883" s="201"/>
      <c r="K883" s="201"/>
      <c r="L883" s="217">
        <v>46128.0</v>
      </c>
      <c r="M883" s="217">
        <v>46158.0</v>
      </c>
      <c r="N883" s="147"/>
      <c r="O883" s="215">
        <v>-1104.0</v>
      </c>
      <c r="P883" s="215">
        <v>1134.0</v>
      </c>
      <c r="Q883" s="232">
        <v>46255.0</v>
      </c>
      <c r="R883" s="218" t="s">
        <v>2019</v>
      </c>
      <c r="S883" s="186"/>
      <c r="T883" s="215">
        <v>169.0</v>
      </c>
      <c r="U883" s="204"/>
    </row>
    <row r="884" ht="22.5" customHeight="1">
      <c r="A884" s="205"/>
      <c r="B884" s="193" t="s">
        <v>275</v>
      </c>
      <c r="C884" s="226" t="s">
        <v>136</v>
      </c>
      <c r="D884" s="194" t="s">
        <v>1788</v>
      </c>
      <c r="E884" s="193" t="s">
        <v>17</v>
      </c>
      <c r="F884" s="220">
        <v>3.0</v>
      </c>
      <c r="G884" s="221"/>
      <c r="H884" s="222">
        <v>1500.0</v>
      </c>
      <c r="I884" s="222">
        <v>4500.0</v>
      </c>
      <c r="J884" s="222">
        <v>4500.0</v>
      </c>
      <c r="K884" s="222">
        <v>0.0</v>
      </c>
      <c r="L884" s="223">
        <v>46120.0</v>
      </c>
      <c r="M884" s="223">
        <v>46150.0</v>
      </c>
      <c r="N884" s="220">
        <v>1.0</v>
      </c>
      <c r="O884" s="220">
        <v>-1112.0</v>
      </c>
      <c r="P884" s="220">
        <v>1142.0</v>
      </c>
      <c r="Q884" s="209"/>
      <c r="R884" s="196" t="s">
        <v>2020</v>
      </c>
      <c r="S884" s="45"/>
      <c r="T884" s="220">
        <v>170.0</v>
      </c>
      <c r="U884" s="198"/>
    </row>
    <row r="885" ht="22.5" customHeight="1">
      <c r="A885" s="211" t="s">
        <v>2021</v>
      </c>
      <c r="B885" s="212" t="s">
        <v>263</v>
      </c>
      <c r="C885" s="213" t="s">
        <v>136</v>
      </c>
      <c r="D885" s="214" t="s">
        <v>1394</v>
      </c>
      <c r="E885" s="212" t="s">
        <v>15</v>
      </c>
      <c r="F885" s="215">
        <v>3.0</v>
      </c>
      <c r="G885" s="147"/>
      <c r="H885" s="216">
        <v>100.0</v>
      </c>
      <c r="I885" s="216">
        <v>300.0</v>
      </c>
      <c r="J885" s="216">
        <v>6000.0</v>
      </c>
      <c r="K885" s="216">
        <v>0.0</v>
      </c>
      <c r="L885" s="217">
        <v>46113.0</v>
      </c>
      <c r="M885" s="217">
        <v>46143.0</v>
      </c>
      <c r="N885" s="215">
        <v>1.0</v>
      </c>
      <c r="O885" s="215">
        <v>-1119.0</v>
      </c>
      <c r="P885" s="215">
        <v>1149.0</v>
      </c>
      <c r="Q885" s="203"/>
      <c r="R885" s="218" t="s">
        <v>2022</v>
      </c>
      <c r="S885" s="186"/>
      <c r="T885" s="215">
        <v>171.0</v>
      </c>
      <c r="U885" s="204"/>
    </row>
    <row r="886" ht="22.5" customHeight="1">
      <c r="A886" s="205"/>
      <c r="B886" s="193" t="s">
        <v>215</v>
      </c>
      <c r="C886" s="226" t="s">
        <v>136</v>
      </c>
      <c r="D886" s="194" t="s">
        <v>1760</v>
      </c>
      <c r="E886" s="193" t="s">
        <v>15</v>
      </c>
      <c r="F886" s="220">
        <v>6.0</v>
      </c>
      <c r="G886" s="150"/>
      <c r="H886" s="222">
        <v>120.0</v>
      </c>
      <c r="I886" s="222">
        <v>600.0</v>
      </c>
      <c r="J886" s="222">
        <v>12000.0</v>
      </c>
      <c r="K886" s="222">
        <v>0.0</v>
      </c>
      <c r="L886" s="223">
        <v>46121.0</v>
      </c>
      <c r="M886" s="223">
        <v>46151.0</v>
      </c>
      <c r="N886" s="220">
        <v>1.0</v>
      </c>
      <c r="O886" s="220">
        <v>-1111.0</v>
      </c>
      <c r="P886" s="220">
        <v>1141.0</v>
      </c>
      <c r="Q886" s="209"/>
      <c r="R886" s="196" t="s">
        <v>2023</v>
      </c>
      <c r="S886" s="45"/>
      <c r="T886" s="220">
        <v>172.0</v>
      </c>
      <c r="U886" s="198"/>
    </row>
    <row r="887" ht="22.5" customHeight="1">
      <c r="A887" s="199"/>
      <c r="B887" s="212" t="s">
        <v>269</v>
      </c>
      <c r="C887" s="213" t="s">
        <v>136</v>
      </c>
      <c r="D887" s="214" t="s">
        <v>1760</v>
      </c>
      <c r="E887" s="212" t="s">
        <v>15</v>
      </c>
      <c r="F887" s="215">
        <v>3.0</v>
      </c>
      <c r="G887" s="210"/>
      <c r="H887" s="216">
        <v>100.0</v>
      </c>
      <c r="I887" s="216">
        <v>300.0</v>
      </c>
      <c r="J887" s="216">
        <v>6000.0</v>
      </c>
      <c r="K887" s="216">
        <v>0.0</v>
      </c>
      <c r="L887" s="217">
        <v>46128.0</v>
      </c>
      <c r="M887" s="217">
        <v>46158.0</v>
      </c>
      <c r="N887" s="215">
        <v>1.0</v>
      </c>
      <c r="O887" s="215">
        <v>-1104.0</v>
      </c>
      <c r="P887" s="215">
        <v>1134.0</v>
      </c>
      <c r="Q887" s="203"/>
      <c r="R887" s="218" t="s">
        <v>2024</v>
      </c>
      <c r="S887" s="186"/>
      <c r="T887" s="215">
        <v>173.0</v>
      </c>
      <c r="U887" s="204"/>
    </row>
    <row r="888" ht="22.5" customHeight="1">
      <c r="A888" s="192">
        <v>1.0</v>
      </c>
      <c r="B888" s="193" t="s">
        <v>142</v>
      </c>
      <c r="C888" s="226" t="s">
        <v>136</v>
      </c>
      <c r="D888" s="194" t="s">
        <v>2018</v>
      </c>
      <c r="E888" s="193" t="s">
        <v>15</v>
      </c>
      <c r="F888" s="220">
        <v>4.0</v>
      </c>
      <c r="G888" s="150"/>
      <c r="H888" s="222">
        <v>120.0</v>
      </c>
      <c r="I888" s="222">
        <v>400.0</v>
      </c>
      <c r="J888" s="222">
        <v>8000.0</v>
      </c>
      <c r="K888" s="222">
        <v>0.0</v>
      </c>
      <c r="L888" s="223">
        <v>46114.0</v>
      </c>
      <c r="M888" s="223">
        <v>46144.0</v>
      </c>
      <c r="N888" s="220">
        <v>1.0</v>
      </c>
      <c r="O888" s="220">
        <v>-1118.0</v>
      </c>
      <c r="P888" s="220">
        <v>1148.0</v>
      </c>
      <c r="Q888" s="209"/>
      <c r="R888" s="196" t="s">
        <v>2025</v>
      </c>
      <c r="S888" s="45"/>
      <c r="T888" s="220">
        <v>174.0</v>
      </c>
      <c r="U888" s="198"/>
    </row>
    <row r="889" ht="22.5" hidden="1" customHeight="1">
      <c r="A889" s="199"/>
      <c r="B889" s="212" t="s">
        <v>923</v>
      </c>
      <c r="C889" s="240" t="s">
        <v>591</v>
      </c>
      <c r="D889" s="236"/>
      <c r="E889" s="203"/>
      <c r="F889" s="147"/>
      <c r="G889" s="186"/>
      <c r="H889" s="201"/>
      <c r="I889" s="237" t="s">
        <v>924</v>
      </c>
      <c r="J889" s="216">
        <v>152499.0</v>
      </c>
      <c r="K889" s="216">
        <v>16000.0</v>
      </c>
      <c r="L889" s="202"/>
      <c r="M889" s="202"/>
      <c r="N889" s="147"/>
      <c r="O889" s="147"/>
      <c r="P889" s="147"/>
      <c r="Q889" s="203"/>
      <c r="R889" s="186"/>
      <c r="S889" s="186"/>
      <c r="T889" s="147"/>
      <c r="U889" s="204"/>
    </row>
    <row r="890" ht="22.5" hidden="1" customHeight="1">
      <c r="A890" s="205"/>
      <c r="B890" s="193" t="s">
        <v>558</v>
      </c>
      <c r="C890" s="241" t="s">
        <v>2026</v>
      </c>
      <c r="D890" s="234"/>
      <c r="E890" s="234"/>
      <c r="F890" s="150"/>
      <c r="G890" s="234"/>
      <c r="H890" s="207"/>
      <c r="I890" s="197" t="s">
        <v>925</v>
      </c>
      <c r="J890" s="222">
        <v>192000.0</v>
      </c>
      <c r="K890" s="207"/>
      <c r="L890" s="208"/>
      <c r="M890" s="196" t="s">
        <v>926</v>
      </c>
      <c r="N890" s="150"/>
      <c r="O890" s="150"/>
      <c r="P890" s="150"/>
      <c r="Q890" s="209"/>
      <c r="R890" s="234"/>
      <c r="S890" s="234"/>
      <c r="T890" s="220">
        <v>174.0</v>
      </c>
      <c r="U890" s="198"/>
    </row>
    <row r="891" ht="22.5" hidden="1" customHeight="1">
      <c r="A891" s="199"/>
      <c r="B891" s="212" t="s">
        <v>696</v>
      </c>
      <c r="C891" s="232" t="s">
        <v>927</v>
      </c>
      <c r="D891" s="236"/>
      <c r="E891" s="236"/>
      <c r="F891" s="147"/>
      <c r="G891" s="236"/>
      <c r="H891" s="201"/>
      <c r="I891" s="237" t="s">
        <v>928</v>
      </c>
      <c r="J891" s="216">
        <v>85687.5</v>
      </c>
      <c r="K891" s="201"/>
      <c r="L891" s="202"/>
      <c r="M891" s="202"/>
      <c r="N891" s="147"/>
      <c r="O891" s="147"/>
      <c r="P891" s="147"/>
      <c r="Q891" s="203"/>
      <c r="R891" s="236"/>
      <c r="S891" s="236"/>
      <c r="T891" s="147"/>
      <c r="U891" s="204"/>
    </row>
    <row r="892" ht="22.5" hidden="1" customHeight="1">
      <c r="A892" s="205"/>
      <c r="B892" s="82"/>
      <c r="C892" s="206"/>
      <c r="D892" s="206"/>
      <c r="E892" s="206"/>
      <c r="F892" s="150"/>
      <c r="G892" s="45"/>
      <c r="H892" s="207"/>
      <c r="I892" s="207"/>
      <c r="J892" s="207"/>
      <c r="K892" s="207"/>
      <c r="L892" s="208"/>
      <c r="M892" s="208"/>
      <c r="N892" s="150"/>
      <c r="O892" s="150"/>
      <c r="P892" s="150"/>
      <c r="Q892" s="209"/>
      <c r="R892" s="45"/>
      <c r="S892" s="45"/>
      <c r="T892" s="150"/>
      <c r="U892" s="198"/>
    </row>
    <row r="893" ht="22.5" hidden="1" customHeight="1">
      <c r="A893" s="199"/>
      <c r="B893" s="146"/>
      <c r="C893" s="200"/>
      <c r="D893" s="200"/>
      <c r="E893" s="200"/>
      <c r="F893" s="147"/>
      <c r="G893" s="186"/>
      <c r="H893" s="201"/>
      <c r="I893" s="201"/>
      <c r="J893" s="201"/>
      <c r="K893" s="201"/>
      <c r="L893" s="202"/>
      <c r="M893" s="202"/>
      <c r="N893" s="147"/>
      <c r="O893" s="147"/>
      <c r="P893" s="147"/>
      <c r="Q893" s="203"/>
      <c r="R893" s="186"/>
      <c r="S893" s="186"/>
      <c r="T893" s="147"/>
      <c r="U893" s="204"/>
    </row>
    <row r="894" ht="22.5" hidden="1" customHeight="1">
      <c r="A894" s="205"/>
      <c r="B894" s="82"/>
      <c r="C894" s="206"/>
      <c r="D894" s="206"/>
      <c r="E894" s="206"/>
      <c r="F894" s="150"/>
      <c r="G894" s="45"/>
      <c r="H894" s="207"/>
      <c r="I894" s="207"/>
      <c r="J894" s="207"/>
      <c r="K894" s="207"/>
      <c r="L894" s="208"/>
      <c r="M894" s="208"/>
      <c r="N894" s="150"/>
      <c r="O894" s="150"/>
      <c r="P894" s="150"/>
      <c r="Q894" s="209"/>
      <c r="R894" s="45"/>
      <c r="S894" s="45"/>
      <c r="T894" s="150"/>
      <c r="U894" s="198"/>
    </row>
    <row r="895" ht="22.5" hidden="1" customHeight="1">
      <c r="A895" s="199"/>
      <c r="B895" s="146"/>
      <c r="C895" s="200"/>
      <c r="D895" s="200"/>
      <c r="E895" s="200"/>
      <c r="F895" s="147"/>
      <c r="G895" s="186"/>
      <c r="H895" s="201"/>
      <c r="I895" s="201"/>
      <c r="J895" s="201"/>
      <c r="K895" s="201"/>
      <c r="L895" s="202"/>
      <c r="M895" s="202"/>
      <c r="N895" s="147"/>
      <c r="O895" s="147"/>
      <c r="P895" s="147"/>
      <c r="Q895" s="203"/>
      <c r="R895" s="186"/>
      <c r="S895" s="186"/>
      <c r="T895" s="147"/>
      <c r="U895" s="204"/>
    </row>
    <row r="896" ht="22.5" hidden="1" customHeight="1">
      <c r="A896" s="192" t="s">
        <v>181</v>
      </c>
      <c r="B896" s="193" t="s">
        <v>132</v>
      </c>
      <c r="C896" s="193" t="s">
        <v>131</v>
      </c>
      <c r="D896" s="194" t="s">
        <v>870</v>
      </c>
      <c r="E896" s="193" t="s">
        <v>7</v>
      </c>
      <c r="F896" s="195" t="s">
        <v>871</v>
      </c>
      <c r="G896" s="193" t="s">
        <v>872</v>
      </c>
      <c r="H896" s="197" t="s">
        <v>8</v>
      </c>
      <c r="I896" s="197" t="s">
        <v>873</v>
      </c>
      <c r="J896" s="197" t="s">
        <v>17</v>
      </c>
      <c r="K896" s="197" t="s">
        <v>874</v>
      </c>
      <c r="L896" s="196" t="s">
        <v>875</v>
      </c>
      <c r="M896" s="196" t="s">
        <v>876</v>
      </c>
      <c r="N896" s="195" t="s">
        <v>877</v>
      </c>
      <c r="O896" s="195" t="s">
        <v>878</v>
      </c>
      <c r="P896" s="195" t="s">
        <v>879</v>
      </c>
      <c r="Q896" s="196" t="s">
        <v>880</v>
      </c>
      <c r="R896" s="196" t="s">
        <v>881</v>
      </c>
      <c r="S896" s="196" t="s">
        <v>882</v>
      </c>
      <c r="T896" s="195" t="s">
        <v>557</v>
      </c>
      <c r="U896" s="198"/>
    </row>
    <row r="897" ht="22.5" customHeight="1">
      <c r="A897" s="211" t="s">
        <v>2027</v>
      </c>
      <c r="B897" s="212" t="s">
        <v>207</v>
      </c>
      <c r="C897" s="213" t="s">
        <v>136</v>
      </c>
      <c r="D897" s="214" t="s">
        <v>1983</v>
      </c>
      <c r="E897" s="214" t="s">
        <v>17</v>
      </c>
      <c r="F897" s="147"/>
      <c r="G897" s="147"/>
      <c r="H897" s="216">
        <v>1350.0</v>
      </c>
      <c r="I897" s="216">
        <v>2700.0</v>
      </c>
      <c r="J897" s="216">
        <v>2700.0</v>
      </c>
      <c r="K897" s="216">
        <v>0.0</v>
      </c>
      <c r="L897" s="217">
        <v>46098.0</v>
      </c>
      <c r="M897" s="217">
        <v>46129.0</v>
      </c>
      <c r="N897" s="215">
        <v>1.0</v>
      </c>
      <c r="O897" s="215">
        <v>-1133.0</v>
      </c>
      <c r="P897" s="215">
        <v>1163.0</v>
      </c>
      <c r="Q897" s="203"/>
      <c r="R897" s="218" t="s">
        <v>2028</v>
      </c>
      <c r="S897" s="186"/>
      <c r="T897" s="215">
        <v>136.0</v>
      </c>
      <c r="U897" s="204"/>
    </row>
    <row r="898" ht="22.5" customHeight="1">
      <c r="A898" s="205"/>
      <c r="B898" s="193" t="s">
        <v>257</v>
      </c>
      <c r="C898" s="226" t="s">
        <v>136</v>
      </c>
      <c r="D898" s="194" t="s">
        <v>1782</v>
      </c>
      <c r="E898" s="193" t="s">
        <v>15</v>
      </c>
      <c r="F898" s="150"/>
      <c r="G898" s="221"/>
      <c r="H898" s="222">
        <v>100.0</v>
      </c>
      <c r="I898" s="222">
        <v>300.0</v>
      </c>
      <c r="J898" s="222">
        <v>6000.0</v>
      </c>
      <c r="K898" s="222">
        <v>0.0</v>
      </c>
      <c r="L898" s="223">
        <v>46090.0</v>
      </c>
      <c r="M898" s="223">
        <v>46121.0</v>
      </c>
      <c r="N898" s="220">
        <v>1.0</v>
      </c>
      <c r="O898" s="220">
        <v>-1141.0</v>
      </c>
      <c r="P898" s="220">
        <v>1171.0</v>
      </c>
      <c r="Q898" s="209"/>
      <c r="R898" s="196" t="s">
        <v>2029</v>
      </c>
      <c r="S898" s="45"/>
      <c r="T898" s="220">
        <v>137.0</v>
      </c>
      <c r="U898" s="198"/>
    </row>
    <row r="899" ht="22.5" customHeight="1">
      <c r="A899" s="211">
        <v>1.0</v>
      </c>
      <c r="B899" s="212" t="s">
        <v>186</v>
      </c>
      <c r="C899" s="200"/>
      <c r="D899" s="214" t="s">
        <v>2030</v>
      </c>
      <c r="E899" s="214" t="s">
        <v>187</v>
      </c>
      <c r="F899" s="147"/>
      <c r="G899" s="210"/>
      <c r="H899" s="237" t="s">
        <v>2031</v>
      </c>
      <c r="I899" s="216">
        <v>2000.0</v>
      </c>
      <c r="J899" s="201"/>
      <c r="K899" s="201"/>
      <c r="L899" s="217">
        <v>46091.0</v>
      </c>
      <c r="M899" s="217">
        <v>46122.0</v>
      </c>
      <c r="N899" s="147"/>
      <c r="O899" s="215">
        <v>-1140.0</v>
      </c>
      <c r="P899" s="215">
        <v>1170.0</v>
      </c>
      <c r="Q899" s="232">
        <v>46255.0</v>
      </c>
      <c r="R899" s="218" t="s">
        <v>2032</v>
      </c>
      <c r="S899" s="186"/>
      <c r="T899" s="215">
        <v>138.0</v>
      </c>
      <c r="U899" s="204"/>
    </row>
    <row r="900" ht="22.5" customHeight="1">
      <c r="A900" s="192">
        <v>1.0</v>
      </c>
      <c r="B900" s="193" t="s">
        <v>241</v>
      </c>
      <c r="C900" s="226" t="s">
        <v>136</v>
      </c>
      <c r="D900" s="194" t="s">
        <v>1711</v>
      </c>
      <c r="E900" s="193" t="s">
        <v>15</v>
      </c>
      <c r="F900" s="220">
        <v>3.0</v>
      </c>
      <c r="G900" s="221"/>
      <c r="H900" s="222">
        <v>250.0</v>
      </c>
      <c r="I900" s="222">
        <v>1000.0</v>
      </c>
      <c r="J900" s="222">
        <v>20000.0</v>
      </c>
      <c r="K900" s="222">
        <v>0.0</v>
      </c>
      <c r="L900" s="223">
        <v>46091.0</v>
      </c>
      <c r="M900" s="223">
        <v>46122.0</v>
      </c>
      <c r="N900" s="220">
        <v>1.0</v>
      </c>
      <c r="O900" s="220">
        <v>-1140.0</v>
      </c>
      <c r="P900" s="220">
        <v>1170.0</v>
      </c>
      <c r="Q900" s="209"/>
      <c r="R900" s="196" t="s">
        <v>2033</v>
      </c>
      <c r="S900" s="45"/>
      <c r="T900" s="220">
        <v>139.0</v>
      </c>
      <c r="U900" s="198"/>
    </row>
    <row r="901" ht="22.5" customHeight="1">
      <c r="A901" s="199"/>
      <c r="B901" s="212" t="s">
        <v>265</v>
      </c>
      <c r="C901" s="213" t="s">
        <v>136</v>
      </c>
      <c r="D901" s="214" t="s">
        <v>1988</v>
      </c>
      <c r="E901" s="212" t="s">
        <v>17</v>
      </c>
      <c r="F901" s="215">
        <v>4.0</v>
      </c>
      <c r="G901" s="210"/>
      <c r="H901" s="216">
        <v>2000.0</v>
      </c>
      <c r="I901" s="216">
        <v>8333.0</v>
      </c>
      <c r="J901" s="216">
        <v>8333.0</v>
      </c>
      <c r="K901" s="216">
        <v>0.0</v>
      </c>
      <c r="L901" s="217">
        <v>46089.0</v>
      </c>
      <c r="M901" s="217">
        <v>46120.0</v>
      </c>
      <c r="N901" s="215">
        <v>1.0</v>
      </c>
      <c r="O901" s="215">
        <v>-1142.0</v>
      </c>
      <c r="P901" s="215">
        <v>1172.0</v>
      </c>
      <c r="Q901" s="203"/>
      <c r="R901" s="218" t="s">
        <v>2034</v>
      </c>
      <c r="S901" s="186"/>
      <c r="T901" s="215">
        <v>140.0</v>
      </c>
      <c r="U901" s="204"/>
    </row>
    <row r="902" ht="22.5" customHeight="1">
      <c r="A902" s="205"/>
      <c r="B902" s="193" t="s">
        <v>219</v>
      </c>
      <c r="C902" s="226" t="s">
        <v>136</v>
      </c>
      <c r="D902" s="194" t="s">
        <v>2035</v>
      </c>
      <c r="E902" s="193" t="s">
        <v>15</v>
      </c>
      <c r="F902" s="220">
        <v>5.0</v>
      </c>
      <c r="G902" s="220">
        <v>50.0</v>
      </c>
      <c r="H902" s="222">
        <v>100.0</v>
      </c>
      <c r="I902" s="222">
        <v>250.0</v>
      </c>
      <c r="J902" s="222">
        <v>5000.0</v>
      </c>
      <c r="K902" s="222">
        <v>0.0</v>
      </c>
      <c r="L902" s="223">
        <v>46097.0</v>
      </c>
      <c r="M902" s="223">
        <v>46128.0</v>
      </c>
      <c r="N902" s="220">
        <v>1.0</v>
      </c>
      <c r="O902" s="220">
        <v>-1134.0</v>
      </c>
      <c r="P902" s="220">
        <v>1164.0</v>
      </c>
      <c r="Q902" s="209"/>
      <c r="R902" s="196" t="s">
        <v>2036</v>
      </c>
      <c r="S902" s="45"/>
      <c r="T902" s="220">
        <v>141.0</v>
      </c>
      <c r="U902" s="198"/>
    </row>
    <row r="903" ht="22.5" customHeight="1">
      <c r="A903" s="199"/>
      <c r="B903" s="212" t="s">
        <v>245</v>
      </c>
      <c r="C903" s="231" t="s">
        <v>684</v>
      </c>
      <c r="D903" s="214" t="s">
        <v>1472</v>
      </c>
      <c r="E903" s="212" t="s">
        <v>15</v>
      </c>
      <c r="F903" s="215">
        <v>1.0</v>
      </c>
      <c r="G903" s="210"/>
      <c r="H903" s="216">
        <v>130.0</v>
      </c>
      <c r="I903" s="216">
        <v>130.0</v>
      </c>
      <c r="J903" s="201"/>
      <c r="K903" s="201"/>
      <c r="L903" s="217">
        <v>46084.0</v>
      </c>
      <c r="M903" s="217">
        <v>46115.0</v>
      </c>
      <c r="N903" s="147"/>
      <c r="O903" s="215">
        <v>-1147.0</v>
      </c>
      <c r="P903" s="215">
        <v>1177.0</v>
      </c>
      <c r="Q903" s="203"/>
      <c r="R903" s="218" t="s">
        <v>2037</v>
      </c>
      <c r="S903" s="186"/>
      <c r="T903" s="215">
        <v>142.0</v>
      </c>
      <c r="U903" s="204"/>
    </row>
    <row r="904" ht="22.5" customHeight="1">
      <c r="A904" s="205"/>
      <c r="B904" s="193" t="s">
        <v>217</v>
      </c>
      <c r="C904" s="226" t="s">
        <v>136</v>
      </c>
      <c r="D904" s="194" t="s">
        <v>2035</v>
      </c>
      <c r="E904" s="193" t="s">
        <v>15</v>
      </c>
      <c r="F904" s="220">
        <v>5.0</v>
      </c>
      <c r="G904" s="150"/>
      <c r="H904" s="222">
        <v>100.0</v>
      </c>
      <c r="I904" s="222">
        <v>500.0</v>
      </c>
      <c r="J904" s="222">
        <v>10000.0</v>
      </c>
      <c r="K904" s="222">
        <v>0.0</v>
      </c>
      <c r="L904" s="223">
        <v>46090.0</v>
      </c>
      <c r="M904" s="223">
        <v>46121.0</v>
      </c>
      <c r="N904" s="220">
        <v>1.0</v>
      </c>
      <c r="O904" s="220">
        <v>-1141.0</v>
      </c>
      <c r="P904" s="220">
        <v>1171.0</v>
      </c>
      <c r="Q904" s="209"/>
      <c r="R904" s="196" t="s">
        <v>2038</v>
      </c>
      <c r="S904" s="45"/>
      <c r="T904" s="220">
        <v>143.0</v>
      </c>
      <c r="U904" s="198"/>
    </row>
    <row r="905" ht="22.5" customHeight="1">
      <c r="A905" s="211" t="s">
        <v>2039</v>
      </c>
      <c r="B905" s="212" t="s">
        <v>267</v>
      </c>
      <c r="C905" s="213" t="s">
        <v>136</v>
      </c>
      <c r="D905" s="214" t="s">
        <v>1653</v>
      </c>
      <c r="E905" s="212" t="s">
        <v>15</v>
      </c>
      <c r="F905" s="147"/>
      <c r="G905" s="210"/>
      <c r="H905" s="216">
        <v>250.0</v>
      </c>
      <c r="I905" s="216">
        <v>250.0</v>
      </c>
      <c r="J905" s="216">
        <v>5000.0</v>
      </c>
      <c r="K905" s="216">
        <v>0.0</v>
      </c>
      <c r="L905" s="217">
        <v>46093.0</v>
      </c>
      <c r="M905" s="217">
        <v>46124.0</v>
      </c>
      <c r="N905" s="215">
        <v>1.0</v>
      </c>
      <c r="O905" s="215">
        <v>-1138.0</v>
      </c>
      <c r="P905" s="215">
        <v>1168.0</v>
      </c>
      <c r="Q905" s="203"/>
      <c r="R905" s="218" t="s">
        <v>2040</v>
      </c>
      <c r="S905" s="186"/>
      <c r="T905" s="215">
        <v>144.0</v>
      </c>
      <c r="U905" s="204"/>
    </row>
    <row r="906" ht="22.5" customHeight="1">
      <c r="A906" s="205"/>
      <c r="B906" s="193" t="s">
        <v>223</v>
      </c>
      <c r="C906" s="226" t="s">
        <v>136</v>
      </c>
      <c r="D906" s="194" t="s">
        <v>2035</v>
      </c>
      <c r="E906" s="193" t="s">
        <v>15</v>
      </c>
      <c r="F906" s="220">
        <v>5.0</v>
      </c>
      <c r="G906" s="221"/>
      <c r="H906" s="222">
        <v>100.0</v>
      </c>
      <c r="I906" s="222">
        <v>500.0</v>
      </c>
      <c r="J906" s="222">
        <v>10000.0</v>
      </c>
      <c r="K906" s="222">
        <v>0.0</v>
      </c>
      <c r="L906" s="223">
        <v>46105.0</v>
      </c>
      <c r="M906" s="223">
        <v>46136.0</v>
      </c>
      <c r="N906" s="220">
        <v>1.0</v>
      </c>
      <c r="O906" s="220">
        <v>-1126.0</v>
      </c>
      <c r="P906" s="220">
        <v>1156.0</v>
      </c>
      <c r="Q906" s="238">
        <v>46255.0</v>
      </c>
      <c r="R906" s="196" t="s">
        <v>2041</v>
      </c>
      <c r="S906" s="45"/>
      <c r="T906" s="220">
        <v>145.0</v>
      </c>
      <c r="U906" s="198"/>
    </row>
    <row r="907" ht="22.5" customHeight="1">
      <c r="A907" s="211">
        <v>1.0</v>
      </c>
      <c r="B907" s="212" t="s">
        <v>261</v>
      </c>
      <c r="C907" s="213" t="s">
        <v>136</v>
      </c>
      <c r="D907" s="214" t="s">
        <v>2013</v>
      </c>
      <c r="E907" s="212" t="s">
        <v>15</v>
      </c>
      <c r="F907" s="215">
        <v>5.0</v>
      </c>
      <c r="G907" s="210"/>
      <c r="H907" s="216">
        <v>250.0</v>
      </c>
      <c r="I907" s="216">
        <v>500.0</v>
      </c>
      <c r="J907" s="216">
        <v>10000.0</v>
      </c>
      <c r="K907" s="216">
        <v>0.0</v>
      </c>
      <c r="L907" s="217">
        <v>46085.0</v>
      </c>
      <c r="M907" s="217">
        <v>46116.0</v>
      </c>
      <c r="N907" s="215">
        <v>1.0</v>
      </c>
      <c r="O907" s="215">
        <v>-1146.0</v>
      </c>
      <c r="P907" s="215">
        <v>1176.0</v>
      </c>
      <c r="Q907" s="203"/>
      <c r="R907" s="218" t="s">
        <v>2042</v>
      </c>
      <c r="S907" s="186"/>
      <c r="T907" s="215">
        <v>146.0</v>
      </c>
      <c r="U907" s="204"/>
    </row>
    <row r="908" ht="22.5" customHeight="1">
      <c r="A908" s="205"/>
      <c r="B908" s="193" t="s">
        <v>259</v>
      </c>
      <c r="C908" s="226" t="s">
        <v>136</v>
      </c>
      <c r="D908" s="194" t="s">
        <v>2035</v>
      </c>
      <c r="E908" s="193" t="s">
        <v>15</v>
      </c>
      <c r="F908" s="220">
        <v>5.0</v>
      </c>
      <c r="G908" s="221"/>
      <c r="H908" s="222">
        <v>100.0</v>
      </c>
      <c r="I908" s="222">
        <v>500.0</v>
      </c>
      <c r="J908" s="222">
        <v>10000.0</v>
      </c>
      <c r="K908" s="222">
        <v>0.0</v>
      </c>
      <c r="L908" s="223">
        <v>46090.0</v>
      </c>
      <c r="M908" s="223">
        <v>46121.0</v>
      </c>
      <c r="N908" s="220">
        <v>1.0</v>
      </c>
      <c r="O908" s="220">
        <v>-1141.0</v>
      </c>
      <c r="P908" s="220">
        <v>1171.0</v>
      </c>
      <c r="Q908" s="209"/>
      <c r="R908" s="196" t="s">
        <v>2043</v>
      </c>
      <c r="S908" s="45"/>
      <c r="T908" s="220">
        <v>147.0</v>
      </c>
      <c r="U908" s="198"/>
    </row>
    <row r="909" ht="22.5" customHeight="1">
      <c r="A909" s="199"/>
      <c r="B909" s="212" t="s">
        <v>221</v>
      </c>
      <c r="C909" s="213" t="s">
        <v>136</v>
      </c>
      <c r="D909" s="214" t="s">
        <v>2035</v>
      </c>
      <c r="E909" s="212" t="s">
        <v>15</v>
      </c>
      <c r="F909" s="215">
        <v>5.0</v>
      </c>
      <c r="G909" s="147"/>
      <c r="H909" s="216">
        <v>100.0</v>
      </c>
      <c r="I909" s="216">
        <v>500.0</v>
      </c>
      <c r="J909" s="216">
        <v>10000.0</v>
      </c>
      <c r="K909" s="216">
        <v>0.0</v>
      </c>
      <c r="L909" s="217">
        <v>46106.0</v>
      </c>
      <c r="M909" s="217">
        <v>46137.0</v>
      </c>
      <c r="N909" s="215">
        <v>1.0</v>
      </c>
      <c r="O909" s="215">
        <v>-1125.0</v>
      </c>
      <c r="P909" s="215">
        <v>1155.0</v>
      </c>
      <c r="Q909" s="232">
        <v>46255.0</v>
      </c>
      <c r="R909" s="218" t="s">
        <v>2044</v>
      </c>
      <c r="S909" s="186"/>
      <c r="T909" s="215">
        <v>148.0</v>
      </c>
      <c r="U909" s="204"/>
    </row>
    <row r="910" ht="22.5" customHeight="1">
      <c r="A910" s="192">
        <v>1.0</v>
      </c>
      <c r="B910" s="193" t="s">
        <v>194</v>
      </c>
      <c r="C910" s="226" t="s">
        <v>136</v>
      </c>
      <c r="D910" s="194" t="s">
        <v>1782</v>
      </c>
      <c r="E910" s="193" t="s">
        <v>15</v>
      </c>
      <c r="F910" s="220">
        <v>3.0</v>
      </c>
      <c r="G910" s="150"/>
      <c r="H910" s="222">
        <v>100.0</v>
      </c>
      <c r="I910" s="222">
        <v>300.0</v>
      </c>
      <c r="J910" s="222">
        <v>6000.0</v>
      </c>
      <c r="K910" s="222">
        <v>6000.0</v>
      </c>
      <c r="L910" s="223">
        <v>46103.0</v>
      </c>
      <c r="M910" s="223">
        <v>46134.0</v>
      </c>
      <c r="N910" s="220">
        <v>0.0</v>
      </c>
      <c r="O910" s="220">
        <v>-1128.0</v>
      </c>
      <c r="P910" s="220">
        <v>1158.0</v>
      </c>
      <c r="Q910" s="209"/>
      <c r="R910" s="196" t="s">
        <v>2045</v>
      </c>
      <c r="S910" s="45"/>
      <c r="T910" s="220">
        <v>149.0</v>
      </c>
      <c r="U910" s="198"/>
    </row>
    <row r="911" ht="22.5" customHeight="1">
      <c r="A911" s="199"/>
      <c r="B911" s="212" t="s">
        <v>231</v>
      </c>
      <c r="C911" s="213" t="s">
        <v>136</v>
      </c>
      <c r="D911" s="214" t="s">
        <v>1782</v>
      </c>
      <c r="E911" s="212" t="s">
        <v>15</v>
      </c>
      <c r="F911" s="215">
        <v>3.0</v>
      </c>
      <c r="G911" s="210"/>
      <c r="H911" s="216">
        <v>100.0</v>
      </c>
      <c r="I911" s="216">
        <v>300.0</v>
      </c>
      <c r="J911" s="216">
        <v>6000.0</v>
      </c>
      <c r="K911" s="216">
        <v>0.0</v>
      </c>
      <c r="L911" s="217">
        <v>46085.0</v>
      </c>
      <c r="M911" s="217">
        <v>46116.0</v>
      </c>
      <c r="N911" s="215">
        <v>1.0</v>
      </c>
      <c r="O911" s="215">
        <v>-1146.0</v>
      </c>
      <c r="P911" s="215">
        <v>1176.0</v>
      </c>
      <c r="Q911" s="203"/>
      <c r="R911" s="218" t="s">
        <v>2046</v>
      </c>
      <c r="S911" s="186"/>
      <c r="T911" s="215">
        <v>150.0</v>
      </c>
      <c r="U911" s="204"/>
    </row>
    <row r="912" ht="22.5" customHeight="1">
      <c r="A912" s="205"/>
      <c r="B912" s="193" t="s">
        <v>243</v>
      </c>
      <c r="C912" s="226" t="s">
        <v>136</v>
      </c>
      <c r="D912" s="194" t="s">
        <v>1760</v>
      </c>
      <c r="E912" s="193" t="s">
        <v>15</v>
      </c>
      <c r="F912" s="220">
        <v>5.0</v>
      </c>
      <c r="G912" s="221"/>
      <c r="H912" s="222">
        <v>130.0</v>
      </c>
      <c r="I912" s="222">
        <v>390.0</v>
      </c>
      <c r="J912" s="222">
        <v>7800.0</v>
      </c>
      <c r="K912" s="222">
        <v>0.0</v>
      </c>
      <c r="L912" s="223">
        <v>46097.0</v>
      </c>
      <c r="M912" s="223">
        <v>46128.0</v>
      </c>
      <c r="N912" s="220">
        <v>1.0</v>
      </c>
      <c r="O912" s="220">
        <v>-1134.0</v>
      </c>
      <c r="P912" s="220">
        <v>1164.0</v>
      </c>
      <c r="Q912" s="209"/>
      <c r="R912" s="196" t="s">
        <v>2047</v>
      </c>
      <c r="S912" s="45"/>
      <c r="T912" s="220">
        <v>151.0</v>
      </c>
      <c r="U912" s="198"/>
    </row>
    <row r="913" ht="22.5" customHeight="1">
      <c r="A913" s="199"/>
      <c r="B913" s="212" t="s">
        <v>271</v>
      </c>
      <c r="C913" s="213" t="s">
        <v>136</v>
      </c>
      <c r="D913" s="214" t="s">
        <v>2048</v>
      </c>
      <c r="E913" s="212" t="s">
        <v>15</v>
      </c>
      <c r="F913" s="215">
        <v>4.0</v>
      </c>
      <c r="G913" s="210"/>
      <c r="H913" s="216">
        <v>100.0</v>
      </c>
      <c r="I913" s="216">
        <v>400.0</v>
      </c>
      <c r="J913" s="216">
        <v>8000.0</v>
      </c>
      <c r="K913" s="237" t="s">
        <v>1909</v>
      </c>
      <c r="L913" s="217">
        <v>46105.0</v>
      </c>
      <c r="M913" s="217">
        <v>46136.0</v>
      </c>
      <c r="N913" s="215">
        <v>0.0</v>
      </c>
      <c r="O913" s="215">
        <v>-1126.0</v>
      </c>
      <c r="P913" s="215">
        <v>1156.0</v>
      </c>
      <c r="Q913" s="203"/>
      <c r="R913" s="218" t="s">
        <v>2049</v>
      </c>
      <c r="S913" s="186"/>
      <c r="T913" s="215">
        <v>152.0</v>
      </c>
      <c r="U913" s="204"/>
    </row>
    <row r="914" ht="22.5" customHeight="1">
      <c r="A914" s="205"/>
      <c r="B914" s="193" t="s">
        <v>263</v>
      </c>
      <c r="C914" s="226" t="s">
        <v>136</v>
      </c>
      <c r="D914" s="194" t="s">
        <v>1394</v>
      </c>
      <c r="E914" s="193" t="s">
        <v>15</v>
      </c>
      <c r="F914" s="220">
        <v>3.0</v>
      </c>
      <c r="G914" s="221"/>
      <c r="H914" s="222">
        <v>100.0</v>
      </c>
      <c r="I914" s="222">
        <v>300.0</v>
      </c>
      <c r="J914" s="222">
        <v>6000.0</v>
      </c>
      <c r="K914" s="222">
        <v>0.0</v>
      </c>
      <c r="L914" s="223">
        <v>46082.0</v>
      </c>
      <c r="M914" s="223">
        <v>46113.0</v>
      </c>
      <c r="N914" s="220">
        <v>1.0</v>
      </c>
      <c r="O914" s="220">
        <v>-1149.0</v>
      </c>
      <c r="P914" s="220">
        <v>1179.0</v>
      </c>
      <c r="Q914" s="209"/>
      <c r="R914" s="196" t="s">
        <v>2050</v>
      </c>
      <c r="S914" s="45"/>
      <c r="T914" s="220">
        <v>153.0</v>
      </c>
      <c r="U914" s="198"/>
    </row>
    <row r="915" ht="22.5" customHeight="1">
      <c r="A915" s="211" t="s">
        <v>2051</v>
      </c>
      <c r="B915" s="212" t="s">
        <v>215</v>
      </c>
      <c r="C915" s="213" t="s">
        <v>136</v>
      </c>
      <c r="D915" s="214" t="s">
        <v>2035</v>
      </c>
      <c r="E915" s="212" t="s">
        <v>15</v>
      </c>
      <c r="F915" s="215">
        <v>5.0</v>
      </c>
      <c r="G915" s="147"/>
      <c r="H915" s="216">
        <v>120.0</v>
      </c>
      <c r="I915" s="216">
        <v>600.0</v>
      </c>
      <c r="J915" s="216">
        <v>12000.0</v>
      </c>
      <c r="K915" s="216">
        <v>0.0</v>
      </c>
      <c r="L915" s="217">
        <v>46090.0</v>
      </c>
      <c r="M915" s="217">
        <v>46121.0</v>
      </c>
      <c r="N915" s="215">
        <v>1.0</v>
      </c>
      <c r="O915" s="215">
        <v>-1141.0</v>
      </c>
      <c r="P915" s="215">
        <v>1171.0</v>
      </c>
      <c r="Q915" s="203"/>
      <c r="R915" s="218" t="s">
        <v>2052</v>
      </c>
      <c r="S915" s="186"/>
      <c r="T915" s="215">
        <v>154.0</v>
      </c>
      <c r="U915" s="204"/>
    </row>
    <row r="916" ht="22.5" customHeight="1">
      <c r="A916" s="205"/>
      <c r="B916" s="193" t="s">
        <v>269</v>
      </c>
      <c r="C916" s="226" t="s">
        <v>136</v>
      </c>
      <c r="D916" s="194" t="s">
        <v>1760</v>
      </c>
      <c r="E916" s="193" t="s">
        <v>15</v>
      </c>
      <c r="F916" s="220">
        <v>5.0</v>
      </c>
      <c r="G916" s="221"/>
      <c r="H916" s="222">
        <v>100.0</v>
      </c>
      <c r="I916" s="222">
        <v>500.0</v>
      </c>
      <c r="J916" s="222">
        <v>10000.0</v>
      </c>
      <c r="K916" s="222">
        <v>0.0</v>
      </c>
      <c r="L916" s="223">
        <v>46097.0</v>
      </c>
      <c r="M916" s="223">
        <v>46128.0</v>
      </c>
      <c r="N916" s="220">
        <v>1.0</v>
      </c>
      <c r="O916" s="220">
        <v>-1134.0</v>
      </c>
      <c r="P916" s="220">
        <v>1164.0</v>
      </c>
      <c r="Q916" s="209"/>
      <c r="R916" s="196" t="s">
        <v>2053</v>
      </c>
      <c r="S916" s="45"/>
      <c r="T916" s="220">
        <v>155.0</v>
      </c>
      <c r="U916" s="198"/>
    </row>
    <row r="917" ht="22.5" customHeight="1">
      <c r="A917" s="211">
        <v>1.0</v>
      </c>
      <c r="B917" s="212" t="s">
        <v>142</v>
      </c>
      <c r="C917" s="213" t="s">
        <v>136</v>
      </c>
      <c r="D917" s="214" t="s">
        <v>1965</v>
      </c>
      <c r="E917" s="212" t="s">
        <v>15</v>
      </c>
      <c r="F917" s="215">
        <v>6.0</v>
      </c>
      <c r="G917" s="147"/>
      <c r="H917" s="216">
        <v>120.0</v>
      </c>
      <c r="I917" s="216">
        <v>400.0</v>
      </c>
      <c r="J917" s="216">
        <v>8000.0</v>
      </c>
      <c r="K917" s="216">
        <v>0.0</v>
      </c>
      <c r="L917" s="217">
        <v>46083.0</v>
      </c>
      <c r="M917" s="217">
        <v>46114.0</v>
      </c>
      <c r="N917" s="215">
        <v>1.0</v>
      </c>
      <c r="O917" s="215">
        <v>-1148.0</v>
      </c>
      <c r="P917" s="215">
        <v>1178.0</v>
      </c>
      <c r="Q917" s="203"/>
      <c r="R917" s="218" t="s">
        <v>2054</v>
      </c>
      <c r="S917" s="186"/>
      <c r="T917" s="215">
        <v>156.0</v>
      </c>
      <c r="U917" s="204"/>
    </row>
    <row r="918" ht="22.5" hidden="1" customHeight="1">
      <c r="A918" s="205"/>
      <c r="B918" s="193" t="s">
        <v>923</v>
      </c>
      <c r="C918" s="233" t="s">
        <v>595</v>
      </c>
      <c r="D918" s="234"/>
      <c r="E918" s="209"/>
      <c r="F918" s="150"/>
      <c r="G918" s="45"/>
      <c r="H918" s="207"/>
      <c r="I918" s="197" t="s">
        <v>924</v>
      </c>
      <c r="J918" s="222">
        <v>160833.0</v>
      </c>
      <c r="K918" s="222">
        <v>6000.0</v>
      </c>
      <c r="L918" s="208"/>
      <c r="M918" s="208"/>
      <c r="N918" s="150"/>
      <c r="O918" s="150"/>
      <c r="P918" s="150"/>
      <c r="Q918" s="209"/>
      <c r="R918" s="45"/>
      <c r="S918" s="45"/>
      <c r="T918" s="150"/>
      <c r="U918" s="198"/>
    </row>
    <row r="919" ht="22.5" hidden="1" customHeight="1">
      <c r="A919" s="199"/>
      <c r="B919" s="212" t="s">
        <v>558</v>
      </c>
      <c r="C919" s="235" t="s">
        <v>2055</v>
      </c>
      <c r="D919" s="236"/>
      <c r="E919" s="236"/>
      <c r="F919" s="147"/>
      <c r="G919" s="236"/>
      <c r="H919" s="201"/>
      <c r="I919" s="237" t="s">
        <v>925</v>
      </c>
      <c r="J919" s="216">
        <v>72000.0</v>
      </c>
      <c r="K919" s="201"/>
      <c r="L919" s="202"/>
      <c r="M919" s="218" t="s">
        <v>926</v>
      </c>
      <c r="N919" s="147"/>
      <c r="O919" s="147"/>
      <c r="P919" s="147"/>
      <c r="Q919" s="203"/>
      <c r="R919" s="236"/>
      <c r="S919" s="236"/>
      <c r="T919" s="215">
        <v>156.0</v>
      </c>
      <c r="U919" s="204"/>
    </row>
    <row r="920" ht="22.5" hidden="1" customHeight="1">
      <c r="A920" s="205"/>
      <c r="B920" s="193" t="s">
        <v>696</v>
      </c>
      <c r="C920" s="238" t="s">
        <v>958</v>
      </c>
      <c r="D920" s="234"/>
      <c r="E920" s="234"/>
      <c r="F920" s="150"/>
      <c r="G920" s="234"/>
      <c r="H920" s="207"/>
      <c r="I920" s="197" t="s">
        <v>928</v>
      </c>
      <c r="J920" s="222">
        <v>69687.5</v>
      </c>
      <c r="K920" s="207"/>
      <c r="L920" s="208"/>
      <c r="M920" s="208"/>
      <c r="N920" s="150"/>
      <c r="O920" s="150"/>
      <c r="P920" s="150"/>
      <c r="Q920" s="209"/>
      <c r="R920" s="234"/>
      <c r="S920" s="234"/>
      <c r="T920" s="150"/>
      <c r="U920" s="198"/>
    </row>
    <row r="921" ht="22.5" hidden="1" customHeight="1">
      <c r="A921" s="199"/>
      <c r="B921" s="146"/>
      <c r="C921" s="200"/>
      <c r="D921" s="200"/>
      <c r="E921" s="200"/>
      <c r="F921" s="147"/>
      <c r="G921" s="186"/>
      <c r="H921" s="201"/>
      <c r="I921" s="201"/>
      <c r="J921" s="201"/>
      <c r="K921" s="201"/>
      <c r="L921" s="202"/>
      <c r="M921" s="202"/>
      <c r="N921" s="147"/>
      <c r="O921" s="147"/>
      <c r="P921" s="147"/>
      <c r="Q921" s="203"/>
      <c r="R921" s="186"/>
      <c r="S921" s="186"/>
      <c r="T921" s="147"/>
      <c r="U921" s="204"/>
    </row>
    <row r="922" ht="22.5" hidden="1" customHeight="1">
      <c r="A922" s="205"/>
      <c r="B922" s="82"/>
      <c r="C922" s="206"/>
      <c r="D922" s="206"/>
      <c r="E922" s="206"/>
      <c r="F922" s="150"/>
      <c r="G922" s="45"/>
      <c r="H922" s="207"/>
      <c r="I922" s="207"/>
      <c r="J922" s="207"/>
      <c r="K922" s="207"/>
      <c r="L922" s="208"/>
      <c r="M922" s="208"/>
      <c r="N922" s="150"/>
      <c r="O922" s="150"/>
      <c r="P922" s="150"/>
      <c r="Q922" s="209"/>
      <c r="R922" s="45"/>
      <c r="S922" s="45"/>
      <c r="T922" s="150"/>
      <c r="U922" s="198"/>
    </row>
    <row r="923" ht="22.5" hidden="1" customHeight="1">
      <c r="A923" s="199"/>
      <c r="B923" s="146"/>
      <c r="C923" s="200"/>
      <c r="D923" s="200"/>
      <c r="E923" s="200"/>
      <c r="F923" s="147"/>
      <c r="G923" s="186"/>
      <c r="H923" s="201"/>
      <c r="I923" s="201"/>
      <c r="J923" s="201"/>
      <c r="K923" s="201"/>
      <c r="L923" s="202"/>
      <c r="M923" s="202"/>
      <c r="N923" s="147"/>
      <c r="O923" s="147"/>
      <c r="P923" s="147"/>
      <c r="Q923" s="203"/>
      <c r="R923" s="186"/>
      <c r="S923" s="186"/>
      <c r="T923" s="147"/>
      <c r="U923" s="204"/>
    </row>
    <row r="924" ht="22.5" hidden="1" customHeight="1">
      <c r="A924" s="205"/>
      <c r="B924" s="82"/>
      <c r="C924" s="206"/>
      <c r="D924" s="206"/>
      <c r="E924" s="206"/>
      <c r="F924" s="150"/>
      <c r="G924" s="45"/>
      <c r="H924" s="207"/>
      <c r="I924" s="207"/>
      <c r="J924" s="207"/>
      <c r="K924" s="207"/>
      <c r="L924" s="208"/>
      <c r="M924" s="208"/>
      <c r="N924" s="150"/>
      <c r="O924" s="150"/>
      <c r="P924" s="150"/>
      <c r="Q924" s="209"/>
      <c r="R924" s="45"/>
      <c r="S924" s="45"/>
      <c r="T924" s="150"/>
      <c r="U924" s="198"/>
    </row>
    <row r="925" ht="22.5" hidden="1" customHeight="1">
      <c r="A925" s="211" t="s">
        <v>181</v>
      </c>
      <c r="B925" s="212" t="s">
        <v>132</v>
      </c>
      <c r="C925" s="212" t="s">
        <v>131</v>
      </c>
      <c r="D925" s="214" t="s">
        <v>870</v>
      </c>
      <c r="E925" s="212" t="s">
        <v>7</v>
      </c>
      <c r="F925" s="228" t="s">
        <v>871</v>
      </c>
      <c r="G925" s="212" t="s">
        <v>872</v>
      </c>
      <c r="H925" s="237" t="s">
        <v>8</v>
      </c>
      <c r="I925" s="237" t="s">
        <v>873</v>
      </c>
      <c r="J925" s="237" t="s">
        <v>17</v>
      </c>
      <c r="K925" s="237" t="s">
        <v>874</v>
      </c>
      <c r="L925" s="218" t="s">
        <v>875</v>
      </c>
      <c r="M925" s="218" t="s">
        <v>876</v>
      </c>
      <c r="N925" s="228" t="s">
        <v>877</v>
      </c>
      <c r="O925" s="228" t="s">
        <v>878</v>
      </c>
      <c r="P925" s="228" t="s">
        <v>879</v>
      </c>
      <c r="Q925" s="218" t="s">
        <v>880</v>
      </c>
      <c r="R925" s="218" t="s">
        <v>881</v>
      </c>
      <c r="S925" s="218" t="s">
        <v>882</v>
      </c>
      <c r="T925" s="228" t="s">
        <v>557</v>
      </c>
      <c r="U925" s="204"/>
    </row>
    <row r="926" ht="22.5" customHeight="1">
      <c r="A926" s="192">
        <v>1.0</v>
      </c>
      <c r="B926" s="193" t="s">
        <v>207</v>
      </c>
      <c r="C926" s="219" t="s">
        <v>684</v>
      </c>
      <c r="D926" s="194" t="s">
        <v>1983</v>
      </c>
      <c r="E926" s="194" t="s">
        <v>17</v>
      </c>
      <c r="F926" s="220">
        <v>5.0</v>
      </c>
      <c r="G926" s="150"/>
      <c r="H926" s="222">
        <v>1350.0</v>
      </c>
      <c r="I926" s="222">
        <v>6750.0</v>
      </c>
      <c r="J926" s="207"/>
      <c r="K926" s="207"/>
      <c r="L926" s="223">
        <v>46070.0</v>
      </c>
      <c r="M926" s="223">
        <v>46098.0</v>
      </c>
      <c r="N926" s="150"/>
      <c r="O926" s="220">
        <v>-1164.0</v>
      </c>
      <c r="P926" s="220">
        <v>1194.0</v>
      </c>
      <c r="Q926" s="209"/>
      <c r="R926" s="196" t="s">
        <v>2056</v>
      </c>
      <c r="S926" s="45"/>
      <c r="T926" s="220">
        <v>117.0</v>
      </c>
      <c r="U926" s="198"/>
    </row>
    <row r="927" ht="22.5" customHeight="1">
      <c r="A927" s="199"/>
      <c r="B927" s="212" t="s">
        <v>257</v>
      </c>
      <c r="C927" s="213" t="s">
        <v>136</v>
      </c>
      <c r="D927" s="214" t="s">
        <v>1760</v>
      </c>
      <c r="E927" s="212" t="s">
        <v>15</v>
      </c>
      <c r="F927" s="215">
        <v>3.0</v>
      </c>
      <c r="G927" s="210"/>
      <c r="H927" s="216">
        <v>100.0</v>
      </c>
      <c r="I927" s="216">
        <v>300.0</v>
      </c>
      <c r="J927" s="216">
        <v>6000.0</v>
      </c>
      <c r="K927" s="216">
        <v>0.0</v>
      </c>
      <c r="L927" s="217">
        <v>46062.0</v>
      </c>
      <c r="M927" s="217">
        <v>46090.0</v>
      </c>
      <c r="N927" s="215">
        <v>1.0</v>
      </c>
      <c r="O927" s="215">
        <v>-1172.0</v>
      </c>
      <c r="P927" s="215">
        <v>1202.0</v>
      </c>
      <c r="Q927" s="203"/>
      <c r="R927" s="218" t="s">
        <v>2057</v>
      </c>
      <c r="S927" s="186"/>
      <c r="T927" s="215">
        <v>118.0</v>
      </c>
      <c r="U927" s="204"/>
    </row>
    <row r="928" ht="22.5" customHeight="1">
      <c r="A928" s="192" t="s">
        <v>1773</v>
      </c>
      <c r="B928" s="193" t="s">
        <v>186</v>
      </c>
      <c r="C928" s="219" t="s">
        <v>684</v>
      </c>
      <c r="D928" s="194" t="s">
        <v>2030</v>
      </c>
      <c r="E928" s="193" t="s">
        <v>187</v>
      </c>
      <c r="F928" s="220">
        <v>2.0</v>
      </c>
      <c r="G928" s="221"/>
      <c r="H928" s="197" t="s">
        <v>2031</v>
      </c>
      <c r="I928" s="222">
        <v>2000.0</v>
      </c>
      <c r="J928" s="207"/>
      <c r="K928" s="207"/>
      <c r="L928" s="223">
        <v>46063.0</v>
      </c>
      <c r="M928" s="223">
        <v>46091.0</v>
      </c>
      <c r="N928" s="150"/>
      <c r="O928" s="220">
        <v>-1171.0</v>
      </c>
      <c r="P928" s="220">
        <v>1201.0</v>
      </c>
      <c r="Q928" s="238">
        <v>46255.0</v>
      </c>
      <c r="R928" s="196" t="s">
        <v>2058</v>
      </c>
      <c r="S928" s="45"/>
      <c r="T928" s="220">
        <v>119.0</v>
      </c>
      <c r="U928" s="198"/>
    </row>
    <row r="929" ht="22.5" customHeight="1">
      <c r="A929" s="199"/>
      <c r="B929" s="212" t="s">
        <v>241</v>
      </c>
      <c r="C929" s="213" t="s">
        <v>136</v>
      </c>
      <c r="D929" s="214" t="s">
        <v>1711</v>
      </c>
      <c r="E929" s="212" t="s">
        <v>15</v>
      </c>
      <c r="F929" s="215">
        <v>1.0</v>
      </c>
      <c r="G929" s="210"/>
      <c r="H929" s="216">
        <v>250.0</v>
      </c>
      <c r="I929" s="216">
        <v>250.0</v>
      </c>
      <c r="J929" s="216">
        <v>5000.0</v>
      </c>
      <c r="K929" s="216">
        <v>0.0</v>
      </c>
      <c r="L929" s="217">
        <v>46063.0</v>
      </c>
      <c r="M929" s="217">
        <v>46091.0</v>
      </c>
      <c r="N929" s="215">
        <v>1.0</v>
      </c>
      <c r="O929" s="215">
        <v>-1171.0</v>
      </c>
      <c r="P929" s="215">
        <v>1201.0</v>
      </c>
      <c r="Q929" s="203"/>
      <c r="R929" s="218" t="s">
        <v>2059</v>
      </c>
      <c r="S929" s="186"/>
      <c r="T929" s="215">
        <v>120.0</v>
      </c>
      <c r="U929" s="204"/>
    </row>
    <row r="930" ht="22.5" customHeight="1">
      <c r="A930" s="192">
        <v>1.0</v>
      </c>
      <c r="B930" s="193" t="s">
        <v>219</v>
      </c>
      <c r="C930" s="226" t="s">
        <v>136</v>
      </c>
      <c r="D930" s="194" t="s">
        <v>1760</v>
      </c>
      <c r="E930" s="193" t="s">
        <v>15</v>
      </c>
      <c r="F930" s="220">
        <v>5.0</v>
      </c>
      <c r="G930" s="150"/>
      <c r="H930" s="222">
        <v>100.0</v>
      </c>
      <c r="I930" s="222">
        <v>250.0</v>
      </c>
      <c r="J930" s="222">
        <v>5000.0</v>
      </c>
      <c r="K930" s="222">
        <v>0.0</v>
      </c>
      <c r="L930" s="223">
        <v>46069.0</v>
      </c>
      <c r="M930" s="223">
        <v>46097.0</v>
      </c>
      <c r="N930" s="220">
        <v>1.0</v>
      </c>
      <c r="O930" s="220">
        <v>-1165.0</v>
      </c>
      <c r="P930" s="220">
        <v>1195.0</v>
      </c>
      <c r="Q930" s="209"/>
      <c r="R930" s="196" t="s">
        <v>2060</v>
      </c>
      <c r="S930" s="45"/>
      <c r="T930" s="220">
        <v>121.0</v>
      </c>
      <c r="U930" s="198"/>
    </row>
    <row r="931" ht="22.5" customHeight="1">
      <c r="A931" s="199"/>
      <c r="B931" s="212" t="s">
        <v>245</v>
      </c>
      <c r="C931" s="213" t="s">
        <v>136</v>
      </c>
      <c r="D931" s="214" t="s">
        <v>1472</v>
      </c>
      <c r="E931" s="212" t="s">
        <v>15</v>
      </c>
      <c r="F931" s="215">
        <v>1.0</v>
      </c>
      <c r="G931" s="210"/>
      <c r="H931" s="216">
        <v>130.0</v>
      </c>
      <c r="I931" s="216">
        <v>130.0</v>
      </c>
      <c r="J931" s="216">
        <v>2600.0</v>
      </c>
      <c r="K931" s="216">
        <v>0.0</v>
      </c>
      <c r="L931" s="217">
        <v>46056.0</v>
      </c>
      <c r="M931" s="217">
        <v>46084.0</v>
      </c>
      <c r="N931" s="215">
        <v>1.0</v>
      </c>
      <c r="O931" s="215">
        <v>-1178.0</v>
      </c>
      <c r="P931" s="215">
        <v>1208.0</v>
      </c>
      <c r="Q931" s="203"/>
      <c r="R931" s="218" t="s">
        <v>2061</v>
      </c>
      <c r="S931" s="186"/>
      <c r="T931" s="215">
        <v>122.0</v>
      </c>
      <c r="U931" s="204"/>
    </row>
    <row r="932" ht="22.5" customHeight="1">
      <c r="A932" s="205"/>
      <c r="B932" s="193" t="s">
        <v>239</v>
      </c>
      <c r="C932" s="226" t="s">
        <v>136</v>
      </c>
      <c r="D932" s="194" t="s">
        <v>1472</v>
      </c>
      <c r="E932" s="193" t="s">
        <v>15</v>
      </c>
      <c r="F932" s="220">
        <v>1.0</v>
      </c>
      <c r="G932" s="221"/>
      <c r="H932" s="222">
        <v>150.0</v>
      </c>
      <c r="I932" s="222">
        <v>75.0</v>
      </c>
      <c r="J932" s="222">
        <v>1500.0</v>
      </c>
      <c r="K932" s="222">
        <v>0.0</v>
      </c>
      <c r="L932" s="223">
        <v>46056.0</v>
      </c>
      <c r="M932" s="223">
        <v>46084.0</v>
      </c>
      <c r="N932" s="220">
        <v>1.0</v>
      </c>
      <c r="O932" s="220">
        <v>-1178.0</v>
      </c>
      <c r="P932" s="220">
        <v>1208.0</v>
      </c>
      <c r="Q932" s="209"/>
      <c r="R932" s="196" t="s">
        <v>2062</v>
      </c>
      <c r="S932" s="45"/>
      <c r="T932" s="220">
        <v>123.0</v>
      </c>
      <c r="U932" s="198"/>
    </row>
    <row r="933" ht="22.5" customHeight="1">
      <c r="A933" s="211">
        <v>1.0</v>
      </c>
      <c r="B933" s="212" t="s">
        <v>217</v>
      </c>
      <c r="C933" s="213" t="s">
        <v>136</v>
      </c>
      <c r="D933" s="214" t="s">
        <v>1760</v>
      </c>
      <c r="E933" s="212" t="s">
        <v>15</v>
      </c>
      <c r="F933" s="215">
        <v>5.0</v>
      </c>
      <c r="G933" s="147"/>
      <c r="H933" s="216">
        <v>100.0</v>
      </c>
      <c r="I933" s="216">
        <v>500.0</v>
      </c>
      <c r="J933" s="216">
        <v>10000.0</v>
      </c>
      <c r="K933" s="216">
        <v>0.0</v>
      </c>
      <c r="L933" s="217">
        <v>46062.0</v>
      </c>
      <c r="M933" s="217">
        <v>46090.0</v>
      </c>
      <c r="N933" s="215">
        <v>1.0</v>
      </c>
      <c r="O933" s="215">
        <v>-1172.0</v>
      </c>
      <c r="P933" s="215">
        <v>1202.0</v>
      </c>
      <c r="Q933" s="203"/>
      <c r="R933" s="218" t="s">
        <v>2063</v>
      </c>
      <c r="S933" s="186"/>
      <c r="T933" s="215">
        <v>124.0</v>
      </c>
      <c r="U933" s="204"/>
    </row>
    <row r="934" ht="22.5" customHeight="1">
      <c r="A934" s="192">
        <v>1.0</v>
      </c>
      <c r="B934" s="193" t="s">
        <v>223</v>
      </c>
      <c r="C934" s="226" t="s">
        <v>136</v>
      </c>
      <c r="D934" s="194" t="s">
        <v>1760</v>
      </c>
      <c r="E934" s="193" t="s">
        <v>15</v>
      </c>
      <c r="F934" s="220">
        <v>5.0</v>
      </c>
      <c r="G934" s="221"/>
      <c r="H934" s="222">
        <v>100.0</v>
      </c>
      <c r="I934" s="222">
        <v>500.0</v>
      </c>
      <c r="J934" s="222">
        <v>10000.0</v>
      </c>
      <c r="K934" s="222">
        <v>10000.0</v>
      </c>
      <c r="L934" s="223">
        <v>46077.0</v>
      </c>
      <c r="M934" s="223">
        <v>46105.0</v>
      </c>
      <c r="N934" s="220">
        <v>0.0</v>
      </c>
      <c r="O934" s="220">
        <v>-1157.0</v>
      </c>
      <c r="P934" s="220">
        <v>1187.0</v>
      </c>
      <c r="Q934" s="238">
        <v>46255.0</v>
      </c>
      <c r="R934" s="196" t="s">
        <v>2064</v>
      </c>
      <c r="S934" s="45"/>
      <c r="T934" s="220">
        <v>125.0</v>
      </c>
      <c r="U934" s="198"/>
    </row>
    <row r="935" ht="22.5" customHeight="1">
      <c r="A935" s="199"/>
      <c r="B935" s="212" t="s">
        <v>259</v>
      </c>
      <c r="C935" s="213" t="s">
        <v>136</v>
      </c>
      <c r="D935" s="214" t="s">
        <v>1760</v>
      </c>
      <c r="E935" s="212" t="s">
        <v>15</v>
      </c>
      <c r="F935" s="215">
        <v>5.0</v>
      </c>
      <c r="G935" s="210"/>
      <c r="H935" s="216">
        <v>100.0</v>
      </c>
      <c r="I935" s="216">
        <v>500.0</v>
      </c>
      <c r="J935" s="216">
        <v>10000.0</v>
      </c>
      <c r="K935" s="216">
        <v>0.0</v>
      </c>
      <c r="L935" s="217">
        <v>46062.0</v>
      </c>
      <c r="M935" s="217">
        <v>46090.0</v>
      </c>
      <c r="N935" s="215">
        <v>1.0</v>
      </c>
      <c r="O935" s="215">
        <v>-1172.0</v>
      </c>
      <c r="P935" s="215">
        <v>1202.0</v>
      </c>
      <c r="Q935" s="203"/>
      <c r="R935" s="218" t="s">
        <v>2065</v>
      </c>
      <c r="S935" s="186"/>
      <c r="T935" s="215">
        <v>126.0</v>
      </c>
      <c r="U935" s="204"/>
    </row>
    <row r="936" ht="22.5" customHeight="1">
      <c r="A936" s="192">
        <v>1.0</v>
      </c>
      <c r="B936" s="193" t="s">
        <v>221</v>
      </c>
      <c r="C936" s="226" t="s">
        <v>136</v>
      </c>
      <c r="D936" s="194" t="s">
        <v>1760</v>
      </c>
      <c r="E936" s="193" t="s">
        <v>15</v>
      </c>
      <c r="F936" s="220">
        <v>5.0</v>
      </c>
      <c r="G936" s="150"/>
      <c r="H936" s="222">
        <v>100.0</v>
      </c>
      <c r="I936" s="222">
        <v>500.0</v>
      </c>
      <c r="J936" s="222">
        <v>10000.0</v>
      </c>
      <c r="K936" s="222">
        <v>0.0</v>
      </c>
      <c r="L936" s="223">
        <v>46078.0</v>
      </c>
      <c r="M936" s="223">
        <v>46106.0</v>
      </c>
      <c r="N936" s="220">
        <v>1.0</v>
      </c>
      <c r="O936" s="220">
        <v>-1156.0</v>
      </c>
      <c r="P936" s="220">
        <v>1186.0</v>
      </c>
      <c r="Q936" s="238">
        <v>46255.0</v>
      </c>
      <c r="R936" s="196" t="s">
        <v>2066</v>
      </c>
      <c r="S936" s="45"/>
      <c r="T936" s="220">
        <v>127.0</v>
      </c>
      <c r="U936" s="198"/>
    </row>
    <row r="937" ht="22.5" customHeight="1">
      <c r="A937" s="211">
        <v>1.0</v>
      </c>
      <c r="B937" s="212" t="s">
        <v>194</v>
      </c>
      <c r="C937" s="231" t="s">
        <v>684</v>
      </c>
      <c r="D937" s="214" t="s">
        <v>1760</v>
      </c>
      <c r="E937" s="212" t="s">
        <v>15</v>
      </c>
      <c r="F937" s="215">
        <v>3.0</v>
      </c>
      <c r="G937" s="147"/>
      <c r="H937" s="216">
        <v>100.0</v>
      </c>
      <c r="I937" s="216">
        <v>300.0</v>
      </c>
      <c r="J937" s="201"/>
      <c r="K937" s="201"/>
      <c r="L937" s="217">
        <v>46075.0</v>
      </c>
      <c r="M937" s="217">
        <v>46103.0</v>
      </c>
      <c r="N937" s="147"/>
      <c r="O937" s="215">
        <v>-1159.0</v>
      </c>
      <c r="P937" s="215">
        <v>1189.0</v>
      </c>
      <c r="Q937" s="203"/>
      <c r="R937" s="218" t="s">
        <v>2067</v>
      </c>
      <c r="S937" s="186"/>
      <c r="T937" s="215">
        <v>128.0</v>
      </c>
      <c r="U937" s="204"/>
    </row>
    <row r="938" ht="22.5" customHeight="1">
      <c r="A938" s="205"/>
      <c r="B938" s="193" t="s">
        <v>229</v>
      </c>
      <c r="C938" s="226" t="s">
        <v>136</v>
      </c>
      <c r="D938" s="194" t="s">
        <v>1760</v>
      </c>
      <c r="E938" s="193" t="s">
        <v>15</v>
      </c>
      <c r="F938" s="220">
        <v>5.0</v>
      </c>
      <c r="G938" s="221"/>
      <c r="H938" s="222">
        <v>100.0</v>
      </c>
      <c r="I938" s="222">
        <v>500.0</v>
      </c>
      <c r="J938" s="222">
        <v>10000.0</v>
      </c>
      <c r="K938" s="197" t="s">
        <v>1909</v>
      </c>
      <c r="L938" s="223">
        <v>46081.0</v>
      </c>
      <c r="M938" s="223">
        <v>46109.0</v>
      </c>
      <c r="N938" s="220">
        <v>0.0</v>
      </c>
      <c r="O938" s="220">
        <v>-1153.0</v>
      </c>
      <c r="P938" s="220">
        <v>1183.0</v>
      </c>
      <c r="Q938" s="209"/>
      <c r="R938" s="196" t="s">
        <v>2068</v>
      </c>
      <c r="S938" s="45"/>
      <c r="T938" s="220">
        <v>129.0</v>
      </c>
      <c r="U938" s="198"/>
    </row>
    <row r="939" ht="22.5" customHeight="1">
      <c r="A939" s="199"/>
      <c r="B939" s="212" t="s">
        <v>231</v>
      </c>
      <c r="C939" s="213" t="s">
        <v>136</v>
      </c>
      <c r="D939" s="214" t="s">
        <v>1782</v>
      </c>
      <c r="E939" s="212" t="s">
        <v>15</v>
      </c>
      <c r="F939" s="215">
        <v>3.0</v>
      </c>
      <c r="G939" s="210"/>
      <c r="H939" s="216">
        <v>100.0</v>
      </c>
      <c r="I939" s="216">
        <v>300.0</v>
      </c>
      <c r="J939" s="216">
        <v>6000.0</v>
      </c>
      <c r="K939" s="216">
        <v>0.0</v>
      </c>
      <c r="L939" s="217">
        <v>46057.0</v>
      </c>
      <c r="M939" s="217">
        <v>46085.0</v>
      </c>
      <c r="N939" s="215">
        <v>1.0</v>
      </c>
      <c r="O939" s="215">
        <v>-1177.0</v>
      </c>
      <c r="P939" s="215">
        <v>1207.0</v>
      </c>
      <c r="Q939" s="203"/>
      <c r="R939" s="218" t="s">
        <v>2069</v>
      </c>
      <c r="S939" s="186"/>
      <c r="T939" s="215">
        <v>130.0</v>
      </c>
      <c r="U939" s="204"/>
    </row>
    <row r="940" ht="22.5" customHeight="1">
      <c r="A940" s="205"/>
      <c r="B940" s="193" t="s">
        <v>243</v>
      </c>
      <c r="C940" s="226" t="s">
        <v>136</v>
      </c>
      <c r="D940" s="194" t="s">
        <v>1782</v>
      </c>
      <c r="E940" s="193" t="s">
        <v>15</v>
      </c>
      <c r="F940" s="220">
        <v>3.0</v>
      </c>
      <c r="G940" s="221"/>
      <c r="H940" s="222">
        <v>130.0</v>
      </c>
      <c r="I940" s="222">
        <v>390.0</v>
      </c>
      <c r="J940" s="222">
        <v>7800.0</v>
      </c>
      <c r="K940" s="222">
        <v>0.0</v>
      </c>
      <c r="L940" s="223">
        <v>46069.0</v>
      </c>
      <c r="M940" s="223">
        <v>46097.0</v>
      </c>
      <c r="N940" s="220">
        <v>1.0</v>
      </c>
      <c r="O940" s="220">
        <v>-1165.0</v>
      </c>
      <c r="P940" s="220">
        <v>1195.0</v>
      </c>
      <c r="Q940" s="209"/>
      <c r="R940" s="196" t="s">
        <v>2070</v>
      </c>
      <c r="S940" s="45"/>
      <c r="T940" s="220">
        <v>131.0</v>
      </c>
      <c r="U940" s="198"/>
    </row>
    <row r="941" ht="22.5" customHeight="1">
      <c r="A941" s="199"/>
      <c r="B941" s="212" t="s">
        <v>249</v>
      </c>
      <c r="C941" s="213" t="s">
        <v>136</v>
      </c>
      <c r="D941" s="214" t="s">
        <v>1991</v>
      </c>
      <c r="E941" s="212" t="s">
        <v>15</v>
      </c>
      <c r="F941" s="215">
        <v>1.0</v>
      </c>
      <c r="G941" s="210"/>
      <c r="H941" s="216">
        <v>130.0</v>
      </c>
      <c r="I941" s="216">
        <v>130.0</v>
      </c>
      <c r="J941" s="216">
        <v>2600.0</v>
      </c>
      <c r="K941" s="216">
        <v>0.0</v>
      </c>
      <c r="L941" s="217">
        <v>46056.0</v>
      </c>
      <c r="M941" s="217">
        <v>46084.0</v>
      </c>
      <c r="N941" s="215">
        <v>1.0</v>
      </c>
      <c r="O941" s="215">
        <v>-1178.0</v>
      </c>
      <c r="P941" s="215">
        <v>1208.0</v>
      </c>
      <c r="Q941" s="203"/>
      <c r="R941" s="218" t="s">
        <v>2071</v>
      </c>
      <c r="S941" s="186"/>
      <c r="T941" s="215">
        <v>132.0</v>
      </c>
      <c r="U941" s="204"/>
    </row>
    <row r="942" ht="22.5" customHeight="1">
      <c r="A942" s="192">
        <v>1.0</v>
      </c>
      <c r="B942" s="193" t="s">
        <v>215</v>
      </c>
      <c r="C942" s="226" t="s">
        <v>136</v>
      </c>
      <c r="D942" s="194" t="s">
        <v>1760</v>
      </c>
      <c r="E942" s="193" t="s">
        <v>15</v>
      </c>
      <c r="F942" s="220">
        <v>5.0</v>
      </c>
      <c r="G942" s="150"/>
      <c r="H942" s="222">
        <v>120.0</v>
      </c>
      <c r="I942" s="222">
        <v>500.0</v>
      </c>
      <c r="J942" s="222">
        <v>10000.0</v>
      </c>
      <c r="K942" s="222">
        <v>0.0</v>
      </c>
      <c r="L942" s="223">
        <v>46062.0</v>
      </c>
      <c r="M942" s="223">
        <v>46090.0</v>
      </c>
      <c r="N942" s="220">
        <v>1.0</v>
      </c>
      <c r="O942" s="220">
        <v>-1172.0</v>
      </c>
      <c r="P942" s="220">
        <v>1202.0</v>
      </c>
      <c r="Q942" s="209"/>
      <c r="R942" s="196" t="s">
        <v>2072</v>
      </c>
      <c r="S942" s="45"/>
      <c r="T942" s="220">
        <v>133.0</v>
      </c>
      <c r="U942" s="198"/>
    </row>
    <row r="943" ht="22.5" customHeight="1">
      <c r="A943" s="199"/>
      <c r="B943" s="212" t="s">
        <v>227</v>
      </c>
      <c r="C943" s="213" t="s">
        <v>136</v>
      </c>
      <c r="D943" s="214" t="s">
        <v>1472</v>
      </c>
      <c r="E943" s="212" t="s">
        <v>15</v>
      </c>
      <c r="F943" s="215">
        <v>6.0</v>
      </c>
      <c r="G943" s="210"/>
      <c r="H943" s="216">
        <v>100.0</v>
      </c>
      <c r="I943" s="216">
        <v>550.0</v>
      </c>
      <c r="J943" s="216">
        <v>11000.0</v>
      </c>
      <c r="K943" s="216">
        <v>0.0</v>
      </c>
      <c r="L943" s="217">
        <v>46083.0</v>
      </c>
      <c r="M943" s="217">
        <v>46114.0</v>
      </c>
      <c r="N943" s="215">
        <v>1.0</v>
      </c>
      <c r="O943" s="215">
        <v>-1148.0</v>
      </c>
      <c r="P943" s="215">
        <v>1178.0</v>
      </c>
      <c r="Q943" s="203"/>
      <c r="R943" s="218" t="s">
        <v>2073</v>
      </c>
      <c r="S943" s="186"/>
      <c r="T943" s="215">
        <v>134.0</v>
      </c>
      <c r="U943" s="204"/>
    </row>
    <row r="944" ht="22.5" customHeight="1">
      <c r="A944" s="192">
        <v>1.0</v>
      </c>
      <c r="B944" s="193" t="s">
        <v>142</v>
      </c>
      <c r="C944" s="226" t="s">
        <v>136</v>
      </c>
      <c r="D944" s="194" t="s">
        <v>1782</v>
      </c>
      <c r="E944" s="193" t="s">
        <v>15</v>
      </c>
      <c r="F944" s="220">
        <v>3.0</v>
      </c>
      <c r="G944" s="150"/>
      <c r="H944" s="222">
        <v>120.0</v>
      </c>
      <c r="I944" s="222">
        <v>300.0</v>
      </c>
      <c r="J944" s="222">
        <v>6000.0</v>
      </c>
      <c r="K944" s="222">
        <v>0.0</v>
      </c>
      <c r="L944" s="223">
        <v>46055.0</v>
      </c>
      <c r="M944" s="223">
        <v>46083.0</v>
      </c>
      <c r="N944" s="220">
        <v>1.0</v>
      </c>
      <c r="O944" s="220">
        <v>-1179.0</v>
      </c>
      <c r="P944" s="220">
        <v>1209.0</v>
      </c>
      <c r="Q944" s="209"/>
      <c r="R944" s="196" t="s">
        <v>2074</v>
      </c>
      <c r="S944" s="45"/>
      <c r="T944" s="220">
        <v>135.0</v>
      </c>
      <c r="U944" s="198"/>
    </row>
    <row r="945" ht="22.5" hidden="1" customHeight="1">
      <c r="A945" s="199"/>
      <c r="B945" s="212" t="s">
        <v>923</v>
      </c>
      <c r="C945" s="240" t="s">
        <v>589</v>
      </c>
      <c r="D945" s="236"/>
      <c r="E945" s="203"/>
      <c r="F945" s="147"/>
      <c r="G945" s="186"/>
      <c r="H945" s="201"/>
      <c r="I945" s="237" t="s">
        <v>924</v>
      </c>
      <c r="J945" s="216">
        <v>113500.0</v>
      </c>
      <c r="K945" s="216">
        <v>10000.0</v>
      </c>
      <c r="L945" s="202"/>
      <c r="M945" s="202"/>
      <c r="N945" s="147"/>
      <c r="O945" s="147"/>
      <c r="P945" s="147"/>
      <c r="Q945" s="203"/>
      <c r="R945" s="186"/>
      <c r="S945" s="186"/>
      <c r="T945" s="147"/>
      <c r="U945" s="204"/>
    </row>
    <row r="946" ht="22.5" hidden="1" customHeight="1">
      <c r="A946" s="205"/>
      <c r="B946" s="193" t="s">
        <v>558</v>
      </c>
      <c r="C946" s="241" t="s">
        <v>572</v>
      </c>
      <c r="D946" s="234"/>
      <c r="E946" s="234"/>
      <c r="F946" s="150"/>
      <c r="G946" s="234"/>
      <c r="H946" s="207"/>
      <c r="I946" s="197" t="s">
        <v>925</v>
      </c>
      <c r="J946" s="222">
        <v>120000.0</v>
      </c>
      <c r="K946" s="207"/>
      <c r="L946" s="208"/>
      <c r="M946" s="196" t="s">
        <v>926</v>
      </c>
      <c r="N946" s="150"/>
      <c r="O946" s="150"/>
      <c r="P946" s="150"/>
      <c r="Q946" s="209"/>
      <c r="R946" s="234"/>
      <c r="S946" s="234"/>
      <c r="T946" s="220">
        <v>135.0</v>
      </c>
      <c r="U946" s="198"/>
    </row>
    <row r="947" ht="22.5" hidden="1" customHeight="1">
      <c r="A947" s="199"/>
      <c r="B947" s="212" t="s">
        <v>696</v>
      </c>
      <c r="C947" s="232" t="s">
        <v>989</v>
      </c>
      <c r="D947" s="236"/>
      <c r="E947" s="236"/>
      <c r="F947" s="147"/>
      <c r="G947" s="236"/>
      <c r="H947" s="201"/>
      <c r="I947" s="237" t="s">
        <v>928</v>
      </c>
      <c r="J947" s="216">
        <v>63687.5</v>
      </c>
      <c r="K947" s="201"/>
      <c r="L947" s="202"/>
      <c r="M947" s="202"/>
      <c r="N947" s="147"/>
      <c r="O947" s="147"/>
      <c r="P947" s="147"/>
      <c r="Q947" s="203"/>
      <c r="R947" s="236"/>
      <c r="S947" s="236"/>
      <c r="T947" s="147"/>
      <c r="U947" s="204"/>
    </row>
    <row r="948" ht="22.5" hidden="1" customHeight="1">
      <c r="A948" s="205"/>
      <c r="B948" s="82"/>
      <c r="C948" s="206"/>
      <c r="D948" s="206"/>
      <c r="E948" s="206"/>
      <c r="F948" s="150"/>
      <c r="G948" s="45"/>
      <c r="H948" s="207"/>
      <c r="I948" s="207"/>
      <c r="J948" s="207"/>
      <c r="K948" s="207"/>
      <c r="L948" s="208"/>
      <c r="M948" s="208"/>
      <c r="N948" s="150"/>
      <c r="O948" s="150"/>
      <c r="P948" s="150"/>
      <c r="Q948" s="209"/>
      <c r="R948" s="45"/>
      <c r="S948" s="45"/>
      <c r="T948" s="150"/>
      <c r="U948" s="198"/>
    </row>
    <row r="949" ht="22.5" hidden="1" customHeight="1">
      <c r="A949" s="199"/>
      <c r="B949" s="146"/>
      <c r="C949" s="200"/>
      <c r="D949" s="200"/>
      <c r="E949" s="200"/>
      <c r="F949" s="147"/>
      <c r="G949" s="186"/>
      <c r="H949" s="201"/>
      <c r="I949" s="201"/>
      <c r="J949" s="201"/>
      <c r="K949" s="201"/>
      <c r="L949" s="202"/>
      <c r="M949" s="202"/>
      <c r="N949" s="147"/>
      <c r="O949" s="147"/>
      <c r="P949" s="147"/>
      <c r="Q949" s="203"/>
      <c r="R949" s="186"/>
      <c r="S949" s="186"/>
      <c r="T949" s="147"/>
      <c r="U949" s="204"/>
    </row>
    <row r="950" ht="22.5" hidden="1" customHeight="1">
      <c r="A950" s="205"/>
      <c r="B950" s="82"/>
      <c r="C950" s="206"/>
      <c r="D950" s="206"/>
      <c r="E950" s="206"/>
      <c r="F950" s="150"/>
      <c r="G950" s="45"/>
      <c r="H950" s="207"/>
      <c r="I950" s="207"/>
      <c r="J950" s="207"/>
      <c r="K950" s="207"/>
      <c r="L950" s="208"/>
      <c r="M950" s="208"/>
      <c r="N950" s="150"/>
      <c r="O950" s="150"/>
      <c r="P950" s="150"/>
      <c r="Q950" s="209"/>
      <c r="R950" s="45"/>
      <c r="S950" s="45"/>
      <c r="T950" s="150"/>
      <c r="U950" s="198"/>
    </row>
    <row r="951" ht="22.5" hidden="1" customHeight="1">
      <c r="A951" s="199"/>
      <c r="B951" s="146"/>
      <c r="C951" s="200"/>
      <c r="D951" s="200"/>
      <c r="E951" s="200"/>
      <c r="F951" s="147"/>
      <c r="G951" s="186"/>
      <c r="H951" s="201"/>
      <c r="I951" s="201"/>
      <c r="J951" s="201"/>
      <c r="K951" s="201"/>
      <c r="L951" s="202"/>
      <c r="M951" s="202"/>
      <c r="N951" s="147"/>
      <c r="O951" s="147"/>
      <c r="P951" s="147"/>
      <c r="Q951" s="203"/>
      <c r="R951" s="186"/>
      <c r="S951" s="186"/>
      <c r="T951" s="147"/>
      <c r="U951" s="204"/>
    </row>
    <row r="952" ht="22.5" hidden="1" customHeight="1">
      <c r="A952" s="192" t="s">
        <v>181</v>
      </c>
      <c r="B952" s="193" t="s">
        <v>132</v>
      </c>
      <c r="C952" s="193" t="s">
        <v>131</v>
      </c>
      <c r="D952" s="194" t="s">
        <v>870</v>
      </c>
      <c r="E952" s="193" t="s">
        <v>7</v>
      </c>
      <c r="F952" s="195" t="s">
        <v>871</v>
      </c>
      <c r="G952" s="193" t="s">
        <v>872</v>
      </c>
      <c r="H952" s="197" t="s">
        <v>8</v>
      </c>
      <c r="I952" s="197" t="s">
        <v>873</v>
      </c>
      <c r="J952" s="197" t="s">
        <v>17</v>
      </c>
      <c r="K952" s="197" t="s">
        <v>874</v>
      </c>
      <c r="L952" s="196" t="s">
        <v>875</v>
      </c>
      <c r="M952" s="196" t="s">
        <v>876</v>
      </c>
      <c r="N952" s="195" t="s">
        <v>877</v>
      </c>
      <c r="O952" s="195" t="s">
        <v>878</v>
      </c>
      <c r="P952" s="195" t="s">
        <v>879</v>
      </c>
      <c r="Q952" s="196" t="s">
        <v>880</v>
      </c>
      <c r="R952" s="196" t="s">
        <v>881</v>
      </c>
      <c r="S952" s="196" t="s">
        <v>882</v>
      </c>
      <c r="T952" s="195" t="s">
        <v>557</v>
      </c>
      <c r="U952" s="198"/>
    </row>
    <row r="953" ht="22.5" customHeight="1">
      <c r="A953" s="251">
        <v>46023.0</v>
      </c>
      <c r="B953" s="212" t="s">
        <v>225</v>
      </c>
      <c r="C953" s="213" t="s">
        <v>136</v>
      </c>
      <c r="D953" s="214" t="s">
        <v>886</v>
      </c>
      <c r="E953" s="214" t="s">
        <v>17</v>
      </c>
      <c r="F953" s="215">
        <v>3.0</v>
      </c>
      <c r="G953" s="210"/>
      <c r="H953" s="216">
        <v>10000.0</v>
      </c>
      <c r="I953" s="216">
        <v>9000.0</v>
      </c>
      <c r="J953" s="216">
        <v>9000.0</v>
      </c>
      <c r="K953" s="216">
        <v>0.0</v>
      </c>
      <c r="L953" s="217">
        <v>46031.0</v>
      </c>
      <c r="M953" s="217">
        <v>46062.0</v>
      </c>
      <c r="N953" s="215">
        <v>1.0</v>
      </c>
      <c r="O953" s="215">
        <v>-1200.0</v>
      </c>
      <c r="P953" s="215">
        <v>1230.0</v>
      </c>
      <c r="Q953" s="203"/>
      <c r="R953" s="218" t="s">
        <v>2075</v>
      </c>
      <c r="S953" s="186"/>
      <c r="T953" s="215">
        <v>92.0</v>
      </c>
      <c r="U953" s="204"/>
    </row>
    <row r="954" ht="22.5" customHeight="1">
      <c r="A954" s="252">
        <v>46023.0</v>
      </c>
      <c r="B954" s="193" t="s">
        <v>207</v>
      </c>
      <c r="C954" s="226" t="s">
        <v>136</v>
      </c>
      <c r="D954" s="194" t="s">
        <v>1983</v>
      </c>
      <c r="E954" s="194" t="s">
        <v>17</v>
      </c>
      <c r="F954" s="220">
        <v>6.0</v>
      </c>
      <c r="G954" s="150"/>
      <c r="H954" s="222">
        <v>1350.0</v>
      </c>
      <c r="I954" s="222">
        <v>6750.0</v>
      </c>
      <c r="J954" s="222">
        <v>6750.0</v>
      </c>
      <c r="K954" s="222">
        <v>0.0</v>
      </c>
      <c r="L954" s="223">
        <v>46039.0</v>
      </c>
      <c r="M954" s="223">
        <v>46070.0</v>
      </c>
      <c r="N954" s="220">
        <v>1.0</v>
      </c>
      <c r="O954" s="220">
        <v>-1192.0</v>
      </c>
      <c r="P954" s="220">
        <v>1222.0</v>
      </c>
      <c r="Q954" s="209"/>
      <c r="R954" s="196" t="s">
        <v>2076</v>
      </c>
      <c r="S954" s="45"/>
      <c r="T954" s="220">
        <v>93.0</v>
      </c>
      <c r="U954" s="198"/>
    </row>
    <row r="955" ht="22.5" customHeight="1">
      <c r="A955" s="251">
        <v>46023.0</v>
      </c>
      <c r="B955" s="212" t="s">
        <v>201</v>
      </c>
      <c r="C955" s="231" t="s">
        <v>684</v>
      </c>
      <c r="D955" s="214" t="s">
        <v>2077</v>
      </c>
      <c r="E955" s="212" t="s">
        <v>17</v>
      </c>
      <c r="F955" s="215">
        <v>4.0</v>
      </c>
      <c r="G955" s="147"/>
      <c r="H955" s="216">
        <v>2000.0</v>
      </c>
      <c r="I955" s="216">
        <v>8000.0</v>
      </c>
      <c r="J955" s="201"/>
      <c r="K955" s="201"/>
      <c r="L955" s="217">
        <v>46031.0</v>
      </c>
      <c r="M955" s="217">
        <v>46062.0</v>
      </c>
      <c r="N955" s="147"/>
      <c r="O955" s="215">
        <v>-1200.0</v>
      </c>
      <c r="P955" s="215">
        <v>1230.0</v>
      </c>
      <c r="Q955" s="203"/>
      <c r="R955" s="218" t="s">
        <v>2078</v>
      </c>
      <c r="S955" s="186"/>
      <c r="T955" s="215">
        <v>94.0</v>
      </c>
      <c r="U955" s="204"/>
    </row>
    <row r="956" ht="22.5" customHeight="1">
      <c r="A956" s="205"/>
      <c r="B956" s="193" t="s">
        <v>257</v>
      </c>
      <c r="C956" s="226" t="s">
        <v>136</v>
      </c>
      <c r="D956" s="194" t="s">
        <v>1472</v>
      </c>
      <c r="E956" s="193" t="s">
        <v>15</v>
      </c>
      <c r="F956" s="220">
        <v>1.0</v>
      </c>
      <c r="G956" s="230">
        <v>0.33</v>
      </c>
      <c r="H956" s="222">
        <v>100.0</v>
      </c>
      <c r="I956" s="222">
        <v>300.0</v>
      </c>
      <c r="J956" s="222">
        <v>6000.0</v>
      </c>
      <c r="K956" s="222">
        <v>0.0</v>
      </c>
      <c r="L956" s="223">
        <v>46031.0</v>
      </c>
      <c r="M956" s="223">
        <v>46062.0</v>
      </c>
      <c r="N956" s="220">
        <v>1.0</v>
      </c>
      <c r="O956" s="220">
        <v>-1200.0</v>
      </c>
      <c r="P956" s="220">
        <v>1230.0</v>
      </c>
      <c r="Q956" s="209"/>
      <c r="R956" s="196" t="s">
        <v>2079</v>
      </c>
      <c r="S956" s="45"/>
      <c r="T956" s="220">
        <v>95.0</v>
      </c>
      <c r="U956" s="198"/>
    </row>
    <row r="957" ht="22.5" customHeight="1">
      <c r="A957" s="211" t="s">
        <v>1773</v>
      </c>
      <c r="B957" s="212" t="s">
        <v>186</v>
      </c>
      <c r="C957" s="213" t="s">
        <v>136</v>
      </c>
      <c r="D957" s="214" t="s">
        <v>2030</v>
      </c>
      <c r="E957" s="212" t="s">
        <v>187</v>
      </c>
      <c r="F957" s="215">
        <v>4.0</v>
      </c>
      <c r="G957" s="210"/>
      <c r="H957" s="237" t="s">
        <v>2031</v>
      </c>
      <c r="I957" s="216">
        <v>2000.0</v>
      </c>
      <c r="J957" s="216">
        <v>10600.0</v>
      </c>
      <c r="K957" s="201"/>
      <c r="L957" s="217">
        <v>46032.0</v>
      </c>
      <c r="M957" s="217">
        <v>46063.0</v>
      </c>
      <c r="N957" s="147"/>
      <c r="O957" s="215">
        <v>-1199.0</v>
      </c>
      <c r="P957" s="215">
        <v>1229.0</v>
      </c>
      <c r="Q957" s="232">
        <v>46255.0</v>
      </c>
      <c r="R957" s="218" t="s">
        <v>2080</v>
      </c>
      <c r="S957" s="186"/>
      <c r="T957" s="215">
        <v>96.0</v>
      </c>
      <c r="U957" s="204"/>
    </row>
    <row r="958" ht="22.5" customHeight="1">
      <c r="A958" s="205"/>
      <c r="B958" s="193" t="s">
        <v>241</v>
      </c>
      <c r="C958" s="226" t="s">
        <v>136</v>
      </c>
      <c r="D958" s="194" t="s">
        <v>1711</v>
      </c>
      <c r="E958" s="193" t="s">
        <v>15</v>
      </c>
      <c r="F958" s="220">
        <v>1.0</v>
      </c>
      <c r="G958" s="221"/>
      <c r="H958" s="222">
        <v>250.0</v>
      </c>
      <c r="I958" s="222">
        <v>250.0</v>
      </c>
      <c r="J958" s="222">
        <v>5000.0</v>
      </c>
      <c r="K958" s="222">
        <v>0.0</v>
      </c>
      <c r="L958" s="223">
        <v>46032.0</v>
      </c>
      <c r="M958" s="223">
        <v>46063.0</v>
      </c>
      <c r="N958" s="220">
        <v>1.0</v>
      </c>
      <c r="O958" s="220">
        <v>-1199.0</v>
      </c>
      <c r="P958" s="220">
        <v>1229.0</v>
      </c>
      <c r="Q958" s="209"/>
      <c r="R958" s="196" t="s">
        <v>2081</v>
      </c>
      <c r="S958" s="45"/>
      <c r="T958" s="220">
        <v>97.0</v>
      </c>
      <c r="U958" s="198"/>
    </row>
    <row r="959" ht="22.5" customHeight="1">
      <c r="A959" s="211">
        <v>1.0</v>
      </c>
      <c r="B959" s="212" t="s">
        <v>219</v>
      </c>
      <c r="C959" s="213" t="s">
        <v>136</v>
      </c>
      <c r="D959" s="214" t="s">
        <v>1760</v>
      </c>
      <c r="E959" s="212" t="s">
        <v>15</v>
      </c>
      <c r="F959" s="215">
        <v>5.0</v>
      </c>
      <c r="G959" s="147"/>
      <c r="H959" s="216">
        <v>100.0</v>
      </c>
      <c r="I959" s="216">
        <v>250.0</v>
      </c>
      <c r="J959" s="216">
        <v>5000.0</v>
      </c>
      <c r="K959" s="216">
        <v>0.0</v>
      </c>
      <c r="L959" s="217">
        <v>46038.0</v>
      </c>
      <c r="M959" s="217">
        <v>46069.0</v>
      </c>
      <c r="N959" s="215">
        <v>1.0</v>
      </c>
      <c r="O959" s="215">
        <v>-1193.0</v>
      </c>
      <c r="P959" s="215">
        <v>1223.0</v>
      </c>
      <c r="Q959" s="203"/>
      <c r="R959" s="218" t="s">
        <v>2082</v>
      </c>
      <c r="S959" s="186"/>
      <c r="T959" s="215">
        <v>98.0</v>
      </c>
      <c r="U959" s="204"/>
    </row>
    <row r="960" ht="22.5" customHeight="1">
      <c r="A960" s="205"/>
      <c r="B960" s="193" t="s">
        <v>245</v>
      </c>
      <c r="C960" s="226" t="s">
        <v>136</v>
      </c>
      <c r="D960" s="194" t="s">
        <v>1339</v>
      </c>
      <c r="E960" s="193" t="s">
        <v>15</v>
      </c>
      <c r="F960" s="220">
        <v>1.0</v>
      </c>
      <c r="G960" s="221"/>
      <c r="H960" s="222">
        <v>130.0</v>
      </c>
      <c r="I960" s="222">
        <v>130.0</v>
      </c>
      <c r="J960" s="222">
        <v>2600.0</v>
      </c>
      <c r="K960" s="222">
        <v>0.0</v>
      </c>
      <c r="L960" s="223">
        <v>46025.0</v>
      </c>
      <c r="M960" s="223">
        <v>46056.0</v>
      </c>
      <c r="N960" s="220">
        <v>1.0</v>
      </c>
      <c r="O960" s="220">
        <v>-1206.0</v>
      </c>
      <c r="P960" s="220">
        <v>1236.0</v>
      </c>
      <c r="Q960" s="209"/>
      <c r="R960" s="196" t="s">
        <v>2083</v>
      </c>
      <c r="S960" s="45"/>
      <c r="T960" s="220">
        <v>99.0</v>
      </c>
      <c r="U960" s="198"/>
    </row>
    <row r="961" ht="22.5" customHeight="1">
      <c r="A961" s="211" t="s">
        <v>2084</v>
      </c>
      <c r="B961" s="212" t="s">
        <v>255</v>
      </c>
      <c r="C961" s="213" t="s">
        <v>136</v>
      </c>
      <c r="D961" s="214" t="s">
        <v>2085</v>
      </c>
      <c r="E961" s="212" t="s">
        <v>15</v>
      </c>
      <c r="F961" s="215">
        <v>2.0</v>
      </c>
      <c r="G961" s="210"/>
      <c r="H961" s="216">
        <v>2500.0</v>
      </c>
      <c r="I961" s="216">
        <v>5000.0</v>
      </c>
      <c r="J961" s="216">
        <v>5000.0</v>
      </c>
      <c r="K961" s="216">
        <v>0.0</v>
      </c>
      <c r="L961" s="217">
        <v>46028.0</v>
      </c>
      <c r="M961" s="217">
        <v>46059.0</v>
      </c>
      <c r="N961" s="215">
        <v>1.0</v>
      </c>
      <c r="O961" s="215">
        <v>-1203.0</v>
      </c>
      <c r="P961" s="215">
        <v>1233.0</v>
      </c>
      <c r="Q961" s="203"/>
      <c r="R961" s="218" t="s">
        <v>2086</v>
      </c>
      <c r="S961" s="186"/>
      <c r="T961" s="215">
        <v>100.0</v>
      </c>
      <c r="U961" s="204"/>
    </row>
    <row r="962" ht="22.5" customHeight="1">
      <c r="A962" s="205"/>
      <c r="B962" s="193" t="s">
        <v>239</v>
      </c>
      <c r="C962" s="226" t="s">
        <v>136</v>
      </c>
      <c r="D962" s="194" t="s">
        <v>1472</v>
      </c>
      <c r="E962" s="193" t="s">
        <v>15</v>
      </c>
      <c r="F962" s="220">
        <v>1.0</v>
      </c>
      <c r="G962" s="221"/>
      <c r="H962" s="222">
        <v>150.0</v>
      </c>
      <c r="I962" s="222">
        <v>110.0</v>
      </c>
      <c r="J962" s="222">
        <v>2200.0</v>
      </c>
      <c r="K962" s="222">
        <v>0.0</v>
      </c>
      <c r="L962" s="223">
        <v>46025.0</v>
      </c>
      <c r="M962" s="223">
        <v>46056.0</v>
      </c>
      <c r="N962" s="220">
        <v>1.0</v>
      </c>
      <c r="O962" s="220">
        <v>-1206.0</v>
      </c>
      <c r="P962" s="220">
        <v>1236.0</v>
      </c>
      <c r="Q962" s="209"/>
      <c r="R962" s="196" t="s">
        <v>2087</v>
      </c>
      <c r="S962" s="45"/>
      <c r="T962" s="220">
        <v>101.0</v>
      </c>
      <c r="U962" s="198"/>
    </row>
    <row r="963" ht="22.5" customHeight="1">
      <c r="A963" s="251">
        <v>46023.0</v>
      </c>
      <c r="B963" s="212" t="s">
        <v>217</v>
      </c>
      <c r="C963" s="213" t="s">
        <v>136</v>
      </c>
      <c r="D963" s="214" t="s">
        <v>1760</v>
      </c>
      <c r="E963" s="212" t="s">
        <v>15</v>
      </c>
      <c r="F963" s="215">
        <v>5.0</v>
      </c>
      <c r="G963" s="147"/>
      <c r="H963" s="216">
        <v>100.0</v>
      </c>
      <c r="I963" s="216">
        <v>500.0</v>
      </c>
      <c r="J963" s="216">
        <v>10000.0</v>
      </c>
      <c r="K963" s="216">
        <v>0.0</v>
      </c>
      <c r="L963" s="217">
        <v>46031.0</v>
      </c>
      <c r="M963" s="217">
        <v>46062.0</v>
      </c>
      <c r="N963" s="215">
        <v>1.0</v>
      </c>
      <c r="O963" s="215">
        <v>-1200.0</v>
      </c>
      <c r="P963" s="215">
        <v>1230.0</v>
      </c>
      <c r="Q963" s="203"/>
      <c r="R963" s="218" t="s">
        <v>2088</v>
      </c>
      <c r="S963" s="186"/>
      <c r="T963" s="215">
        <v>102.0</v>
      </c>
      <c r="U963" s="204"/>
    </row>
    <row r="964" ht="22.5" customHeight="1">
      <c r="A964" s="192">
        <v>1.0</v>
      </c>
      <c r="B964" s="193" t="s">
        <v>198</v>
      </c>
      <c r="C964" s="226" t="s">
        <v>136</v>
      </c>
      <c r="D964" s="194" t="s">
        <v>1760</v>
      </c>
      <c r="E964" s="193" t="s">
        <v>17</v>
      </c>
      <c r="F964" s="220">
        <v>5.0</v>
      </c>
      <c r="G964" s="150"/>
      <c r="H964" s="222">
        <v>1500.0</v>
      </c>
      <c r="I964" s="222">
        <v>4500.0</v>
      </c>
      <c r="J964" s="222">
        <v>4500.0</v>
      </c>
      <c r="K964" s="222">
        <v>0.0</v>
      </c>
      <c r="L964" s="223">
        <v>46042.0</v>
      </c>
      <c r="M964" s="223">
        <v>46073.0</v>
      </c>
      <c r="N964" s="220">
        <v>1.0</v>
      </c>
      <c r="O964" s="220">
        <v>-1189.0</v>
      </c>
      <c r="P964" s="220">
        <v>1219.0</v>
      </c>
      <c r="Q964" s="209"/>
      <c r="R964" s="196" t="s">
        <v>2089</v>
      </c>
      <c r="S964" s="45"/>
      <c r="T964" s="220">
        <v>103.0</v>
      </c>
      <c r="U964" s="198"/>
    </row>
    <row r="965" ht="22.5" customHeight="1">
      <c r="A965" s="251">
        <v>46023.0</v>
      </c>
      <c r="B965" s="212" t="s">
        <v>223</v>
      </c>
      <c r="C965" s="213" t="s">
        <v>136</v>
      </c>
      <c r="D965" s="214" t="s">
        <v>1760</v>
      </c>
      <c r="E965" s="212" t="s">
        <v>15</v>
      </c>
      <c r="F965" s="215">
        <v>5.0</v>
      </c>
      <c r="G965" s="210"/>
      <c r="H965" s="216">
        <v>100.0</v>
      </c>
      <c r="I965" s="216">
        <v>500.0</v>
      </c>
      <c r="J965" s="216">
        <v>10000.0</v>
      </c>
      <c r="K965" s="237" t="s">
        <v>1909</v>
      </c>
      <c r="L965" s="217">
        <v>46046.0</v>
      </c>
      <c r="M965" s="217">
        <v>46077.0</v>
      </c>
      <c r="N965" s="215">
        <v>0.0</v>
      </c>
      <c r="O965" s="215">
        <v>-1185.0</v>
      </c>
      <c r="P965" s="215">
        <v>1215.0</v>
      </c>
      <c r="Q965" s="232">
        <v>46255.0</v>
      </c>
      <c r="R965" s="218" t="s">
        <v>2090</v>
      </c>
      <c r="S965" s="186"/>
      <c r="T965" s="215">
        <v>104.0</v>
      </c>
      <c r="U965" s="204"/>
    </row>
    <row r="966" ht="22.5" customHeight="1">
      <c r="A966" s="252">
        <v>46023.0</v>
      </c>
      <c r="B966" s="193" t="s">
        <v>221</v>
      </c>
      <c r="C966" s="226" t="s">
        <v>136</v>
      </c>
      <c r="D966" s="194" t="s">
        <v>1760</v>
      </c>
      <c r="E966" s="193" t="s">
        <v>15</v>
      </c>
      <c r="F966" s="220">
        <v>5.0</v>
      </c>
      <c r="G966" s="150"/>
      <c r="H966" s="222">
        <v>100.0</v>
      </c>
      <c r="I966" s="222">
        <v>500.0</v>
      </c>
      <c r="J966" s="222">
        <v>10000.0</v>
      </c>
      <c r="K966" s="222">
        <v>0.0</v>
      </c>
      <c r="L966" s="223">
        <v>46047.0</v>
      </c>
      <c r="M966" s="223">
        <v>46078.0</v>
      </c>
      <c r="N966" s="220">
        <v>1.0</v>
      </c>
      <c r="O966" s="220">
        <v>-1184.0</v>
      </c>
      <c r="P966" s="220">
        <v>1214.0</v>
      </c>
      <c r="Q966" s="238">
        <v>46255.0</v>
      </c>
      <c r="R966" s="196" t="s">
        <v>2091</v>
      </c>
      <c r="S966" s="45"/>
      <c r="T966" s="220">
        <v>105.0</v>
      </c>
      <c r="U966" s="198"/>
    </row>
    <row r="967" ht="22.5" customHeight="1">
      <c r="A967" s="211">
        <v>1.0</v>
      </c>
      <c r="B967" s="212" t="s">
        <v>194</v>
      </c>
      <c r="C967" s="213" t="s">
        <v>136</v>
      </c>
      <c r="D967" s="214" t="s">
        <v>1760</v>
      </c>
      <c r="E967" s="212" t="s">
        <v>15</v>
      </c>
      <c r="F967" s="215">
        <v>5.0</v>
      </c>
      <c r="G967" s="147"/>
      <c r="H967" s="216">
        <v>100.0</v>
      </c>
      <c r="I967" s="216">
        <v>300.0</v>
      </c>
      <c r="J967" s="216">
        <v>6000.0</v>
      </c>
      <c r="K967" s="216">
        <v>6000.0</v>
      </c>
      <c r="L967" s="217">
        <v>46044.0</v>
      </c>
      <c r="M967" s="217">
        <v>46075.0</v>
      </c>
      <c r="N967" s="215">
        <v>0.0</v>
      </c>
      <c r="O967" s="215">
        <v>-1187.0</v>
      </c>
      <c r="P967" s="215">
        <v>1217.0</v>
      </c>
      <c r="Q967" s="203"/>
      <c r="R967" s="218" t="s">
        <v>2092</v>
      </c>
      <c r="S967" s="186"/>
      <c r="T967" s="215">
        <v>106.0</v>
      </c>
      <c r="U967" s="204"/>
    </row>
    <row r="968" ht="22.5" customHeight="1">
      <c r="A968" s="192" t="s">
        <v>2093</v>
      </c>
      <c r="B968" s="193" t="s">
        <v>229</v>
      </c>
      <c r="C968" s="226" t="s">
        <v>136</v>
      </c>
      <c r="D968" s="194" t="s">
        <v>1760</v>
      </c>
      <c r="E968" s="193" t="s">
        <v>15</v>
      </c>
      <c r="F968" s="220">
        <v>5.0</v>
      </c>
      <c r="G968" s="221"/>
      <c r="H968" s="222">
        <v>100.0</v>
      </c>
      <c r="I968" s="222">
        <v>500.0</v>
      </c>
      <c r="J968" s="222">
        <v>10000.0</v>
      </c>
      <c r="K968" s="197" t="s">
        <v>1909</v>
      </c>
      <c r="L968" s="223">
        <v>46050.0</v>
      </c>
      <c r="M968" s="223">
        <v>46081.0</v>
      </c>
      <c r="N968" s="220">
        <v>0.0</v>
      </c>
      <c r="O968" s="220">
        <v>-1181.0</v>
      </c>
      <c r="P968" s="220">
        <v>1211.0</v>
      </c>
      <c r="Q968" s="209"/>
      <c r="R968" s="196" t="s">
        <v>2094</v>
      </c>
      <c r="S968" s="45"/>
      <c r="T968" s="220">
        <v>107.0</v>
      </c>
      <c r="U968" s="198"/>
    </row>
    <row r="969" ht="22.5" customHeight="1">
      <c r="A969" s="199"/>
      <c r="B969" s="212" t="s">
        <v>231</v>
      </c>
      <c r="C969" s="213" t="s">
        <v>136</v>
      </c>
      <c r="D969" s="214" t="s">
        <v>1782</v>
      </c>
      <c r="E969" s="212" t="s">
        <v>15</v>
      </c>
      <c r="F969" s="215">
        <v>3.0</v>
      </c>
      <c r="G969" s="210"/>
      <c r="H969" s="216">
        <v>100.0</v>
      </c>
      <c r="I969" s="216">
        <v>300.0</v>
      </c>
      <c r="J969" s="216">
        <v>6000.0</v>
      </c>
      <c r="K969" s="216">
        <v>0.0</v>
      </c>
      <c r="L969" s="217">
        <v>46026.0</v>
      </c>
      <c r="M969" s="217">
        <v>46057.0</v>
      </c>
      <c r="N969" s="215">
        <v>1.0</v>
      </c>
      <c r="O969" s="215">
        <v>-1205.0</v>
      </c>
      <c r="P969" s="215">
        <v>1235.0</v>
      </c>
      <c r="Q969" s="203"/>
      <c r="R969" s="218" t="s">
        <v>2095</v>
      </c>
      <c r="S969" s="186"/>
      <c r="T969" s="215">
        <v>108.0</v>
      </c>
      <c r="U969" s="204"/>
    </row>
    <row r="970" ht="22.5" customHeight="1">
      <c r="A970" s="205"/>
      <c r="B970" s="193" t="s">
        <v>184</v>
      </c>
      <c r="C970" s="206"/>
      <c r="D970" s="194" t="s">
        <v>1760</v>
      </c>
      <c r="E970" s="194" t="s">
        <v>15</v>
      </c>
      <c r="F970" s="220">
        <v>5.0</v>
      </c>
      <c r="G970" s="150"/>
      <c r="H970" s="207"/>
      <c r="I970" s="207"/>
      <c r="J970" s="207"/>
      <c r="K970" s="207"/>
      <c r="L970" s="223">
        <v>46043.0</v>
      </c>
      <c r="M970" s="223">
        <v>46074.0</v>
      </c>
      <c r="N970" s="150"/>
      <c r="O970" s="220">
        <v>-1188.0</v>
      </c>
      <c r="P970" s="220">
        <v>1218.0</v>
      </c>
      <c r="Q970" s="209"/>
      <c r="R970" s="196" t="s">
        <v>2096</v>
      </c>
      <c r="S970" s="45"/>
      <c r="T970" s="220">
        <v>109.0</v>
      </c>
      <c r="U970" s="198"/>
    </row>
    <row r="971" ht="22.5" customHeight="1">
      <c r="A971" s="199"/>
      <c r="B971" s="212" t="s">
        <v>243</v>
      </c>
      <c r="C971" s="213" t="s">
        <v>136</v>
      </c>
      <c r="D971" s="214" t="s">
        <v>1782</v>
      </c>
      <c r="E971" s="212" t="s">
        <v>15</v>
      </c>
      <c r="F971" s="215">
        <v>3.0</v>
      </c>
      <c r="G971" s="210"/>
      <c r="H971" s="216">
        <v>130.0</v>
      </c>
      <c r="I971" s="216">
        <v>390.0</v>
      </c>
      <c r="J971" s="216">
        <v>7800.0</v>
      </c>
      <c r="K971" s="216">
        <v>0.0</v>
      </c>
      <c r="L971" s="217">
        <v>46038.0</v>
      </c>
      <c r="M971" s="217">
        <v>46069.0</v>
      </c>
      <c r="N971" s="215">
        <v>1.0</v>
      </c>
      <c r="O971" s="215">
        <v>-1193.0</v>
      </c>
      <c r="P971" s="215">
        <v>1223.0</v>
      </c>
      <c r="Q971" s="203"/>
      <c r="R971" s="218" t="s">
        <v>2097</v>
      </c>
      <c r="S971" s="186"/>
      <c r="T971" s="215">
        <v>110.0</v>
      </c>
      <c r="U971" s="204"/>
    </row>
    <row r="972" ht="22.5" customHeight="1">
      <c r="A972" s="205"/>
      <c r="B972" s="193" t="s">
        <v>249</v>
      </c>
      <c r="C972" s="226" t="s">
        <v>136</v>
      </c>
      <c r="D972" s="194" t="s">
        <v>1991</v>
      </c>
      <c r="E972" s="193" t="s">
        <v>15</v>
      </c>
      <c r="F972" s="220">
        <v>1.0</v>
      </c>
      <c r="G972" s="221"/>
      <c r="H972" s="222">
        <v>130.0</v>
      </c>
      <c r="I972" s="222">
        <v>130.0</v>
      </c>
      <c r="J972" s="222">
        <v>2600.0</v>
      </c>
      <c r="K972" s="222">
        <v>0.0</v>
      </c>
      <c r="L972" s="223">
        <v>46025.0</v>
      </c>
      <c r="M972" s="223">
        <v>46056.0</v>
      </c>
      <c r="N972" s="220">
        <v>1.0</v>
      </c>
      <c r="O972" s="220">
        <v>-1206.0</v>
      </c>
      <c r="P972" s="220">
        <v>1236.0</v>
      </c>
      <c r="Q972" s="209"/>
      <c r="R972" s="196" t="s">
        <v>2098</v>
      </c>
      <c r="S972" s="45"/>
      <c r="T972" s="220">
        <v>111.0</v>
      </c>
      <c r="U972" s="198"/>
    </row>
    <row r="973" ht="22.5" customHeight="1">
      <c r="A973" s="211">
        <v>1.0</v>
      </c>
      <c r="B973" s="212" t="s">
        <v>215</v>
      </c>
      <c r="C973" s="213" t="s">
        <v>136</v>
      </c>
      <c r="D973" s="214" t="s">
        <v>2099</v>
      </c>
      <c r="E973" s="212" t="s">
        <v>15</v>
      </c>
      <c r="F973" s="215">
        <v>3.0</v>
      </c>
      <c r="G973" s="147"/>
      <c r="H973" s="216">
        <v>120.0</v>
      </c>
      <c r="I973" s="216">
        <v>400.0</v>
      </c>
      <c r="J973" s="216">
        <v>8000.0</v>
      </c>
      <c r="K973" s="216">
        <v>0.0</v>
      </c>
      <c r="L973" s="217">
        <v>46031.0</v>
      </c>
      <c r="M973" s="217">
        <v>46062.0</v>
      </c>
      <c r="N973" s="215">
        <v>1.0</v>
      </c>
      <c r="O973" s="215">
        <v>-1200.0</v>
      </c>
      <c r="P973" s="215">
        <v>1230.0</v>
      </c>
      <c r="Q973" s="203"/>
      <c r="R973" s="218" t="s">
        <v>2100</v>
      </c>
      <c r="S973" s="186"/>
      <c r="T973" s="215">
        <v>112.0</v>
      </c>
      <c r="U973" s="204"/>
    </row>
    <row r="974" ht="22.5" customHeight="1">
      <c r="A974" s="205"/>
      <c r="B974" s="193" t="s">
        <v>235</v>
      </c>
      <c r="C974" s="226" t="s">
        <v>136</v>
      </c>
      <c r="D974" s="194" t="s">
        <v>2101</v>
      </c>
      <c r="E974" s="193" t="s">
        <v>17</v>
      </c>
      <c r="F974" s="220">
        <v>3.0</v>
      </c>
      <c r="G974" s="221"/>
      <c r="H974" s="222">
        <v>2500.0</v>
      </c>
      <c r="I974" s="222">
        <v>7500.0</v>
      </c>
      <c r="J974" s="222">
        <v>7500.0</v>
      </c>
      <c r="K974" s="222">
        <v>0.0</v>
      </c>
      <c r="L974" s="223">
        <v>46023.0</v>
      </c>
      <c r="M974" s="223">
        <v>46054.0</v>
      </c>
      <c r="N974" s="220">
        <v>1.0</v>
      </c>
      <c r="O974" s="220">
        <v>-1208.0</v>
      </c>
      <c r="P974" s="220">
        <v>1238.0</v>
      </c>
      <c r="Q974" s="209"/>
      <c r="R974" s="196" t="s">
        <v>2102</v>
      </c>
      <c r="S974" s="45"/>
      <c r="T974" s="220">
        <v>113.0</v>
      </c>
      <c r="U974" s="198"/>
    </row>
    <row r="975" ht="22.5" customHeight="1">
      <c r="A975" s="211">
        <v>1.0</v>
      </c>
      <c r="B975" s="212" t="s">
        <v>192</v>
      </c>
      <c r="C975" s="213" t="s">
        <v>136</v>
      </c>
      <c r="D975" s="214" t="s">
        <v>2101</v>
      </c>
      <c r="E975" s="212" t="s">
        <v>17</v>
      </c>
      <c r="F975" s="215">
        <v>3.0</v>
      </c>
      <c r="G975" s="147"/>
      <c r="H975" s="216">
        <v>2000.0</v>
      </c>
      <c r="I975" s="216">
        <v>6000.0</v>
      </c>
      <c r="J975" s="216">
        <v>6000.0</v>
      </c>
      <c r="K975" s="216">
        <v>0.0</v>
      </c>
      <c r="L975" s="217">
        <v>46032.0</v>
      </c>
      <c r="M975" s="202"/>
      <c r="N975" s="215">
        <v>1.0</v>
      </c>
      <c r="O975" s="147"/>
      <c r="P975" s="215">
        <v>30.0</v>
      </c>
      <c r="Q975" s="203"/>
      <c r="R975" s="218" t="s">
        <v>2103</v>
      </c>
      <c r="S975" s="186"/>
      <c r="T975" s="215">
        <v>114.0</v>
      </c>
      <c r="U975" s="204"/>
    </row>
    <row r="976" ht="22.5" customHeight="1">
      <c r="A976" s="192" t="s">
        <v>2104</v>
      </c>
      <c r="B976" s="193" t="s">
        <v>227</v>
      </c>
      <c r="C976" s="226" t="s">
        <v>136</v>
      </c>
      <c r="D976" s="194" t="s">
        <v>1760</v>
      </c>
      <c r="E976" s="193" t="s">
        <v>15</v>
      </c>
      <c r="F976" s="220">
        <v>5.0</v>
      </c>
      <c r="G976" s="221"/>
      <c r="H976" s="222">
        <v>100.0</v>
      </c>
      <c r="I976" s="222">
        <v>550.0</v>
      </c>
      <c r="J976" s="222">
        <v>11000.0</v>
      </c>
      <c r="K976" s="222">
        <v>0.0</v>
      </c>
      <c r="L976" s="223">
        <v>46052.0</v>
      </c>
      <c r="M976" s="223">
        <v>46081.0</v>
      </c>
      <c r="N976" s="220">
        <v>1.0</v>
      </c>
      <c r="O976" s="220">
        <v>-1181.0</v>
      </c>
      <c r="P976" s="220">
        <v>1211.0</v>
      </c>
      <c r="Q976" s="209"/>
      <c r="R976" s="196" t="s">
        <v>2105</v>
      </c>
      <c r="S976" s="45"/>
      <c r="T976" s="220">
        <v>115.0</v>
      </c>
      <c r="U976" s="198"/>
    </row>
    <row r="977" ht="22.5" customHeight="1">
      <c r="A977" s="251">
        <v>46023.0</v>
      </c>
      <c r="B977" s="212" t="s">
        <v>142</v>
      </c>
      <c r="C977" s="213" t="s">
        <v>136</v>
      </c>
      <c r="D977" s="214" t="s">
        <v>1760</v>
      </c>
      <c r="E977" s="212" t="s">
        <v>15</v>
      </c>
      <c r="F977" s="215">
        <v>5.0</v>
      </c>
      <c r="G977" s="147"/>
      <c r="H977" s="216">
        <v>120.0</v>
      </c>
      <c r="I977" s="216">
        <v>500.0</v>
      </c>
      <c r="J977" s="216">
        <v>10000.0</v>
      </c>
      <c r="K977" s="216">
        <v>0.0</v>
      </c>
      <c r="L977" s="217">
        <v>46024.0</v>
      </c>
      <c r="M977" s="217">
        <v>46055.0</v>
      </c>
      <c r="N977" s="215">
        <v>1.0</v>
      </c>
      <c r="O977" s="215">
        <v>-1207.0</v>
      </c>
      <c r="P977" s="215">
        <v>1237.0</v>
      </c>
      <c r="Q977" s="203"/>
      <c r="R977" s="218" t="s">
        <v>2106</v>
      </c>
      <c r="S977" s="186"/>
      <c r="T977" s="215">
        <v>116.0</v>
      </c>
      <c r="U977" s="204"/>
    </row>
    <row r="978" ht="22.5" hidden="1" customHeight="1">
      <c r="A978" s="205"/>
      <c r="B978" s="193" t="s">
        <v>923</v>
      </c>
      <c r="C978" s="233" t="s">
        <v>603</v>
      </c>
      <c r="D978" s="234"/>
      <c r="E978" s="209"/>
      <c r="F978" s="150"/>
      <c r="G978" s="45"/>
      <c r="H978" s="207"/>
      <c r="I978" s="197" t="s">
        <v>924</v>
      </c>
      <c r="J978" s="222">
        <v>161550.0</v>
      </c>
      <c r="K978" s="222">
        <v>6000.0</v>
      </c>
      <c r="L978" s="208"/>
      <c r="M978" s="208"/>
      <c r="N978" s="150"/>
      <c r="O978" s="150"/>
      <c r="P978" s="150"/>
      <c r="Q978" s="209"/>
      <c r="R978" s="45"/>
      <c r="S978" s="45"/>
      <c r="T978" s="150"/>
      <c r="U978" s="198"/>
    </row>
    <row r="979" ht="22.5" hidden="1" customHeight="1">
      <c r="A979" s="199"/>
      <c r="B979" s="212" t="s">
        <v>558</v>
      </c>
      <c r="C979" s="235" t="s">
        <v>570</v>
      </c>
      <c r="D979" s="236"/>
      <c r="E979" s="236"/>
      <c r="F979" s="147"/>
      <c r="G979" s="236"/>
      <c r="H979" s="201"/>
      <c r="I979" s="237" t="s">
        <v>925</v>
      </c>
      <c r="J979" s="216">
        <v>72000.0</v>
      </c>
      <c r="K979" s="201"/>
      <c r="L979" s="202"/>
      <c r="M979" s="218" t="s">
        <v>926</v>
      </c>
      <c r="N979" s="147"/>
      <c r="O979" s="147"/>
      <c r="P979" s="147"/>
      <c r="Q979" s="203"/>
      <c r="R979" s="236"/>
      <c r="S979" s="236"/>
      <c r="T979" s="215">
        <v>116.0</v>
      </c>
      <c r="U979" s="204"/>
    </row>
    <row r="980" ht="22.5" hidden="1" customHeight="1">
      <c r="A980" s="205"/>
      <c r="B980" s="193" t="s">
        <v>696</v>
      </c>
      <c r="C980" s="238" t="s">
        <v>1020</v>
      </c>
      <c r="D980" s="234"/>
      <c r="E980" s="234"/>
      <c r="F980" s="150"/>
      <c r="G980" s="234"/>
      <c r="H980" s="207"/>
      <c r="I980" s="197" t="s">
        <v>928</v>
      </c>
      <c r="J980" s="222">
        <v>53687.5</v>
      </c>
      <c r="K980" s="207"/>
      <c r="L980" s="208"/>
      <c r="M980" s="208"/>
      <c r="N980" s="150"/>
      <c r="O980" s="150"/>
      <c r="P980" s="150"/>
      <c r="Q980" s="209"/>
      <c r="R980" s="234"/>
      <c r="S980" s="234"/>
      <c r="T980" s="150"/>
      <c r="U980" s="198"/>
    </row>
    <row r="981" ht="22.5" hidden="1" customHeight="1">
      <c r="A981" s="199"/>
      <c r="B981" s="146"/>
      <c r="C981" s="200"/>
      <c r="D981" s="200"/>
      <c r="E981" s="200"/>
      <c r="F981" s="147"/>
      <c r="G981" s="186"/>
      <c r="H981" s="201"/>
      <c r="I981" s="201"/>
      <c r="J981" s="201"/>
      <c r="K981" s="201"/>
      <c r="L981" s="202"/>
      <c r="M981" s="202"/>
      <c r="N981" s="147"/>
      <c r="O981" s="147"/>
      <c r="P981" s="147"/>
      <c r="Q981" s="203"/>
      <c r="R981" s="186"/>
      <c r="S981" s="186"/>
      <c r="T981" s="147"/>
      <c r="U981" s="204"/>
    </row>
    <row r="982" ht="22.5" hidden="1" customHeight="1">
      <c r="A982" s="205"/>
      <c r="B982" s="82"/>
      <c r="C982" s="206"/>
      <c r="D982" s="206"/>
      <c r="E982" s="206"/>
      <c r="F982" s="150"/>
      <c r="G982" s="45"/>
      <c r="H982" s="207"/>
      <c r="I982" s="207"/>
      <c r="J982" s="207"/>
      <c r="K982" s="207"/>
      <c r="L982" s="208"/>
      <c r="M982" s="208"/>
      <c r="N982" s="150"/>
      <c r="O982" s="150"/>
      <c r="P982" s="150"/>
      <c r="Q982" s="209"/>
      <c r="R982" s="45"/>
      <c r="S982" s="45"/>
      <c r="T982" s="150"/>
      <c r="U982" s="198"/>
    </row>
    <row r="983" ht="22.5" hidden="1" customHeight="1">
      <c r="A983" s="199"/>
      <c r="B983" s="146"/>
      <c r="C983" s="200"/>
      <c r="D983" s="200"/>
      <c r="E983" s="200"/>
      <c r="F983" s="147"/>
      <c r="G983" s="186"/>
      <c r="H983" s="201"/>
      <c r="I983" s="201"/>
      <c r="J983" s="201"/>
      <c r="K983" s="201"/>
      <c r="L983" s="202"/>
      <c r="M983" s="202"/>
      <c r="N983" s="147"/>
      <c r="O983" s="147"/>
      <c r="P983" s="147"/>
      <c r="Q983" s="203"/>
      <c r="R983" s="186"/>
      <c r="S983" s="186"/>
      <c r="T983" s="147"/>
      <c r="U983" s="204"/>
    </row>
    <row r="984" ht="22.5" hidden="1" customHeight="1">
      <c r="A984" s="205"/>
      <c r="B984" s="82"/>
      <c r="C984" s="206"/>
      <c r="D984" s="206"/>
      <c r="E984" s="206"/>
      <c r="F984" s="150"/>
      <c r="G984" s="45"/>
      <c r="H984" s="207"/>
      <c r="I984" s="207"/>
      <c r="J984" s="207"/>
      <c r="K984" s="207"/>
      <c r="L984" s="208"/>
      <c r="M984" s="208"/>
      <c r="N984" s="150"/>
      <c r="O984" s="150"/>
      <c r="P984" s="150"/>
      <c r="Q984" s="209"/>
      <c r="R984" s="45"/>
      <c r="S984" s="45"/>
      <c r="T984" s="150"/>
      <c r="U984" s="198"/>
    </row>
    <row r="985" ht="22.5" hidden="1" customHeight="1">
      <c r="A985" s="211" t="s">
        <v>181</v>
      </c>
      <c r="B985" s="212" t="s">
        <v>132</v>
      </c>
      <c r="C985" s="212" t="s">
        <v>131</v>
      </c>
      <c r="D985" s="214" t="s">
        <v>870</v>
      </c>
      <c r="E985" s="212" t="s">
        <v>7</v>
      </c>
      <c r="F985" s="228" t="s">
        <v>871</v>
      </c>
      <c r="G985" s="212" t="s">
        <v>872</v>
      </c>
      <c r="H985" s="237" t="s">
        <v>8</v>
      </c>
      <c r="I985" s="237" t="s">
        <v>873</v>
      </c>
      <c r="J985" s="237" t="s">
        <v>17</v>
      </c>
      <c r="K985" s="237" t="s">
        <v>874</v>
      </c>
      <c r="L985" s="218" t="s">
        <v>875</v>
      </c>
      <c r="M985" s="218" t="s">
        <v>876</v>
      </c>
      <c r="N985" s="228" t="s">
        <v>877</v>
      </c>
      <c r="O985" s="228" t="s">
        <v>878</v>
      </c>
      <c r="P985" s="228" t="s">
        <v>879</v>
      </c>
      <c r="Q985" s="218" t="s">
        <v>880</v>
      </c>
      <c r="R985" s="218" t="s">
        <v>881</v>
      </c>
      <c r="S985" s="218" t="s">
        <v>882</v>
      </c>
      <c r="T985" s="228" t="s">
        <v>557</v>
      </c>
      <c r="U985" s="204"/>
    </row>
    <row r="986" ht="22.5" customHeight="1">
      <c r="A986" s="192">
        <v>1.0</v>
      </c>
      <c r="B986" s="193" t="s">
        <v>225</v>
      </c>
      <c r="C986" s="226" t="s">
        <v>136</v>
      </c>
      <c r="D986" s="194" t="s">
        <v>2107</v>
      </c>
      <c r="E986" s="194" t="s">
        <v>17</v>
      </c>
      <c r="F986" s="220">
        <v>2.0</v>
      </c>
      <c r="G986" s="150"/>
      <c r="H986" s="222">
        <v>2500.0</v>
      </c>
      <c r="I986" s="222">
        <v>5000.0</v>
      </c>
      <c r="J986" s="222">
        <v>5000.0</v>
      </c>
      <c r="K986" s="222">
        <v>0.0</v>
      </c>
      <c r="L986" s="223">
        <v>46365.0</v>
      </c>
      <c r="M986" s="223">
        <v>46031.0</v>
      </c>
      <c r="N986" s="220">
        <v>1.0</v>
      </c>
      <c r="O986" s="220">
        <v>-1231.0</v>
      </c>
      <c r="P986" s="220">
        <v>1261.0</v>
      </c>
      <c r="Q986" s="209"/>
      <c r="R986" s="196" t="s">
        <v>2108</v>
      </c>
      <c r="S986" s="45"/>
      <c r="T986" s="220">
        <v>65.0</v>
      </c>
      <c r="U986" s="198"/>
    </row>
    <row r="987" ht="22.5" customHeight="1">
      <c r="A987" s="211">
        <v>1.0</v>
      </c>
      <c r="B987" s="212" t="s">
        <v>207</v>
      </c>
      <c r="C987" s="213" t="s">
        <v>136</v>
      </c>
      <c r="D987" s="214" t="s">
        <v>1983</v>
      </c>
      <c r="E987" s="214" t="s">
        <v>17</v>
      </c>
      <c r="F987" s="215">
        <v>5.0</v>
      </c>
      <c r="G987" s="147"/>
      <c r="H987" s="216">
        <v>1350.0</v>
      </c>
      <c r="I987" s="216">
        <v>6750.0</v>
      </c>
      <c r="J987" s="216">
        <v>6750.0</v>
      </c>
      <c r="K987" s="216">
        <v>0.0</v>
      </c>
      <c r="L987" s="217">
        <v>46373.0</v>
      </c>
      <c r="M987" s="217">
        <v>46039.0</v>
      </c>
      <c r="N987" s="215">
        <v>1.0</v>
      </c>
      <c r="O987" s="215">
        <v>-1223.0</v>
      </c>
      <c r="P987" s="215">
        <v>1253.0</v>
      </c>
      <c r="Q987" s="203"/>
      <c r="R987" s="218" t="s">
        <v>2109</v>
      </c>
      <c r="S987" s="186"/>
      <c r="T987" s="215">
        <v>66.0</v>
      </c>
      <c r="U987" s="204"/>
    </row>
    <row r="988" ht="22.5" customHeight="1">
      <c r="A988" s="192">
        <v>1.0</v>
      </c>
      <c r="B988" s="193" t="s">
        <v>201</v>
      </c>
      <c r="C988" s="226" t="s">
        <v>136</v>
      </c>
      <c r="D988" s="194" t="s">
        <v>2077</v>
      </c>
      <c r="E988" s="193" t="s">
        <v>17</v>
      </c>
      <c r="F988" s="220">
        <v>4.0</v>
      </c>
      <c r="G988" s="150"/>
      <c r="H988" s="222">
        <v>2000.0</v>
      </c>
      <c r="I988" s="222">
        <v>8000.0</v>
      </c>
      <c r="J988" s="222">
        <v>8000.0</v>
      </c>
      <c r="K988" s="207"/>
      <c r="L988" s="223">
        <v>46365.0</v>
      </c>
      <c r="M988" s="223">
        <v>46031.0</v>
      </c>
      <c r="N988" s="150"/>
      <c r="O988" s="220">
        <v>-1231.0</v>
      </c>
      <c r="P988" s="220">
        <v>1261.0</v>
      </c>
      <c r="Q988" s="209"/>
      <c r="R988" s="196" t="s">
        <v>2110</v>
      </c>
      <c r="S988" s="45"/>
      <c r="T988" s="220">
        <v>67.0</v>
      </c>
      <c r="U988" s="198"/>
    </row>
    <row r="989" ht="22.5" customHeight="1">
      <c r="A989" s="211" t="s">
        <v>1773</v>
      </c>
      <c r="B989" s="212" t="s">
        <v>186</v>
      </c>
      <c r="C989" s="231" t="s">
        <v>684</v>
      </c>
      <c r="D989" s="214" t="s">
        <v>2030</v>
      </c>
      <c r="E989" s="212" t="s">
        <v>187</v>
      </c>
      <c r="F989" s="215">
        <v>2.0</v>
      </c>
      <c r="G989" s="210"/>
      <c r="H989" s="237" t="s">
        <v>2031</v>
      </c>
      <c r="I989" s="216">
        <v>2000.0</v>
      </c>
      <c r="J989" s="201"/>
      <c r="K989" s="201"/>
      <c r="L989" s="217">
        <v>46366.0</v>
      </c>
      <c r="M989" s="217">
        <v>46032.0</v>
      </c>
      <c r="N989" s="147"/>
      <c r="O989" s="215">
        <v>-1230.0</v>
      </c>
      <c r="P989" s="215">
        <v>1260.0</v>
      </c>
      <c r="Q989" s="232">
        <v>46255.0</v>
      </c>
      <c r="R989" s="218" t="s">
        <v>2111</v>
      </c>
      <c r="S989" s="186"/>
      <c r="T989" s="215">
        <v>68.0</v>
      </c>
      <c r="U989" s="204"/>
    </row>
    <row r="990" ht="22.5" customHeight="1">
      <c r="A990" s="205"/>
      <c r="B990" s="193" t="s">
        <v>241</v>
      </c>
      <c r="C990" s="226" t="s">
        <v>136</v>
      </c>
      <c r="D990" s="194" t="s">
        <v>1711</v>
      </c>
      <c r="E990" s="193" t="s">
        <v>15</v>
      </c>
      <c r="F990" s="220">
        <v>1.0</v>
      </c>
      <c r="G990" s="221"/>
      <c r="H990" s="222">
        <v>250.0</v>
      </c>
      <c r="I990" s="222">
        <v>250.0</v>
      </c>
      <c r="J990" s="222">
        <v>5000.0</v>
      </c>
      <c r="K990" s="222">
        <v>0.0</v>
      </c>
      <c r="L990" s="223">
        <v>46366.0</v>
      </c>
      <c r="M990" s="223">
        <v>46032.0</v>
      </c>
      <c r="N990" s="220">
        <v>1.0</v>
      </c>
      <c r="O990" s="220">
        <v>-1230.0</v>
      </c>
      <c r="P990" s="220">
        <v>1260.0</v>
      </c>
      <c r="Q990" s="209"/>
      <c r="R990" s="196" t="s">
        <v>2112</v>
      </c>
      <c r="S990" s="45"/>
      <c r="T990" s="220">
        <v>69.0</v>
      </c>
      <c r="U990" s="198"/>
    </row>
    <row r="991" ht="22.5" customHeight="1">
      <c r="A991" s="211">
        <v>1.0</v>
      </c>
      <c r="B991" s="212" t="s">
        <v>219</v>
      </c>
      <c r="C991" s="213" t="s">
        <v>136</v>
      </c>
      <c r="D991" s="214" t="s">
        <v>1760</v>
      </c>
      <c r="E991" s="212" t="s">
        <v>15</v>
      </c>
      <c r="F991" s="215">
        <v>5.0</v>
      </c>
      <c r="G991" s="147"/>
      <c r="H991" s="216">
        <v>100.0</v>
      </c>
      <c r="I991" s="216">
        <v>250.0</v>
      </c>
      <c r="J991" s="216">
        <v>5000.0</v>
      </c>
      <c r="K991" s="216">
        <v>0.0</v>
      </c>
      <c r="L991" s="217">
        <v>46372.0</v>
      </c>
      <c r="M991" s="217">
        <v>46038.0</v>
      </c>
      <c r="N991" s="215">
        <v>1.0</v>
      </c>
      <c r="O991" s="215">
        <v>-1224.0</v>
      </c>
      <c r="P991" s="215">
        <v>1254.0</v>
      </c>
      <c r="Q991" s="203"/>
      <c r="R991" s="218" t="s">
        <v>2113</v>
      </c>
      <c r="S991" s="186"/>
      <c r="T991" s="215">
        <v>70.0</v>
      </c>
      <c r="U991" s="204"/>
    </row>
    <row r="992" ht="22.5" customHeight="1">
      <c r="A992" s="205"/>
      <c r="B992" s="193" t="s">
        <v>245</v>
      </c>
      <c r="C992" s="194" t="s">
        <v>2114</v>
      </c>
      <c r="D992" s="206"/>
      <c r="E992" s="206"/>
      <c r="F992" s="220">
        <v>1.0</v>
      </c>
      <c r="G992" s="221"/>
      <c r="H992" s="222">
        <v>130.0</v>
      </c>
      <c r="I992" s="222">
        <v>130.0</v>
      </c>
      <c r="J992" s="222">
        <v>2600.0</v>
      </c>
      <c r="K992" s="222">
        <v>0.0</v>
      </c>
      <c r="L992" s="223">
        <v>46359.0</v>
      </c>
      <c r="M992" s="223">
        <v>46025.0</v>
      </c>
      <c r="N992" s="220">
        <v>1.0</v>
      </c>
      <c r="O992" s="220">
        <v>-1237.0</v>
      </c>
      <c r="P992" s="220">
        <v>1267.0</v>
      </c>
      <c r="Q992" s="209"/>
      <c r="R992" s="196" t="s">
        <v>2115</v>
      </c>
      <c r="S992" s="45"/>
      <c r="T992" s="220">
        <v>71.0</v>
      </c>
      <c r="U992" s="198"/>
    </row>
    <row r="993" ht="22.5" customHeight="1">
      <c r="A993" s="211" t="s">
        <v>2116</v>
      </c>
      <c r="B993" s="212" t="s">
        <v>247</v>
      </c>
      <c r="C993" s="214" t="s">
        <v>2114</v>
      </c>
      <c r="D993" s="200"/>
      <c r="E993" s="200"/>
      <c r="F993" s="215">
        <v>1.0</v>
      </c>
      <c r="G993" s="210"/>
      <c r="H993" s="216">
        <v>130.0</v>
      </c>
      <c r="I993" s="216">
        <v>16.25</v>
      </c>
      <c r="J993" s="216">
        <v>325.0</v>
      </c>
      <c r="K993" s="216">
        <v>0.0</v>
      </c>
      <c r="L993" s="217">
        <v>46359.0</v>
      </c>
      <c r="M993" s="217">
        <v>46025.0</v>
      </c>
      <c r="N993" s="215">
        <v>1.0</v>
      </c>
      <c r="O993" s="215">
        <v>-1237.0</v>
      </c>
      <c r="P993" s="215">
        <v>1267.0</v>
      </c>
      <c r="Q993" s="203"/>
      <c r="R993" s="218" t="s">
        <v>2117</v>
      </c>
      <c r="S993" s="186"/>
      <c r="T993" s="215">
        <v>72.0</v>
      </c>
      <c r="U993" s="204"/>
    </row>
    <row r="994" ht="22.5" customHeight="1">
      <c r="A994" s="205"/>
      <c r="B994" s="193" t="s">
        <v>251</v>
      </c>
      <c r="C994" s="194" t="s">
        <v>2114</v>
      </c>
      <c r="D994" s="206"/>
      <c r="E994" s="206"/>
      <c r="F994" s="220">
        <v>1.0</v>
      </c>
      <c r="G994" s="221"/>
      <c r="H994" s="222">
        <v>130.0</v>
      </c>
      <c r="I994" s="222">
        <v>130.0</v>
      </c>
      <c r="J994" s="222">
        <v>2600.0</v>
      </c>
      <c r="K994" s="222">
        <v>0.0</v>
      </c>
      <c r="L994" s="223">
        <v>46359.0</v>
      </c>
      <c r="M994" s="223">
        <v>46025.0</v>
      </c>
      <c r="N994" s="220">
        <v>1.0</v>
      </c>
      <c r="O994" s="220">
        <v>-1237.0</v>
      </c>
      <c r="P994" s="220">
        <v>1267.0</v>
      </c>
      <c r="Q994" s="209"/>
      <c r="R994" s="196" t="s">
        <v>2118</v>
      </c>
      <c r="S994" s="45"/>
      <c r="T994" s="220">
        <v>73.0</v>
      </c>
      <c r="U994" s="198"/>
    </row>
    <row r="995" ht="22.5" customHeight="1">
      <c r="A995" s="199"/>
      <c r="B995" s="212" t="s">
        <v>255</v>
      </c>
      <c r="C995" s="214" t="s">
        <v>2114</v>
      </c>
      <c r="D995" s="214" t="s">
        <v>2085</v>
      </c>
      <c r="E995" s="212" t="s">
        <v>15</v>
      </c>
      <c r="F995" s="215">
        <v>2.0</v>
      </c>
      <c r="G995" s="210"/>
      <c r="H995" s="216">
        <v>2500.0</v>
      </c>
      <c r="I995" s="216">
        <v>5000.0</v>
      </c>
      <c r="J995" s="216">
        <v>5000.0</v>
      </c>
      <c r="K995" s="216">
        <v>0.0</v>
      </c>
      <c r="L995" s="217">
        <v>46362.0</v>
      </c>
      <c r="M995" s="217">
        <v>46028.0</v>
      </c>
      <c r="N995" s="215">
        <v>1.0</v>
      </c>
      <c r="O995" s="215">
        <v>-1234.0</v>
      </c>
      <c r="P995" s="215">
        <v>1264.0</v>
      </c>
      <c r="Q995" s="203"/>
      <c r="R995" s="218" t="s">
        <v>2119</v>
      </c>
      <c r="S995" s="186"/>
      <c r="T995" s="215">
        <v>74.0</v>
      </c>
      <c r="U995" s="204"/>
    </row>
    <row r="996" ht="22.5" customHeight="1">
      <c r="A996" s="192" t="s">
        <v>2104</v>
      </c>
      <c r="B996" s="193" t="s">
        <v>239</v>
      </c>
      <c r="C996" s="226" t="s">
        <v>136</v>
      </c>
      <c r="D996" s="194" t="s">
        <v>1472</v>
      </c>
      <c r="E996" s="193" t="s">
        <v>15</v>
      </c>
      <c r="F996" s="220">
        <v>1.0</v>
      </c>
      <c r="G996" s="221"/>
      <c r="H996" s="222">
        <v>150.0</v>
      </c>
      <c r="I996" s="222">
        <v>150.0</v>
      </c>
      <c r="J996" s="222">
        <v>3000.0</v>
      </c>
      <c r="K996" s="222">
        <v>0.0</v>
      </c>
      <c r="L996" s="223">
        <v>46359.0</v>
      </c>
      <c r="M996" s="223">
        <v>46025.0</v>
      </c>
      <c r="N996" s="220">
        <v>1.0</v>
      </c>
      <c r="O996" s="220">
        <v>-1237.0</v>
      </c>
      <c r="P996" s="220">
        <v>1267.0</v>
      </c>
      <c r="Q996" s="209"/>
      <c r="R996" s="196" t="s">
        <v>2120</v>
      </c>
      <c r="S996" s="45"/>
      <c r="T996" s="220">
        <v>75.0</v>
      </c>
      <c r="U996" s="198"/>
    </row>
    <row r="997" ht="22.5" customHeight="1">
      <c r="A997" s="199"/>
      <c r="B997" s="212" t="s">
        <v>233</v>
      </c>
      <c r="C997" s="213" t="s">
        <v>136</v>
      </c>
      <c r="D997" s="214" t="s">
        <v>1845</v>
      </c>
      <c r="E997" s="212" t="s">
        <v>15</v>
      </c>
      <c r="F997" s="215">
        <v>4.0</v>
      </c>
      <c r="G997" s="147"/>
      <c r="H997" s="216">
        <v>100.0</v>
      </c>
      <c r="I997" s="216">
        <v>400.0</v>
      </c>
      <c r="J997" s="216">
        <v>8000.0</v>
      </c>
      <c r="K997" s="237" t="s">
        <v>1909</v>
      </c>
      <c r="L997" s="217">
        <v>46364.0</v>
      </c>
      <c r="M997" s="217">
        <v>46030.0</v>
      </c>
      <c r="N997" s="215">
        <v>0.0</v>
      </c>
      <c r="O997" s="215">
        <v>-1232.0</v>
      </c>
      <c r="P997" s="215">
        <v>1262.0</v>
      </c>
      <c r="Q997" s="203"/>
      <c r="R997" s="218" t="s">
        <v>2121</v>
      </c>
      <c r="S997" s="186"/>
      <c r="T997" s="215">
        <v>76.0</v>
      </c>
      <c r="U997" s="204"/>
    </row>
    <row r="998" ht="22.5" customHeight="1">
      <c r="A998" s="192">
        <v>1.0</v>
      </c>
      <c r="B998" s="193" t="s">
        <v>217</v>
      </c>
      <c r="C998" s="226" t="s">
        <v>136</v>
      </c>
      <c r="D998" s="194" t="s">
        <v>1760</v>
      </c>
      <c r="E998" s="193" t="s">
        <v>15</v>
      </c>
      <c r="F998" s="220">
        <v>5.0</v>
      </c>
      <c r="G998" s="150"/>
      <c r="H998" s="222">
        <v>100.0</v>
      </c>
      <c r="I998" s="222">
        <v>500.0</v>
      </c>
      <c r="J998" s="222">
        <v>10000.0</v>
      </c>
      <c r="K998" s="222">
        <v>0.0</v>
      </c>
      <c r="L998" s="223">
        <v>46365.0</v>
      </c>
      <c r="M998" s="223">
        <v>46031.0</v>
      </c>
      <c r="N998" s="220">
        <v>1.0</v>
      </c>
      <c r="O998" s="220">
        <v>-1231.0</v>
      </c>
      <c r="P998" s="220">
        <v>1261.0</v>
      </c>
      <c r="Q998" s="209"/>
      <c r="R998" s="196" t="s">
        <v>2122</v>
      </c>
      <c r="S998" s="45"/>
      <c r="T998" s="220">
        <v>77.0</v>
      </c>
      <c r="U998" s="198"/>
    </row>
    <row r="999" ht="22.5" customHeight="1">
      <c r="A999" s="211">
        <v>1.0</v>
      </c>
      <c r="B999" s="212" t="s">
        <v>198</v>
      </c>
      <c r="C999" s="213" t="s">
        <v>136</v>
      </c>
      <c r="D999" s="214" t="s">
        <v>2101</v>
      </c>
      <c r="E999" s="212" t="s">
        <v>17</v>
      </c>
      <c r="F999" s="215">
        <v>3.0</v>
      </c>
      <c r="G999" s="147"/>
      <c r="H999" s="216">
        <v>1500.0</v>
      </c>
      <c r="I999" s="216">
        <v>4500.0</v>
      </c>
      <c r="J999" s="216">
        <v>4500.0</v>
      </c>
      <c r="K999" s="216">
        <v>0.0</v>
      </c>
      <c r="L999" s="217">
        <v>46376.0</v>
      </c>
      <c r="M999" s="217">
        <v>46042.0</v>
      </c>
      <c r="N999" s="215">
        <v>1.0</v>
      </c>
      <c r="O999" s="215">
        <v>-1220.0</v>
      </c>
      <c r="P999" s="215">
        <v>1250.0</v>
      </c>
      <c r="Q999" s="203"/>
      <c r="R999" s="218" t="s">
        <v>2123</v>
      </c>
      <c r="S999" s="186"/>
      <c r="T999" s="215">
        <v>78.0</v>
      </c>
      <c r="U999" s="204"/>
    </row>
    <row r="1000" ht="22.5" customHeight="1">
      <c r="A1000" s="192">
        <v>1.0</v>
      </c>
      <c r="B1000" s="193" t="s">
        <v>223</v>
      </c>
      <c r="C1000" s="226" t="s">
        <v>136</v>
      </c>
      <c r="D1000" s="194" t="s">
        <v>1760</v>
      </c>
      <c r="E1000" s="193" t="s">
        <v>15</v>
      </c>
      <c r="F1000" s="220">
        <v>5.0</v>
      </c>
      <c r="G1000" s="150"/>
      <c r="H1000" s="222">
        <v>100.0</v>
      </c>
      <c r="I1000" s="222">
        <v>500.0</v>
      </c>
      <c r="J1000" s="222">
        <v>10000.0</v>
      </c>
      <c r="K1000" s="222">
        <v>10000.0</v>
      </c>
      <c r="L1000" s="223">
        <v>46380.0</v>
      </c>
      <c r="M1000" s="223">
        <v>46046.0</v>
      </c>
      <c r="N1000" s="220">
        <v>0.0</v>
      </c>
      <c r="O1000" s="220">
        <v>-1216.0</v>
      </c>
      <c r="P1000" s="220">
        <v>1246.0</v>
      </c>
      <c r="Q1000" s="209"/>
      <c r="R1000" s="196" t="s">
        <v>2124</v>
      </c>
      <c r="S1000" s="45"/>
      <c r="T1000" s="220">
        <v>79.0</v>
      </c>
      <c r="U1000" s="198"/>
    </row>
    <row r="1001" ht="22.5" customHeight="1">
      <c r="A1001" s="211">
        <v>1.0</v>
      </c>
      <c r="B1001" s="212" t="s">
        <v>221</v>
      </c>
      <c r="C1001" s="213" t="s">
        <v>136</v>
      </c>
      <c r="D1001" s="214" t="s">
        <v>1760</v>
      </c>
      <c r="E1001" s="212" t="s">
        <v>15</v>
      </c>
      <c r="F1001" s="215">
        <v>5.0</v>
      </c>
      <c r="G1001" s="147"/>
      <c r="H1001" s="216">
        <v>100.0</v>
      </c>
      <c r="I1001" s="216">
        <v>500.0</v>
      </c>
      <c r="J1001" s="216">
        <v>10000.0</v>
      </c>
      <c r="K1001" s="216">
        <v>0.0</v>
      </c>
      <c r="L1001" s="217">
        <v>46381.0</v>
      </c>
      <c r="M1001" s="217">
        <v>46047.0</v>
      </c>
      <c r="N1001" s="215">
        <v>1.0</v>
      </c>
      <c r="O1001" s="215">
        <v>-1215.0</v>
      </c>
      <c r="P1001" s="215">
        <v>1245.0</v>
      </c>
      <c r="Q1001" s="203"/>
      <c r="R1001" s="218" t="s">
        <v>2125</v>
      </c>
      <c r="S1001" s="186"/>
      <c r="T1001" s="215">
        <v>80.0</v>
      </c>
      <c r="U1001" s="204"/>
    </row>
    <row r="1002" ht="22.5" customHeight="1">
      <c r="A1002" s="192">
        <v>1.0</v>
      </c>
      <c r="B1002" s="193" t="s">
        <v>194</v>
      </c>
      <c r="C1002" s="226" t="s">
        <v>136</v>
      </c>
      <c r="D1002" s="194" t="s">
        <v>1760</v>
      </c>
      <c r="E1002" s="193" t="s">
        <v>15</v>
      </c>
      <c r="F1002" s="220">
        <v>3.0</v>
      </c>
      <c r="G1002" s="150"/>
      <c r="H1002" s="222">
        <v>100.0</v>
      </c>
      <c r="I1002" s="222">
        <v>300.0</v>
      </c>
      <c r="J1002" s="222">
        <v>6000.0</v>
      </c>
      <c r="K1002" s="222">
        <v>6000.0</v>
      </c>
      <c r="L1002" s="223">
        <v>46378.0</v>
      </c>
      <c r="M1002" s="223">
        <v>46044.0</v>
      </c>
      <c r="N1002" s="220">
        <v>0.0</v>
      </c>
      <c r="O1002" s="220">
        <v>-1218.0</v>
      </c>
      <c r="P1002" s="220">
        <v>1248.0</v>
      </c>
      <c r="Q1002" s="209"/>
      <c r="R1002" s="196" t="s">
        <v>2126</v>
      </c>
      <c r="S1002" s="45"/>
      <c r="T1002" s="220">
        <v>81.0</v>
      </c>
      <c r="U1002" s="198"/>
    </row>
    <row r="1003" ht="22.5" customHeight="1">
      <c r="A1003" s="211" t="s">
        <v>1773</v>
      </c>
      <c r="B1003" s="212" t="s">
        <v>209</v>
      </c>
      <c r="C1003" s="231" t="s">
        <v>684</v>
      </c>
      <c r="D1003" s="214" t="s">
        <v>2127</v>
      </c>
      <c r="E1003" s="212" t="s">
        <v>17</v>
      </c>
      <c r="F1003" s="215">
        <v>4.0</v>
      </c>
      <c r="G1003" s="147"/>
      <c r="H1003" s="216">
        <v>2000.0</v>
      </c>
      <c r="I1003" s="216">
        <v>8000.0</v>
      </c>
      <c r="J1003" s="201"/>
      <c r="K1003" s="201"/>
      <c r="L1003" s="217">
        <v>46366.0</v>
      </c>
      <c r="M1003" s="217">
        <v>46032.0</v>
      </c>
      <c r="N1003" s="147"/>
      <c r="O1003" s="215">
        <v>-1230.0</v>
      </c>
      <c r="P1003" s="215">
        <v>1260.0</v>
      </c>
      <c r="Q1003" s="203"/>
      <c r="R1003" s="218" t="s">
        <v>2128</v>
      </c>
      <c r="S1003" s="186"/>
      <c r="T1003" s="215">
        <v>82.0</v>
      </c>
      <c r="U1003" s="204"/>
    </row>
    <row r="1004" ht="22.5" customHeight="1">
      <c r="A1004" s="205"/>
      <c r="B1004" s="193" t="s">
        <v>229</v>
      </c>
      <c r="C1004" s="226" t="s">
        <v>136</v>
      </c>
      <c r="D1004" s="194" t="s">
        <v>1760</v>
      </c>
      <c r="E1004" s="193" t="s">
        <v>15</v>
      </c>
      <c r="F1004" s="220">
        <v>5.0</v>
      </c>
      <c r="G1004" s="221"/>
      <c r="H1004" s="222">
        <v>100.0</v>
      </c>
      <c r="I1004" s="222">
        <v>500.0</v>
      </c>
      <c r="J1004" s="222">
        <v>10000.0</v>
      </c>
      <c r="K1004" s="197" t="s">
        <v>1909</v>
      </c>
      <c r="L1004" s="223">
        <v>46384.0</v>
      </c>
      <c r="M1004" s="223">
        <v>46050.0</v>
      </c>
      <c r="N1004" s="220">
        <v>0.0</v>
      </c>
      <c r="O1004" s="220">
        <v>-1212.0</v>
      </c>
      <c r="P1004" s="220">
        <v>1242.0</v>
      </c>
      <c r="Q1004" s="209"/>
      <c r="R1004" s="196" t="s">
        <v>2129</v>
      </c>
      <c r="S1004" s="45"/>
      <c r="T1004" s="220">
        <v>83.0</v>
      </c>
      <c r="U1004" s="198"/>
    </row>
    <row r="1005" ht="22.5" customHeight="1">
      <c r="A1005" s="199"/>
      <c r="B1005" s="212" t="s">
        <v>231</v>
      </c>
      <c r="C1005" s="213" t="s">
        <v>136</v>
      </c>
      <c r="D1005" s="214" t="s">
        <v>1782</v>
      </c>
      <c r="E1005" s="212" t="s">
        <v>15</v>
      </c>
      <c r="F1005" s="215">
        <v>3.0</v>
      </c>
      <c r="G1005" s="210"/>
      <c r="H1005" s="216">
        <v>120.0</v>
      </c>
      <c r="I1005" s="216">
        <v>360.0</v>
      </c>
      <c r="J1005" s="216">
        <v>7200.0</v>
      </c>
      <c r="K1005" s="216">
        <v>0.0</v>
      </c>
      <c r="L1005" s="217">
        <v>46360.0</v>
      </c>
      <c r="M1005" s="217">
        <v>46026.0</v>
      </c>
      <c r="N1005" s="215">
        <v>1.0</v>
      </c>
      <c r="O1005" s="215">
        <v>-1236.0</v>
      </c>
      <c r="P1005" s="215">
        <v>1266.0</v>
      </c>
      <c r="Q1005" s="203"/>
      <c r="R1005" s="218" t="s">
        <v>2130</v>
      </c>
      <c r="S1005" s="186"/>
      <c r="T1005" s="215">
        <v>84.0</v>
      </c>
      <c r="U1005" s="204"/>
    </row>
    <row r="1006" ht="22.5" customHeight="1">
      <c r="A1006" s="205"/>
      <c r="B1006" s="193" t="s">
        <v>243</v>
      </c>
      <c r="C1006" s="226" t="s">
        <v>136</v>
      </c>
      <c r="D1006" s="194" t="s">
        <v>1782</v>
      </c>
      <c r="E1006" s="193" t="s">
        <v>15</v>
      </c>
      <c r="F1006" s="220">
        <v>3.0</v>
      </c>
      <c r="G1006" s="221"/>
      <c r="H1006" s="222">
        <v>130.0</v>
      </c>
      <c r="I1006" s="222">
        <v>390.0</v>
      </c>
      <c r="J1006" s="222">
        <v>7800.0</v>
      </c>
      <c r="K1006" s="222">
        <v>0.0</v>
      </c>
      <c r="L1006" s="223">
        <v>46372.0</v>
      </c>
      <c r="M1006" s="223">
        <v>46038.0</v>
      </c>
      <c r="N1006" s="220">
        <v>1.0</v>
      </c>
      <c r="O1006" s="220">
        <v>-1224.0</v>
      </c>
      <c r="P1006" s="220">
        <v>1254.0</v>
      </c>
      <c r="Q1006" s="209"/>
      <c r="R1006" s="45"/>
      <c r="S1006" s="45"/>
      <c r="T1006" s="220">
        <v>85.0</v>
      </c>
      <c r="U1006" s="198"/>
    </row>
    <row r="1007" ht="22.5" customHeight="1">
      <c r="A1007" s="199"/>
      <c r="B1007" s="212" t="s">
        <v>249</v>
      </c>
      <c r="C1007" s="213" t="s">
        <v>136</v>
      </c>
      <c r="D1007" s="214" t="s">
        <v>1991</v>
      </c>
      <c r="E1007" s="212" t="s">
        <v>15</v>
      </c>
      <c r="F1007" s="215">
        <v>1.0</v>
      </c>
      <c r="G1007" s="210"/>
      <c r="H1007" s="216">
        <v>130.0</v>
      </c>
      <c r="I1007" s="216">
        <v>130.0</v>
      </c>
      <c r="J1007" s="216">
        <v>2600.0</v>
      </c>
      <c r="K1007" s="216">
        <v>0.0</v>
      </c>
      <c r="L1007" s="217">
        <v>46359.0</v>
      </c>
      <c r="M1007" s="217">
        <v>46025.0</v>
      </c>
      <c r="N1007" s="215">
        <v>1.0</v>
      </c>
      <c r="O1007" s="215">
        <v>-1237.0</v>
      </c>
      <c r="P1007" s="215">
        <v>1267.0</v>
      </c>
      <c r="Q1007" s="203"/>
      <c r="R1007" s="186"/>
      <c r="S1007" s="186"/>
      <c r="T1007" s="215">
        <v>86.0</v>
      </c>
      <c r="U1007" s="204"/>
    </row>
    <row r="1008" ht="22.5" customHeight="1">
      <c r="A1008" s="192">
        <v>1.0</v>
      </c>
      <c r="B1008" s="193" t="s">
        <v>215</v>
      </c>
      <c r="C1008" s="226" t="s">
        <v>136</v>
      </c>
      <c r="D1008" s="194" t="s">
        <v>1760</v>
      </c>
      <c r="E1008" s="193" t="s">
        <v>15</v>
      </c>
      <c r="F1008" s="220">
        <v>5.0</v>
      </c>
      <c r="G1008" s="150"/>
      <c r="H1008" s="222">
        <v>120.0</v>
      </c>
      <c r="I1008" s="222">
        <v>500.0</v>
      </c>
      <c r="J1008" s="222">
        <v>10000.0</v>
      </c>
      <c r="K1008" s="222">
        <v>0.0</v>
      </c>
      <c r="L1008" s="223">
        <v>46365.0</v>
      </c>
      <c r="M1008" s="223">
        <v>46031.0</v>
      </c>
      <c r="N1008" s="220">
        <v>1.0</v>
      </c>
      <c r="O1008" s="220">
        <v>-1231.0</v>
      </c>
      <c r="P1008" s="220">
        <v>1261.0</v>
      </c>
      <c r="Q1008" s="209"/>
      <c r="R1008" s="196" t="s">
        <v>2131</v>
      </c>
      <c r="S1008" s="45"/>
      <c r="T1008" s="220">
        <v>87.0</v>
      </c>
      <c r="U1008" s="198"/>
    </row>
    <row r="1009" ht="22.5" customHeight="1">
      <c r="A1009" s="199"/>
      <c r="B1009" s="212" t="s">
        <v>235</v>
      </c>
      <c r="C1009" s="213" t="s">
        <v>136</v>
      </c>
      <c r="D1009" s="214" t="s">
        <v>2101</v>
      </c>
      <c r="E1009" s="212" t="s">
        <v>17</v>
      </c>
      <c r="F1009" s="215">
        <v>3.0</v>
      </c>
      <c r="G1009" s="210"/>
      <c r="H1009" s="216">
        <v>2500.0</v>
      </c>
      <c r="I1009" s="216">
        <v>7500.0</v>
      </c>
      <c r="J1009" s="216">
        <v>7500.0</v>
      </c>
      <c r="K1009" s="216">
        <v>0.0</v>
      </c>
      <c r="L1009" s="217">
        <v>46357.0</v>
      </c>
      <c r="M1009" s="217">
        <v>46023.0</v>
      </c>
      <c r="N1009" s="215">
        <v>1.0</v>
      </c>
      <c r="O1009" s="215">
        <v>-1239.0</v>
      </c>
      <c r="P1009" s="215">
        <v>1269.0</v>
      </c>
      <c r="Q1009" s="203"/>
      <c r="R1009" s="218" t="s">
        <v>2132</v>
      </c>
      <c r="S1009" s="186"/>
      <c r="T1009" s="215">
        <v>88.0</v>
      </c>
      <c r="U1009" s="204"/>
    </row>
    <row r="1010" ht="22.5" customHeight="1">
      <c r="A1010" s="192">
        <v>1.0</v>
      </c>
      <c r="B1010" s="193" t="s">
        <v>192</v>
      </c>
      <c r="C1010" s="226" t="s">
        <v>136</v>
      </c>
      <c r="D1010" s="194" t="s">
        <v>2101</v>
      </c>
      <c r="E1010" s="193" t="s">
        <v>17</v>
      </c>
      <c r="F1010" s="220">
        <v>3.0</v>
      </c>
      <c r="G1010" s="150"/>
      <c r="H1010" s="222">
        <v>2000.0</v>
      </c>
      <c r="I1010" s="222">
        <v>6000.0</v>
      </c>
      <c r="J1010" s="222">
        <v>6000.0</v>
      </c>
      <c r="K1010" s="222">
        <v>0.0</v>
      </c>
      <c r="L1010" s="223">
        <v>46366.0</v>
      </c>
      <c r="M1010" s="208"/>
      <c r="N1010" s="220">
        <v>1.0</v>
      </c>
      <c r="O1010" s="150"/>
      <c r="P1010" s="220">
        <v>30.0</v>
      </c>
      <c r="Q1010" s="209"/>
      <c r="R1010" s="196" t="s">
        <v>2133</v>
      </c>
      <c r="S1010" s="45"/>
      <c r="T1010" s="220">
        <v>89.0</v>
      </c>
      <c r="U1010" s="198"/>
    </row>
    <row r="1011" ht="22.5" customHeight="1">
      <c r="A1011" s="211" t="s">
        <v>2134</v>
      </c>
      <c r="B1011" s="212" t="s">
        <v>227</v>
      </c>
      <c r="C1011" s="213" t="s">
        <v>136</v>
      </c>
      <c r="D1011" s="214" t="s">
        <v>1760</v>
      </c>
      <c r="E1011" s="212" t="s">
        <v>15</v>
      </c>
      <c r="F1011" s="215">
        <v>5.0</v>
      </c>
      <c r="G1011" s="147"/>
      <c r="H1011" s="216">
        <v>100.0</v>
      </c>
      <c r="I1011" s="216">
        <v>500.0</v>
      </c>
      <c r="J1011" s="216">
        <v>10000.0</v>
      </c>
      <c r="K1011" s="216">
        <v>0.0</v>
      </c>
      <c r="L1011" s="217">
        <v>46386.0</v>
      </c>
      <c r="M1011" s="217">
        <v>46052.0</v>
      </c>
      <c r="N1011" s="215">
        <v>1.0</v>
      </c>
      <c r="O1011" s="215">
        <v>-1210.0</v>
      </c>
      <c r="P1011" s="215">
        <v>1240.0</v>
      </c>
      <c r="Q1011" s="203"/>
      <c r="R1011" s="218" t="s">
        <v>2135</v>
      </c>
      <c r="S1011" s="186"/>
      <c r="T1011" s="215">
        <v>90.0</v>
      </c>
      <c r="U1011" s="204"/>
    </row>
    <row r="1012" ht="22.5" customHeight="1">
      <c r="A1012" s="192">
        <v>1.0</v>
      </c>
      <c r="B1012" s="193" t="s">
        <v>142</v>
      </c>
      <c r="C1012" s="226" t="s">
        <v>136</v>
      </c>
      <c r="D1012" s="194" t="s">
        <v>1965</v>
      </c>
      <c r="E1012" s="193" t="s">
        <v>15</v>
      </c>
      <c r="F1012" s="220">
        <v>6.0</v>
      </c>
      <c r="G1012" s="150"/>
      <c r="H1012" s="222">
        <v>120.0</v>
      </c>
      <c r="I1012" s="222">
        <v>600.0</v>
      </c>
      <c r="J1012" s="222">
        <v>12000.0</v>
      </c>
      <c r="K1012" s="222">
        <v>0.0</v>
      </c>
      <c r="L1012" s="223">
        <v>46358.0</v>
      </c>
      <c r="M1012" s="223">
        <v>46024.0</v>
      </c>
      <c r="N1012" s="220">
        <v>1.0</v>
      </c>
      <c r="O1012" s="220">
        <v>-1238.0</v>
      </c>
      <c r="P1012" s="220">
        <v>1268.0</v>
      </c>
      <c r="Q1012" s="209"/>
      <c r="R1012" s="196" t="s">
        <v>2136</v>
      </c>
      <c r="S1012" s="45"/>
      <c r="T1012" s="220">
        <v>91.0</v>
      </c>
      <c r="U1012" s="198"/>
    </row>
    <row r="1013" ht="22.5" hidden="1" customHeight="1">
      <c r="A1013" s="199"/>
      <c r="B1013" s="212" t="s">
        <v>923</v>
      </c>
      <c r="C1013" s="240" t="s">
        <v>607</v>
      </c>
      <c r="D1013" s="236"/>
      <c r="E1013" s="203"/>
      <c r="F1013" s="147"/>
      <c r="G1013" s="186"/>
      <c r="H1013" s="201"/>
      <c r="I1013" s="237" t="s">
        <v>924</v>
      </c>
      <c r="J1013" s="216">
        <v>164875.0</v>
      </c>
      <c r="K1013" s="216">
        <v>16000.0</v>
      </c>
      <c r="L1013" s="202"/>
      <c r="M1013" s="202"/>
      <c r="N1013" s="147"/>
      <c r="O1013" s="147"/>
      <c r="P1013" s="147"/>
      <c r="Q1013" s="203"/>
      <c r="R1013" s="186"/>
      <c r="S1013" s="186"/>
      <c r="T1013" s="147"/>
      <c r="U1013" s="204"/>
    </row>
    <row r="1014" ht="22.5" hidden="1" customHeight="1">
      <c r="A1014" s="205"/>
      <c r="B1014" s="193" t="s">
        <v>558</v>
      </c>
      <c r="C1014" s="241" t="s">
        <v>568</v>
      </c>
      <c r="D1014" s="234"/>
      <c r="E1014" s="234"/>
      <c r="F1014" s="150"/>
      <c r="G1014" s="234"/>
      <c r="H1014" s="207"/>
      <c r="I1014" s="197" t="s">
        <v>925</v>
      </c>
      <c r="J1014" s="222">
        <v>192000.0</v>
      </c>
      <c r="K1014" s="207"/>
      <c r="L1014" s="208"/>
      <c r="M1014" s="196" t="s">
        <v>926</v>
      </c>
      <c r="N1014" s="150"/>
      <c r="O1014" s="150"/>
      <c r="P1014" s="150"/>
      <c r="Q1014" s="209"/>
      <c r="R1014" s="234"/>
      <c r="S1014" s="234"/>
      <c r="T1014" s="220">
        <v>91.0</v>
      </c>
      <c r="U1014" s="198"/>
    </row>
    <row r="1015" ht="22.5" hidden="1" customHeight="1">
      <c r="A1015" s="199"/>
      <c r="B1015" s="212" t="s">
        <v>696</v>
      </c>
      <c r="C1015" s="232" t="s">
        <v>1050</v>
      </c>
      <c r="D1015" s="236"/>
      <c r="E1015" s="236"/>
      <c r="F1015" s="147"/>
      <c r="G1015" s="236"/>
      <c r="H1015" s="201"/>
      <c r="I1015" s="237" t="s">
        <v>928</v>
      </c>
      <c r="J1015" s="216">
        <v>47687.5</v>
      </c>
      <c r="K1015" s="201"/>
      <c r="L1015" s="202"/>
      <c r="M1015" s="202"/>
      <c r="N1015" s="147"/>
      <c r="O1015" s="147"/>
      <c r="P1015" s="147"/>
      <c r="Q1015" s="203"/>
      <c r="R1015" s="236"/>
      <c r="S1015" s="236"/>
      <c r="T1015" s="147"/>
      <c r="U1015" s="204"/>
    </row>
    <row r="1016" ht="22.5" hidden="1" customHeight="1">
      <c r="A1016" s="205"/>
      <c r="B1016" s="82"/>
      <c r="C1016" s="206"/>
      <c r="D1016" s="206"/>
      <c r="E1016" s="206"/>
      <c r="F1016" s="150"/>
      <c r="G1016" s="45"/>
      <c r="H1016" s="207"/>
      <c r="I1016" s="207"/>
      <c r="J1016" s="207"/>
      <c r="K1016" s="207"/>
      <c r="L1016" s="208"/>
      <c r="M1016" s="208"/>
      <c r="N1016" s="150"/>
      <c r="O1016" s="150"/>
      <c r="P1016" s="150"/>
      <c r="Q1016" s="209"/>
      <c r="R1016" s="45"/>
      <c r="S1016" s="45"/>
      <c r="T1016" s="150"/>
      <c r="U1016" s="198"/>
    </row>
    <row r="1017" ht="22.5" hidden="1" customHeight="1">
      <c r="A1017" s="199"/>
      <c r="B1017" s="146"/>
      <c r="C1017" s="200"/>
      <c r="D1017" s="200"/>
      <c r="E1017" s="200"/>
      <c r="F1017" s="147"/>
      <c r="G1017" s="186"/>
      <c r="H1017" s="201"/>
      <c r="I1017" s="201"/>
      <c r="J1017" s="201"/>
      <c r="K1017" s="201"/>
      <c r="L1017" s="202"/>
      <c r="M1017" s="202"/>
      <c r="N1017" s="147"/>
      <c r="O1017" s="147"/>
      <c r="P1017" s="147"/>
      <c r="Q1017" s="203"/>
      <c r="R1017" s="186"/>
      <c r="S1017" s="186"/>
      <c r="T1017" s="147"/>
      <c r="U1017" s="204"/>
    </row>
    <row r="1018" ht="22.5" hidden="1" customHeight="1">
      <c r="A1018" s="205"/>
      <c r="B1018" s="82"/>
      <c r="C1018" s="206"/>
      <c r="D1018" s="206"/>
      <c r="E1018" s="206"/>
      <c r="F1018" s="150"/>
      <c r="G1018" s="45"/>
      <c r="H1018" s="207"/>
      <c r="I1018" s="207"/>
      <c r="J1018" s="207"/>
      <c r="K1018" s="207"/>
      <c r="L1018" s="208"/>
      <c r="M1018" s="208"/>
      <c r="N1018" s="150"/>
      <c r="O1018" s="150"/>
      <c r="P1018" s="150"/>
      <c r="Q1018" s="209"/>
      <c r="R1018" s="45"/>
      <c r="S1018" s="45"/>
      <c r="T1018" s="150"/>
      <c r="U1018" s="198"/>
    </row>
    <row r="1019" ht="22.5" hidden="1" customHeight="1">
      <c r="A1019" s="199"/>
      <c r="B1019" s="146"/>
      <c r="C1019" s="200"/>
      <c r="D1019" s="200"/>
      <c r="E1019" s="200"/>
      <c r="F1019" s="147"/>
      <c r="G1019" s="186"/>
      <c r="H1019" s="201"/>
      <c r="I1019" s="201"/>
      <c r="J1019" s="201"/>
      <c r="K1019" s="201"/>
      <c r="L1019" s="202"/>
      <c r="M1019" s="202"/>
      <c r="N1019" s="147"/>
      <c r="O1019" s="147"/>
      <c r="P1019" s="147"/>
      <c r="Q1019" s="203"/>
      <c r="R1019" s="186"/>
      <c r="S1019" s="186"/>
      <c r="T1019" s="147"/>
      <c r="U1019" s="204"/>
    </row>
    <row r="1020" ht="22.5" hidden="1" customHeight="1">
      <c r="A1020" s="192" t="s">
        <v>181</v>
      </c>
      <c r="B1020" s="193" t="s">
        <v>132</v>
      </c>
      <c r="C1020" s="193" t="s">
        <v>131</v>
      </c>
      <c r="D1020" s="194" t="s">
        <v>870</v>
      </c>
      <c r="E1020" s="193" t="s">
        <v>7</v>
      </c>
      <c r="F1020" s="195" t="s">
        <v>871</v>
      </c>
      <c r="G1020" s="193" t="s">
        <v>872</v>
      </c>
      <c r="H1020" s="197" t="s">
        <v>8</v>
      </c>
      <c r="I1020" s="197" t="s">
        <v>873</v>
      </c>
      <c r="J1020" s="197" t="s">
        <v>17</v>
      </c>
      <c r="K1020" s="197" t="s">
        <v>874</v>
      </c>
      <c r="L1020" s="196" t="s">
        <v>875</v>
      </c>
      <c r="M1020" s="196" t="s">
        <v>876</v>
      </c>
      <c r="N1020" s="195" t="s">
        <v>877</v>
      </c>
      <c r="O1020" s="195" t="s">
        <v>878</v>
      </c>
      <c r="P1020" s="195" t="s">
        <v>879</v>
      </c>
      <c r="Q1020" s="196" t="s">
        <v>880</v>
      </c>
      <c r="R1020" s="196" t="s">
        <v>881</v>
      </c>
      <c r="S1020" s="196" t="s">
        <v>882</v>
      </c>
      <c r="T1020" s="195" t="s">
        <v>557</v>
      </c>
      <c r="U1020" s="198"/>
    </row>
    <row r="1021" ht="22.5" customHeight="1">
      <c r="A1021" s="199"/>
      <c r="B1021" s="212" t="s">
        <v>211</v>
      </c>
      <c r="C1021" s="213" t="s">
        <v>136</v>
      </c>
      <c r="D1021" s="214" t="s">
        <v>2137</v>
      </c>
      <c r="E1021" s="212" t="s">
        <v>15</v>
      </c>
      <c r="F1021" s="215">
        <v>1.0</v>
      </c>
      <c r="G1021" s="147"/>
      <c r="H1021" s="216">
        <v>150.0</v>
      </c>
      <c r="I1021" s="216">
        <v>150.0</v>
      </c>
      <c r="J1021" s="216">
        <v>3000.0</v>
      </c>
      <c r="K1021" s="216">
        <v>0.0</v>
      </c>
      <c r="L1021" s="217">
        <v>46339.0</v>
      </c>
      <c r="M1021" s="217">
        <v>46369.0</v>
      </c>
      <c r="N1021" s="215">
        <v>1.0</v>
      </c>
      <c r="O1021" s="215">
        <v>-1258.0</v>
      </c>
      <c r="P1021" s="215">
        <v>1288.0</v>
      </c>
      <c r="Q1021" s="203"/>
      <c r="R1021" s="218" t="s">
        <v>2138</v>
      </c>
      <c r="S1021" s="186"/>
      <c r="T1021" s="215">
        <v>43.0</v>
      </c>
      <c r="U1021" s="204"/>
    </row>
    <row r="1022" ht="22.5" customHeight="1">
      <c r="A1022" s="192">
        <v>1.0</v>
      </c>
      <c r="B1022" s="193" t="s">
        <v>225</v>
      </c>
      <c r="C1022" s="226" t="s">
        <v>136</v>
      </c>
      <c r="D1022" s="194" t="s">
        <v>2107</v>
      </c>
      <c r="E1022" s="194" t="s">
        <v>17</v>
      </c>
      <c r="F1022" s="220">
        <v>2.0</v>
      </c>
      <c r="G1022" s="221"/>
      <c r="H1022" s="222">
        <v>2500.0</v>
      </c>
      <c r="I1022" s="222">
        <v>5000.0</v>
      </c>
      <c r="J1022" s="222">
        <v>5000.0</v>
      </c>
      <c r="K1022" s="222">
        <v>0.0</v>
      </c>
      <c r="L1022" s="223">
        <v>46335.0</v>
      </c>
      <c r="M1022" s="223">
        <v>46365.0</v>
      </c>
      <c r="N1022" s="220">
        <v>1.0</v>
      </c>
      <c r="O1022" s="220">
        <v>-1262.0</v>
      </c>
      <c r="P1022" s="220">
        <v>1292.0</v>
      </c>
      <c r="Q1022" s="209"/>
      <c r="R1022" s="196" t="s">
        <v>2139</v>
      </c>
      <c r="S1022" s="45"/>
      <c r="T1022" s="220">
        <v>44.0</v>
      </c>
      <c r="U1022" s="198"/>
    </row>
    <row r="1023" ht="22.5" customHeight="1">
      <c r="A1023" s="211">
        <v>1.0</v>
      </c>
      <c r="B1023" s="212" t="s">
        <v>207</v>
      </c>
      <c r="C1023" s="213" t="s">
        <v>136</v>
      </c>
      <c r="D1023" s="214" t="s">
        <v>1983</v>
      </c>
      <c r="E1023" s="214" t="s">
        <v>17</v>
      </c>
      <c r="F1023" s="215">
        <v>5.0</v>
      </c>
      <c r="G1023" s="147"/>
      <c r="H1023" s="216">
        <v>1350.0</v>
      </c>
      <c r="I1023" s="216">
        <v>6750.0</v>
      </c>
      <c r="J1023" s="216">
        <v>6750.0</v>
      </c>
      <c r="K1023" s="216">
        <v>0.0</v>
      </c>
      <c r="L1023" s="217">
        <v>46343.0</v>
      </c>
      <c r="M1023" s="217">
        <v>46373.0</v>
      </c>
      <c r="N1023" s="215">
        <v>1.0</v>
      </c>
      <c r="O1023" s="215">
        <v>-1254.0</v>
      </c>
      <c r="P1023" s="215">
        <v>1284.0</v>
      </c>
      <c r="Q1023" s="203"/>
      <c r="R1023" s="218" t="s">
        <v>2140</v>
      </c>
      <c r="S1023" s="186"/>
      <c r="T1023" s="215">
        <v>45.0</v>
      </c>
      <c r="U1023" s="204"/>
    </row>
    <row r="1024" ht="22.5" customHeight="1">
      <c r="A1024" s="192">
        <v>1.0</v>
      </c>
      <c r="B1024" s="193" t="s">
        <v>201</v>
      </c>
      <c r="C1024" s="226" t="s">
        <v>136</v>
      </c>
      <c r="D1024" s="194" t="s">
        <v>2077</v>
      </c>
      <c r="E1024" s="193" t="s">
        <v>17</v>
      </c>
      <c r="F1024" s="220">
        <v>4.0</v>
      </c>
      <c r="G1024" s="150"/>
      <c r="H1024" s="222">
        <v>2000.0</v>
      </c>
      <c r="I1024" s="222">
        <v>8000.0</v>
      </c>
      <c r="J1024" s="222">
        <v>8000.0</v>
      </c>
      <c r="K1024" s="222">
        <v>0.0</v>
      </c>
      <c r="L1024" s="223">
        <v>46335.0</v>
      </c>
      <c r="M1024" s="223">
        <v>46365.0</v>
      </c>
      <c r="N1024" s="220">
        <v>1.0</v>
      </c>
      <c r="O1024" s="220">
        <v>-1262.0</v>
      </c>
      <c r="P1024" s="220">
        <v>1292.0</v>
      </c>
      <c r="Q1024" s="209"/>
      <c r="R1024" s="196" t="s">
        <v>2141</v>
      </c>
      <c r="S1024" s="45"/>
      <c r="T1024" s="220">
        <v>46.0</v>
      </c>
      <c r="U1024" s="198"/>
    </row>
    <row r="1025" ht="22.5" customHeight="1">
      <c r="A1025" s="199"/>
      <c r="B1025" s="212" t="s">
        <v>241</v>
      </c>
      <c r="C1025" s="213" t="s">
        <v>136</v>
      </c>
      <c r="D1025" s="214" t="s">
        <v>1711</v>
      </c>
      <c r="E1025" s="212" t="s">
        <v>15</v>
      </c>
      <c r="F1025" s="215">
        <v>1.0</v>
      </c>
      <c r="G1025" s="210"/>
      <c r="H1025" s="216">
        <v>250.0</v>
      </c>
      <c r="I1025" s="216">
        <v>250.0</v>
      </c>
      <c r="J1025" s="216">
        <v>5000.0</v>
      </c>
      <c r="K1025" s="216">
        <v>0.0</v>
      </c>
      <c r="L1025" s="217">
        <v>46336.0</v>
      </c>
      <c r="M1025" s="217">
        <v>46366.0</v>
      </c>
      <c r="N1025" s="215">
        <v>1.0</v>
      </c>
      <c r="O1025" s="215">
        <v>-1261.0</v>
      </c>
      <c r="P1025" s="215">
        <v>1291.0</v>
      </c>
      <c r="Q1025" s="203"/>
      <c r="R1025" s="218" t="s">
        <v>2142</v>
      </c>
      <c r="S1025" s="186"/>
      <c r="T1025" s="215">
        <v>47.0</v>
      </c>
      <c r="U1025" s="204"/>
    </row>
    <row r="1026" ht="22.5" customHeight="1">
      <c r="A1026" s="192">
        <v>1.0</v>
      </c>
      <c r="B1026" s="193" t="s">
        <v>219</v>
      </c>
      <c r="C1026" s="226" t="s">
        <v>136</v>
      </c>
      <c r="D1026" s="194" t="s">
        <v>1760</v>
      </c>
      <c r="E1026" s="193" t="s">
        <v>15</v>
      </c>
      <c r="F1026" s="220">
        <v>5.0</v>
      </c>
      <c r="G1026" s="150"/>
      <c r="H1026" s="222">
        <v>100.0</v>
      </c>
      <c r="I1026" s="222">
        <v>250.0</v>
      </c>
      <c r="J1026" s="222">
        <v>5000.0</v>
      </c>
      <c r="K1026" s="222">
        <v>0.0</v>
      </c>
      <c r="L1026" s="223">
        <v>46342.0</v>
      </c>
      <c r="M1026" s="223">
        <v>46372.0</v>
      </c>
      <c r="N1026" s="220">
        <v>1.0</v>
      </c>
      <c r="O1026" s="220">
        <v>-1255.0</v>
      </c>
      <c r="P1026" s="220">
        <v>1285.0</v>
      </c>
      <c r="Q1026" s="209"/>
      <c r="R1026" s="196" t="s">
        <v>2143</v>
      </c>
      <c r="S1026" s="45"/>
      <c r="T1026" s="220">
        <v>48.0</v>
      </c>
      <c r="U1026" s="198"/>
    </row>
    <row r="1027" ht="22.5" customHeight="1">
      <c r="A1027" s="199"/>
      <c r="B1027" s="212" t="s">
        <v>239</v>
      </c>
      <c r="C1027" s="213" t="s">
        <v>136</v>
      </c>
      <c r="D1027" s="214" t="s">
        <v>1472</v>
      </c>
      <c r="E1027" s="212" t="s">
        <v>15</v>
      </c>
      <c r="F1027" s="215">
        <v>1.0</v>
      </c>
      <c r="G1027" s="210"/>
      <c r="H1027" s="216">
        <v>150.0</v>
      </c>
      <c r="I1027" s="216">
        <v>150.0</v>
      </c>
      <c r="J1027" s="216">
        <v>3000.0</v>
      </c>
      <c r="K1027" s="216">
        <v>0.0</v>
      </c>
      <c r="L1027" s="217">
        <v>46329.0</v>
      </c>
      <c r="M1027" s="217">
        <v>46359.0</v>
      </c>
      <c r="N1027" s="215">
        <v>1.0</v>
      </c>
      <c r="O1027" s="215">
        <v>-1268.0</v>
      </c>
      <c r="P1027" s="215">
        <v>1298.0</v>
      </c>
      <c r="Q1027" s="203"/>
      <c r="R1027" s="218" t="s">
        <v>2144</v>
      </c>
      <c r="S1027" s="186"/>
      <c r="T1027" s="215">
        <v>49.0</v>
      </c>
      <c r="U1027" s="204"/>
    </row>
    <row r="1028" ht="22.5" customHeight="1">
      <c r="A1028" s="205"/>
      <c r="B1028" s="193" t="s">
        <v>237</v>
      </c>
      <c r="C1028" s="226" t="s">
        <v>136</v>
      </c>
      <c r="D1028" s="194" t="s">
        <v>2018</v>
      </c>
      <c r="E1028" s="193" t="s">
        <v>15</v>
      </c>
      <c r="F1028" s="220">
        <v>3.0</v>
      </c>
      <c r="G1028" s="221"/>
      <c r="H1028" s="222">
        <v>130.0</v>
      </c>
      <c r="I1028" s="222">
        <v>100.0</v>
      </c>
      <c r="J1028" s="222">
        <v>2000.0</v>
      </c>
      <c r="K1028" s="222">
        <v>0.0</v>
      </c>
      <c r="L1028" s="223">
        <v>46329.0</v>
      </c>
      <c r="M1028" s="223">
        <v>46359.0</v>
      </c>
      <c r="N1028" s="220">
        <v>1.0</v>
      </c>
      <c r="O1028" s="220">
        <v>-1268.0</v>
      </c>
      <c r="P1028" s="220">
        <v>1298.0</v>
      </c>
      <c r="Q1028" s="209"/>
      <c r="R1028" s="196" t="s">
        <v>2145</v>
      </c>
      <c r="S1028" s="45"/>
      <c r="T1028" s="220">
        <v>50.0</v>
      </c>
      <c r="U1028" s="198"/>
    </row>
    <row r="1029" ht="22.5" customHeight="1">
      <c r="A1029" s="211" t="s">
        <v>2146</v>
      </c>
      <c r="B1029" s="212" t="s">
        <v>233</v>
      </c>
      <c r="C1029" s="213" t="s">
        <v>136</v>
      </c>
      <c r="D1029" s="214" t="s">
        <v>2018</v>
      </c>
      <c r="E1029" s="212" t="s">
        <v>15</v>
      </c>
      <c r="F1029" s="215">
        <v>4.0</v>
      </c>
      <c r="G1029" s="210"/>
      <c r="H1029" s="216">
        <v>100.0</v>
      </c>
      <c r="I1029" s="216">
        <v>400.0</v>
      </c>
      <c r="J1029" s="216">
        <v>8000.0</v>
      </c>
      <c r="K1029" s="216">
        <v>8000.0</v>
      </c>
      <c r="L1029" s="217">
        <v>46334.0</v>
      </c>
      <c r="M1029" s="217">
        <v>46364.0</v>
      </c>
      <c r="N1029" s="215">
        <v>0.0</v>
      </c>
      <c r="O1029" s="215">
        <v>-1263.0</v>
      </c>
      <c r="P1029" s="215">
        <v>1293.0</v>
      </c>
      <c r="Q1029" s="203"/>
      <c r="R1029" s="218" t="s">
        <v>2147</v>
      </c>
      <c r="S1029" s="186"/>
      <c r="T1029" s="215">
        <v>51.0</v>
      </c>
      <c r="U1029" s="204"/>
    </row>
    <row r="1030" ht="22.5" customHeight="1">
      <c r="A1030" s="192">
        <v>1.0</v>
      </c>
      <c r="B1030" s="193" t="s">
        <v>217</v>
      </c>
      <c r="C1030" s="226" t="s">
        <v>136</v>
      </c>
      <c r="D1030" s="194" t="s">
        <v>1760</v>
      </c>
      <c r="E1030" s="193" t="s">
        <v>15</v>
      </c>
      <c r="F1030" s="220">
        <v>5.0</v>
      </c>
      <c r="G1030" s="150"/>
      <c r="H1030" s="222">
        <v>100.0</v>
      </c>
      <c r="I1030" s="222">
        <v>500.0</v>
      </c>
      <c r="J1030" s="222">
        <v>10000.0</v>
      </c>
      <c r="K1030" s="222">
        <v>0.0</v>
      </c>
      <c r="L1030" s="223">
        <v>46335.0</v>
      </c>
      <c r="M1030" s="223">
        <v>46365.0</v>
      </c>
      <c r="N1030" s="220">
        <v>1.0</v>
      </c>
      <c r="O1030" s="220">
        <v>-1262.0</v>
      </c>
      <c r="P1030" s="220">
        <v>1292.0</v>
      </c>
      <c r="Q1030" s="209"/>
      <c r="R1030" s="196" t="s">
        <v>2148</v>
      </c>
      <c r="S1030" s="45"/>
      <c r="T1030" s="220">
        <v>52.0</v>
      </c>
      <c r="U1030" s="198"/>
    </row>
    <row r="1031" ht="22.5" customHeight="1">
      <c r="A1031" s="211">
        <v>1.0</v>
      </c>
      <c r="B1031" s="212" t="s">
        <v>198</v>
      </c>
      <c r="C1031" s="213" t="s">
        <v>136</v>
      </c>
      <c r="D1031" s="214" t="s">
        <v>2101</v>
      </c>
      <c r="E1031" s="212" t="s">
        <v>17</v>
      </c>
      <c r="F1031" s="215">
        <v>3.0</v>
      </c>
      <c r="G1031" s="147"/>
      <c r="H1031" s="216">
        <v>1500.0</v>
      </c>
      <c r="I1031" s="216">
        <v>4500.0</v>
      </c>
      <c r="J1031" s="216">
        <v>4500.0</v>
      </c>
      <c r="K1031" s="216">
        <v>0.0</v>
      </c>
      <c r="L1031" s="217">
        <v>46346.0</v>
      </c>
      <c r="M1031" s="217">
        <v>46376.0</v>
      </c>
      <c r="N1031" s="215">
        <v>1.0</v>
      </c>
      <c r="O1031" s="215">
        <v>-1251.0</v>
      </c>
      <c r="P1031" s="215">
        <v>1281.0</v>
      </c>
      <c r="Q1031" s="203"/>
      <c r="R1031" s="218" t="s">
        <v>2149</v>
      </c>
      <c r="S1031" s="186"/>
      <c r="T1031" s="215">
        <v>53.0</v>
      </c>
      <c r="U1031" s="204"/>
    </row>
    <row r="1032" ht="22.5" customHeight="1">
      <c r="A1032" s="192">
        <v>1.0</v>
      </c>
      <c r="B1032" s="193" t="s">
        <v>223</v>
      </c>
      <c r="C1032" s="226" t="s">
        <v>136</v>
      </c>
      <c r="D1032" s="194" t="s">
        <v>1760</v>
      </c>
      <c r="E1032" s="193" t="s">
        <v>15</v>
      </c>
      <c r="F1032" s="220">
        <v>5.0</v>
      </c>
      <c r="G1032" s="221"/>
      <c r="H1032" s="222">
        <v>100.0</v>
      </c>
      <c r="I1032" s="222">
        <v>500.0</v>
      </c>
      <c r="J1032" s="222">
        <v>10000.0</v>
      </c>
      <c r="K1032" s="197" t="s">
        <v>1909</v>
      </c>
      <c r="L1032" s="223">
        <v>46350.0</v>
      </c>
      <c r="M1032" s="223">
        <v>46380.0</v>
      </c>
      <c r="N1032" s="220">
        <v>0.0</v>
      </c>
      <c r="O1032" s="220">
        <v>-1247.0</v>
      </c>
      <c r="P1032" s="220">
        <v>1277.0</v>
      </c>
      <c r="Q1032" s="238">
        <v>46255.0</v>
      </c>
      <c r="R1032" s="196" t="s">
        <v>2150</v>
      </c>
      <c r="S1032" s="45"/>
      <c r="T1032" s="220">
        <v>54.0</v>
      </c>
      <c r="U1032" s="198"/>
    </row>
    <row r="1033" ht="22.5" customHeight="1">
      <c r="A1033" s="211">
        <v>1.0</v>
      </c>
      <c r="B1033" s="212" t="s">
        <v>221</v>
      </c>
      <c r="C1033" s="213" t="s">
        <v>136</v>
      </c>
      <c r="D1033" s="214" t="s">
        <v>1760</v>
      </c>
      <c r="E1033" s="212" t="s">
        <v>15</v>
      </c>
      <c r="F1033" s="215">
        <v>5.0</v>
      </c>
      <c r="G1033" s="147"/>
      <c r="H1033" s="216">
        <v>100.0</v>
      </c>
      <c r="I1033" s="216">
        <v>500.0</v>
      </c>
      <c r="J1033" s="216">
        <v>10000.0</v>
      </c>
      <c r="K1033" s="216">
        <v>0.0</v>
      </c>
      <c r="L1033" s="217">
        <v>46351.0</v>
      </c>
      <c r="M1033" s="217">
        <v>46381.0</v>
      </c>
      <c r="N1033" s="215">
        <v>1.0</v>
      </c>
      <c r="O1033" s="215">
        <v>-1246.0</v>
      </c>
      <c r="P1033" s="215">
        <v>1276.0</v>
      </c>
      <c r="Q1033" s="232">
        <v>46255.0</v>
      </c>
      <c r="R1033" s="218" t="s">
        <v>2151</v>
      </c>
      <c r="S1033" s="186"/>
      <c r="T1033" s="215">
        <v>55.0</v>
      </c>
      <c r="U1033" s="204"/>
    </row>
    <row r="1034" ht="22.5" customHeight="1">
      <c r="A1034" s="192">
        <v>1.0</v>
      </c>
      <c r="B1034" s="193" t="s">
        <v>194</v>
      </c>
      <c r="C1034" s="226" t="s">
        <v>136</v>
      </c>
      <c r="D1034" s="194" t="s">
        <v>2018</v>
      </c>
      <c r="E1034" s="193" t="s">
        <v>15</v>
      </c>
      <c r="F1034" s="220">
        <v>3.0</v>
      </c>
      <c r="G1034" s="150"/>
      <c r="H1034" s="222">
        <v>100.0</v>
      </c>
      <c r="I1034" s="222">
        <v>300.0</v>
      </c>
      <c r="J1034" s="222">
        <v>6000.0</v>
      </c>
      <c r="K1034" s="222">
        <v>6000.0</v>
      </c>
      <c r="L1034" s="223">
        <v>46348.0</v>
      </c>
      <c r="M1034" s="223">
        <v>46378.0</v>
      </c>
      <c r="N1034" s="220">
        <v>0.0</v>
      </c>
      <c r="O1034" s="220">
        <v>-1249.0</v>
      </c>
      <c r="P1034" s="220">
        <v>1279.0</v>
      </c>
      <c r="Q1034" s="209"/>
      <c r="R1034" s="196" t="s">
        <v>2152</v>
      </c>
      <c r="S1034" s="45"/>
      <c r="T1034" s="220">
        <v>56.0</v>
      </c>
      <c r="U1034" s="198"/>
    </row>
    <row r="1035" ht="22.5" customHeight="1">
      <c r="A1035" s="211" t="s">
        <v>1773</v>
      </c>
      <c r="B1035" s="212" t="s">
        <v>209</v>
      </c>
      <c r="C1035" s="213" t="s">
        <v>136</v>
      </c>
      <c r="D1035" s="214" t="s">
        <v>2101</v>
      </c>
      <c r="E1035" s="212" t="s">
        <v>17</v>
      </c>
      <c r="F1035" s="215">
        <v>3.0</v>
      </c>
      <c r="G1035" s="147"/>
      <c r="H1035" s="216">
        <v>2000.0</v>
      </c>
      <c r="I1035" s="216">
        <v>6000.0</v>
      </c>
      <c r="J1035" s="216">
        <v>6000.0</v>
      </c>
      <c r="K1035" s="201"/>
      <c r="L1035" s="217">
        <v>46336.0</v>
      </c>
      <c r="M1035" s="217">
        <v>46366.0</v>
      </c>
      <c r="N1035" s="147"/>
      <c r="O1035" s="215">
        <v>-1261.0</v>
      </c>
      <c r="P1035" s="215">
        <v>1291.0</v>
      </c>
      <c r="Q1035" s="203"/>
      <c r="R1035" s="218" t="s">
        <v>2153</v>
      </c>
      <c r="S1035" s="186"/>
      <c r="T1035" s="215">
        <v>57.0</v>
      </c>
      <c r="U1035" s="204"/>
    </row>
    <row r="1036" ht="22.5" customHeight="1">
      <c r="A1036" s="205"/>
      <c r="B1036" s="193" t="s">
        <v>229</v>
      </c>
      <c r="C1036" s="226" t="s">
        <v>136</v>
      </c>
      <c r="D1036" s="194" t="s">
        <v>1760</v>
      </c>
      <c r="E1036" s="193" t="s">
        <v>15</v>
      </c>
      <c r="F1036" s="220">
        <v>5.0</v>
      </c>
      <c r="G1036" s="221"/>
      <c r="H1036" s="222">
        <v>100.0</v>
      </c>
      <c r="I1036" s="222">
        <v>500.0</v>
      </c>
      <c r="J1036" s="222">
        <v>10000.0</v>
      </c>
      <c r="K1036" s="222">
        <v>10000.0</v>
      </c>
      <c r="L1036" s="223">
        <v>46354.0</v>
      </c>
      <c r="M1036" s="223">
        <v>46384.0</v>
      </c>
      <c r="N1036" s="220">
        <v>0.0</v>
      </c>
      <c r="O1036" s="220">
        <v>-1243.0</v>
      </c>
      <c r="P1036" s="220">
        <v>1273.0</v>
      </c>
      <c r="Q1036" s="209"/>
      <c r="R1036" s="196" t="s">
        <v>2154</v>
      </c>
      <c r="S1036" s="45"/>
      <c r="T1036" s="220">
        <v>58.0</v>
      </c>
      <c r="U1036" s="198"/>
    </row>
    <row r="1037" ht="22.5" customHeight="1">
      <c r="A1037" s="211" t="s">
        <v>1773</v>
      </c>
      <c r="B1037" s="212" t="s">
        <v>231</v>
      </c>
      <c r="C1037" s="200"/>
      <c r="D1037" s="214" t="s">
        <v>1782</v>
      </c>
      <c r="E1037" s="200"/>
      <c r="F1037" s="215">
        <v>6.0</v>
      </c>
      <c r="G1037" s="210"/>
      <c r="H1037" s="216">
        <v>100.0</v>
      </c>
      <c r="I1037" s="201"/>
      <c r="J1037" s="201"/>
      <c r="K1037" s="201"/>
      <c r="L1037" s="217">
        <v>46356.0</v>
      </c>
      <c r="M1037" s="217">
        <v>46386.0</v>
      </c>
      <c r="N1037" s="147"/>
      <c r="O1037" s="215">
        <v>-1241.0</v>
      </c>
      <c r="P1037" s="215">
        <v>1271.0</v>
      </c>
      <c r="Q1037" s="203"/>
      <c r="R1037" s="218" t="s">
        <v>2155</v>
      </c>
      <c r="S1037" s="186"/>
      <c r="T1037" s="215">
        <v>59.0</v>
      </c>
      <c r="U1037" s="204"/>
    </row>
    <row r="1038" ht="22.5" customHeight="1">
      <c r="A1038" s="192">
        <v>1.0</v>
      </c>
      <c r="B1038" s="193" t="s">
        <v>215</v>
      </c>
      <c r="C1038" s="226" t="s">
        <v>136</v>
      </c>
      <c r="D1038" s="194" t="s">
        <v>1760</v>
      </c>
      <c r="E1038" s="193" t="s">
        <v>15</v>
      </c>
      <c r="F1038" s="220">
        <v>5.0</v>
      </c>
      <c r="G1038" s="150"/>
      <c r="H1038" s="222">
        <v>120.0</v>
      </c>
      <c r="I1038" s="222">
        <v>500.0</v>
      </c>
      <c r="J1038" s="222">
        <v>10000.0</v>
      </c>
      <c r="K1038" s="222">
        <v>0.0</v>
      </c>
      <c r="L1038" s="223">
        <v>46335.0</v>
      </c>
      <c r="M1038" s="223">
        <v>46365.0</v>
      </c>
      <c r="N1038" s="220">
        <v>1.0</v>
      </c>
      <c r="O1038" s="220">
        <v>-1262.0</v>
      </c>
      <c r="P1038" s="220">
        <v>1292.0</v>
      </c>
      <c r="Q1038" s="209"/>
      <c r="R1038" s="196" t="s">
        <v>2156</v>
      </c>
      <c r="S1038" s="45"/>
      <c r="T1038" s="220">
        <v>60.0</v>
      </c>
      <c r="U1038" s="198"/>
    </row>
    <row r="1039" ht="22.5" customHeight="1">
      <c r="A1039" s="199"/>
      <c r="B1039" s="212" t="s">
        <v>235</v>
      </c>
      <c r="C1039" s="213" t="s">
        <v>136</v>
      </c>
      <c r="D1039" s="214" t="s">
        <v>2101</v>
      </c>
      <c r="E1039" s="212" t="s">
        <v>17</v>
      </c>
      <c r="F1039" s="215">
        <v>3.0</v>
      </c>
      <c r="G1039" s="210"/>
      <c r="H1039" s="216">
        <v>2500.0</v>
      </c>
      <c r="I1039" s="216">
        <v>7500.0</v>
      </c>
      <c r="J1039" s="216">
        <v>0.0</v>
      </c>
      <c r="K1039" s="216">
        <v>0.0</v>
      </c>
      <c r="L1039" s="217">
        <v>46327.0</v>
      </c>
      <c r="M1039" s="217">
        <v>46357.0</v>
      </c>
      <c r="N1039" s="215">
        <v>1.0</v>
      </c>
      <c r="O1039" s="215">
        <v>-1270.0</v>
      </c>
      <c r="P1039" s="215">
        <v>1300.0</v>
      </c>
      <c r="Q1039" s="203"/>
      <c r="R1039" s="218" t="s">
        <v>2157</v>
      </c>
      <c r="S1039" s="186"/>
      <c r="T1039" s="215">
        <v>61.0</v>
      </c>
      <c r="U1039" s="204"/>
    </row>
    <row r="1040" ht="22.5" customHeight="1">
      <c r="A1040" s="192">
        <v>1.0</v>
      </c>
      <c r="B1040" s="193" t="s">
        <v>192</v>
      </c>
      <c r="C1040" s="226" t="s">
        <v>136</v>
      </c>
      <c r="D1040" s="194" t="s">
        <v>2101</v>
      </c>
      <c r="E1040" s="193" t="s">
        <v>17</v>
      </c>
      <c r="F1040" s="220">
        <v>3.0</v>
      </c>
      <c r="G1040" s="150"/>
      <c r="H1040" s="222">
        <v>2000.0</v>
      </c>
      <c r="I1040" s="222">
        <v>6000.0</v>
      </c>
      <c r="J1040" s="222">
        <v>6000.0</v>
      </c>
      <c r="K1040" s="197" t="s">
        <v>2158</v>
      </c>
      <c r="L1040" s="223">
        <v>46336.0</v>
      </c>
      <c r="M1040" s="223">
        <v>46366.0</v>
      </c>
      <c r="N1040" s="220">
        <v>1.0</v>
      </c>
      <c r="O1040" s="220">
        <v>-1261.0</v>
      </c>
      <c r="P1040" s="220">
        <v>1291.0</v>
      </c>
      <c r="Q1040" s="209"/>
      <c r="R1040" s="196" t="s">
        <v>2159</v>
      </c>
      <c r="S1040" s="45"/>
      <c r="T1040" s="220">
        <v>62.0</v>
      </c>
      <c r="U1040" s="198"/>
    </row>
    <row r="1041" ht="22.5" customHeight="1">
      <c r="A1041" s="211" t="s">
        <v>2134</v>
      </c>
      <c r="B1041" s="212" t="s">
        <v>227</v>
      </c>
      <c r="C1041" s="213" t="s">
        <v>136</v>
      </c>
      <c r="D1041" s="214" t="s">
        <v>1760</v>
      </c>
      <c r="E1041" s="212" t="s">
        <v>15</v>
      </c>
      <c r="F1041" s="215">
        <v>5.0</v>
      </c>
      <c r="G1041" s="210"/>
      <c r="H1041" s="216">
        <v>100.0</v>
      </c>
      <c r="I1041" s="216">
        <v>500.0</v>
      </c>
      <c r="J1041" s="216">
        <v>10000.0</v>
      </c>
      <c r="K1041" s="216">
        <v>0.0</v>
      </c>
      <c r="L1041" s="217">
        <v>46356.0</v>
      </c>
      <c r="M1041" s="217">
        <v>46386.0</v>
      </c>
      <c r="N1041" s="215">
        <v>1.0</v>
      </c>
      <c r="O1041" s="215">
        <v>-1241.0</v>
      </c>
      <c r="P1041" s="215">
        <v>1271.0</v>
      </c>
      <c r="Q1041" s="203"/>
      <c r="R1041" s="218" t="s">
        <v>2160</v>
      </c>
      <c r="S1041" s="186"/>
      <c r="T1041" s="215">
        <v>63.0</v>
      </c>
      <c r="U1041" s="204"/>
    </row>
    <row r="1042" ht="22.5" customHeight="1">
      <c r="A1042" s="192">
        <v>1.0</v>
      </c>
      <c r="B1042" s="193" t="s">
        <v>142</v>
      </c>
      <c r="C1042" s="226" t="s">
        <v>136</v>
      </c>
      <c r="D1042" s="194" t="s">
        <v>1760</v>
      </c>
      <c r="E1042" s="193" t="s">
        <v>15</v>
      </c>
      <c r="F1042" s="220">
        <v>5.0</v>
      </c>
      <c r="G1042" s="150"/>
      <c r="H1042" s="222">
        <v>120.0</v>
      </c>
      <c r="I1042" s="222">
        <v>500.0</v>
      </c>
      <c r="J1042" s="222">
        <v>10000.0</v>
      </c>
      <c r="K1042" s="222">
        <v>0.0</v>
      </c>
      <c r="L1042" s="223">
        <v>46328.0</v>
      </c>
      <c r="M1042" s="223">
        <v>46358.0</v>
      </c>
      <c r="N1042" s="220">
        <v>1.0</v>
      </c>
      <c r="O1042" s="220">
        <v>-1269.0</v>
      </c>
      <c r="P1042" s="220">
        <v>1299.0</v>
      </c>
      <c r="Q1042" s="209"/>
      <c r="R1042" s="196" t="s">
        <v>2161</v>
      </c>
      <c r="S1042" s="45"/>
      <c r="T1042" s="220">
        <v>64.0</v>
      </c>
      <c r="U1042" s="198"/>
    </row>
    <row r="1043" ht="22.5" hidden="1" customHeight="1">
      <c r="A1043" s="199"/>
      <c r="B1043" s="212" t="s">
        <v>923</v>
      </c>
      <c r="C1043" s="240" t="s">
        <v>599</v>
      </c>
      <c r="D1043" s="236"/>
      <c r="E1043" s="203"/>
      <c r="F1043" s="147"/>
      <c r="G1043" s="186"/>
      <c r="H1043" s="201"/>
      <c r="I1043" s="237" t="s">
        <v>924</v>
      </c>
      <c r="J1043" s="216">
        <v>138250.0</v>
      </c>
      <c r="K1043" s="216">
        <v>24000.0</v>
      </c>
      <c r="L1043" s="202"/>
      <c r="M1043" s="202"/>
      <c r="N1043" s="147"/>
      <c r="O1043" s="147"/>
      <c r="P1043" s="147"/>
      <c r="Q1043" s="203"/>
      <c r="R1043" s="186"/>
      <c r="S1043" s="186"/>
      <c r="T1043" s="147"/>
      <c r="U1043" s="204"/>
    </row>
    <row r="1044" ht="22.5" hidden="1" customHeight="1">
      <c r="A1044" s="205"/>
      <c r="B1044" s="193" t="s">
        <v>558</v>
      </c>
      <c r="C1044" s="241" t="s">
        <v>566</v>
      </c>
      <c r="D1044" s="234"/>
      <c r="E1044" s="234"/>
      <c r="F1044" s="150"/>
      <c r="G1044" s="234"/>
      <c r="H1044" s="207"/>
      <c r="I1044" s="197" t="s">
        <v>925</v>
      </c>
      <c r="J1044" s="222">
        <v>288000.0</v>
      </c>
      <c r="K1044" s="207"/>
      <c r="L1044" s="208"/>
      <c r="M1044" s="196" t="s">
        <v>926</v>
      </c>
      <c r="N1044" s="150"/>
      <c r="O1044" s="150"/>
      <c r="P1044" s="150"/>
      <c r="Q1044" s="209"/>
      <c r="R1044" s="234"/>
      <c r="S1044" s="234"/>
      <c r="T1044" s="220">
        <v>64.0</v>
      </c>
      <c r="U1044" s="198"/>
    </row>
    <row r="1045" ht="22.5" hidden="1" customHeight="1">
      <c r="A1045" s="199"/>
      <c r="B1045" s="212" t="s">
        <v>696</v>
      </c>
      <c r="C1045" s="232" t="s">
        <v>1080</v>
      </c>
      <c r="D1045" s="236"/>
      <c r="E1045" s="236"/>
      <c r="F1045" s="147"/>
      <c r="G1045" s="236"/>
      <c r="H1045" s="201"/>
      <c r="I1045" s="237" t="s">
        <v>928</v>
      </c>
      <c r="J1045" s="216">
        <v>31687.5</v>
      </c>
      <c r="K1045" s="201"/>
      <c r="L1045" s="202"/>
      <c r="M1045" s="202"/>
      <c r="N1045" s="147"/>
      <c r="O1045" s="147"/>
      <c r="P1045" s="147"/>
      <c r="Q1045" s="203"/>
      <c r="R1045" s="236"/>
      <c r="S1045" s="236"/>
      <c r="T1045" s="147"/>
      <c r="U1045" s="204"/>
    </row>
    <row r="1046" ht="22.5" hidden="1" customHeight="1">
      <c r="A1046" s="205"/>
      <c r="B1046" s="82"/>
      <c r="C1046" s="206"/>
      <c r="D1046" s="206"/>
      <c r="E1046" s="206"/>
      <c r="F1046" s="150"/>
      <c r="G1046" s="45"/>
      <c r="H1046" s="207"/>
      <c r="I1046" s="207"/>
      <c r="J1046" s="207"/>
      <c r="K1046" s="207"/>
      <c r="L1046" s="208"/>
      <c r="M1046" s="208"/>
      <c r="N1046" s="150"/>
      <c r="O1046" s="150"/>
      <c r="P1046" s="150"/>
      <c r="Q1046" s="209"/>
      <c r="R1046" s="45"/>
      <c r="S1046" s="45"/>
      <c r="T1046" s="150"/>
      <c r="U1046" s="198"/>
    </row>
    <row r="1047" ht="22.5" hidden="1" customHeight="1">
      <c r="A1047" s="199"/>
      <c r="B1047" s="146"/>
      <c r="C1047" s="200"/>
      <c r="D1047" s="200"/>
      <c r="E1047" s="200"/>
      <c r="F1047" s="147"/>
      <c r="G1047" s="186"/>
      <c r="H1047" s="201"/>
      <c r="I1047" s="201"/>
      <c r="J1047" s="201"/>
      <c r="K1047" s="201"/>
      <c r="L1047" s="202"/>
      <c r="M1047" s="202"/>
      <c r="N1047" s="147"/>
      <c r="O1047" s="147"/>
      <c r="P1047" s="147"/>
      <c r="Q1047" s="203"/>
      <c r="R1047" s="186"/>
      <c r="S1047" s="186"/>
      <c r="T1047" s="147"/>
      <c r="U1047" s="204"/>
    </row>
    <row r="1048" ht="22.5" hidden="1" customHeight="1">
      <c r="A1048" s="205"/>
      <c r="B1048" s="82"/>
      <c r="C1048" s="206"/>
      <c r="D1048" s="206"/>
      <c r="E1048" s="206"/>
      <c r="F1048" s="150"/>
      <c r="G1048" s="45"/>
      <c r="H1048" s="207"/>
      <c r="I1048" s="207"/>
      <c r="J1048" s="207"/>
      <c r="K1048" s="207"/>
      <c r="L1048" s="208"/>
      <c r="M1048" s="208"/>
      <c r="N1048" s="150"/>
      <c r="O1048" s="150"/>
      <c r="P1048" s="150"/>
      <c r="Q1048" s="209"/>
      <c r="R1048" s="45"/>
      <c r="S1048" s="45"/>
      <c r="T1048" s="150"/>
      <c r="U1048" s="198"/>
    </row>
    <row r="1049" ht="22.5" hidden="1" customHeight="1">
      <c r="A1049" s="199"/>
      <c r="B1049" s="146"/>
      <c r="C1049" s="200"/>
      <c r="D1049" s="200"/>
      <c r="E1049" s="200"/>
      <c r="F1049" s="147"/>
      <c r="G1049" s="186"/>
      <c r="H1049" s="201"/>
      <c r="I1049" s="201"/>
      <c r="J1049" s="201"/>
      <c r="K1049" s="201"/>
      <c r="L1049" s="202"/>
      <c r="M1049" s="202"/>
      <c r="N1049" s="147"/>
      <c r="O1049" s="147"/>
      <c r="P1049" s="147"/>
      <c r="Q1049" s="203"/>
      <c r="R1049" s="186"/>
      <c r="S1049" s="186"/>
      <c r="T1049" s="147"/>
      <c r="U1049" s="204"/>
    </row>
    <row r="1050" ht="22.5" hidden="1" customHeight="1">
      <c r="A1050" s="192" t="s">
        <v>181</v>
      </c>
      <c r="B1050" s="193" t="s">
        <v>132</v>
      </c>
      <c r="C1050" s="193" t="s">
        <v>131</v>
      </c>
      <c r="D1050" s="194" t="s">
        <v>870</v>
      </c>
      <c r="E1050" s="193" t="s">
        <v>7</v>
      </c>
      <c r="F1050" s="195" t="s">
        <v>871</v>
      </c>
      <c r="G1050" s="193" t="s">
        <v>872</v>
      </c>
      <c r="H1050" s="197" t="s">
        <v>8</v>
      </c>
      <c r="I1050" s="197" t="s">
        <v>873</v>
      </c>
      <c r="J1050" s="197" t="s">
        <v>17</v>
      </c>
      <c r="K1050" s="197" t="s">
        <v>874</v>
      </c>
      <c r="L1050" s="196" t="s">
        <v>875</v>
      </c>
      <c r="M1050" s="196" t="s">
        <v>876</v>
      </c>
      <c r="N1050" s="195" t="s">
        <v>877</v>
      </c>
      <c r="O1050" s="195" t="s">
        <v>878</v>
      </c>
      <c r="P1050" s="195" t="s">
        <v>879</v>
      </c>
      <c r="Q1050" s="196" t="s">
        <v>880</v>
      </c>
      <c r="R1050" s="196" t="s">
        <v>881</v>
      </c>
      <c r="S1050" s="196" t="s">
        <v>882</v>
      </c>
      <c r="T1050" s="195" t="s">
        <v>557</v>
      </c>
      <c r="U1050" s="198"/>
    </row>
    <row r="1051" ht="22.5" customHeight="1">
      <c r="A1051" s="199"/>
      <c r="B1051" s="212" t="s">
        <v>211</v>
      </c>
      <c r="C1051" s="213" t="s">
        <v>136</v>
      </c>
      <c r="D1051" s="214" t="s">
        <v>2137</v>
      </c>
      <c r="E1051" s="212" t="s">
        <v>15</v>
      </c>
      <c r="F1051" s="215">
        <v>1.0</v>
      </c>
      <c r="G1051" s="147"/>
      <c r="H1051" s="216">
        <v>150.0</v>
      </c>
      <c r="I1051" s="216">
        <v>150.0</v>
      </c>
      <c r="J1051" s="216">
        <v>3000.0</v>
      </c>
      <c r="K1051" s="216">
        <v>0.0</v>
      </c>
      <c r="L1051" s="217">
        <v>46308.0</v>
      </c>
      <c r="M1051" s="217">
        <v>46339.0</v>
      </c>
      <c r="N1051" s="215">
        <v>1.0</v>
      </c>
      <c r="O1051" s="215">
        <v>-1288.0</v>
      </c>
      <c r="P1051" s="215">
        <v>1318.0</v>
      </c>
      <c r="Q1051" s="203"/>
      <c r="R1051" s="218" t="s">
        <v>2162</v>
      </c>
      <c r="S1051" s="186"/>
      <c r="T1051" s="215">
        <v>23.0</v>
      </c>
      <c r="U1051" s="204"/>
    </row>
    <row r="1052" ht="22.5" customHeight="1">
      <c r="A1052" s="205"/>
      <c r="B1052" s="193" t="s">
        <v>225</v>
      </c>
      <c r="C1052" s="226" t="s">
        <v>136</v>
      </c>
      <c r="D1052" s="194" t="s">
        <v>2107</v>
      </c>
      <c r="E1052" s="194" t="s">
        <v>17</v>
      </c>
      <c r="F1052" s="220">
        <v>2.0</v>
      </c>
      <c r="G1052" s="221"/>
      <c r="H1052" s="222">
        <v>2500.0</v>
      </c>
      <c r="I1052" s="222">
        <v>5000.0</v>
      </c>
      <c r="J1052" s="222">
        <v>5000.0</v>
      </c>
      <c r="K1052" s="222">
        <v>0.0</v>
      </c>
      <c r="L1052" s="223">
        <v>46304.0</v>
      </c>
      <c r="M1052" s="223">
        <v>46335.0</v>
      </c>
      <c r="N1052" s="220">
        <v>1.0</v>
      </c>
      <c r="O1052" s="220">
        <v>-1292.0</v>
      </c>
      <c r="P1052" s="220">
        <v>1322.0</v>
      </c>
      <c r="Q1052" s="209"/>
      <c r="R1052" s="196" t="s">
        <v>2163</v>
      </c>
      <c r="S1052" s="45"/>
      <c r="T1052" s="220">
        <v>24.0</v>
      </c>
      <c r="U1052" s="198"/>
    </row>
    <row r="1053" ht="22.5" customHeight="1">
      <c r="A1053" s="199"/>
      <c r="B1053" s="212" t="s">
        <v>207</v>
      </c>
      <c r="C1053" s="213" t="s">
        <v>136</v>
      </c>
      <c r="D1053" s="214" t="s">
        <v>1983</v>
      </c>
      <c r="E1053" s="214" t="s">
        <v>17</v>
      </c>
      <c r="F1053" s="215">
        <v>5.0</v>
      </c>
      <c r="G1053" s="147"/>
      <c r="H1053" s="216">
        <v>1350.0</v>
      </c>
      <c r="I1053" s="216">
        <v>6750.0</v>
      </c>
      <c r="J1053" s="216">
        <v>6750.0</v>
      </c>
      <c r="K1053" s="216">
        <v>0.0</v>
      </c>
      <c r="L1053" s="217">
        <v>46312.0</v>
      </c>
      <c r="M1053" s="217">
        <v>46343.0</v>
      </c>
      <c r="N1053" s="215">
        <v>1.0</v>
      </c>
      <c r="O1053" s="215">
        <v>-1284.0</v>
      </c>
      <c r="P1053" s="215">
        <v>1314.0</v>
      </c>
      <c r="Q1053" s="203"/>
      <c r="R1053" s="218" t="s">
        <v>2164</v>
      </c>
      <c r="S1053" s="186"/>
      <c r="T1053" s="215">
        <v>25.0</v>
      </c>
      <c r="U1053" s="204"/>
    </row>
    <row r="1054" ht="22.5" customHeight="1">
      <c r="A1054" s="205"/>
      <c r="B1054" s="193" t="s">
        <v>201</v>
      </c>
      <c r="C1054" s="226" t="s">
        <v>136</v>
      </c>
      <c r="D1054" s="194" t="s">
        <v>2077</v>
      </c>
      <c r="E1054" s="193" t="s">
        <v>17</v>
      </c>
      <c r="F1054" s="220">
        <v>4.0</v>
      </c>
      <c r="G1054" s="150"/>
      <c r="H1054" s="222">
        <v>2000.0</v>
      </c>
      <c r="I1054" s="222">
        <v>8000.0</v>
      </c>
      <c r="J1054" s="222">
        <v>8000.0</v>
      </c>
      <c r="K1054" s="222">
        <v>0.0</v>
      </c>
      <c r="L1054" s="223">
        <v>46304.0</v>
      </c>
      <c r="M1054" s="223">
        <v>46335.0</v>
      </c>
      <c r="N1054" s="220">
        <v>1.0</v>
      </c>
      <c r="O1054" s="220">
        <v>-1292.0</v>
      </c>
      <c r="P1054" s="220">
        <v>1322.0</v>
      </c>
      <c r="Q1054" s="209"/>
      <c r="R1054" s="196" t="s">
        <v>2165</v>
      </c>
      <c r="S1054" s="45"/>
      <c r="T1054" s="220">
        <v>26.0</v>
      </c>
      <c r="U1054" s="198"/>
    </row>
    <row r="1055" ht="22.5" customHeight="1">
      <c r="A1055" s="199"/>
      <c r="B1055" s="212" t="s">
        <v>186</v>
      </c>
      <c r="C1055" s="213" t="s">
        <v>136</v>
      </c>
      <c r="D1055" s="214" t="s">
        <v>2030</v>
      </c>
      <c r="E1055" s="212" t="s">
        <v>187</v>
      </c>
      <c r="F1055" s="215">
        <v>2.0</v>
      </c>
      <c r="G1055" s="210"/>
      <c r="H1055" s="237" t="s">
        <v>2031</v>
      </c>
      <c r="I1055" s="216">
        <v>2000.0</v>
      </c>
      <c r="J1055" s="216">
        <v>10600.0</v>
      </c>
      <c r="K1055" s="237" t="s">
        <v>2166</v>
      </c>
      <c r="L1055" s="217">
        <v>46305.0</v>
      </c>
      <c r="M1055" s="217">
        <v>46336.0</v>
      </c>
      <c r="N1055" s="215">
        <v>0.0</v>
      </c>
      <c r="O1055" s="215">
        <v>-1291.0</v>
      </c>
      <c r="P1055" s="215">
        <v>1321.0</v>
      </c>
      <c r="Q1055" s="232">
        <v>46255.0</v>
      </c>
      <c r="R1055" s="218" t="s">
        <v>2167</v>
      </c>
      <c r="S1055" s="186"/>
      <c r="T1055" s="215">
        <v>27.0</v>
      </c>
      <c r="U1055" s="204"/>
    </row>
    <row r="1056" ht="22.5" customHeight="1">
      <c r="A1056" s="205"/>
      <c r="B1056" s="193" t="s">
        <v>219</v>
      </c>
      <c r="C1056" s="226" t="s">
        <v>136</v>
      </c>
      <c r="D1056" s="194" t="s">
        <v>1760</v>
      </c>
      <c r="E1056" s="193" t="s">
        <v>15</v>
      </c>
      <c r="F1056" s="220">
        <v>5.0</v>
      </c>
      <c r="G1056" s="150"/>
      <c r="H1056" s="222">
        <v>100.0</v>
      </c>
      <c r="I1056" s="222">
        <v>250.0</v>
      </c>
      <c r="J1056" s="222">
        <v>5000.0</v>
      </c>
      <c r="K1056" s="222">
        <v>0.0</v>
      </c>
      <c r="L1056" s="223">
        <v>46311.0</v>
      </c>
      <c r="M1056" s="223">
        <v>46342.0</v>
      </c>
      <c r="N1056" s="220">
        <v>1.0</v>
      </c>
      <c r="O1056" s="220">
        <v>-1285.0</v>
      </c>
      <c r="P1056" s="220">
        <v>1315.0</v>
      </c>
      <c r="Q1056" s="209"/>
      <c r="R1056" s="196" t="s">
        <v>2168</v>
      </c>
      <c r="S1056" s="45"/>
      <c r="T1056" s="220">
        <v>28.0</v>
      </c>
      <c r="U1056" s="198"/>
    </row>
    <row r="1057" ht="22.5" customHeight="1">
      <c r="A1057" s="199"/>
      <c r="B1057" s="212" t="s">
        <v>217</v>
      </c>
      <c r="C1057" s="213" t="s">
        <v>136</v>
      </c>
      <c r="D1057" s="214" t="s">
        <v>1760</v>
      </c>
      <c r="E1057" s="212" t="s">
        <v>15</v>
      </c>
      <c r="F1057" s="215">
        <v>5.0</v>
      </c>
      <c r="G1057" s="147"/>
      <c r="H1057" s="216">
        <v>100.0</v>
      </c>
      <c r="I1057" s="216">
        <v>500.0</v>
      </c>
      <c r="J1057" s="216">
        <v>10000.0</v>
      </c>
      <c r="K1057" s="216">
        <v>0.0</v>
      </c>
      <c r="L1057" s="217">
        <v>46304.0</v>
      </c>
      <c r="M1057" s="217">
        <v>46335.0</v>
      </c>
      <c r="N1057" s="215">
        <v>1.0</v>
      </c>
      <c r="O1057" s="215">
        <v>-1292.0</v>
      </c>
      <c r="P1057" s="215">
        <v>1322.0</v>
      </c>
      <c r="Q1057" s="203"/>
      <c r="R1057" s="218" t="s">
        <v>2169</v>
      </c>
      <c r="S1057" s="186"/>
      <c r="T1057" s="215">
        <v>29.0</v>
      </c>
      <c r="U1057" s="204"/>
    </row>
    <row r="1058" ht="22.5" customHeight="1">
      <c r="A1058" s="205"/>
      <c r="B1058" s="193" t="s">
        <v>198</v>
      </c>
      <c r="C1058" s="226" t="s">
        <v>136</v>
      </c>
      <c r="D1058" s="194" t="s">
        <v>2101</v>
      </c>
      <c r="E1058" s="193" t="s">
        <v>17</v>
      </c>
      <c r="F1058" s="220">
        <v>3.0</v>
      </c>
      <c r="G1058" s="150"/>
      <c r="H1058" s="222">
        <v>1500.0</v>
      </c>
      <c r="I1058" s="222">
        <v>4500.0</v>
      </c>
      <c r="J1058" s="222">
        <v>4500.0</v>
      </c>
      <c r="K1058" s="222">
        <v>0.0</v>
      </c>
      <c r="L1058" s="223">
        <v>46315.0</v>
      </c>
      <c r="M1058" s="223">
        <v>46346.0</v>
      </c>
      <c r="N1058" s="220">
        <v>1.0</v>
      </c>
      <c r="O1058" s="220">
        <v>-1281.0</v>
      </c>
      <c r="P1058" s="220">
        <v>1311.0</v>
      </c>
      <c r="Q1058" s="209"/>
      <c r="R1058" s="196" t="s">
        <v>2170</v>
      </c>
      <c r="S1058" s="45"/>
      <c r="T1058" s="220">
        <v>30.0</v>
      </c>
      <c r="U1058" s="198"/>
    </row>
    <row r="1059" ht="22.5" customHeight="1">
      <c r="A1059" s="211" t="s">
        <v>2171</v>
      </c>
      <c r="B1059" s="212" t="s">
        <v>223</v>
      </c>
      <c r="C1059" s="213" t="s">
        <v>136</v>
      </c>
      <c r="D1059" s="214" t="s">
        <v>1760</v>
      </c>
      <c r="E1059" s="212" t="s">
        <v>15</v>
      </c>
      <c r="F1059" s="228" t="s">
        <v>2172</v>
      </c>
      <c r="G1059" s="210"/>
      <c r="H1059" s="216">
        <v>100.0</v>
      </c>
      <c r="I1059" s="216">
        <v>500.0</v>
      </c>
      <c r="J1059" s="216">
        <v>10000.0</v>
      </c>
      <c r="K1059" s="237" t="s">
        <v>2173</v>
      </c>
      <c r="L1059" s="217">
        <v>46319.0</v>
      </c>
      <c r="M1059" s="217">
        <v>46350.0</v>
      </c>
      <c r="N1059" s="215">
        <v>0.0</v>
      </c>
      <c r="O1059" s="215">
        <v>-1277.0</v>
      </c>
      <c r="P1059" s="215">
        <v>1307.0</v>
      </c>
      <c r="Q1059" s="232">
        <v>46255.0</v>
      </c>
      <c r="R1059" s="218" t="s">
        <v>2174</v>
      </c>
      <c r="S1059" s="186"/>
      <c r="T1059" s="215">
        <v>31.0</v>
      </c>
      <c r="U1059" s="204"/>
    </row>
    <row r="1060" ht="22.5" customHeight="1">
      <c r="A1060" s="205"/>
      <c r="B1060" s="193" t="s">
        <v>221</v>
      </c>
      <c r="C1060" s="226" t="s">
        <v>136</v>
      </c>
      <c r="D1060" s="194" t="s">
        <v>1760</v>
      </c>
      <c r="E1060" s="193" t="s">
        <v>15</v>
      </c>
      <c r="F1060" s="220">
        <v>5.0</v>
      </c>
      <c r="G1060" s="150"/>
      <c r="H1060" s="222">
        <v>100.0</v>
      </c>
      <c r="I1060" s="222">
        <v>500.0</v>
      </c>
      <c r="J1060" s="222">
        <v>10000.0</v>
      </c>
      <c r="K1060" s="222">
        <v>0.0</v>
      </c>
      <c r="L1060" s="223">
        <v>46320.0</v>
      </c>
      <c r="M1060" s="223">
        <v>46351.0</v>
      </c>
      <c r="N1060" s="220">
        <v>1.0</v>
      </c>
      <c r="O1060" s="220">
        <v>-1276.0</v>
      </c>
      <c r="P1060" s="220">
        <v>1306.0</v>
      </c>
      <c r="Q1060" s="238">
        <v>46255.0</v>
      </c>
      <c r="R1060" s="196" t="s">
        <v>2175</v>
      </c>
      <c r="S1060" s="45"/>
      <c r="T1060" s="220">
        <v>32.0</v>
      </c>
      <c r="U1060" s="198"/>
    </row>
    <row r="1061" ht="22.5" customHeight="1">
      <c r="A1061" s="199"/>
      <c r="B1061" s="212" t="s">
        <v>203</v>
      </c>
      <c r="C1061" s="213" t="s">
        <v>136</v>
      </c>
      <c r="D1061" s="214" t="s">
        <v>1676</v>
      </c>
      <c r="E1061" s="212" t="s">
        <v>17</v>
      </c>
      <c r="F1061" s="215">
        <v>2.0</v>
      </c>
      <c r="G1061" s="147"/>
      <c r="H1061" s="216">
        <v>2250.0</v>
      </c>
      <c r="I1061" s="216">
        <v>4500.0</v>
      </c>
      <c r="J1061" s="216">
        <v>1000.0</v>
      </c>
      <c r="K1061" s="216">
        <v>0.0</v>
      </c>
      <c r="L1061" s="217">
        <v>46322.0</v>
      </c>
      <c r="M1061" s="217">
        <v>46353.0</v>
      </c>
      <c r="N1061" s="215">
        <v>1.0</v>
      </c>
      <c r="O1061" s="215">
        <v>-1274.0</v>
      </c>
      <c r="P1061" s="215">
        <v>1304.0</v>
      </c>
      <c r="Q1061" s="203"/>
      <c r="R1061" s="218" t="s">
        <v>2176</v>
      </c>
      <c r="S1061" s="186"/>
      <c r="T1061" s="215">
        <v>33.0</v>
      </c>
      <c r="U1061" s="204"/>
    </row>
    <row r="1062" ht="22.5" customHeight="1">
      <c r="A1062" s="205"/>
      <c r="B1062" s="193" t="s">
        <v>194</v>
      </c>
      <c r="C1062" s="226" t="s">
        <v>136</v>
      </c>
      <c r="D1062" s="194" t="s">
        <v>2177</v>
      </c>
      <c r="E1062" s="193" t="s">
        <v>15</v>
      </c>
      <c r="F1062" s="220">
        <v>4.0</v>
      </c>
      <c r="G1062" s="150"/>
      <c r="H1062" s="222">
        <v>100.0</v>
      </c>
      <c r="I1062" s="222">
        <v>400.0</v>
      </c>
      <c r="J1062" s="222">
        <v>8000.0</v>
      </c>
      <c r="K1062" s="222">
        <v>0.0</v>
      </c>
      <c r="L1062" s="223">
        <v>46317.0</v>
      </c>
      <c r="M1062" s="223">
        <v>46348.0</v>
      </c>
      <c r="N1062" s="220">
        <v>1.0</v>
      </c>
      <c r="O1062" s="220">
        <v>-1279.0</v>
      </c>
      <c r="P1062" s="220">
        <v>1309.0</v>
      </c>
      <c r="Q1062" s="209"/>
      <c r="R1062" s="196" t="s">
        <v>2178</v>
      </c>
      <c r="S1062" s="45"/>
      <c r="T1062" s="220">
        <v>34.0</v>
      </c>
      <c r="U1062" s="198"/>
    </row>
    <row r="1063" ht="22.5" customHeight="1">
      <c r="A1063" s="199"/>
      <c r="B1063" s="212" t="s">
        <v>209</v>
      </c>
      <c r="C1063" s="213" t="s">
        <v>136</v>
      </c>
      <c r="D1063" s="214" t="s">
        <v>2101</v>
      </c>
      <c r="E1063" s="212" t="s">
        <v>17</v>
      </c>
      <c r="F1063" s="215">
        <v>3.0</v>
      </c>
      <c r="G1063" s="147"/>
      <c r="H1063" s="216">
        <v>2000.0</v>
      </c>
      <c r="I1063" s="216">
        <v>6000.0</v>
      </c>
      <c r="J1063" s="216">
        <v>6000.0</v>
      </c>
      <c r="K1063" s="237" t="s">
        <v>2179</v>
      </c>
      <c r="L1063" s="217">
        <v>46305.0</v>
      </c>
      <c r="M1063" s="217">
        <v>46336.0</v>
      </c>
      <c r="N1063" s="215">
        <v>1.0</v>
      </c>
      <c r="O1063" s="215">
        <v>-1291.0</v>
      </c>
      <c r="P1063" s="215">
        <v>1321.0</v>
      </c>
      <c r="Q1063" s="203"/>
      <c r="R1063" s="218" t="s">
        <v>2180</v>
      </c>
      <c r="S1063" s="186"/>
      <c r="T1063" s="215">
        <v>35.0</v>
      </c>
      <c r="U1063" s="204"/>
    </row>
    <row r="1064" ht="22.5" customHeight="1">
      <c r="A1064" s="205"/>
      <c r="B1064" s="193" t="s">
        <v>229</v>
      </c>
      <c r="C1064" s="226" t="s">
        <v>136</v>
      </c>
      <c r="D1064" s="194" t="s">
        <v>1760</v>
      </c>
      <c r="E1064" s="193" t="s">
        <v>15</v>
      </c>
      <c r="F1064" s="220">
        <v>5.0</v>
      </c>
      <c r="G1064" s="221"/>
      <c r="H1064" s="222">
        <v>100.0</v>
      </c>
      <c r="I1064" s="222">
        <v>500.0</v>
      </c>
      <c r="J1064" s="222">
        <v>10000.0</v>
      </c>
      <c r="K1064" s="197" t="s">
        <v>1909</v>
      </c>
      <c r="L1064" s="223">
        <v>46323.0</v>
      </c>
      <c r="M1064" s="223">
        <v>46354.0</v>
      </c>
      <c r="N1064" s="220">
        <v>0.0</v>
      </c>
      <c r="O1064" s="220">
        <v>-1273.0</v>
      </c>
      <c r="P1064" s="220">
        <v>1303.0</v>
      </c>
      <c r="Q1064" s="209"/>
      <c r="R1064" s="196" t="s">
        <v>2181</v>
      </c>
      <c r="S1064" s="45"/>
      <c r="T1064" s="220">
        <v>36.0</v>
      </c>
      <c r="U1064" s="198"/>
    </row>
    <row r="1065" ht="22.5" customHeight="1">
      <c r="A1065" s="199"/>
      <c r="B1065" s="212" t="s">
        <v>231</v>
      </c>
      <c r="C1065" s="213" t="s">
        <v>136</v>
      </c>
      <c r="D1065" s="214" t="s">
        <v>1782</v>
      </c>
      <c r="E1065" s="212" t="s">
        <v>15</v>
      </c>
      <c r="F1065" s="215">
        <v>1.0</v>
      </c>
      <c r="G1065" s="210"/>
      <c r="H1065" s="216">
        <v>100.0</v>
      </c>
      <c r="I1065" s="216">
        <v>150.0</v>
      </c>
      <c r="J1065" s="216">
        <v>3000.0</v>
      </c>
      <c r="K1065" s="216">
        <v>0.0</v>
      </c>
      <c r="L1065" s="217">
        <v>46325.0</v>
      </c>
      <c r="M1065" s="217">
        <v>46356.0</v>
      </c>
      <c r="N1065" s="215">
        <v>1.0</v>
      </c>
      <c r="O1065" s="215">
        <v>-1271.0</v>
      </c>
      <c r="P1065" s="215">
        <v>1301.0</v>
      </c>
      <c r="Q1065" s="203"/>
      <c r="R1065" s="218" t="s">
        <v>2182</v>
      </c>
      <c r="S1065" s="186"/>
      <c r="T1065" s="215">
        <v>37.0</v>
      </c>
      <c r="U1065" s="204"/>
    </row>
    <row r="1066" ht="22.5" customHeight="1">
      <c r="A1066" s="205"/>
      <c r="B1066" s="193" t="s">
        <v>184</v>
      </c>
      <c r="C1066" s="226" t="s">
        <v>136</v>
      </c>
      <c r="D1066" s="194" t="s">
        <v>1760</v>
      </c>
      <c r="E1066" s="193" t="s">
        <v>15</v>
      </c>
      <c r="F1066" s="220">
        <v>5.0</v>
      </c>
      <c r="G1066" s="150"/>
      <c r="H1066" s="222">
        <v>100.0</v>
      </c>
      <c r="I1066" s="222">
        <v>475.0</v>
      </c>
      <c r="J1066" s="222">
        <v>0.0</v>
      </c>
      <c r="K1066" s="222">
        <v>0.0</v>
      </c>
      <c r="L1066" s="223">
        <v>46316.0</v>
      </c>
      <c r="M1066" s="223">
        <v>46347.0</v>
      </c>
      <c r="N1066" s="220">
        <v>1.0</v>
      </c>
      <c r="O1066" s="220">
        <v>-1280.0</v>
      </c>
      <c r="P1066" s="220">
        <v>1310.0</v>
      </c>
      <c r="Q1066" s="209"/>
      <c r="R1066" s="196" t="s">
        <v>2183</v>
      </c>
      <c r="S1066" s="45"/>
      <c r="T1066" s="220">
        <v>38.0</v>
      </c>
      <c r="U1066" s="198"/>
    </row>
    <row r="1067" ht="22.5" customHeight="1">
      <c r="A1067" s="199"/>
      <c r="B1067" s="212" t="s">
        <v>215</v>
      </c>
      <c r="C1067" s="213" t="s">
        <v>136</v>
      </c>
      <c r="D1067" s="214" t="s">
        <v>1760</v>
      </c>
      <c r="E1067" s="212" t="s">
        <v>15</v>
      </c>
      <c r="F1067" s="215">
        <v>5.0</v>
      </c>
      <c r="G1067" s="147"/>
      <c r="H1067" s="216">
        <v>120.0</v>
      </c>
      <c r="I1067" s="216">
        <v>500.0</v>
      </c>
      <c r="J1067" s="216">
        <v>10000.0</v>
      </c>
      <c r="K1067" s="216">
        <v>0.0</v>
      </c>
      <c r="L1067" s="217">
        <v>46304.0</v>
      </c>
      <c r="M1067" s="217">
        <v>46335.0</v>
      </c>
      <c r="N1067" s="215">
        <v>1.0</v>
      </c>
      <c r="O1067" s="215">
        <v>-1292.0</v>
      </c>
      <c r="P1067" s="215">
        <v>1322.0</v>
      </c>
      <c r="Q1067" s="203"/>
      <c r="R1067" s="218" t="s">
        <v>2184</v>
      </c>
      <c r="S1067" s="186"/>
      <c r="T1067" s="215">
        <v>39.0</v>
      </c>
      <c r="U1067" s="204"/>
    </row>
    <row r="1068" ht="22.5" customHeight="1">
      <c r="A1068" s="205"/>
      <c r="B1068" s="193" t="s">
        <v>192</v>
      </c>
      <c r="C1068" s="226" t="s">
        <v>136</v>
      </c>
      <c r="D1068" s="194" t="s">
        <v>2101</v>
      </c>
      <c r="E1068" s="193" t="s">
        <v>17</v>
      </c>
      <c r="F1068" s="220">
        <v>3.0</v>
      </c>
      <c r="G1068" s="150"/>
      <c r="H1068" s="222">
        <v>2000.0</v>
      </c>
      <c r="I1068" s="222">
        <v>6000.0</v>
      </c>
      <c r="J1068" s="222">
        <v>6000.0</v>
      </c>
      <c r="K1068" s="197" t="s">
        <v>2185</v>
      </c>
      <c r="L1068" s="223">
        <v>46305.0</v>
      </c>
      <c r="M1068" s="208"/>
      <c r="N1068" s="220">
        <v>1.0</v>
      </c>
      <c r="O1068" s="150"/>
      <c r="P1068" s="220">
        <v>30.0</v>
      </c>
      <c r="Q1068" s="209"/>
      <c r="R1068" s="196" t="s">
        <v>2186</v>
      </c>
      <c r="S1068" s="45"/>
      <c r="T1068" s="220">
        <v>40.0</v>
      </c>
      <c r="U1068" s="198"/>
    </row>
    <row r="1069" ht="22.5" customHeight="1">
      <c r="A1069" s="199"/>
      <c r="B1069" s="212" t="s">
        <v>227</v>
      </c>
      <c r="C1069" s="213" t="s">
        <v>136</v>
      </c>
      <c r="D1069" s="214" t="s">
        <v>1760</v>
      </c>
      <c r="E1069" s="212" t="s">
        <v>15</v>
      </c>
      <c r="F1069" s="215">
        <v>5.0</v>
      </c>
      <c r="G1069" s="210"/>
      <c r="H1069" s="216">
        <v>100.0</v>
      </c>
      <c r="I1069" s="216">
        <v>500.0</v>
      </c>
      <c r="J1069" s="216">
        <v>10000.0</v>
      </c>
      <c r="K1069" s="216">
        <v>0.0</v>
      </c>
      <c r="L1069" s="217">
        <v>46325.0</v>
      </c>
      <c r="M1069" s="217">
        <v>46356.0</v>
      </c>
      <c r="N1069" s="215">
        <v>1.0</v>
      </c>
      <c r="O1069" s="215">
        <v>-1271.0</v>
      </c>
      <c r="P1069" s="215">
        <v>1301.0</v>
      </c>
      <c r="Q1069" s="203"/>
      <c r="R1069" s="218" t="s">
        <v>2187</v>
      </c>
      <c r="S1069" s="186"/>
      <c r="T1069" s="215">
        <v>41.0</v>
      </c>
      <c r="U1069" s="204"/>
    </row>
    <row r="1070" ht="22.5" customHeight="1">
      <c r="A1070" s="205"/>
      <c r="B1070" s="193" t="s">
        <v>142</v>
      </c>
      <c r="C1070" s="226" t="s">
        <v>136</v>
      </c>
      <c r="D1070" s="194" t="s">
        <v>1965</v>
      </c>
      <c r="E1070" s="193" t="s">
        <v>15</v>
      </c>
      <c r="F1070" s="220">
        <v>6.0</v>
      </c>
      <c r="G1070" s="150"/>
      <c r="H1070" s="222">
        <v>120.0</v>
      </c>
      <c r="I1070" s="222">
        <v>600.0</v>
      </c>
      <c r="J1070" s="222">
        <v>12000.0</v>
      </c>
      <c r="K1070" s="222">
        <v>0.0</v>
      </c>
      <c r="L1070" s="223">
        <v>46297.0</v>
      </c>
      <c r="M1070" s="223">
        <v>46328.0</v>
      </c>
      <c r="N1070" s="220">
        <v>1.0</v>
      </c>
      <c r="O1070" s="220">
        <v>-1299.0</v>
      </c>
      <c r="P1070" s="220">
        <v>1329.0</v>
      </c>
      <c r="Q1070" s="209"/>
      <c r="R1070" s="196" t="s">
        <v>2188</v>
      </c>
      <c r="S1070" s="45"/>
      <c r="T1070" s="220">
        <v>42.0</v>
      </c>
      <c r="U1070" s="198"/>
    </row>
    <row r="1071" ht="22.5" hidden="1" customHeight="1">
      <c r="A1071" s="199"/>
      <c r="B1071" s="212" t="s">
        <v>923</v>
      </c>
      <c r="C1071" s="240" t="s">
        <v>597</v>
      </c>
      <c r="D1071" s="236"/>
      <c r="E1071" s="203"/>
      <c r="F1071" s="147"/>
      <c r="G1071" s="186"/>
      <c r="H1071" s="201"/>
      <c r="I1071" s="237" t="s">
        <v>924</v>
      </c>
      <c r="J1071" s="216">
        <v>138850.0</v>
      </c>
      <c r="K1071" s="216">
        <v>0.0</v>
      </c>
      <c r="L1071" s="202"/>
      <c r="M1071" s="202"/>
      <c r="N1071" s="147"/>
      <c r="O1071" s="147"/>
      <c r="P1071" s="147"/>
      <c r="Q1071" s="203"/>
      <c r="R1071" s="186"/>
      <c r="S1071" s="186"/>
      <c r="T1071" s="147"/>
      <c r="U1071" s="204"/>
    </row>
    <row r="1072" ht="22.5" hidden="1" customHeight="1">
      <c r="A1072" s="205"/>
      <c r="B1072" s="193" t="s">
        <v>558</v>
      </c>
      <c r="C1072" s="241" t="s">
        <v>564</v>
      </c>
      <c r="D1072" s="234"/>
      <c r="E1072" s="234"/>
      <c r="F1072" s="150"/>
      <c r="G1072" s="234"/>
      <c r="H1072" s="207"/>
      <c r="I1072" s="197" t="s">
        <v>925</v>
      </c>
      <c r="J1072" s="222">
        <v>0.0</v>
      </c>
      <c r="K1072" s="207"/>
      <c r="L1072" s="208"/>
      <c r="M1072" s="196" t="s">
        <v>926</v>
      </c>
      <c r="N1072" s="150"/>
      <c r="O1072" s="150"/>
      <c r="P1072" s="150"/>
      <c r="Q1072" s="209"/>
      <c r="R1072" s="234"/>
      <c r="S1072" s="234"/>
      <c r="T1072" s="220">
        <v>42.0</v>
      </c>
      <c r="U1072" s="198"/>
    </row>
    <row r="1073" ht="22.5" hidden="1" customHeight="1">
      <c r="A1073" s="199"/>
      <c r="B1073" s="212" t="s">
        <v>696</v>
      </c>
      <c r="C1073" s="232" t="s">
        <v>1116</v>
      </c>
      <c r="D1073" s="236"/>
      <c r="E1073" s="236"/>
      <c r="F1073" s="147"/>
      <c r="G1073" s="236"/>
      <c r="H1073" s="201"/>
      <c r="I1073" s="237" t="s">
        <v>928</v>
      </c>
      <c r="J1073" s="216">
        <v>7687.5</v>
      </c>
      <c r="K1073" s="201"/>
      <c r="L1073" s="202"/>
      <c r="M1073" s="202"/>
      <c r="N1073" s="147"/>
      <c r="O1073" s="147"/>
      <c r="P1073" s="147"/>
      <c r="Q1073" s="203"/>
      <c r="R1073" s="236"/>
      <c r="S1073" s="236"/>
      <c r="T1073" s="147"/>
      <c r="U1073" s="204"/>
    </row>
    <row r="1074" ht="22.5" hidden="1" customHeight="1">
      <c r="A1074" s="205"/>
      <c r="B1074" s="82"/>
      <c r="C1074" s="206"/>
      <c r="D1074" s="206"/>
      <c r="E1074" s="206"/>
      <c r="F1074" s="150"/>
      <c r="G1074" s="45"/>
      <c r="H1074" s="207"/>
      <c r="I1074" s="207"/>
      <c r="J1074" s="207"/>
      <c r="K1074" s="207"/>
      <c r="L1074" s="208"/>
      <c r="M1074" s="208"/>
      <c r="N1074" s="150"/>
      <c r="O1074" s="150"/>
      <c r="P1074" s="150"/>
      <c r="Q1074" s="209"/>
      <c r="R1074" s="45"/>
      <c r="S1074" s="45"/>
      <c r="T1074" s="150"/>
      <c r="U1074" s="198"/>
    </row>
    <row r="1075" ht="22.5" hidden="1" customHeight="1">
      <c r="A1075" s="199"/>
      <c r="B1075" s="146"/>
      <c r="C1075" s="200"/>
      <c r="D1075" s="200"/>
      <c r="E1075" s="200"/>
      <c r="F1075" s="147"/>
      <c r="G1075" s="186"/>
      <c r="H1075" s="201"/>
      <c r="I1075" s="201"/>
      <c r="J1075" s="201"/>
      <c r="K1075" s="201"/>
      <c r="L1075" s="202"/>
      <c r="M1075" s="202"/>
      <c r="N1075" s="147"/>
      <c r="O1075" s="147"/>
      <c r="P1075" s="147"/>
      <c r="Q1075" s="203"/>
      <c r="R1075" s="186"/>
      <c r="S1075" s="186"/>
      <c r="T1075" s="147"/>
      <c r="U1075" s="204"/>
    </row>
    <row r="1076" ht="22.5" hidden="1" customHeight="1">
      <c r="A1076" s="205"/>
      <c r="B1076" s="82"/>
      <c r="C1076" s="206"/>
      <c r="D1076" s="206"/>
      <c r="E1076" s="206"/>
      <c r="F1076" s="150"/>
      <c r="G1076" s="45"/>
      <c r="H1076" s="207"/>
      <c r="I1076" s="207"/>
      <c r="J1076" s="207"/>
      <c r="K1076" s="207"/>
      <c r="L1076" s="208"/>
      <c r="M1076" s="208"/>
      <c r="N1076" s="150"/>
      <c r="O1076" s="150"/>
      <c r="P1076" s="150"/>
      <c r="Q1076" s="209"/>
      <c r="R1076" s="45"/>
      <c r="S1076" s="45"/>
      <c r="T1076" s="150"/>
      <c r="U1076" s="198"/>
    </row>
    <row r="1077" ht="22.5" hidden="1" customHeight="1">
      <c r="A1077" s="199"/>
      <c r="B1077" s="146"/>
      <c r="C1077" s="200"/>
      <c r="D1077" s="200"/>
      <c r="E1077" s="200"/>
      <c r="F1077" s="147"/>
      <c r="G1077" s="186"/>
      <c r="H1077" s="201"/>
      <c r="I1077" s="201"/>
      <c r="J1077" s="201"/>
      <c r="K1077" s="201"/>
      <c r="L1077" s="202"/>
      <c r="M1077" s="202"/>
      <c r="N1077" s="147"/>
      <c r="O1077" s="147"/>
      <c r="P1077" s="147"/>
      <c r="Q1077" s="203"/>
      <c r="R1077" s="186"/>
      <c r="S1077" s="186"/>
      <c r="T1077" s="147"/>
      <c r="U1077" s="204"/>
    </row>
    <row r="1078" ht="22.5" hidden="1" customHeight="1">
      <c r="A1078" s="192" t="s">
        <v>181</v>
      </c>
      <c r="B1078" s="193" t="s">
        <v>132</v>
      </c>
      <c r="C1078" s="193" t="s">
        <v>131</v>
      </c>
      <c r="D1078" s="194" t="s">
        <v>870</v>
      </c>
      <c r="E1078" s="193" t="s">
        <v>7</v>
      </c>
      <c r="F1078" s="195" t="s">
        <v>871</v>
      </c>
      <c r="G1078" s="193" t="s">
        <v>872</v>
      </c>
      <c r="H1078" s="197" t="s">
        <v>8</v>
      </c>
      <c r="I1078" s="197" t="s">
        <v>873</v>
      </c>
      <c r="J1078" s="197" t="s">
        <v>17</v>
      </c>
      <c r="K1078" s="197" t="s">
        <v>874</v>
      </c>
      <c r="L1078" s="196" t="s">
        <v>875</v>
      </c>
      <c r="M1078" s="196" t="s">
        <v>876</v>
      </c>
      <c r="N1078" s="195" t="s">
        <v>877</v>
      </c>
      <c r="O1078" s="195" t="s">
        <v>878</v>
      </c>
      <c r="P1078" s="195" t="s">
        <v>879</v>
      </c>
      <c r="Q1078" s="196" t="s">
        <v>880</v>
      </c>
      <c r="R1078" s="196" t="s">
        <v>881</v>
      </c>
      <c r="S1078" s="196" t="s">
        <v>882</v>
      </c>
      <c r="T1078" s="195" t="s">
        <v>557</v>
      </c>
      <c r="U1078" s="198"/>
    </row>
    <row r="1079" ht="22.5" customHeight="1">
      <c r="A1079" s="199"/>
      <c r="B1079" s="212" t="s">
        <v>211</v>
      </c>
      <c r="C1079" s="213" t="s">
        <v>136</v>
      </c>
      <c r="D1079" s="214" t="s">
        <v>2137</v>
      </c>
      <c r="E1079" s="212" t="s">
        <v>15</v>
      </c>
      <c r="F1079" s="215">
        <v>1.0</v>
      </c>
      <c r="G1079" s="147"/>
      <c r="H1079" s="216">
        <v>150.0</v>
      </c>
      <c r="I1079" s="216">
        <v>150.0</v>
      </c>
      <c r="J1079" s="216">
        <v>3000.0</v>
      </c>
      <c r="K1079" s="216">
        <v>0.0</v>
      </c>
      <c r="L1079" s="217">
        <v>46278.0</v>
      </c>
      <c r="M1079" s="217">
        <v>46308.0</v>
      </c>
      <c r="N1079" s="215">
        <v>1.0</v>
      </c>
      <c r="O1079" s="215">
        <v>-1319.0</v>
      </c>
      <c r="P1079" s="215">
        <v>1349.0</v>
      </c>
      <c r="Q1079" s="203"/>
      <c r="R1079" s="218" t="s">
        <v>2189</v>
      </c>
      <c r="S1079" s="186"/>
      <c r="T1079" s="215">
        <v>13.0</v>
      </c>
      <c r="U1079" s="204"/>
    </row>
    <row r="1080" ht="22.5" customHeight="1">
      <c r="A1080" s="205"/>
      <c r="B1080" s="193" t="s">
        <v>207</v>
      </c>
      <c r="C1080" s="226" t="s">
        <v>136</v>
      </c>
      <c r="D1080" s="194" t="s">
        <v>1983</v>
      </c>
      <c r="E1080" s="194" t="s">
        <v>17</v>
      </c>
      <c r="F1080" s="220">
        <v>5.0</v>
      </c>
      <c r="G1080" s="150"/>
      <c r="H1080" s="222">
        <v>1350.0</v>
      </c>
      <c r="I1080" s="222">
        <v>6750.0</v>
      </c>
      <c r="J1080" s="222">
        <v>6750.0</v>
      </c>
      <c r="K1080" s="222">
        <v>0.0</v>
      </c>
      <c r="L1080" s="223">
        <v>46282.0</v>
      </c>
      <c r="M1080" s="223">
        <v>46312.0</v>
      </c>
      <c r="N1080" s="220">
        <v>1.0</v>
      </c>
      <c r="O1080" s="220">
        <v>-1315.0</v>
      </c>
      <c r="P1080" s="220">
        <v>1345.0</v>
      </c>
      <c r="Q1080" s="209"/>
      <c r="R1080" s="196" t="s">
        <v>2190</v>
      </c>
      <c r="S1080" s="45"/>
      <c r="T1080" s="220">
        <v>14.0</v>
      </c>
      <c r="U1080" s="198"/>
    </row>
    <row r="1081" ht="22.5" customHeight="1">
      <c r="A1081" s="199"/>
      <c r="B1081" s="212" t="s">
        <v>201</v>
      </c>
      <c r="C1081" s="213" t="s">
        <v>136</v>
      </c>
      <c r="D1081" s="214" t="s">
        <v>2077</v>
      </c>
      <c r="E1081" s="212" t="s">
        <v>17</v>
      </c>
      <c r="F1081" s="215">
        <v>4.0</v>
      </c>
      <c r="G1081" s="147"/>
      <c r="H1081" s="216">
        <v>2000.0</v>
      </c>
      <c r="I1081" s="216">
        <v>8000.0</v>
      </c>
      <c r="J1081" s="216">
        <v>8000.0</v>
      </c>
      <c r="K1081" s="216">
        <v>0.0</v>
      </c>
      <c r="L1081" s="217">
        <v>46274.0</v>
      </c>
      <c r="M1081" s="217">
        <v>46304.0</v>
      </c>
      <c r="N1081" s="215">
        <v>1.0</v>
      </c>
      <c r="O1081" s="215">
        <v>-1323.0</v>
      </c>
      <c r="P1081" s="215">
        <v>1353.0</v>
      </c>
      <c r="Q1081" s="203"/>
      <c r="R1081" s="218" t="s">
        <v>2191</v>
      </c>
      <c r="S1081" s="186"/>
      <c r="T1081" s="215">
        <v>15.0</v>
      </c>
      <c r="U1081" s="204"/>
    </row>
    <row r="1082" ht="22.5" customHeight="1">
      <c r="A1082" s="205"/>
      <c r="B1082" s="193" t="s">
        <v>186</v>
      </c>
      <c r="C1082" s="226" t="s">
        <v>136</v>
      </c>
      <c r="D1082" s="194" t="s">
        <v>2030</v>
      </c>
      <c r="E1082" s="193" t="s">
        <v>187</v>
      </c>
      <c r="F1082" s="220">
        <v>2.0</v>
      </c>
      <c r="G1082" s="221"/>
      <c r="H1082" s="197" t="s">
        <v>2031</v>
      </c>
      <c r="I1082" s="222">
        <v>2000.0</v>
      </c>
      <c r="J1082" s="222">
        <v>10600.0</v>
      </c>
      <c r="K1082" s="197" t="s">
        <v>2192</v>
      </c>
      <c r="L1082" s="223">
        <v>46275.0</v>
      </c>
      <c r="M1082" s="223">
        <v>46305.0</v>
      </c>
      <c r="N1082" s="220">
        <v>1.0</v>
      </c>
      <c r="O1082" s="220">
        <v>-1322.0</v>
      </c>
      <c r="P1082" s="220">
        <v>1352.0</v>
      </c>
      <c r="Q1082" s="238">
        <v>46255.0</v>
      </c>
      <c r="R1082" s="196" t="s">
        <v>2193</v>
      </c>
      <c r="S1082" s="45"/>
      <c r="T1082" s="220">
        <v>16.0</v>
      </c>
      <c r="U1082" s="198"/>
    </row>
    <row r="1083" ht="22.5" customHeight="1">
      <c r="A1083" s="199"/>
      <c r="B1083" s="212" t="s">
        <v>198</v>
      </c>
      <c r="C1083" s="213" t="s">
        <v>136</v>
      </c>
      <c r="D1083" s="214" t="s">
        <v>2194</v>
      </c>
      <c r="E1083" s="212" t="s">
        <v>17</v>
      </c>
      <c r="F1083" s="215">
        <v>4.0</v>
      </c>
      <c r="G1083" s="147"/>
      <c r="H1083" s="216">
        <v>1500.0</v>
      </c>
      <c r="I1083" s="216">
        <v>6000.0</v>
      </c>
      <c r="J1083" s="216">
        <v>6000.0</v>
      </c>
      <c r="K1083" s="216">
        <v>0.0</v>
      </c>
      <c r="L1083" s="217">
        <v>46285.0</v>
      </c>
      <c r="M1083" s="217">
        <v>46315.0</v>
      </c>
      <c r="N1083" s="215">
        <v>1.0</v>
      </c>
      <c r="O1083" s="215">
        <v>-1312.0</v>
      </c>
      <c r="P1083" s="215">
        <v>1342.0</v>
      </c>
      <c r="Q1083" s="203"/>
      <c r="R1083" s="218" t="s">
        <v>2195</v>
      </c>
      <c r="S1083" s="186"/>
      <c r="T1083" s="215">
        <v>17.0</v>
      </c>
      <c r="U1083" s="204"/>
    </row>
    <row r="1084" ht="22.5" customHeight="1">
      <c r="A1084" s="205"/>
      <c r="B1084" s="193" t="s">
        <v>203</v>
      </c>
      <c r="C1084" s="226" t="s">
        <v>136</v>
      </c>
      <c r="D1084" s="194" t="s">
        <v>1676</v>
      </c>
      <c r="E1084" s="193" t="s">
        <v>17</v>
      </c>
      <c r="F1084" s="220">
        <v>2.0</v>
      </c>
      <c r="G1084" s="150"/>
      <c r="H1084" s="222">
        <v>2250.0</v>
      </c>
      <c r="I1084" s="222">
        <v>4000.0</v>
      </c>
      <c r="J1084" s="222">
        <v>4000.0</v>
      </c>
      <c r="K1084" s="222">
        <v>0.0</v>
      </c>
      <c r="L1084" s="223">
        <v>46292.0</v>
      </c>
      <c r="M1084" s="223">
        <v>46322.0</v>
      </c>
      <c r="N1084" s="220">
        <v>1.0</v>
      </c>
      <c r="O1084" s="220">
        <v>-1305.0</v>
      </c>
      <c r="P1084" s="220">
        <v>1335.0</v>
      </c>
      <c r="Q1084" s="209"/>
      <c r="R1084" s="196" t="s">
        <v>2196</v>
      </c>
      <c r="S1084" s="45"/>
      <c r="T1084" s="220">
        <v>18.0</v>
      </c>
      <c r="U1084" s="198"/>
    </row>
    <row r="1085" ht="22.5" customHeight="1">
      <c r="A1085" s="199"/>
      <c r="B1085" s="212" t="s">
        <v>194</v>
      </c>
      <c r="C1085" s="213" t="s">
        <v>136</v>
      </c>
      <c r="D1085" s="214" t="s">
        <v>2177</v>
      </c>
      <c r="E1085" s="212" t="s">
        <v>15</v>
      </c>
      <c r="F1085" s="215">
        <v>4.0</v>
      </c>
      <c r="G1085" s="147"/>
      <c r="H1085" s="216">
        <v>100.0</v>
      </c>
      <c r="I1085" s="216">
        <v>400.0</v>
      </c>
      <c r="J1085" s="216">
        <v>8200.0</v>
      </c>
      <c r="K1085" s="216">
        <v>0.0</v>
      </c>
      <c r="L1085" s="217">
        <v>46287.0</v>
      </c>
      <c r="M1085" s="217">
        <v>46317.0</v>
      </c>
      <c r="N1085" s="215">
        <v>1.0</v>
      </c>
      <c r="O1085" s="215">
        <v>-1310.0</v>
      </c>
      <c r="P1085" s="215">
        <v>1340.0</v>
      </c>
      <c r="Q1085" s="203"/>
      <c r="R1085" s="218" t="s">
        <v>2197</v>
      </c>
      <c r="S1085" s="186"/>
      <c r="T1085" s="215">
        <v>19.0</v>
      </c>
      <c r="U1085" s="204"/>
    </row>
    <row r="1086" ht="22.5" customHeight="1">
      <c r="A1086" s="192" t="s">
        <v>2198</v>
      </c>
      <c r="B1086" s="193" t="s">
        <v>209</v>
      </c>
      <c r="C1086" s="219" t="s">
        <v>684</v>
      </c>
      <c r="D1086" s="194" t="s">
        <v>2101</v>
      </c>
      <c r="E1086" s="193" t="s">
        <v>17</v>
      </c>
      <c r="F1086" s="220">
        <v>3.0</v>
      </c>
      <c r="G1086" s="150"/>
      <c r="H1086" s="222">
        <v>2000.0</v>
      </c>
      <c r="I1086" s="222">
        <v>6000.0</v>
      </c>
      <c r="J1086" s="207"/>
      <c r="K1086" s="207"/>
      <c r="L1086" s="223">
        <v>46287.0</v>
      </c>
      <c r="M1086" s="223">
        <v>46317.0</v>
      </c>
      <c r="N1086" s="150"/>
      <c r="O1086" s="220">
        <v>-1310.0</v>
      </c>
      <c r="P1086" s="220">
        <v>1340.0</v>
      </c>
      <c r="Q1086" s="209"/>
      <c r="R1086" s="196" t="s">
        <v>2199</v>
      </c>
      <c r="S1086" s="45"/>
      <c r="T1086" s="220">
        <v>20.0</v>
      </c>
      <c r="U1086" s="198"/>
    </row>
    <row r="1087" ht="22.5" customHeight="1">
      <c r="A1087" s="199"/>
      <c r="B1087" s="212" t="s">
        <v>192</v>
      </c>
      <c r="C1087" s="213" t="s">
        <v>136</v>
      </c>
      <c r="D1087" s="214" t="s">
        <v>2101</v>
      </c>
      <c r="E1087" s="212" t="s">
        <v>17</v>
      </c>
      <c r="F1087" s="215">
        <v>3.0</v>
      </c>
      <c r="G1087" s="147"/>
      <c r="H1087" s="216">
        <v>2000.0</v>
      </c>
      <c r="I1087" s="216">
        <v>6000.0</v>
      </c>
      <c r="J1087" s="216">
        <v>6000.0</v>
      </c>
      <c r="K1087" s="216">
        <v>0.0</v>
      </c>
      <c r="L1087" s="217">
        <v>46275.0</v>
      </c>
      <c r="M1087" s="217">
        <v>46305.0</v>
      </c>
      <c r="N1087" s="215">
        <v>1.0</v>
      </c>
      <c r="O1087" s="215">
        <v>-1322.0</v>
      </c>
      <c r="P1087" s="215">
        <v>1352.0</v>
      </c>
      <c r="Q1087" s="203"/>
      <c r="R1087" s="218" t="s">
        <v>2200</v>
      </c>
      <c r="S1087" s="186"/>
      <c r="T1087" s="215">
        <v>21.0</v>
      </c>
      <c r="U1087" s="204"/>
    </row>
    <row r="1088" ht="22.5" customHeight="1">
      <c r="A1088" s="205"/>
      <c r="B1088" s="193" t="s">
        <v>142</v>
      </c>
      <c r="C1088" s="226" t="s">
        <v>136</v>
      </c>
      <c r="D1088" s="194" t="s">
        <v>1965</v>
      </c>
      <c r="E1088" s="193" t="s">
        <v>15</v>
      </c>
      <c r="F1088" s="220">
        <v>6.0</v>
      </c>
      <c r="G1088" s="150"/>
      <c r="H1088" s="222">
        <v>120.0</v>
      </c>
      <c r="I1088" s="222">
        <v>598.0</v>
      </c>
      <c r="J1088" s="222">
        <v>11960.0</v>
      </c>
      <c r="K1088" s="222">
        <v>0.0</v>
      </c>
      <c r="L1088" s="223">
        <v>46267.0</v>
      </c>
      <c r="M1088" s="223">
        <v>46297.0</v>
      </c>
      <c r="N1088" s="220">
        <v>1.0</v>
      </c>
      <c r="O1088" s="220">
        <v>-1330.0</v>
      </c>
      <c r="P1088" s="220">
        <v>1360.0</v>
      </c>
      <c r="Q1088" s="209"/>
      <c r="R1088" s="196" t="s">
        <v>2201</v>
      </c>
      <c r="S1088" s="45"/>
      <c r="T1088" s="220">
        <v>22.0</v>
      </c>
      <c r="U1088" s="198"/>
    </row>
    <row r="1089" ht="22.5" hidden="1" customHeight="1">
      <c r="A1089" s="199"/>
      <c r="B1089" s="212" t="s">
        <v>923</v>
      </c>
      <c r="C1089" s="240" t="s">
        <v>575</v>
      </c>
      <c r="D1089" s="236"/>
      <c r="E1089" s="203"/>
      <c r="F1089" s="147"/>
      <c r="G1089" s="186"/>
      <c r="H1089" s="201"/>
      <c r="I1089" s="237" t="s">
        <v>924</v>
      </c>
      <c r="J1089" s="216">
        <v>64510.0</v>
      </c>
      <c r="K1089" s="216">
        <v>0.0</v>
      </c>
      <c r="L1089" s="202"/>
      <c r="M1089" s="202"/>
      <c r="N1089" s="147"/>
      <c r="O1089" s="147"/>
      <c r="P1089" s="147"/>
      <c r="Q1089" s="203"/>
      <c r="R1089" s="186"/>
      <c r="S1089" s="186"/>
      <c r="T1089" s="147"/>
      <c r="U1089" s="204"/>
    </row>
    <row r="1090" ht="22.5" hidden="1" customHeight="1">
      <c r="A1090" s="205"/>
      <c r="B1090" s="193" t="s">
        <v>558</v>
      </c>
      <c r="C1090" s="241" t="s">
        <v>562</v>
      </c>
      <c r="D1090" s="234"/>
      <c r="E1090" s="234"/>
      <c r="F1090" s="150"/>
      <c r="G1090" s="234"/>
      <c r="H1090" s="207"/>
      <c r="I1090" s="197" t="s">
        <v>925</v>
      </c>
      <c r="J1090" s="222">
        <v>0.0</v>
      </c>
      <c r="K1090" s="207"/>
      <c r="L1090" s="208"/>
      <c r="M1090" s="196" t="s">
        <v>926</v>
      </c>
      <c r="N1090" s="150"/>
      <c r="O1090" s="150"/>
      <c r="P1090" s="150"/>
      <c r="Q1090" s="209"/>
      <c r="R1090" s="234"/>
      <c r="S1090" s="234"/>
      <c r="T1090" s="220">
        <v>22.0</v>
      </c>
      <c r="U1090" s="198"/>
    </row>
    <row r="1091" ht="22.5" hidden="1" customHeight="1">
      <c r="A1091" s="199"/>
      <c r="B1091" s="212" t="s">
        <v>696</v>
      </c>
      <c r="C1091" s="232" t="s">
        <v>1155</v>
      </c>
      <c r="D1091" s="236"/>
      <c r="E1091" s="236"/>
      <c r="F1091" s="147"/>
      <c r="G1091" s="236"/>
      <c r="H1091" s="201"/>
      <c r="I1091" s="237" t="s">
        <v>928</v>
      </c>
      <c r="J1091" s="216">
        <v>7687.5</v>
      </c>
      <c r="K1091" s="201"/>
      <c r="L1091" s="202"/>
      <c r="M1091" s="202"/>
      <c r="N1091" s="147"/>
      <c r="O1091" s="147"/>
      <c r="P1091" s="147"/>
      <c r="Q1091" s="203"/>
      <c r="R1091" s="236"/>
      <c r="S1091" s="184"/>
      <c r="T1091" s="147"/>
      <c r="U1091" s="204"/>
    </row>
    <row r="1092" ht="22.5" hidden="1" customHeight="1">
      <c r="A1092" s="205"/>
      <c r="B1092" s="82"/>
      <c r="C1092" s="206"/>
      <c r="D1092" s="206"/>
      <c r="E1092" s="206"/>
      <c r="F1092" s="150"/>
      <c r="G1092" s="45"/>
      <c r="H1092" s="207"/>
      <c r="I1092" s="207"/>
      <c r="J1092" s="207"/>
      <c r="K1092" s="207"/>
      <c r="L1092" s="208"/>
      <c r="M1092" s="208"/>
      <c r="N1092" s="150"/>
      <c r="O1092" s="150"/>
      <c r="P1092" s="150"/>
      <c r="Q1092" s="209"/>
      <c r="R1092" s="45"/>
      <c r="S1092" s="45"/>
      <c r="T1092" s="150"/>
      <c r="U1092" s="198"/>
    </row>
    <row r="1093" ht="22.5" hidden="1" customHeight="1">
      <c r="A1093" s="199"/>
      <c r="B1093" s="146"/>
      <c r="C1093" s="200"/>
      <c r="D1093" s="200"/>
      <c r="E1093" s="200"/>
      <c r="F1093" s="147"/>
      <c r="G1093" s="186"/>
      <c r="H1093" s="201"/>
      <c r="I1093" s="201"/>
      <c r="J1093" s="201"/>
      <c r="K1093" s="201"/>
      <c r="L1093" s="202"/>
      <c r="M1093" s="202"/>
      <c r="N1093" s="147"/>
      <c r="O1093" s="147"/>
      <c r="P1093" s="147"/>
      <c r="Q1093" s="203"/>
      <c r="R1093" s="186"/>
      <c r="S1093" s="186"/>
      <c r="T1093" s="147"/>
      <c r="U1093" s="204"/>
    </row>
    <row r="1094" ht="22.5" hidden="1" customHeight="1">
      <c r="A1094" s="205"/>
      <c r="B1094" s="82"/>
      <c r="C1094" s="206"/>
      <c r="D1094" s="206"/>
      <c r="E1094" s="206"/>
      <c r="F1094" s="150"/>
      <c r="G1094" s="45"/>
      <c r="H1094" s="207"/>
      <c r="I1094" s="207"/>
      <c r="J1094" s="207"/>
      <c r="K1094" s="207"/>
      <c r="L1094" s="208"/>
      <c r="M1094" s="208"/>
      <c r="N1094" s="150"/>
      <c r="O1094" s="150"/>
      <c r="P1094" s="150"/>
      <c r="Q1094" s="209"/>
      <c r="R1094" s="45"/>
      <c r="S1094" s="45"/>
      <c r="T1094" s="150"/>
      <c r="U1094" s="198"/>
    </row>
    <row r="1095" ht="22.5" hidden="1" customHeight="1">
      <c r="A1095" s="199"/>
      <c r="B1095" s="146"/>
      <c r="C1095" s="200"/>
      <c r="D1095" s="200"/>
      <c r="E1095" s="200"/>
      <c r="F1095" s="147"/>
      <c r="G1095" s="186"/>
      <c r="H1095" s="201"/>
      <c r="I1095" s="201"/>
      <c r="J1095" s="201"/>
      <c r="K1095" s="201"/>
      <c r="L1095" s="202"/>
      <c r="M1095" s="202"/>
      <c r="N1095" s="147"/>
      <c r="O1095" s="147"/>
      <c r="P1095" s="147"/>
      <c r="Q1095" s="203"/>
      <c r="R1095" s="186"/>
      <c r="S1095" s="186"/>
      <c r="T1095" s="147"/>
      <c r="U1095" s="204"/>
    </row>
    <row r="1096" ht="22.5" hidden="1" customHeight="1">
      <c r="A1096" s="192" t="s">
        <v>181</v>
      </c>
      <c r="B1096" s="193" t="s">
        <v>132</v>
      </c>
      <c r="C1096" s="193" t="s">
        <v>131</v>
      </c>
      <c r="D1096" s="194" t="s">
        <v>870</v>
      </c>
      <c r="E1096" s="193" t="s">
        <v>7</v>
      </c>
      <c r="F1096" s="195" t="s">
        <v>871</v>
      </c>
      <c r="G1096" s="193" t="s">
        <v>872</v>
      </c>
      <c r="H1096" s="197" t="s">
        <v>8</v>
      </c>
      <c r="I1096" s="197" t="s">
        <v>873</v>
      </c>
      <c r="J1096" s="197" t="s">
        <v>17</v>
      </c>
      <c r="K1096" s="197" t="s">
        <v>874</v>
      </c>
      <c r="L1096" s="196" t="s">
        <v>875</v>
      </c>
      <c r="M1096" s="196" t="s">
        <v>876</v>
      </c>
      <c r="N1096" s="195" t="s">
        <v>877</v>
      </c>
      <c r="O1096" s="195" t="s">
        <v>878</v>
      </c>
      <c r="P1096" s="195" t="s">
        <v>879</v>
      </c>
      <c r="Q1096" s="196" t="s">
        <v>880</v>
      </c>
      <c r="R1096" s="196" t="s">
        <v>881</v>
      </c>
      <c r="S1096" s="196" t="s">
        <v>882</v>
      </c>
      <c r="T1096" s="195" t="s">
        <v>557</v>
      </c>
      <c r="U1096" s="198"/>
    </row>
    <row r="1097" ht="22.5" customHeight="1">
      <c r="A1097" s="211">
        <v>1.0</v>
      </c>
      <c r="B1097" s="212" t="s">
        <v>205</v>
      </c>
      <c r="C1097" s="213" t="s">
        <v>136</v>
      </c>
      <c r="D1097" s="214" t="s">
        <v>2202</v>
      </c>
      <c r="E1097" s="212" t="s">
        <v>17</v>
      </c>
      <c r="F1097" s="215">
        <v>4.0</v>
      </c>
      <c r="G1097" s="147"/>
      <c r="H1097" s="216">
        <v>2000.0</v>
      </c>
      <c r="I1097" s="216">
        <v>9000.0</v>
      </c>
      <c r="J1097" s="216">
        <v>9000.0</v>
      </c>
      <c r="K1097" s="216">
        <v>0.0</v>
      </c>
      <c r="L1097" s="217">
        <v>46250.0</v>
      </c>
      <c r="M1097" s="217">
        <v>46281.0</v>
      </c>
      <c r="N1097" s="215">
        <v>1.0</v>
      </c>
      <c r="O1097" s="215">
        <v>-1346.0</v>
      </c>
      <c r="P1097" s="215">
        <v>1376.0</v>
      </c>
      <c r="Q1097" s="203"/>
      <c r="R1097" s="218" t="s">
        <v>2203</v>
      </c>
      <c r="S1097" s="186"/>
      <c r="T1097" s="215">
        <v>1.0</v>
      </c>
      <c r="U1097" s="204"/>
    </row>
    <row r="1098" ht="22.5" customHeight="1">
      <c r="A1098" s="192">
        <v>1.0</v>
      </c>
      <c r="B1098" s="193" t="s">
        <v>207</v>
      </c>
      <c r="C1098" s="226" t="s">
        <v>136</v>
      </c>
      <c r="D1098" s="194" t="s">
        <v>1983</v>
      </c>
      <c r="E1098" s="194" t="s">
        <v>17</v>
      </c>
      <c r="F1098" s="220">
        <v>5.0</v>
      </c>
      <c r="G1098" s="150"/>
      <c r="H1098" s="222">
        <v>1350.0</v>
      </c>
      <c r="I1098" s="222">
        <v>6750.0</v>
      </c>
      <c r="J1098" s="222">
        <v>6750.0</v>
      </c>
      <c r="K1098" s="222">
        <v>0.0</v>
      </c>
      <c r="L1098" s="223">
        <v>46251.0</v>
      </c>
      <c r="M1098" s="223">
        <v>46282.0</v>
      </c>
      <c r="N1098" s="220">
        <v>1.0</v>
      </c>
      <c r="O1098" s="220">
        <v>-1345.0</v>
      </c>
      <c r="P1098" s="220">
        <v>1375.0</v>
      </c>
      <c r="Q1098" s="209"/>
      <c r="R1098" s="196" t="s">
        <v>2204</v>
      </c>
      <c r="S1098" s="45"/>
      <c r="T1098" s="220">
        <v>2.0</v>
      </c>
      <c r="U1098" s="198"/>
    </row>
    <row r="1099" ht="22.5" customHeight="1">
      <c r="A1099" s="211">
        <v>1.0</v>
      </c>
      <c r="B1099" s="212" t="s">
        <v>201</v>
      </c>
      <c r="C1099" s="213" t="s">
        <v>136</v>
      </c>
      <c r="D1099" s="214" t="s">
        <v>2101</v>
      </c>
      <c r="E1099" s="212" t="s">
        <v>17</v>
      </c>
      <c r="F1099" s="215">
        <v>3.0</v>
      </c>
      <c r="G1099" s="147"/>
      <c r="H1099" s="216">
        <v>2000.0</v>
      </c>
      <c r="I1099" s="216">
        <v>6000.0</v>
      </c>
      <c r="J1099" s="216">
        <v>6000.0</v>
      </c>
      <c r="K1099" s="216">
        <v>0.0</v>
      </c>
      <c r="L1099" s="217">
        <v>46243.0</v>
      </c>
      <c r="M1099" s="217">
        <v>46274.0</v>
      </c>
      <c r="N1099" s="215">
        <v>1.0</v>
      </c>
      <c r="O1099" s="215">
        <v>-1353.0</v>
      </c>
      <c r="P1099" s="215">
        <v>1383.0</v>
      </c>
      <c r="Q1099" s="203"/>
      <c r="R1099" s="218" t="s">
        <v>2205</v>
      </c>
      <c r="S1099" s="186"/>
      <c r="T1099" s="215">
        <v>3.0</v>
      </c>
      <c r="U1099" s="204"/>
    </row>
    <row r="1100" ht="22.5" customHeight="1">
      <c r="A1100" s="205"/>
      <c r="B1100" s="193" t="s">
        <v>186</v>
      </c>
      <c r="C1100" s="226" t="s">
        <v>136</v>
      </c>
      <c r="D1100" s="194" t="s">
        <v>2030</v>
      </c>
      <c r="E1100" s="193" t="s">
        <v>187</v>
      </c>
      <c r="F1100" s="220">
        <v>2.0</v>
      </c>
      <c r="G1100" s="221"/>
      <c r="H1100" s="197" t="s">
        <v>2031</v>
      </c>
      <c r="I1100" s="222">
        <v>2000.0</v>
      </c>
      <c r="J1100" s="222">
        <v>10600.0</v>
      </c>
      <c r="K1100" s="197" t="s">
        <v>2192</v>
      </c>
      <c r="L1100" s="223">
        <v>46244.0</v>
      </c>
      <c r="M1100" s="223">
        <v>46275.0</v>
      </c>
      <c r="N1100" s="220">
        <v>1.0</v>
      </c>
      <c r="O1100" s="220">
        <v>-1352.0</v>
      </c>
      <c r="P1100" s="220">
        <v>1382.0</v>
      </c>
      <c r="Q1100" s="238">
        <v>46255.0</v>
      </c>
      <c r="R1100" s="196" t="s">
        <v>2206</v>
      </c>
      <c r="S1100" s="45"/>
      <c r="T1100" s="220">
        <v>4.0</v>
      </c>
      <c r="U1100" s="198"/>
    </row>
    <row r="1101" ht="22.5" customHeight="1">
      <c r="A1101" s="211" t="s">
        <v>2207</v>
      </c>
      <c r="B1101" s="212" t="s">
        <v>196</v>
      </c>
      <c r="C1101" s="213" t="s">
        <v>136</v>
      </c>
      <c r="D1101" s="214" t="s">
        <v>2101</v>
      </c>
      <c r="E1101" s="212" t="s">
        <v>17</v>
      </c>
      <c r="F1101" s="215">
        <v>3.0</v>
      </c>
      <c r="G1101" s="147"/>
      <c r="H1101" s="216">
        <v>2100.0</v>
      </c>
      <c r="I1101" s="216">
        <v>6300.0</v>
      </c>
      <c r="J1101" s="216">
        <v>6300.0</v>
      </c>
      <c r="K1101" s="216">
        <v>0.0</v>
      </c>
      <c r="L1101" s="217">
        <v>46257.0</v>
      </c>
      <c r="M1101" s="217">
        <v>46288.0</v>
      </c>
      <c r="N1101" s="215">
        <v>1.0</v>
      </c>
      <c r="O1101" s="215">
        <v>-1339.0</v>
      </c>
      <c r="P1101" s="215">
        <v>1369.0</v>
      </c>
      <c r="Q1101" s="203"/>
      <c r="R1101" s="218" t="s">
        <v>2208</v>
      </c>
      <c r="S1101" s="186"/>
      <c r="T1101" s="215">
        <v>5.0</v>
      </c>
      <c r="U1101" s="204"/>
    </row>
    <row r="1102" ht="22.5" customHeight="1">
      <c r="A1102" s="192">
        <v>1.0</v>
      </c>
      <c r="B1102" s="193" t="s">
        <v>198</v>
      </c>
      <c r="C1102" s="226" t="s">
        <v>136</v>
      </c>
      <c r="D1102" s="194" t="s">
        <v>2101</v>
      </c>
      <c r="E1102" s="193" t="s">
        <v>17</v>
      </c>
      <c r="F1102" s="220">
        <v>3.0</v>
      </c>
      <c r="G1102" s="150"/>
      <c r="H1102" s="222">
        <v>2000.0</v>
      </c>
      <c r="I1102" s="222">
        <v>6000.0</v>
      </c>
      <c r="J1102" s="222">
        <v>3825.0</v>
      </c>
      <c r="K1102" s="222">
        <v>0.0</v>
      </c>
      <c r="L1102" s="223">
        <v>46254.0</v>
      </c>
      <c r="M1102" s="223">
        <v>46285.0</v>
      </c>
      <c r="N1102" s="220">
        <v>1.0</v>
      </c>
      <c r="O1102" s="220">
        <v>-1342.0</v>
      </c>
      <c r="P1102" s="220">
        <v>1372.0</v>
      </c>
      <c r="Q1102" s="209"/>
      <c r="R1102" s="196" t="s">
        <v>2209</v>
      </c>
      <c r="S1102" s="45"/>
      <c r="T1102" s="220">
        <v>6.0</v>
      </c>
      <c r="U1102" s="198"/>
    </row>
    <row r="1103" ht="22.5" customHeight="1">
      <c r="A1103" s="211">
        <v>1.0</v>
      </c>
      <c r="B1103" s="212" t="s">
        <v>203</v>
      </c>
      <c r="C1103" s="213" t="s">
        <v>136</v>
      </c>
      <c r="D1103" s="214" t="s">
        <v>1676</v>
      </c>
      <c r="E1103" s="212" t="s">
        <v>17</v>
      </c>
      <c r="F1103" s="215">
        <v>2.0</v>
      </c>
      <c r="G1103" s="147"/>
      <c r="H1103" s="216">
        <v>2250.0</v>
      </c>
      <c r="I1103" s="216">
        <v>4500.0</v>
      </c>
      <c r="J1103" s="216">
        <v>4000.0</v>
      </c>
      <c r="K1103" s="216">
        <v>0.0</v>
      </c>
      <c r="L1103" s="217">
        <v>46261.0</v>
      </c>
      <c r="M1103" s="217">
        <v>46292.0</v>
      </c>
      <c r="N1103" s="215">
        <v>1.0</v>
      </c>
      <c r="O1103" s="215">
        <v>-1335.0</v>
      </c>
      <c r="P1103" s="215">
        <v>1365.0</v>
      </c>
      <c r="Q1103" s="203"/>
      <c r="R1103" s="218" t="s">
        <v>2210</v>
      </c>
      <c r="S1103" s="186"/>
      <c r="T1103" s="215">
        <v>7.0</v>
      </c>
      <c r="U1103" s="204"/>
    </row>
    <row r="1104" ht="22.5" customHeight="1">
      <c r="A1104" s="192">
        <v>1.0</v>
      </c>
      <c r="B1104" s="193" t="s">
        <v>194</v>
      </c>
      <c r="C1104" s="226" t="s">
        <v>136</v>
      </c>
      <c r="D1104" s="194" t="s">
        <v>2177</v>
      </c>
      <c r="E1104" s="193" t="s">
        <v>15</v>
      </c>
      <c r="F1104" s="220">
        <v>4.0</v>
      </c>
      <c r="G1104" s="150"/>
      <c r="H1104" s="222">
        <v>100.0</v>
      </c>
      <c r="I1104" s="222">
        <v>375.0</v>
      </c>
      <c r="J1104" s="222">
        <v>7687.5</v>
      </c>
      <c r="K1104" s="222">
        <v>7687.5</v>
      </c>
      <c r="L1104" s="223">
        <v>46256.0</v>
      </c>
      <c r="M1104" s="223">
        <v>46287.0</v>
      </c>
      <c r="N1104" s="220">
        <v>0.0</v>
      </c>
      <c r="O1104" s="220">
        <v>-1340.0</v>
      </c>
      <c r="P1104" s="220">
        <v>1370.0</v>
      </c>
      <c r="Q1104" s="209"/>
      <c r="R1104" s="196" t="s">
        <v>2211</v>
      </c>
      <c r="S1104" s="45"/>
      <c r="T1104" s="220">
        <v>8.0</v>
      </c>
      <c r="U1104" s="198"/>
    </row>
    <row r="1105" ht="22.5" customHeight="1">
      <c r="A1105" s="211">
        <v>1.0</v>
      </c>
      <c r="B1105" s="212" t="s">
        <v>209</v>
      </c>
      <c r="C1105" s="213" t="s">
        <v>136</v>
      </c>
      <c r="D1105" s="214" t="s">
        <v>2101</v>
      </c>
      <c r="E1105" s="212" t="s">
        <v>17</v>
      </c>
      <c r="F1105" s="215">
        <v>3.0</v>
      </c>
      <c r="G1105" s="147"/>
      <c r="H1105" s="216">
        <v>2000.0</v>
      </c>
      <c r="I1105" s="216">
        <v>6000.0</v>
      </c>
      <c r="J1105" s="216">
        <v>6000.0</v>
      </c>
      <c r="K1105" s="216">
        <v>0.0</v>
      </c>
      <c r="L1105" s="217">
        <v>46256.0</v>
      </c>
      <c r="M1105" s="217">
        <v>46287.0</v>
      </c>
      <c r="N1105" s="215">
        <v>1.0</v>
      </c>
      <c r="O1105" s="215">
        <v>-1340.0</v>
      </c>
      <c r="P1105" s="215">
        <v>1370.0</v>
      </c>
      <c r="Q1105" s="203"/>
      <c r="R1105" s="218" t="s">
        <v>2212</v>
      </c>
      <c r="S1105" s="186"/>
      <c r="T1105" s="215">
        <v>9.0</v>
      </c>
      <c r="U1105" s="204"/>
    </row>
    <row r="1106" ht="22.5" customHeight="1">
      <c r="A1106" s="192">
        <v>1.0</v>
      </c>
      <c r="B1106" s="193" t="s">
        <v>192</v>
      </c>
      <c r="C1106" s="226" t="s">
        <v>136</v>
      </c>
      <c r="D1106" s="194" t="s">
        <v>2101</v>
      </c>
      <c r="E1106" s="193" t="s">
        <v>17</v>
      </c>
      <c r="F1106" s="220">
        <v>3.0</v>
      </c>
      <c r="G1106" s="150"/>
      <c r="H1106" s="222">
        <v>1600.0</v>
      </c>
      <c r="I1106" s="222">
        <v>4800.0</v>
      </c>
      <c r="J1106" s="222">
        <v>4800.0</v>
      </c>
      <c r="K1106" s="222">
        <v>0.0</v>
      </c>
      <c r="L1106" s="223">
        <v>46244.0</v>
      </c>
      <c r="M1106" s="223">
        <v>46275.0</v>
      </c>
      <c r="N1106" s="220">
        <v>1.0</v>
      </c>
      <c r="O1106" s="220">
        <v>-1352.0</v>
      </c>
      <c r="P1106" s="220">
        <v>1382.0</v>
      </c>
      <c r="Q1106" s="209"/>
      <c r="R1106" s="196" t="s">
        <v>2213</v>
      </c>
      <c r="S1106" s="45"/>
      <c r="T1106" s="220">
        <v>10.0</v>
      </c>
      <c r="U1106" s="198"/>
    </row>
    <row r="1107" ht="22.5" customHeight="1">
      <c r="A1107" s="199"/>
      <c r="B1107" s="212" t="s">
        <v>189</v>
      </c>
      <c r="C1107" s="214" t="s">
        <v>489</v>
      </c>
      <c r="D1107" s="200"/>
      <c r="E1107" s="200"/>
      <c r="F1107" s="147"/>
      <c r="G1107" s="147"/>
      <c r="H1107" s="201"/>
      <c r="I1107" s="201"/>
      <c r="J1107" s="201"/>
      <c r="K1107" s="201"/>
      <c r="L1107" s="202"/>
      <c r="M1107" s="217">
        <v>46052.0</v>
      </c>
      <c r="N1107" s="147"/>
      <c r="O1107" s="215">
        <v>-46135.0</v>
      </c>
      <c r="P1107" s="147"/>
      <c r="Q1107" s="203"/>
      <c r="R1107" s="218" t="s">
        <v>2214</v>
      </c>
      <c r="S1107" s="186"/>
      <c r="T1107" s="215">
        <v>11.0</v>
      </c>
      <c r="U1107" s="204"/>
    </row>
    <row r="1108" ht="22.5" customHeight="1">
      <c r="A1108" s="192">
        <v>1.0</v>
      </c>
      <c r="B1108" s="193" t="s">
        <v>142</v>
      </c>
      <c r="C1108" s="226" t="s">
        <v>136</v>
      </c>
      <c r="D1108" s="194" t="s">
        <v>1760</v>
      </c>
      <c r="E1108" s="193" t="s">
        <v>15</v>
      </c>
      <c r="F1108" s="220">
        <v>5.0</v>
      </c>
      <c r="G1108" s="150"/>
      <c r="H1108" s="222">
        <v>120.0</v>
      </c>
      <c r="I1108" s="222">
        <v>498.0</v>
      </c>
      <c r="J1108" s="222">
        <v>9960.0</v>
      </c>
      <c r="K1108" s="222">
        <v>0.0</v>
      </c>
      <c r="L1108" s="223">
        <v>46236.0</v>
      </c>
      <c r="M1108" s="223">
        <v>46267.0</v>
      </c>
      <c r="N1108" s="220">
        <v>1.0</v>
      </c>
      <c r="O1108" s="220">
        <v>-1360.0</v>
      </c>
      <c r="P1108" s="220">
        <v>1390.0</v>
      </c>
      <c r="Q1108" s="209"/>
      <c r="R1108" s="196" t="s">
        <v>2215</v>
      </c>
      <c r="S1108" s="45"/>
      <c r="T1108" s="220">
        <v>12.0</v>
      </c>
      <c r="U1108" s="198"/>
    </row>
    <row r="1109" ht="22.5" hidden="1" customHeight="1">
      <c r="A1109" s="199"/>
      <c r="B1109" s="212" t="s">
        <v>923</v>
      </c>
      <c r="C1109" s="240" t="s">
        <v>579</v>
      </c>
      <c r="D1109" s="236"/>
      <c r="E1109" s="203"/>
      <c r="F1109" s="147"/>
      <c r="G1109" s="186"/>
      <c r="H1109" s="201"/>
      <c r="I1109" s="237" t="s">
        <v>924</v>
      </c>
      <c r="J1109" s="216">
        <v>74922.5</v>
      </c>
      <c r="K1109" s="216">
        <v>7687.5</v>
      </c>
      <c r="L1109" s="202"/>
      <c r="M1109" s="202"/>
      <c r="N1109" s="147"/>
      <c r="O1109" s="147"/>
      <c r="P1109" s="147"/>
      <c r="Q1109" s="203"/>
      <c r="R1109" s="186"/>
      <c r="S1109" s="186"/>
      <c r="T1109" s="147"/>
      <c r="U1109" s="204"/>
    </row>
    <row r="1110" ht="22.5" hidden="1" customHeight="1">
      <c r="A1110" s="205"/>
      <c r="B1110" s="193" t="s">
        <v>558</v>
      </c>
      <c r="C1110" s="241" t="s">
        <v>560</v>
      </c>
      <c r="D1110" s="234"/>
      <c r="E1110" s="234"/>
      <c r="F1110" s="150"/>
      <c r="G1110" s="234"/>
      <c r="H1110" s="207"/>
      <c r="I1110" s="197" t="s">
        <v>925</v>
      </c>
      <c r="J1110" s="222">
        <v>92250.0</v>
      </c>
      <c r="K1110" s="207"/>
      <c r="L1110" s="208"/>
      <c r="M1110" s="196" t="s">
        <v>926</v>
      </c>
      <c r="N1110" s="150"/>
      <c r="O1110" s="150"/>
      <c r="P1110" s="150"/>
      <c r="Q1110" s="209"/>
      <c r="R1110" s="234"/>
      <c r="S1110" s="234"/>
      <c r="T1110" s="220">
        <v>12.0</v>
      </c>
      <c r="U1110" s="198"/>
    </row>
    <row r="1111" ht="22.5" hidden="1" customHeight="1">
      <c r="A1111" s="199"/>
      <c r="B1111" s="212" t="s">
        <v>696</v>
      </c>
      <c r="C1111" s="232" t="s">
        <v>1192</v>
      </c>
      <c r="D1111" s="236"/>
      <c r="E1111" s="236"/>
      <c r="F1111" s="147"/>
      <c r="G1111" s="236"/>
      <c r="H1111" s="201"/>
      <c r="I1111" s="237" t="s">
        <v>928</v>
      </c>
      <c r="J1111" s="216">
        <v>7687.5</v>
      </c>
      <c r="K1111" s="201"/>
      <c r="L1111" s="202"/>
      <c r="M1111" s="202"/>
      <c r="N1111" s="147"/>
      <c r="O1111" s="147"/>
      <c r="P1111" s="147"/>
      <c r="Q1111" s="203"/>
      <c r="R1111" s="236"/>
      <c r="S1111" s="236"/>
      <c r="T1111" s="147"/>
      <c r="U1111" s="204"/>
    </row>
    <row r="1112" ht="22.5" hidden="1" customHeight="1">
      <c r="A1112" s="205"/>
      <c r="B1112" s="82"/>
      <c r="C1112" s="206"/>
      <c r="D1112" s="206"/>
      <c r="E1112" s="206"/>
      <c r="F1112" s="150"/>
      <c r="G1112" s="45"/>
      <c r="H1112" s="207"/>
      <c r="I1112" s="207"/>
      <c r="J1112" s="207"/>
      <c r="K1112" s="207"/>
      <c r="L1112" s="208"/>
      <c r="M1112" s="208"/>
      <c r="N1112" s="150"/>
      <c r="O1112" s="150"/>
      <c r="P1112" s="150"/>
      <c r="Q1112" s="209"/>
      <c r="R1112" s="45"/>
      <c r="S1112" s="45"/>
      <c r="T1112" s="150"/>
      <c r="U1112" s="198"/>
    </row>
    <row r="1113" ht="22.5" hidden="1" customHeight="1">
      <c r="A1113" s="199"/>
      <c r="B1113" s="146"/>
      <c r="C1113" s="200"/>
      <c r="D1113" s="200"/>
      <c r="E1113" s="200"/>
      <c r="F1113" s="147"/>
      <c r="G1113" s="186"/>
      <c r="H1113" s="201"/>
      <c r="I1113" s="201"/>
      <c r="J1113" s="201"/>
      <c r="K1113" s="201"/>
      <c r="L1113" s="202"/>
      <c r="M1113" s="202"/>
      <c r="N1113" s="147"/>
      <c r="O1113" s="147"/>
      <c r="P1113" s="147"/>
      <c r="Q1113" s="203"/>
      <c r="R1113" s="186"/>
      <c r="S1113" s="186"/>
      <c r="T1113" s="147"/>
      <c r="U1113" s="204"/>
    </row>
    <row r="1114" ht="22.5" hidden="1" customHeight="1">
      <c r="A1114" s="205"/>
      <c r="B1114" s="82"/>
      <c r="C1114" s="206"/>
      <c r="D1114" s="206"/>
      <c r="E1114" s="206"/>
      <c r="F1114" s="150"/>
      <c r="G1114" s="45"/>
      <c r="H1114" s="207"/>
      <c r="I1114" s="207"/>
      <c r="J1114" s="207"/>
      <c r="K1114" s="207"/>
      <c r="L1114" s="208"/>
      <c r="M1114" s="208"/>
      <c r="N1114" s="150"/>
      <c r="O1114" s="150"/>
      <c r="P1114" s="150"/>
      <c r="Q1114" s="209"/>
      <c r="R1114" s="45"/>
      <c r="S1114" s="45"/>
      <c r="T1114" s="150"/>
      <c r="U1114" s="198"/>
    </row>
    <row r="1115" ht="22.5" hidden="1" customHeight="1">
      <c r="A1115" s="199"/>
      <c r="B1115" s="146"/>
      <c r="C1115" s="200"/>
      <c r="D1115" s="200"/>
      <c r="E1115" s="200"/>
      <c r="F1115" s="147"/>
      <c r="G1115" s="186"/>
      <c r="H1115" s="201"/>
      <c r="I1115" s="201"/>
      <c r="J1115" s="201"/>
      <c r="K1115" s="201"/>
      <c r="L1115" s="202"/>
      <c r="M1115" s="202"/>
      <c r="N1115" s="147"/>
      <c r="O1115" s="147"/>
      <c r="P1115" s="147"/>
      <c r="Q1115" s="203"/>
      <c r="R1115" s="186"/>
      <c r="S1115" s="186"/>
      <c r="T1115" s="147"/>
      <c r="U1115" s="204"/>
    </row>
    <row r="1116" ht="22.5" hidden="1" customHeight="1">
      <c r="A1116" s="205"/>
      <c r="B1116" s="82"/>
      <c r="C1116" s="206"/>
      <c r="D1116" s="206"/>
      <c r="E1116" s="206"/>
      <c r="F1116" s="150"/>
      <c r="G1116" s="45"/>
      <c r="H1116" s="207"/>
      <c r="I1116" s="207"/>
      <c r="J1116" s="207"/>
      <c r="K1116" s="207"/>
      <c r="L1116" s="208"/>
      <c r="M1116" s="208"/>
      <c r="N1116" s="150"/>
      <c r="O1116" s="150"/>
      <c r="P1116" s="150"/>
      <c r="Q1116" s="209"/>
      <c r="R1116" s="45"/>
      <c r="S1116" s="45"/>
      <c r="T1116" s="150"/>
      <c r="U1116" s="198"/>
    </row>
    <row r="1117" ht="22.5" hidden="1" customHeight="1">
      <c r="A1117" s="199"/>
      <c r="B1117" s="146"/>
      <c r="C1117" s="200"/>
      <c r="D1117" s="200"/>
      <c r="E1117" s="200"/>
      <c r="F1117" s="147"/>
      <c r="G1117" s="186"/>
      <c r="H1117" s="201"/>
      <c r="I1117" s="201"/>
      <c r="J1117" s="201"/>
      <c r="K1117" s="201"/>
      <c r="L1117" s="202"/>
      <c r="M1117" s="202"/>
      <c r="N1117" s="147"/>
      <c r="O1117" s="147"/>
      <c r="P1117" s="147"/>
      <c r="Q1117" s="203"/>
      <c r="R1117" s="186"/>
      <c r="S1117" s="186"/>
      <c r="T1117" s="147"/>
      <c r="U1117" s="204"/>
    </row>
    <row r="1118" ht="22.5" hidden="1" customHeight="1">
      <c r="A1118" s="205"/>
      <c r="B1118" s="82"/>
      <c r="C1118" s="206"/>
      <c r="D1118" s="206"/>
      <c r="E1118" s="206"/>
      <c r="F1118" s="150"/>
      <c r="G1118" s="45"/>
      <c r="H1118" s="207"/>
      <c r="I1118" s="207"/>
      <c r="J1118" s="197"/>
      <c r="K1118" s="207"/>
      <c r="L1118" s="208"/>
      <c r="M1118" s="208"/>
      <c r="N1118" s="150"/>
      <c r="O1118" s="150"/>
      <c r="P1118" s="150"/>
      <c r="Q1118" s="209"/>
      <c r="R1118" s="45"/>
      <c r="S1118" s="45"/>
      <c r="T1118" s="150"/>
      <c r="U1118" s="198"/>
    </row>
    <row r="1119" ht="22.5" hidden="1" customHeight="1">
      <c r="A1119" s="199"/>
      <c r="B1119" s="146"/>
      <c r="C1119" s="200"/>
      <c r="D1119" s="200"/>
      <c r="E1119" s="200"/>
      <c r="F1119" s="147"/>
      <c r="G1119" s="186"/>
      <c r="H1119" s="201"/>
      <c r="I1119" s="201"/>
      <c r="J1119" s="253"/>
      <c r="K1119" s="216"/>
      <c r="L1119" s="218"/>
      <c r="M1119" s="217"/>
      <c r="N1119" s="254"/>
      <c r="O1119" s="147"/>
      <c r="P1119" s="147"/>
      <c r="Q1119" s="203"/>
      <c r="R1119" s="186"/>
      <c r="S1119" s="186"/>
      <c r="T1119" s="147"/>
      <c r="U1119" s="204"/>
    </row>
    <row r="1120" ht="22.5" hidden="1" customHeight="1">
      <c r="A1120" s="205"/>
      <c r="B1120" s="82"/>
      <c r="C1120" s="206"/>
      <c r="D1120" s="255"/>
      <c r="E1120" s="255"/>
      <c r="F1120" s="150"/>
      <c r="G1120" s="255"/>
      <c r="H1120" s="207"/>
      <c r="I1120" s="207"/>
      <c r="J1120" s="256"/>
      <c r="K1120" s="222"/>
      <c r="L1120" s="196"/>
      <c r="M1120" s="223"/>
      <c r="N1120" s="249"/>
      <c r="O1120" s="150"/>
      <c r="P1120" s="150"/>
      <c r="Q1120" s="209"/>
      <c r="R1120" s="45"/>
      <c r="S1120" s="45"/>
      <c r="T1120" s="150"/>
      <c r="U1120" s="198"/>
    </row>
    <row r="1121" ht="22.5" hidden="1" customHeight="1">
      <c r="A1121" s="199"/>
      <c r="B1121" s="146"/>
      <c r="C1121" s="200"/>
      <c r="D1121" s="200"/>
      <c r="E1121" s="200"/>
      <c r="F1121" s="147"/>
      <c r="G1121" s="186"/>
      <c r="H1121" s="201"/>
      <c r="I1121" s="201"/>
      <c r="J1121" s="253"/>
      <c r="K1121" s="216"/>
      <c r="L1121" s="218"/>
      <c r="M1121" s="217"/>
      <c r="N1121" s="254"/>
      <c r="O1121" s="147"/>
      <c r="P1121" s="147"/>
      <c r="Q1121" s="203"/>
      <c r="R1121" s="186"/>
      <c r="S1121" s="186"/>
      <c r="T1121" s="147"/>
      <c r="U1121" s="204"/>
    </row>
    <row r="1122" ht="22.5" hidden="1" customHeight="1">
      <c r="A1122" s="205"/>
      <c r="B1122" s="82"/>
      <c r="C1122" s="206"/>
      <c r="D1122" s="206"/>
      <c r="E1122" s="206"/>
      <c r="F1122" s="150"/>
      <c r="G1122" s="45"/>
      <c r="H1122" s="207"/>
      <c r="I1122" s="207"/>
      <c r="J1122" s="256"/>
      <c r="K1122" s="222"/>
      <c r="L1122" s="196"/>
      <c r="M1122" s="223"/>
      <c r="N1122" s="249"/>
      <c r="O1122" s="150"/>
      <c r="P1122" s="150"/>
      <c r="Q1122" s="209"/>
      <c r="R1122" s="45"/>
      <c r="S1122" s="45"/>
      <c r="T1122" s="150"/>
      <c r="U1122" s="198"/>
    </row>
    <row r="1123" ht="22.5" hidden="1" customHeight="1">
      <c r="A1123" s="199"/>
      <c r="B1123" s="146"/>
      <c r="C1123" s="200"/>
      <c r="D1123" s="200"/>
      <c r="E1123" s="200"/>
      <c r="F1123" s="147"/>
      <c r="G1123" s="186"/>
      <c r="H1123" s="201"/>
      <c r="I1123" s="201"/>
      <c r="J1123" s="253"/>
      <c r="K1123" s="216"/>
      <c r="L1123" s="218"/>
      <c r="M1123" s="217"/>
      <c r="N1123" s="254"/>
      <c r="O1123" s="147"/>
      <c r="P1123" s="147"/>
      <c r="Q1123" s="203"/>
      <c r="R1123" s="186"/>
      <c r="S1123" s="186"/>
      <c r="T1123" s="147"/>
      <c r="U1123" s="204"/>
    </row>
    <row r="1124" ht="22.5" hidden="1" customHeight="1">
      <c r="A1124" s="205"/>
      <c r="B1124" s="82"/>
      <c r="C1124" s="206"/>
      <c r="D1124" s="206"/>
      <c r="E1124" s="206"/>
      <c r="F1124" s="150"/>
      <c r="G1124" s="45"/>
      <c r="H1124" s="207"/>
      <c r="I1124" s="207"/>
      <c r="J1124" s="256"/>
      <c r="K1124" s="222"/>
      <c r="L1124" s="196"/>
      <c r="M1124" s="223"/>
      <c r="N1124" s="249"/>
      <c r="O1124" s="150"/>
      <c r="P1124" s="150"/>
      <c r="Q1124" s="209"/>
      <c r="R1124" s="45"/>
      <c r="S1124" s="45"/>
      <c r="T1124" s="150"/>
      <c r="U1124" s="198"/>
    </row>
    <row r="1125" ht="22.5" hidden="1" customHeight="1">
      <c r="A1125" s="199"/>
      <c r="B1125" s="146"/>
      <c r="C1125" s="200"/>
      <c r="D1125" s="200"/>
      <c r="E1125" s="200"/>
      <c r="F1125" s="147"/>
      <c r="G1125" s="186"/>
      <c r="H1125" s="201"/>
      <c r="I1125" s="201"/>
      <c r="J1125" s="253"/>
      <c r="K1125" s="216"/>
      <c r="L1125" s="218"/>
      <c r="M1125" s="217"/>
      <c r="N1125" s="254"/>
      <c r="O1125" s="147"/>
      <c r="P1125" s="147"/>
      <c r="Q1125" s="203"/>
      <c r="R1125" s="186"/>
      <c r="S1125" s="186"/>
      <c r="T1125" s="147"/>
      <c r="U1125" s="204"/>
    </row>
    <row r="1126" ht="22.5" hidden="1" customHeight="1">
      <c r="A1126" s="205"/>
      <c r="B1126" s="82"/>
      <c r="C1126" s="206"/>
      <c r="D1126" s="206"/>
      <c r="E1126" s="206"/>
      <c r="F1126" s="150"/>
      <c r="G1126" s="45"/>
      <c r="H1126" s="207"/>
      <c r="I1126" s="207"/>
      <c r="J1126" s="256"/>
      <c r="K1126" s="222"/>
      <c r="L1126" s="196"/>
      <c r="M1126" s="223"/>
      <c r="N1126" s="249"/>
      <c r="O1126" s="150"/>
      <c r="P1126" s="150"/>
      <c r="Q1126" s="209"/>
      <c r="R1126" s="45"/>
      <c r="S1126" s="45"/>
      <c r="T1126" s="150"/>
      <c r="U1126" s="198"/>
    </row>
    <row r="1127" ht="22.5" hidden="1" customHeight="1">
      <c r="A1127" s="199"/>
      <c r="B1127" s="146"/>
      <c r="C1127" s="200"/>
      <c r="D1127" s="200"/>
      <c r="E1127" s="200"/>
      <c r="F1127" s="147"/>
      <c r="G1127" s="186"/>
      <c r="H1127" s="201"/>
      <c r="I1127" s="201"/>
      <c r="J1127" s="253"/>
      <c r="K1127" s="216"/>
      <c r="L1127" s="218"/>
      <c r="M1127" s="217"/>
      <c r="N1127" s="254"/>
      <c r="O1127" s="147"/>
      <c r="P1127" s="147"/>
      <c r="Q1127" s="203"/>
      <c r="R1127" s="186"/>
      <c r="S1127" s="186"/>
      <c r="T1127" s="147"/>
      <c r="U1127" s="204"/>
    </row>
    <row r="1128" ht="22.5" hidden="1" customHeight="1">
      <c r="A1128" s="205"/>
      <c r="B1128" s="82"/>
      <c r="C1128" s="206"/>
      <c r="D1128" s="206"/>
      <c r="E1128" s="206"/>
      <c r="F1128" s="150"/>
      <c r="G1128" s="45"/>
      <c r="H1128" s="207"/>
      <c r="I1128" s="207"/>
      <c r="J1128" s="257"/>
      <c r="K1128" s="222"/>
      <c r="L1128" s="196"/>
      <c r="M1128" s="223"/>
      <c r="N1128" s="249"/>
      <c r="O1128" s="150"/>
      <c r="P1128" s="150"/>
      <c r="Q1128" s="209"/>
      <c r="R1128" s="45"/>
      <c r="S1128" s="45"/>
      <c r="T1128" s="150"/>
      <c r="U1128" s="198"/>
    </row>
    <row r="1129" ht="22.5" hidden="1" customHeight="1">
      <c r="A1129" s="199"/>
      <c r="B1129" s="146"/>
      <c r="C1129" s="200"/>
      <c r="D1129" s="200"/>
      <c r="E1129" s="200"/>
      <c r="F1129" s="147"/>
      <c r="G1129" s="186"/>
      <c r="H1129" s="201"/>
      <c r="I1129" s="201"/>
      <c r="J1129" s="253"/>
      <c r="K1129" s="216"/>
      <c r="L1129" s="218"/>
      <c r="M1129" s="217"/>
      <c r="N1129" s="254"/>
      <c r="O1129" s="147"/>
      <c r="P1129" s="147"/>
      <c r="Q1129" s="203"/>
      <c r="R1129" s="186"/>
      <c r="S1129" s="186"/>
      <c r="T1129" s="147"/>
      <c r="U1129" s="204"/>
    </row>
    <row r="1130" ht="22.5" hidden="1" customHeight="1">
      <c r="A1130" s="205"/>
      <c r="B1130" s="82"/>
      <c r="C1130" s="206"/>
      <c r="D1130" s="206"/>
      <c r="E1130" s="206"/>
      <c r="F1130" s="150"/>
      <c r="G1130" s="45"/>
      <c r="H1130" s="207"/>
      <c r="I1130" s="207"/>
      <c r="J1130" s="256"/>
      <c r="K1130" s="222"/>
      <c r="L1130" s="196"/>
      <c r="M1130" s="223"/>
      <c r="N1130" s="249"/>
      <c r="O1130" s="150"/>
      <c r="P1130" s="150"/>
      <c r="Q1130" s="209"/>
      <c r="R1130" s="45"/>
      <c r="S1130" s="45"/>
      <c r="T1130" s="150"/>
      <c r="U1130" s="198"/>
    </row>
    <row r="1131" ht="22.5" hidden="1" customHeight="1">
      <c r="A1131" s="199"/>
      <c r="B1131" s="146"/>
      <c r="C1131" s="200"/>
      <c r="D1131" s="200"/>
      <c r="E1131" s="200"/>
      <c r="F1131" s="147"/>
      <c r="G1131" s="186"/>
      <c r="H1131" s="201"/>
      <c r="I1131" s="201"/>
      <c r="J1131" s="253"/>
      <c r="K1131" s="216"/>
      <c r="L1131" s="218"/>
      <c r="M1131" s="217"/>
      <c r="N1131" s="254"/>
      <c r="O1131" s="147"/>
      <c r="P1131" s="147"/>
      <c r="Q1131" s="203"/>
      <c r="R1131" s="186"/>
      <c r="S1131" s="186"/>
      <c r="T1131" s="147"/>
      <c r="U1131" s="204"/>
    </row>
    <row r="1132" ht="22.5" hidden="1" customHeight="1">
      <c r="A1132" s="205"/>
      <c r="B1132" s="82"/>
      <c r="C1132" s="206"/>
      <c r="D1132" s="206"/>
      <c r="E1132" s="206"/>
      <c r="F1132" s="150"/>
      <c r="G1132" s="45"/>
      <c r="H1132" s="207"/>
      <c r="I1132" s="207"/>
      <c r="J1132" s="256"/>
      <c r="K1132" s="222"/>
      <c r="L1132" s="196"/>
      <c r="M1132" s="223"/>
      <c r="N1132" s="249"/>
      <c r="O1132" s="150"/>
      <c r="P1132" s="150"/>
      <c r="Q1132" s="209"/>
      <c r="R1132" s="45"/>
      <c r="S1132" s="45"/>
      <c r="T1132" s="150"/>
      <c r="U1132" s="198"/>
    </row>
    <row r="1133" ht="22.5" hidden="1" customHeight="1">
      <c r="A1133" s="199"/>
      <c r="B1133" s="146"/>
      <c r="C1133" s="200"/>
      <c r="D1133" s="200"/>
      <c r="E1133" s="200"/>
      <c r="F1133" s="147"/>
      <c r="G1133" s="186"/>
      <c r="H1133" s="201"/>
      <c r="I1133" s="201"/>
      <c r="J1133" s="253"/>
      <c r="K1133" s="216"/>
      <c r="L1133" s="218"/>
      <c r="M1133" s="217"/>
      <c r="N1133" s="254"/>
      <c r="O1133" s="147"/>
      <c r="P1133" s="147"/>
      <c r="Q1133" s="203"/>
      <c r="R1133" s="186"/>
      <c r="S1133" s="186"/>
      <c r="T1133" s="147"/>
      <c r="U1133" s="204"/>
    </row>
    <row r="1134" ht="22.5" hidden="1" customHeight="1">
      <c r="A1134" s="205"/>
      <c r="B1134" s="82"/>
      <c r="C1134" s="206"/>
      <c r="D1134" s="206"/>
      <c r="E1134" s="206"/>
      <c r="F1134" s="150"/>
      <c r="G1134" s="45"/>
      <c r="H1134" s="207"/>
      <c r="I1134" s="207"/>
      <c r="J1134" s="256"/>
      <c r="K1134" s="222"/>
      <c r="L1134" s="196"/>
      <c r="M1134" s="223"/>
      <c r="N1134" s="249"/>
      <c r="O1134" s="150"/>
      <c r="P1134" s="150"/>
      <c r="Q1134" s="209"/>
      <c r="R1134" s="45"/>
      <c r="S1134" s="45"/>
      <c r="T1134" s="150"/>
      <c r="U1134" s="198"/>
    </row>
    <row r="1135" ht="22.5" hidden="1" customHeight="1">
      <c r="A1135" s="199"/>
      <c r="B1135" s="146"/>
      <c r="C1135" s="200"/>
      <c r="D1135" s="200"/>
      <c r="E1135" s="200"/>
      <c r="F1135" s="147"/>
      <c r="G1135" s="186"/>
      <c r="H1135" s="201"/>
      <c r="I1135" s="201"/>
      <c r="J1135" s="253"/>
      <c r="K1135" s="216"/>
      <c r="L1135" s="218"/>
      <c r="M1135" s="217"/>
      <c r="N1135" s="254"/>
      <c r="O1135" s="147"/>
      <c r="P1135" s="147"/>
      <c r="Q1135" s="203"/>
      <c r="R1135" s="186"/>
      <c r="S1135" s="186"/>
      <c r="T1135" s="147"/>
      <c r="U1135" s="204"/>
    </row>
    <row r="1136" ht="22.5" hidden="1" customHeight="1">
      <c r="A1136" s="205"/>
      <c r="B1136" s="82"/>
      <c r="C1136" s="206"/>
      <c r="D1136" s="206"/>
      <c r="E1136" s="206"/>
      <c r="F1136" s="150"/>
      <c r="G1136" s="45"/>
      <c r="H1136" s="207"/>
      <c r="I1136" s="207"/>
      <c r="J1136" s="256"/>
      <c r="K1136" s="222"/>
      <c r="L1136" s="196"/>
      <c r="M1136" s="223"/>
      <c r="N1136" s="249"/>
      <c r="O1136" s="150"/>
      <c r="P1136" s="150"/>
      <c r="Q1136" s="209"/>
      <c r="R1136" s="45"/>
      <c r="S1136" s="45"/>
      <c r="T1136" s="150"/>
      <c r="U1136" s="198"/>
    </row>
    <row r="1137" ht="22.5" hidden="1" customHeight="1">
      <c r="A1137" s="199"/>
      <c r="B1137" s="146"/>
      <c r="C1137" s="200"/>
      <c r="D1137" s="200"/>
      <c r="E1137" s="200"/>
      <c r="F1137" s="147"/>
      <c r="G1137" s="186"/>
      <c r="H1137" s="201"/>
      <c r="I1137" s="201"/>
      <c r="J1137" s="253"/>
      <c r="K1137" s="216"/>
      <c r="L1137" s="218"/>
      <c r="M1137" s="217"/>
      <c r="N1137" s="254"/>
      <c r="O1137" s="147"/>
      <c r="P1137" s="147"/>
      <c r="Q1137" s="203"/>
      <c r="R1137" s="186"/>
      <c r="S1137" s="186"/>
      <c r="T1137" s="147"/>
      <c r="U1137" s="204"/>
    </row>
    <row r="1138" ht="22.5" hidden="1" customHeight="1">
      <c r="A1138" s="205"/>
      <c r="B1138" s="82"/>
      <c r="C1138" s="206"/>
      <c r="D1138" s="206"/>
      <c r="E1138" s="206"/>
      <c r="F1138" s="150"/>
      <c r="G1138" s="45"/>
      <c r="H1138" s="207"/>
      <c r="I1138" s="207"/>
      <c r="J1138" s="256"/>
      <c r="K1138" s="222"/>
      <c r="L1138" s="196"/>
      <c r="M1138" s="223"/>
      <c r="N1138" s="249"/>
      <c r="O1138" s="150"/>
      <c r="P1138" s="150"/>
      <c r="Q1138" s="209"/>
      <c r="R1138" s="45"/>
      <c r="S1138" s="45"/>
      <c r="T1138" s="150"/>
      <c r="U1138" s="198"/>
    </row>
    <row r="1139" ht="22.5" hidden="1" customHeight="1">
      <c r="A1139" s="199"/>
      <c r="B1139" s="146"/>
      <c r="C1139" s="200"/>
      <c r="D1139" s="200"/>
      <c r="E1139" s="200"/>
      <c r="F1139" s="147"/>
      <c r="G1139" s="186"/>
      <c r="H1139" s="201"/>
      <c r="I1139" s="201"/>
      <c r="J1139" s="253"/>
      <c r="K1139" s="216"/>
      <c r="L1139" s="218"/>
      <c r="M1139" s="217"/>
      <c r="N1139" s="254"/>
      <c r="O1139" s="147"/>
      <c r="P1139" s="147"/>
      <c r="Q1139" s="203"/>
      <c r="R1139" s="186"/>
      <c r="S1139" s="186"/>
      <c r="T1139" s="147"/>
      <c r="U1139" s="204"/>
    </row>
    <row r="1140" ht="22.5" hidden="1" customHeight="1">
      <c r="A1140" s="205"/>
      <c r="B1140" s="82"/>
      <c r="C1140" s="206"/>
      <c r="D1140" s="206"/>
      <c r="E1140" s="206"/>
      <c r="F1140" s="150"/>
      <c r="G1140" s="45"/>
      <c r="H1140" s="207"/>
      <c r="I1140" s="207"/>
      <c r="J1140" s="257"/>
      <c r="K1140" s="222"/>
      <c r="L1140" s="196"/>
      <c r="M1140" s="223"/>
      <c r="N1140" s="249"/>
      <c r="O1140" s="150"/>
      <c r="P1140" s="150"/>
      <c r="Q1140" s="209"/>
      <c r="R1140" s="45"/>
      <c r="S1140" s="45"/>
      <c r="T1140" s="150"/>
      <c r="U1140" s="198"/>
    </row>
    <row r="1141" ht="22.5" hidden="1" customHeight="1">
      <c r="A1141" s="199"/>
      <c r="B1141" s="146"/>
      <c r="C1141" s="200"/>
      <c r="D1141" s="200"/>
      <c r="E1141" s="200"/>
      <c r="F1141" s="147"/>
      <c r="G1141" s="186"/>
      <c r="H1141" s="201"/>
      <c r="I1141" s="201"/>
      <c r="J1141" s="253"/>
      <c r="K1141" s="216"/>
      <c r="L1141" s="218"/>
      <c r="M1141" s="217"/>
      <c r="N1141" s="254"/>
      <c r="O1141" s="147"/>
      <c r="P1141" s="147"/>
      <c r="Q1141" s="203"/>
      <c r="R1141" s="186"/>
      <c r="S1141" s="186"/>
      <c r="T1141" s="147"/>
      <c r="U1141" s="204"/>
    </row>
    <row r="1142" ht="22.5" hidden="1" customHeight="1">
      <c r="A1142" s="205"/>
      <c r="B1142" s="82"/>
      <c r="C1142" s="206"/>
      <c r="D1142" s="206"/>
      <c r="E1142" s="206"/>
      <c r="F1142" s="150"/>
      <c r="G1142" s="45"/>
      <c r="H1142" s="207"/>
      <c r="I1142" s="207"/>
      <c r="J1142" s="256"/>
      <c r="K1142" s="222"/>
      <c r="L1142" s="196"/>
      <c r="M1142" s="223"/>
      <c r="N1142" s="249"/>
      <c r="O1142" s="150"/>
      <c r="P1142" s="150"/>
      <c r="Q1142" s="209"/>
      <c r="R1142" s="45"/>
      <c r="S1142" s="45"/>
      <c r="T1142" s="150"/>
      <c r="U1142" s="198"/>
    </row>
    <row r="1143" ht="22.5" hidden="1" customHeight="1">
      <c r="A1143" s="199"/>
      <c r="B1143" s="146"/>
      <c r="C1143" s="200"/>
      <c r="D1143" s="200"/>
      <c r="E1143" s="200"/>
      <c r="F1143" s="147"/>
      <c r="G1143" s="186"/>
      <c r="H1143" s="201"/>
      <c r="I1143" s="201"/>
      <c r="J1143" s="253"/>
      <c r="K1143" s="216"/>
      <c r="L1143" s="218"/>
      <c r="M1143" s="217"/>
      <c r="N1143" s="254"/>
      <c r="O1143" s="147"/>
      <c r="P1143" s="147"/>
      <c r="Q1143" s="203"/>
      <c r="R1143" s="186"/>
      <c r="S1143" s="186"/>
      <c r="T1143" s="147"/>
      <c r="U1143" s="204"/>
    </row>
    <row r="1144" ht="22.5" hidden="1" customHeight="1">
      <c r="A1144" s="205"/>
      <c r="B1144" s="82"/>
      <c r="C1144" s="206"/>
      <c r="D1144" s="206"/>
      <c r="E1144" s="206"/>
      <c r="F1144" s="150"/>
      <c r="G1144" s="45"/>
      <c r="H1144" s="207"/>
      <c r="I1144" s="207"/>
      <c r="J1144" s="256"/>
      <c r="K1144" s="222"/>
      <c r="L1144" s="196"/>
      <c r="M1144" s="223"/>
      <c r="N1144" s="249"/>
      <c r="O1144" s="150"/>
      <c r="P1144" s="150"/>
      <c r="Q1144" s="209"/>
      <c r="R1144" s="45"/>
      <c r="S1144" s="45"/>
      <c r="T1144" s="150"/>
      <c r="U1144" s="198"/>
    </row>
    <row r="1145" ht="22.5" hidden="1" customHeight="1">
      <c r="A1145" s="199"/>
      <c r="B1145" s="146"/>
      <c r="C1145" s="200"/>
      <c r="D1145" s="200"/>
      <c r="E1145" s="200"/>
      <c r="F1145" s="147"/>
      <c r="G1145" s="186"/>
      <c r="H1145" s="201"/>
      <c r="I1145" s="201"/>
      <c r="J1145" s="253"/>
      <c r="K1145" s="216"/>
      <c r="L1145" s="218"/>
      <c r="M1145" s="217"/>
      <c r="N1145" s="254"/>
      <c r="O1145" s="147"/>
      <c r="P1145" s="147"/>
      <c r="Q1145" s="203"/>
      <c r="R1145" s="186"/>
      <c r="S1145" s="186"/>
      <c r="T1145" s="147"/>
      <c r="U1145" s="204"/>
    </row>
    <row r="1146" ht="22.5" hidden="1" customHeight="1">
      <c r="A1146" s="205"/>
      <c r="B1146" s="82"/>
      <c r="C1146" s="206"/>
      <c r="D1146" s="206"/>
      <c r="E1146" s="206"/>
      <c r="F1146" s="150"/>
      <c r="G1146" s="45"/>
      <c r="H1146" s="207"/>
      <c r="I1146" s="207"/>
      <c r="J1146" s="256"/>
      <c r="K1146" s="222"/>
      <c r="L1146" s="196"/>
      <c r="M1146" s="223"/>
      <c r="N1146" s="249"/>
      <c r="O1146" s="150"/>
      <c r="P1146" s="150"/>
      <c r="Q1146" s="209"/>
      <c r="R1146" s="45"/>
      <c r="S1146" s="45"/>
      <c r="T1146" s="150"/>
      <c r="U1146" s="198"/>
    </row>
    <row r="1147" ht="22.5" hidden="1" customHeight="1">
      <c r="A1147" s="199"/>
      <c r="B1147" s="146"/>
      <c r="C1147" s="200"/>
      <c r="D1147" s="200"/>
      <c r="E1147" s="200"/>
      <c r="F1147" s="147"/>
      <c r="G1147" s="186"/>
      <c r="H1147" s="201"/>
      <c r="I1147" s="201"/>
      <c r="J1147" s="253"/>
      <c r="K1147" s="216"/>
      <c r="L1147" s="218"/>
      <c r="M1147" s="217"/>
      <c r="N1147" s="254"/>
      <c r="O1147" s="147"/>
      <c r="P1147" s="147"/>
      <c r="Q1147" s="203"/>
      <c r="R1147" s="186"/>
      <c r="S1147" s="186"/>
      <c r="T1147" s="147"/>
      <c r="U1147" s="204"/>
    </row>
    <row r="1148" ht="22.5" hidden="1" customHeight="1">
      <c r="A1148" s="205"/>
      <c r="B1148" s="82"/>
      <c r="C1148" s="206"/>
      <c r="D1148" s="206"/>
      <c r="E1148" s="206"/>
      <c r="F1148" s="150"/>
      <c r="G1148" s="45"/>
      <c r="H1148" s="207"/>
      <c r="I1148" s="207"/>
      <c r="J1148" s="256"/>
      <c r="K1148" s="222"/>
      <c r="L1148" s="196"/>
      <c r="M1148" s="223"/>
      <c r="N1148" s="249"/>
      <c r="O1148" s="150"/>
      <c r="P1148" s="150"/>
      <c r="Q1148" s="209"/>
      <c r="R1148" s="45"/>
      <c r="S1148" s="45"/>
      <c r="T1148" s="150"/>
      <c r="U1148" s="198"/>
    </row>
    <row r="1149" ht="22.5" hidden="1" customHeight="1">
      <c r="A1149" s="199"/>
      <c r="B1149" s="146"/>
      <c r="C1149" s="200"/>
      <c r="D1149" s="200"/>
      <c r="E1149" s="200"/>
      <c r="F1149" s="147"/>
      <c r="G1149" s="186"/>
      <c r="H1149" s="201"/>
      <c r="I1149" s="201"/>
      <c r="J1149" s="253"/>
      <c r="K1149" s="216"/>
      <c r="L1149" s="218"/>
      <c r="M1149" s="217"/>
      <c r="N1149" s="254"/>
      <c r="O1149" s="147"/>
      <c r="P1149" s="147"/>
      <c r="Q1149" s="203"/>
      <c r="R1149" s="186"/>
      <c r="S1149" s="186"/>
      <c r="T1149" s="147"/>
      <c r="U1149" s="204"/>
    </row>
    <row r="1150" ht="22.5" hidden="1" customHeight="1">
      <c r="A1150" s="205"/>
      <c r="B1150" s="82"/>
      <c r="C1150" s="206"/>
      <c r="D1150" s="206"/>
      <c r="E1150" s="206"/>
      <c r="F1150" s="150"/>
      <c r="G1150" s="45"/>
      <c r="H1150" s="207"/>
      <c r="I1150" s="207"/>
      <c r="J1150" s="207"/>
      <c r="K1150" s="207"/>
      <c r="L1150" s="196"/>
      <c r="M1150" s="223"/>
      <c r="N1150" s="150"/>
      <c r="O1150" s="150"/>
      <c r="P1150" s="150"/>
      <c r="Q1150" s="209"/>
      <c r="R1150" s="45"/>
      <c r="S1150" s="45"/>
      <c r="T1150" s="150"/>
      <c r="U1150" s="198"/>
    </row>
    <row r="1151" ht="22.5" hidden="1" customHeight="1">
      <c r="A1151" s="199"/>
      <c r="B1151" s="146"/>
      <c r="C1151" s="200"/>
      <c r="D1151" s="200"/>
      <c r="E1151" s="200"/>
      <c r="F1151" s="147"/>
      <c r="G1151" s="186"/>
      <c r="H1151" s="201"/>
      <c r="I1151" s="201"/>
      <c r="J1151" s="201"/>
      <c r="K1151" s="201"/>
      <c r="L1151" s="218"/>
      <c r="M1151" s="217"/>
      <c r="N1151" s="147"/>
      <c r="O1151" s="147"/>
      <c r="P1151" s="147"/>
      <c r="Q1151" s="203"/>
      <c r="R1151" s="186"/>
      <c r="S1151" s="186"/>
      <c r="T1151" s="147"/>
      <c r="U1151" s="204"/>
    </row>
    <row r="1152" ht="22.5" hidden="1" customHeight="1">
      <c r="A1152" s="205"/>
      <c r="B1152" s="82"/>
      <c r="C1152" s="206"/>
      <c r="D1152" s="206"/>
      <c r="E1152" s="206"/>
      <c r="F1152" s="150"/>
      <c r="G1152" s="45"/>
      <c r="H1152" s="207"/>
      <c r="I1152" s="207"/>
      <c r="J1152" s="207"/>
      <c r="K1152" s="207"/>
      <c r="L1152" s="196"/>
      <c r="M1152" s="223"/>
      <c r="N1152" s="150"/>
      <c r="O1152" s="150"/>
      <c r="P1152" s="150"/>
      <c r="Q1152" s="209"/>
      <c r="R1152" s="45"/>
      <c r="S1152" s="45"/>
      <c r="T1152" s="150"/>
      <c r="U1152" s="198"/>
    </row>
    <row r="1153" ht="22.5" hidden="1" customHeight="1">
      <c r="A1153" s="199"/>
      <c r="B1153" s="146"/>
      <c r="C1153" s="200"/>
      <c r="D1153" s="200"/>
      <c r="E1153" s="200"/>
      <c r="F1153" s="147"/>
      <c r="G1153" s="186"/>
      <c r="H1153" s="201"/>
      <c r="I1153" s="201"/>
      <c r="J1153" s="201"/>
      <c r="K1153" s="201"/>
      <c r="L1153" s="218"/>
      <c r="M1153" s="217"/>
      <c r="N1153" s="147"/>
      <c r="O1153" s="147"/>
      <c r="P1153" s="147"/>
      <c r="Q1153" s="203"/>
      <c r="R1153" s="186"/>
      <c r="S1153" s="186"/>
      <c r="T1153" s="147"/>
      <c r="U1153" s="204"/>
    </row>
    <row r="1154" ht="22.5" hidden="1" customHeight="1">
      <c r="A1154" s="205"/>
      <c r="B1154" s="82"/>
      <c r="C1154" s="206"/>
      <c r="D1154" s="206"/>
      <c r="E1154" s="206"/>
      <c r="F1154" s="150"/>
      <c r="G1154" s="45"/>
      <c r="H1154" s="207"/>
      <c r="I1154" s="207"/>
      <c r="J1154" s="207"/>
      <c r="K1154" s="207"/>
      <c r="L1154" s="196"/>
      <c r="M1154" s="223"/>
      <c r="N1154" s="150"/>
      <c r="O1154" s="150"/>
      <c r="P1154" s="150"/>
      <c r="Q1154" s="209"/>
      <c r="R1154" s="45"/>
      <c r="S1154" s="45"/>
      <c r="T1154" s="150"/>
      <c r="U1154" s="198"/>
    </row>
    <row r="1155" ht="22.5" hidden="1" customHeight="1">
      <c r="A1155" s="199"/>
      <c r="B1155" s="146"/>
      <c r="C1155" s="200"/>
      <c r="D1155" s="200"/>
      <c r="E1155" s="200"/>
      <c r="F1155" s="147"/>
      <c r="G1155" s="186"/>
      <c r="H1155" s="201"/>
      <c r="I1155" s="201"/>
      <c r="J1155" s="201"/>
      <c r="K1155" s="201"/>
      <c r="L1155" s="218"/>
      <c r="M1155" s="217"/>
      <c r="N1155" s="147"/>
      <c r="O1155" s="147"/>
      <c r="P1155" s="147"/>
      <c r="Q1155" s="203"/>
      <c r="R1155" s="186"/>
      <c r="S1155" s="186"/>
      <c r="T1155" s="147"/>
      <c r="U1155" s="204"/>
    </row>
    <row r="1156" ht="22.5" hidden="1" customHeight="1">
      <c r="A1156" s="205"/>
      <c r="B1156" s="82"/>
      <c r="C1156" s="206"/>
      <c r="D1156" s="255"/>
      <c r="E1156" s="255"/>
      <c r="F1156" s="150"/>
      <c r="G1156" s="255"/>
      <c r="H1156" s="207"/>
      <c r="I1156" s="207"/>
      <c r="J1156" s="207"/>
      <c r="K1156" s="207"/>
      <c r="L1156" s="196"/>
      <c r="M1156" s="223"/>
      <c r="N1156" s="150"/>
      <c r="O1156" s="150"/>
      <c r="P1156" s="150"/>
      <c r="Q1156" s="209"/>
      <c r="R1156" s="45"/>
      <c r="S1156" s="45"/>
      <c r="T1156" s="150"/>
      <c r="U1156" s="198"/>
    </row>
    <row r="1157" ht="22.5" hidden="1" customHeight="1">
      <c r="A1157" s="199"/>
      <c r="B1157" s="146"/>
      <c r="C1157" s="200"/>
      <c r="D1157" s="200"/>
      <c r="E1157" s="200"/>
      <c r="F1157" s="147"/>
      <c r="G1157" s="186"/>
      <c r="H1157" s="201"/>
      <c r="I1157" s="201"/>
      <c r="J1157" s="201"/>
      <c r="K1157" s="201"/>
      <c r="L1157" s="218"/>
      <c r="M1157" s="217"/>
      <c r="N1157" s="147"/>
      <c r="O1157" s="147"/>
      <c r="P1157" s="147"/>
      <c r="Q1157" s="203"/>
      <c r="R1157" s="186"/>
      <c r="S1157" s="186"/>
      <c r="T1157" s="147"/>
      <c r="U1157" s="204"/>
    </row>
    <row r="1158" ht="22.5" hidden="1" customHeight="1">
      <c r="A1158" s="205"/>
      <c r="B1158" s="82"/>
      <c r="C1158" s="206"/>
      <c r="D1158" s="206"/>
      <c r="E1158" s="206"/>
      <c r="F1158" s="150"/>
      <c r="G1158" s="45"/>
      <c r="H1158" s="207"/>
      <c r="I1158" s="207"/>
      <c r="J1158" s="207"/>
      <c r="K1158" s="207"/>
      <c r="L1158" s="196"/>
      <c r="M1158" s="223"/>
      <c r="N1158" s="150"/>
      <c r="O1158" s="150"/>
      <c r="P1158" s="150"/>
      <c r="Q1158" s="209"/>
      <c r="R1158" s="45"/>
      <c r="S1158" s="45"/>
      <c r="T1158" s="150"/>
      <c r="U1158" s="198"/>
    </row>
    <row r="1159" ht="22.5" hidden="1" customHeight="1">
      <c r="A1159" s="199"/>
      <c r="B1159" s="146"/>
      <c r="C1159" s="200"/>
      <c r="D1159" s="200"/>
      <c r="E1159" s="200"/>
      <c r="F1159" s="147"/>
      <c r="G1159" s="186"/>
      <c r="H1159" s="201"/>
      <c r="I1159" s="201"/>
      <c r="J1159" s="201"/>
      <c r="K1159" s="201"/>
      <c r="L1159" s="218"/>
      <c r="M1159" s="217"/>
      <c r="N1159" s="147"/>
      <c r="O1159" s="147"/>
      <c r="P1159" s="147"/>
      <c r="Q1159" s="203"/>
      <c r="R1159" s="186"/>
      <c r="S1159" s="186"/>
      <c r="T1159" s="147"/>
      <c r="U1159" s="204"/>
    </row>
    <row r="1160" ht="22.5" hidden="1" customHeight="1">
      <c r="A1160" s="205"/>
      <c r="B1160" s="82"/>
      <c r="C1160" s="206"/>
      <c r="D1160" s="206"/>
      <c r="E1160" s="206"/>
      <c r="F1160" s="150"/>
      <c r="G1160" s="45"/>
      <c r="H1160" s="207"/>
      <c r="I1160" s="207"/>
      <c r="J1160" s="207"/>
      <c r="K1160" s="207"/>
      <c r="L1160" s="196"/>
      <c r="M1160" s="223"/>
      <c r="N1160" s="150"/>
      <c r="O1160" s="150"/>
      <c r="P1160" s="150"/>
      <c r="Q1160" s="209"/>
      <c r="R1160" s="45"/>
      <c r="S1160" s="45"/>
      <c r="T1160" s="150"/>
      <c r="U1160" s="198"/>
    </row>
    <row r="1161" ht="22.5" hidden="1" customHeight="1">
      <c r="A1161" s="199"/>
      <c r="B1161" s="146"/>
      <c r="C1161" s="200"/>
      <c r="D1161" s="200"/>
      <c r="E1161" s="200"/>
      <c r="F1161" s="147"/>
      <c r="G1161" s="186"/>
      <c r="H1161" s="201"/>
      <c r="I1161" s="201"/>
      <c r="J1161" s="201"/>
      <c r="K1161" s="201"/>
      <c r="L1161" s="218"/>
      <c r="M1161" s="217"/>
      <c r="N1161" s="147"/>
      <c r="O1161" s="147"/>
      <c r="P1161" s="147"/>
      <c r="Q1161" s="203"/>
      <c r="R1161" s="186"/>
      <c r="S1161" s="186"/>
      <c r="T1161" s="147"/>
      <c r="U1161" s="204"/>
    </row>
    <row r="1162" ht="22.5" hidden="1" customHeight="1">
      <c r="A1162" s="205"/>
      <c r="B1162" s="82"/>
      <c r="C1162" s="206"/>
      <c r="D1162" s="206"/>
      <c r="E1162" s="206"/>
      <c r="F1162" s="150"/>
      <c r="G1162" s="45"/>
      <c r="H1162" s="207"/>
      <c r="I1162" s="207"/>
      <c r="J1162" s="207"/>
      <c r="K1162" s="207"/>
      <c r="L1162" s="196"/>
      <c r="M1162" s="223"/>
      <c r="N1162" s="150"/>
      <c r="O1162" s="150"/>
      <c r="P1162" s="150"/>
      <c r="Q1162" s="209"/>
      <c r="R1162" s="45"/>
      <c r="S1162" s="45"/>
      <c r="T1162" s="150"/>
      <c r="U1162" s="198"/>
    </row>
    <row r="1163" ht="22.5" hidden="1" customHeight="1">
      <c r="A1163" s="199"/>
      <c r="B1163" s="146"/>
      <c r="C1163" s="200"/>
      <c r="D1163" s="200"/>
      <c r="E1163" s="200"/>
      <c r="F1163" s="147"/>
      <c r="G1163" s="186"/>
      <c r="H1163" s="201"/>
      <c r="I1163" s="201"/>
      <c r="J1163" s="201"/>
      <c r="K1163" s="201"/>
      <c r="L1163" s="218"/>
      <c r="M1163" s="217"/>
      <c r="N1163" s="147"/>
      <c r="O1163" s="147"/>
      <c r="P1163" s="147"/>
      <c r="Q1163" s="203"/>
      <c r="R1163" s="186"/>
      <c r="S1163" s="186"/>
      <c r="T1163" s="147"/>
      <c r="U1163" s="204"/>
    </row>
    <row r="1164" ht="22.5" hidden="1" customHeight="1">
      <c r="A1164" s="205"/>
      <c r="B1164" s="82"/>
      <c r="C1164" s="206"/>
      <c r="D1164" s="206"/>
      <c r="E1164" s="206"/>
      <c r="F1164" s="150"/>
      <c r="G1164" s="45"/>
      <c r="H1164" s="207"/>
      <c r="I1164" s="207"/>
      <c r="J1164" s="207"/>
      <c r="K1164" s="207"/>
      <c r="L1164" s="208"/>
      <c r="M1164" s="208"/>
      <c r="N1164" s="150"/>
      <c r="O1164" s="150"/>
      <c r="P1164" s="150"/>
      <c r="Q1164" s="209"/>
      <c r="R1164" s="45"/>
      <c r="S1164" s="45"/>
      <c r="T1164" s="150"/>
      <c r="U1164" s="198"/>
    </row>
    <row r="1165" ht="22.5" hidden="1" customHeight="1">
      <c r="A1165" s="199"/>
      <c r="B1165" s="146"/>
      <c r="C1165" s="200"/>
      <c r="D1165" s="200"/>
      <c r="E1165" s="200"/>
      <c r="F1165" s="147"/>
      <c r="G1165" s="186"/>
      <c r="H1165" s="201"/>
      <c r="I1165" s="201"/>
      <c r="J1165" s="201"/>
      <c r="K1165" s="201"/>
      <c r="L1165" s="202"/>
      <c r="M1165" s="202"/>
      <c r="N1165" s="147"/>
      <c r="O1165" s="147"/>
      <c r="P1165" s="147"/>
      <c r="Q1165" s="203"/>
      <c r="R1165" s="186"/>
      <c r="S1165" s="186"/>
      <c r="T1165" s="147"/>
      <c r="U1165" s="204"/>
    </row>
    <row r="1166" ht="22.5" hidden="1" customHeight="1">
      <c r="A1166" s="205"/>
      <c r="B1166" s="82"/>
      <c r="C1166" s="206"/>
      <c r="D1166" s="206"/>
      <c r="E1166" s="206"/>
      <c r="F1166" s="150"/>
      <c r="G1166" s="45"/>
      <c r="H1166" s="207"/>
      <c r="I1166" s="207"/>
      <c r="J1166" s="207"/>
      <c r="K1166" s="207"/>
      <c r="L1166" s="208"/>
      <c r="M1166" s="208"/>
      <c r="N1166" s="150"/>
      <c r="O1166" s="150"/>
      <c r="P1166" s="150"/>
      <c r="Q1166" s="209"/>
      <c r="R1166" s="45"/>
      <c r="S1166" s="45"/>
      <c r="T1166" s="150"/>
      <c r="U1166" s="198"/>
    </row>
    <row r="1167" ht="22.5" hidden="1" customHeight="1">
      <c r="A1167" s="199"/>
      <c r="B1167" s="146"/>
      <c r="C1167" s="200"/>
      <c r="D1167" s="200"/>
      <c r="E1167" s="200"/>
      <c r="F1167" s="147"/>
      <c r="G1167" s="186"/>
      <c r="H1167" s="201"/>
      <c r="I1167" s="201"/>
      <c r="J1167" s="201"/>
      <c r="K1167" s="201"/>
      <c r="L1167" s="202"/>
      <c r="M1167" s="202"/>
      <c r="N1167" s="147"/>
      <c r="O1167" s="147"/>
      <c r="P1167" s="147"/>
      <c r="Q1167" s="203"/>
      <c r="R1167" s="186"/>
      <c r="S1167" s="186"/>
      <c r="T1167" s="147"/>
      <c r="U1167" s="204"/>
    </row>
    <row r="1168" ht="22.5" hidden="1" customHeight="1">
      <c r="A1168" s="205"/>
      <c r="B1168" s="82"/>
      <c r="C1168" s="206"/>
      <c r="D1168" s="206"/>
      <c r="E1168" s="206"/>
      <c r="F1168" s="150"/>
      <c r="G1168" s="45"/>
      <c r="H1168" s="207"/>
      <c r="I1168" s="207"/>
      <c r="J1168" s="207"/>
      <c r="K1168" s="207"/>
      <c r="L1168" s="208"/>
      <c r="M1168" s="208"/>
      <c r="N1168" s="150"/>
      <c r="O1168" s="150"/>
      <c r="P1168" s="150"/>
      <c r="Q1168" s="209"/>
      <c r="R1168" s="45"/>
      <c r="S1168" s="45"/>
      <c r="T1168" s="150"/>
      <c r="U1168" s="198"/>
    </row>
    <row r="1169" ht="22.5" hidden="1" customHeight="1">
      <c r="A1169" s="199"/>
      <c r="B1169" s="146"/>
      <c r="C1169" s="200"/>
      <c r="D1169" s="200"/>
      <c r="E1169" s="200"/>
      <c r="F1169" s="147"/>
      <c r="G1169" s="186"/>
      <c r="H1169" s="201"/>
      <c r="I1169" s="201"/>
      <c r="J1169" s="201"/>
      <c r="K1169" s="201"/>
      <c r="L1169" s="202"/>
      <c r="M1169" s="202"/>
      <c r="N1169" s="147"/>
      <c r="O1169" s="147"/>
      <c r="P1169" s="147"/>
      <c r="Q1169" s="203"/>
      <c r="R1169" s="186"/>
      <c r="S1169" s="186"/>
      <c r="T1169" s="147"/>
      <c r="U1169" s="204"/>
    </row>
    <row r="1170" ht="22.5" hidden="1" customHeight="1">
      <c r="A1170" s="205"/>
      <c r="B1170" s="82"/>
      <c r="C1170" s="206"/>
      <c r="D1170" s="206"/>
      <c r="E1170" s="206"/>
      <c r="F1170" s="150"/>
      <c r="G1170" s="45"/>
      <c r="H1170" s="207"/>
      <c r="I1170" s="207"/>
      <c r="J1170" s="207"/>
      <c r="K1170" s="207"/>
      <c r="L1170" s="208"/>
      <c r="M1170" s="208"/>
      <c r="N1170" s="150"/>
      <c r="O1170" s="150"/>
      <c r="P1170" s="150"/>
      <c r="Q1170" s="209"/>
      <c r="R1170" s="45"/>
      <c r="S1170" s="45"/>
      <c r="T1170" s="150"/>
      <c r="U1170" s="198"/>
    </row>
    <row r="1171" ht="22.5" hidden="1" customHeight="1">
      <c r="A1171" s="199"/>
      <c r="B1171" s="146"/>
      <c r="C1171" s="200"/>
      <c r="D1171" s="200"/>
      <c r="E1171" s="200"/>
      <c r="F1171" s="147"/>
      <c r="G1171" s="186"/>
      <c r="H1171" s="201"/>
      <c r="I1171" s="201"/>
      <c r="J1171" s="201"/>
      <c r="K1171" s="201"/>
      <c r="L1171" s="202"/>
      <c r="M1171" s="202"/>
      <c r="N1171" s="147"/>
      <c r="O1171" s="147"/>
      <c r="P1171" s="147"/>
      <c r="Q1171" s="203"/>
      <c r="R1171" s="186"/>
      <c r="S1171" s="186"/>
      <c r="T1171" s="147"/>
      <c r="U1171" s="204"/>
    </row>
    <row r="1172" ht="22.5" hidden="1" customHeight="1">
      <c r="A1172" s="205"/>
      <c r="B1172" s="82"/>
      <c r="C1172" s="206"/>
      <c r="D1172" s="206"/>
      <c r="E1172" s="206"/>
      <c r="F1172" s="150"/>
      <c r="G1172" s="45"/>
      <c r="H1172" s="207"/>
      <c r="I1172" s="207"/>
      <c r="J1172" s="207"/>
      <c r="K1172" s="207"/>
      <c r="L1172" s="208"/>
      <c r="M1172" s="208"/>
      <c r="N1172" s="150"/>
      <c r="O1172" s="150"/>
      <c r="P1172" s="150"/>
      <c r="Q1172" s="209"/>
      <c r="R1172" s="45"/>
      <c r="S1172" s="45"/>
      <c r="T1172" s="150"/>
      <c r="U1172" s="198"/>
    </row>
    <row r="1173" ht="22.5" hidden="1" customHeight="1">
      <c r="A1173" s="199"/>
      <c r="B1173" s="146"/>
      <c r="C1173" s="200"/>
      <c r="D1173" s="200"/>
      <c r="E1173" s="200"/>
      <c r="F1173" s="147"/>
      <c r="G1173" s="186"/>
      <c r="H1173" s="201"/>
      <c r="I1173" s="201"/>
      <c r="J1173" s="201"/>
      <c r="K1173" s="201"/>
      <c r="L1173" s="202"/>
      <c r="M1173" s="202"/>
      <c r="N1173" s="147"/>
      <c r="O1173" s="147"/>
      <c r="P1173" s="147"/>
      <c r="Q1173" s="203"/>
      <c r="R1173" s="186"/>
      <c r="S1173" s="186"/>
      <c r="T1173" s="147"/>
      <c r="U1173" s="204"/>
    </row>
    <row r="1174" ht="22.5" hidden="1" customHeight="1">
      <c r="A1174" s="205"/>
      <c r="B1174" s="82"/>
      <c r="C1174" s="206"/>
      <c r="D1174" s="206"/>
      <c r="E1174" s="206"/>
      <c r="F1174" s="150"/>
      <c r="G1174" s="45"/>
      <c r="H1174" s="207"/>
      <c r="I1174" s="207"/>
      <c r="J1174" s="207"/>
      <c r="K1174" s="207"/>
      <c r="L1174" s="208"/>
      <c r="M1174" s="208"/>
      <c r="N1174" s="150"/>
      <c r="O1174" s="150"/>
      <c r="P1174" s="150"/>
      <c r="Q1174" s="209"/>
      <c r="R1174" s="45"/>
      <c r="S1174" s="45"/>
      <c r="T1174" s="150"/>
      <c r="U1174" s="198"/>
    </row>
    <row r="1175" ht="22.5" hidden="1" customHeight="1">
      <c r="A1175" s="199"/>
      <c r="B1175" s="146"/>
      <c r="C1175" s="200"/>
      <c r="D1175" s="200"/>
      <c r="E1175" s="200"/>
      <c r="F1175" s="147"/>
      <c r="G1175" s="186"/>
      <c r="H1175" s="201"/>
      <c r="I1175" s="201"/>
      <c r="J1175" s="201"/>
      <c r="K1175" s="201"/>
      <c r="L1175" s="202"/>
      <c r="M1175" s="202"/>
      <c r="N1175" s="147"/>
      <c r="O1175" s="147"/>
      <c r="P1175" s="147"/>
      <c r="Q1175" s="203"/>
      <c r="R1175" s="186"/>
      <c r="S1175" s="186"/>
      <c r="T1175" s="147"/>
      <c r="U1175" s="204"/>
    </row>
    <row r="1176" ht="22.5" hidden="1" customHeight="1">
      <c r="A1176" s="205"/>
      <c r="B1176" s="82"/>
      <c r="C1176" s="206"/>
      <c r="D1176" s="206"/>
      <c r="E1176" s="206"/>
      <c r="F1176" s="150"/>
      <c r="G1176" s="45"/>
      <c r="H1176" s="207"/>
      <c r="I1176" s="207"/>
      <c r="J1176" s="207"/>
      <c r="K1176" s="207"/>
      <c r="L1176" s="208"/>
      <c r="M1176" s="208"/>
      <c r="N1176" s="150"/>
      <c r="O1176" s="150"/>
      <c r="P1176" s="150"/>
      <c r="Q1176" s="209"/>
      <c r="R1176" s="45"/>
      <c r="S1176" s="45"/>
      <c r="T1176" s="150"/>
      <c r="U1176" s="198"/>
    </row>
    <row r="1177" ht="22.5" hidden="1" customHeight="1">
      <c r="A1177" s="199"/>
      <c r="B1177" s="146"/>
      <c r="C1177" s="200"/>
      <c r="D1177" s="200"/>
      <c r="E1177" s="200"/>
      <c r="F1177" s="147"/>
      <c r="G1177" s="186"/>
      <c r="H1177" s="201"/>
      <c r="I1177" s="201"/>
      <c r="J1177" s="201"/>
      <c r="K1177" s="201"/>
      <c r="L1177" s="202"/>
      <c r="M1177" s="202"/>
      <c r="N1177" s="147"/>
      <c r="O1177" s="147"/>
      <c r="P1177" s="147"/>
      <c r="Q1177" s="203"/>
      <c r="R1177" s="186"/>
      <c r="S1177" s="186"/>
      <c r="T1177" s="147"/>
      <c r="U1177" s="204"/>
    </row>
    <row r="1178" ht="22.5" hidden="1" customHeight="1">
      <c r="A1178" s="205"/>
      <c r="B1178" s="82"/>
      <c r="C1178" s="206"/>
      <c r="D1178" s="206"/>
      <c r="E1178" s="206"/>
      <c r="F1178" s="150"/>
      <c r="G1178" s="45"/>
      <c r="H1178" s="207"/>
      <c r="I1178" s="207"/>
      <c r="J1178" s="207"/>
      <c r="K1178" s="207"/>
      <c r="L1178" s="208"/>
      <c r="M1178" s="208"/>
      <c r="N1178" s="150"/>
      <c r="O1178" s="150"/>
      <c r="P1178" s="150"/>
      <c r="Q1178" s="209"/>
      <c r="R1178" s="45"/>
      <c r="S1178" s="45"/>
      <c r="T1178" s="150"/>
      <c r="U1178" s="198"/>
    </row>
    <row r="1179" ht="22.5" hidden="1" customHeight="1">
      <c r="A1179" s="199"/>
      <c r="B1179" s="146"/>
      <c r="C1179" s="200"/>
      <c r="D1179" s="200"/>
      <c r="E1179" s="200"/>
      <c r="F1179" s="147"/>
      <c r="G1179" s="186"/>
      <c r="H1179" s="201"/>
      <c r="I1179" s="201"/>
      <c r="J1179" s="201"/>
      <c r="K1179" s="201"/>
      <c r="L1179" s="202"/>
      <c r="M1179" s="202"/>
      <c r="N1179" s="147"/>
      <c r="O1179" s="147"/>
      <c r="P1179" s="147"/>
      <c r="Q1179" s="203"/>
      <c r="R1179" s="186"/>
      <c r="S1179" s="186"/>
      <c r="T1179" s="147"/>
      <c r="U1179" s="204"/>
    </row>
    <row r="1180" ht="22.5" hidden="1" customHeight="1">
      <c r="A1180" s="205"/>
      <c r="B1180" s="82"/>
      <c r="C1180" s="206"/>
      <c r="D1180" s="255"/>
      <c r="E1180" s="255"/>
      <c r="F1180" s="150"/>
      <c r="G1180" s="255"/>
      <c r="H1180" s="207"/>
      <c r="I1180" s="207"/>
      <c r="J1180" s="207"/>
      <c r="K1180" s="207"/>
      <c r="L1180" s="208"/>
      <c r="M1180" s="208"/>
      <c r="N1180" s="150"/>
      <c r="O1180" s="150"/>
      <c r="P1180" s="150"/>
      <c r="Q1180" s="209"/>
      <c r="R1180" s="45"/>
      <c r="S1180" s="45"/>
      <c r="T1180" s="150"/>
      <c r="U1180" s="198"/>
    </row>
    <row r="1181" ht="22.5" hidden="1" customHeight="1">
      <c r="A1181" s="199"/>
      <c r="B1181" s="146"/>
      <c r="C1181" s="200"/>
      <c r="D1181" s="200"/>
      <c r="E1181" s="200"/>
      <c r="F1181" s="147"/>
      <c r="G1181" s="186"/>
      <c r="H1181" s="201"/>
      <c r="I1181" s="201"/>
      <c r="J1181" s="201"/>
      <c r="K1181" s="201"/>
      <c r="L1181" s="202"/>
      <c r="M1181" s="202"/>
      <c r="N1181" s="147"/>
      <c r="O1181" s="147"/>
      <c r="P1181" s="147"/>
      <c r="Q1181" s="203"/>
      <c r="R1181" s="186"/>
      <c r="S1181" s="186"/>
      <c r="T1181" s="147"/>
      <c r="U1181" s="204"/>
    </row>
    <row r="1182" ht="22.5" hidden="1" customHeight="1">
      <c r="A1182" s="205"/>
      <c r="B1182" s="82"/>
      <c r="C1182" s="206"/>
      <c r="D1182" s="206"/>
      <c r="E1182" s="206"/>
      <c r="F1182" s="150"/>
      <c r="G1182" s="45"/>
      <c r="H1182" s="207"/>
      <c r="I1182" s="207"/>
      <c r="J1182" s="207"/>
      <c r="K1182" s="207"/>
      <c r="L1182" s="208"/>
      <c r="M1182" s="208"/>
      <c r="N1182" s="150"/>
      <c r="O1182" s="150"/>
      <c r="P1182" s="150"/>
      <c r="Q1182" s="209"/>
      <c r="R1182" s="45"/>
      <c r="S1182" s="45"/>
      <c r="T1182" s="150"/>
      <c r="U1182" s="198"/>
    </row>
    <row r="1183" ht="22.5" hidden="1" customHeight="1">
      <c r="A1183" s="199"/>
      <c r="B1183" s="146"/>
      <c r="C1183" s="200"/>
      <c r="D1183" s="258"/>
      <c r="E1183" s="258"/>
      <c r="F1183" s="147"/>
      <c r="G1183" s="258"/>
      <c r="H1183" s="201"/>
      <c r="I1183" s="201"/>
      <c r="J1183" s="201"/>
      <c r="K1183" s="201"/>
      <c r="L1183" s="202"/>
      <c r="M1183" s="202"/>
      <c r="N1183" s="147"/>
      <c r="O1183" s="147"/>
      <c r="P1183" s="147"/>
      <c r="Q1183" s="203"/>
      <c r="R1183" s="186"/>
      <c r="S1183" s="186"/>
      <c r="T1183" s="147"/>
      <c r="U1183" s="204"/>
    </row>
    <row r="1184" ht="22.5" hidden="1" customHeight="1">
      <c r="A1184" s="205"/>
      <c r="B1184" s="82"/>
      <c r="C1184" s="206"/>
      <c r="D1184" s="206"/>
      <c r="E1184" s="206"/>
      <c r="F1184" s="150"/>
      <c r="G1184" s="45"/>
      <c r="H1184" s="207"/>
      <c r="I1184" s="207"/>
      <c r="J1184" s="207"/>
      <c r="K1184" s="207"/>
      <c r="L1184" s="208"/>
      <c r="M1184" s="208"/>
      <c r="N1184" s="150"/>
      <c r="O1184" s="150"/>
      <c r="P1184" s="150"/>
      <c r="Q1184" s="209"/>
      <c r="R1184" s="45"/>
      <c r="S1184" s="45"/>
      <c r="T1184" s="150"/>
      <c r="U1184" s="198"/>
    </row>
    <row r="1185" ht="22.5" hidden="1" customHeight="1">
      <c r="A1185" s="199"/>
      <c r="B1185" s="146"/>
      <c r="C1185" s="200"/>
      <c r="D1185" s="200"/>
      <c r="E1185" s="200"/>
      <c r="F1185" s="147"/>
      <c r="G1185" s="186"/>
      <c r="H1185" s="201"/>
      <c r="I1185" s="201"/>
      <c r="J1185" s="201"/>
      <c r="K1185" s="201"/>
      <c r="L1185" s="202"/>
      <c r="M1185" s="202"/>
      <c r="N1185" s="147"/>
      <c r="O1185" s="147"/>
      <c r="P1185" s="147"/>
      <c r="Q1185" s="203"/>
      <c r="R1185" s="186"/>
      <c r="S1185" s="186"/>
      <c r="T1185" s="147"/>
      <c r="U1185" s="204"/>
    </row>
    <row r="1186" ht="22.5" hidden="1" customHeight="1">
      <c r="A1186" s="205"/>
      <c r="B1186" s="82"/>
      <c r="C1186" s="206"/>
      <c r="D1186" s="255"/>
      <c r="E1186" s="255"/>
      <c r="F1186" s="150"/>
      <c r="G1186" s="255"/>
      <c r="H1186" s="207"/>
      <c r="I1186" s="207"/>
      <c r="J1186" s="207"/>
      <c r="K1186" s="207"/>
      <c r="L1186" s="208"/>
      <c r="M1186" s="208"/>
      <c r="N1186" s="150"/>
      <c r="O1186" s="150"/>
      <c r="P1186" s="150"/>
      <c r="Q1186" s="209"/>
      <c r="R1186" s="45"/>
      <c r="S1186" s="45"/>
      <c r="T1186" s="150"/>
      <c r="U1186" s="198"/>
    </row>
    <row r="1187" ht="22.5" hidden="1" customHeight="1">
      <c r="A1187" s="199"/>
      <c r="B1187" s="146"/>
      <c r="C1187" s="200"/>
      <c r="D1187" s="200"/>
      <c r="E1187" s="200"/>
      <c r="F1187" s="147"/>
      <c r="G1187" s="186"/>
      <c r="H1187" s="201"/>
      <c r="I1187" s="201"/>
      <c r="J1187" s="201"/>
      <c r="K1187" s="201"/>
      <c r="L1187" s="202"/>
      <c r="M1187" s="202"/>
      <c r="N1187" s="147"/>
      <c r="O1187" s="147"/>
      <c r="P1187" s="147"/>
      <c r="Q1187" s="203"/>
      <c r="R1187" s="186"/>
      <c r="S1187" s="186"/>
      <c r="T1187" s="147"/>
      <c r="U1187" s="204"/>
    </row>
    <row r="1188" ht="22.5" hidden="1" customHeight="1">
      <c r="A1188" s="205"/>
      <c r="B1188" s="82"/>
      <c r="C1188" s="206"/>
      <c r="D1188" s="206"/>
      <c r="E1188" s="206"/>
      <c r="F1188" s="150"/>
      <c r="G1188" s="45"/>
      <c r="H1188" s="207"/>
      <c r="I1188" s="207"/>
      <c r="J1188" s="207"/>
      <c r="K1188" s="207"/>
      <c r="L1188" s="208"/>
      <c r="M1188" s="208"/>
      <c r="N1188" s="150"/>
      <c r="O1188" s="150"/>
      <c r="P1188" s="150"/>
      <c r="Q1188" s="209"/>
      <c r="R1188" s="45"/>
      <c r="S1188" s="45"/>
      <c r="T1188" s="150"/>
      <c r="U1188" s="198"/>
    </row>
    <row r="1189" ht="22.5" hidden="1" customHeight="1">
      <c r="A1189" s="199"/>
      <c r="B1189" s="146"/>
      <c r="C1189" s="200"/>
      <c r="D1189" s="200"/>
      <c r="E1189" s="200"/>
      <c r="F1189" s="147"/>
      <c r="G1189" s="186"/>
      <c r="H1189" s="201"/>
      <c r="I1189" s="201"/>
      <c r="J1189" s="201"/>
      <c r="K1189" s="201"/>
      <c r="L1189" s="202"/>
      <c r="M1189" s="202"/>
      <c r="N1189" s="147"/>
      <c r="O1189" s="147"/>
      <c r="P1189" s="147"/>
      <c r="Q1189" s="203"/>
      <c r="R1189" s="186"/>
      <c r="S1189" s="186"/>
      <c r="T1189" s="147"/>
      <c r="U1189" s="204"/>
    </row>
    <row r="1190" ht="22.5" hidden="1" customHeight="1">
      <c r="A1190" s="205"/>
      <c r="B1190" s="82"/>
      <c r="C1190" s="206"/>
      <c r="D1190" s="206"/>
      <c r="E1190" s="206"/>
      <c r="F1190" s="150"/>
      <c r="G1190" s="45"/>
      <c r="H1190" s="207"/>
      <c r="I1190" s="207"/>
      <c r="J1190" s="207"/>
      <c r="K1190" s="207"/>
      <c r="L1190" s="208"/>
      <c r="M1190" s="208"/>
      <c r="N1190" s="150"/>
      <c r="O1190" s="150"/>
      <c r="P1190" s="150"/>
      <c r="Q1190" s="209"/>
      <c r="R1190" s="45"/>
      <c r="S1190" s="45"/>
      <c r="T1190" s="150"/>
      <c r="U1190" s="198"/>
    </row>
    <row r="1191" ht="22.5" hidden="1" customHeight="1">
      <c r="A1191" s="199"/>
      <c r="B1191" s="146"/>
      <c r="C1191" s="200"/>
      <c r="D1191" s="200"/>
      <c r="E1191" s="200"/>
      <c r="F1191" s="147"/>
      <c r="G1191" s="186"/>
      <c r="H1191" s="201"/>
      <c r="I1191" s="201"/>
      <c r="J1191" s="201"/>
      <c r="K1191" s="201"/>
      <c r="L1191" s="202"/>
      <c r="M1191" s="202"/>
      <c r="N1191" s="147"/>
      <c r="O1191" s="147"/>
      <c r="P1191" s="147"/>
      <c r="Q1191" s="203"/>
      <c r="R1191" s="186"/>
      <c r="S1191" s="186"/>
      <c r="T1191" s="147"/>
      <c r="U1191" s="204"/>
    </row>
    <row r="1192" ht="22.5" hidden="1" customHeight="1">
      <c r="A1192" s="205"/>
      <c r="B1192" s="82"/>
      <c r="C1192" s="206"/>
      <c r="D1192" s="206"/>
      <c r="E1192" s="206"/>
      <c r="F1192" s="150"/>
      <c r="G1192" s="45"/>
      <c r="H1192" s="207"/>
      <c r="I1192" s="207"/>
      <c r="J1192" s="207"/>
      <c r="K1192" s="207"/>
      <c r="L1192" s="208"/>
      <c r="M1192" s="208"/>
      <c r="N1192" s="150"/>
      <c r="O1192" s="150"/>
      <c r="P1192" s="150"/>
      <c r="Q1192" s="209"/>
      <c r="R1192" s="45"/>
      <c r="S1192" s="45"/>
      <c r="T1192" s="150"/>
      <c r="U1192" s="198"/>
    </row>
    <row r="1193" ht="22.5" hidden="1" customHeight="1">
      <c r="A1193" s="199"/>
      <c r="B1193" s="146"/>
      <c r="C1193" s="200"/>
      <c r="D1193" s="200"/>
      <c r="E1193" s="200"/>
      <c r="F1193" s="147"/>
      <c r="G1193" s="186"/>
      <c r="H1193" s="201"/>
      <c r="I1193" s="201"/>
      <c r="J1193" s="201"/>
      <c r="K1193" s="201"/>
      <c r="L1193" s="202"/>
      <c r="M1193" s="202"/>
      <c r="N1193" s="147"/>
      <c r="O1193" s="147"/>
      <c r="P1193" s="147"/>
      <c r="Q1193" s="203"/>
      <c r="R1193" s="186"/>
      <c r="S1193" s="186"/>
      <c r="T1193" s="147"/>
      <c r="U1193" s="204"/>
    </row>
    <row r="1194" ht="22.5" hidden="1" customHeight="1">
      <c r="A1194" s="205"/>
      <c r="B1194" s="82"/>
      <c r="C1194" s="206"/>
      <c r="D1194" s="206"/>
      <c r="E1194" s="206"/>
      <c r="F1194" s="150"/>
      <c r="G1194" s="45"/>
      <c r="H1194" s="207"/>
      <c r="I1194" s="207"/>
      <c r="J1194" s="207"/>
      <c r="K1194" s="207"/>
      <c r="L1194" s="208"/>
      <c r="M1194" s="208"/>
      <c r="N1194" s="150"/>
      <c r="O1194" s="150"/>
      <c r="P1194" s="150"/>
      <c r="Q1194" s="209"/>
      <c r="R1194" s="45"/>
      <c r="S1194" s="45"/>
      <c r="T1194" s="150"/>
      <c r="U1194" s="198"/>
    </row>
    <row r="1195" ht="22.5" hidden="1" customHeight="1">
      <c r="A1195" s="199"/>
      <c r="B1195" s="146"/>
      <c r="C1195" s="200"/>
      <c r="D1195" s="200"/>
      <c r="E1195" s="200"/>
      <c r="F1195" s="147"/>
      <c r="G1195" s="186"/>
      <c r="H1195" s="201"/>
      <c r="I1195" s="201"/>
      <c r="J1195" s="201"/>
      <c r="K1195" s="201"/>
      <c r="L1195" s="202"/>
      <c r="M1195" s="202"/>
      <c r="N1195" s="147"/>
      <c r="O1195" s="147"/>
      <c r="P1195" s="147"/>
      <c r="Q1195" s="203"/>
      <c r="R1195" s="186"/>
      <c r="S1195" s="186"/>
      <c r="T1195" s="147"/>
      <c r="U1195" s="204"/>
    </row>
    <row r="1196" ht="22.5" hidden="1" customHeight="1">
      <c r="A1196" s="205"/>
      <c r="B1196" s="82"/>
      <c r="C1196" s="206"/>
      <c r="D1196" s="206"/>
      <c r="E1196" s="206"/>
      <c r="F1196" s="150"/>
      <c r="G1196" s="45"/>
      <c r="H1196" s="207"/>
      <c r="I1196" s="207"/>
      <c r="J1196" s="207"/>
      <c r="K1196" s="207"/>
      <c r="L1196" s="208"/>
      <c r="M1196" s="208"/>
      <c r="N1196" s="150"/>
      <c r="O1196" s="150"/>
      <c r="P1196" s="150"/>
      <c r="Q1196" s="209"/>
      <c r="R1196" s="45"/>
      <c r="S1196" s="45"/>
      <c r="T1196" s="150"/>
      <c r="U1196" s="198"/>
    </row>
    <row r="1197" ht="22.5" hidden="1" customHeight="1">
      <c r="A1197" s="199"/>
      <c r="B1197" s="146"/>
      <c r="C1197" s="200"/>
      <c r="D1197" s="200"/>
      <c r="E1197" s="200"/>
      <c r="F1197" s="147"/>
      <c r="G1197" s="186"/>
      <c r="H1197" s="201"/>
      <c r="I1197" s="201"/>
      <c r="J1197" s="201"/>
      <c r="K1197" s="201"/>
      <c r="L1197" s="202"/>
      <c r="M1197" s="202"/>
      <c r="N1197" s="147"/>
      <c r="O1197" s="147"/>
      <c r="P1197" s="147"/>
      <c r="Q1197" s="203"/>
      <c r="R1197" s="186"/>
      <c r="S1197" s="186"/>
      <c r="T1197" s="147"/>
      <c r="U1197" s="204"/>
    </row>
    <row r="1198" ht="22.5" hidden="1" customHeight="1">
      <c r="A1198" s="205"/>
      <c r="B1198" s="82"/>
      <c r="C1198" s="206"/>
      <c r="D1198" s="206"/>
      <c r="E1198" s="206"/>
      <c r="F1198" s="150"/>
      <c r="G1198" s="45"/>
      <c r="H1198" s="207"/>
      <c r="I1198" s="207"/>
      <c r="J1198" s="207"/>
      <c r="K1198" s="207"/>
      <c r="L1198" s="208"/>
      <c r="M1198" s="208"/>
      <c r="N1198" s="150"/>
      <c r="O1198" s="150"/>
      <c r="P1198" s="150"/>
      <c r="Q1198" s="209"/>
      <c r="R1198" s="45"/>
      <c r="S1198" s="45"/>
      <c r="T1198" s="150"/>
      <c r="U1198" s="198"/>
    </row>
    <row r="1199" ht="22.5" hidden="1" customHeight="1">
      <c r="A1199" s="199"/>
      <c r="B1199" s="146"/>
      <c r="C1199" s="200"/>
      <c r="D1199" s="200"/>
      <c r="E1199" s="200"/>
      <c r="F1199" s="147"/>
      <c r="G1199" s="186"/>
      <c r="H1199" s="201"/>
      <c r="I1199" s="201"/>
      <c r="J1199" s="201"/>
      <c r="K1199" s="201"/>
      <c r="L1199" s="202"/>
      <c r="M1199" s="202"/>
      <c r="N1199" s="147"/>
      <c r="O1199" s="147"/>
      <c r="P1199" s="147"/>
      <c r="Q1199" s="203"/>
      <c r="R1199" s="186"/>
      <c r="S1199" s="186"/>
      <c r="T1199" s="147"/>
      <c r="U1199" s="204"/>
    </row>
    <row r="1200" ht="22.5" hidden="1" customHeight="1">
      <c r="A1200" s="205"/>
      <c r="B1200" s="82"/>
      <c r="C1200" s="206"/>
      <c r="D1200" s="206"/>
      <c r="E1200" s="206"/>
      <c r="F1200" s="150"/>
      <c r="G1200" s="45"/>
      <c r="H1200" s="207"/>
      <c r="I1200" s="207"/>
      <c r="J1200" s="207"/>
      <c r="K1200" s="207"/>
      <c r="L1200" s="208"/>
      <c r="M1200" s="208"/>
      <c r="N1200" s="150"/>
      <c r="O1200" s="150"/>
      <c r="P1200" s="150"/>
      <c r="Q1200" s="209"/>
      <c r="R1200" s="45"/>
      <c r="S1200" s="45"/>
      <c r="T1200" s="150"/>
      <c r="U1200" s="198"/>
    </row>
    <row r="1201" ht="22.5" hidden="1" customHeight="1">
      <c r="A1201" s="199"/>
      <c r="B1201" s="146"/>
      <c r="C1201" s="200"/>
      <c r="D1201" s="200"/>
      <c r="E1201" s="200"/>
      <c r="F1201" s="147"/>
      <c r="G1201" s="186"/>
      <c r="H1201" s="201"/>
      <c r="I1201" s="201"/>
      <c r="J1201" s="201"/>
      <c r="K1201" s="201"/>
      <c r="L1201" s="202"/>
      <c r="M1201" s="202"/>
      <c r="N1201" s="147"/>
      <c r="O1201" s="147"/>
      <c r="P1201" s="147"/>
      <c r="Q1201" s="203"/>
      <c r="R1201" s="186"/>
      <c r="S1201" s="186"/>
      <c r="T1201" s="147"/>
      <c r="U1201" s="204"/>
    </row>
    <row r="1202" ht="22.5" hidden="1" customHeight="1">
      <c r="A1202" s="205"/>
      <c r="B1202" s="82"/>
      <c r="C1202" s="206"/>
      <c r="D1202" s="206"/>
      <c r="E1202" s="206"/>
      <c r="F1202" s="150"/>
      <c r="G1202" s="45"/>
      <c r="H1202" s="207"/>
      <c r="I1202" s="207"/>
      <c r="J1202" s="207"/>
      <c r="K1202" s="207"/>
      <c r="L1202" s="208"/>
      <c r="M1202" s="208"/>
      <c r="N1202" s="150"/>
      <c r="O1202" s="150"/>
      <c r="P1202" s="150"/>
      <c r="Q1202" s="209"/>
      <c r="R1202" s="45"/>
      <c r="S1202" s="45"/>
      <c r="T1202" s="150"/>
      <c r="U1202" s="198"/>
    </row>
    <row r="1203" ht="22.5" hidden="1" customHeight="1">
      <c r="A1203" s="199"/>
      <c r="B1203" s="146"/>
      <c r="C1203" s="200"/>
      <c r="D1203" s="200"/>
      <c r="E1203" s="200"/>
      <c r="F1203" s="147"/>
      <c r="G1203" s="186"/>
      <c r="H1203" s="201"/>
      <c r="I1203" s="201"/>
      <c r="J1203" s="201"/>
      <c r="K1203" s="201"/>
      <c r="L1203" s="202"/>
      <c r="M1203" s="202"/>
      <c r="N1203" s="147"/>
      <c r="O1203" s="147"/>
      <c r="P1203" s="147"/>
      <c r="Q1203" s="203"/>
      <c r="R1203" s="186"/>
      <c r="S1203" s="186"/>
      <c r="T1203" s="147"/>
      <c r="U1203" s="204"/>
    </row>
    <row r="1204" ht="22.5" hidden="1" customHeight="1">
      <c r="A1204" s="205"/>
      <c r="B1204" s="82"/>
      <c r="C1204" s="206"/>
      <c r="D1204" s="206"/>
      <c r="E1204" s="206"/>
      <c r="F1204" s="150"/>
      <c r="G1204" s="45"/>
      <c r="H1204" s="207"/>
      <c r="I1204" s="207"/>
      <c r="J1204" s="207"/>
      <c r="K1204" s="207"/>
      <c r="L1204" s="208"/>
      <c r="M1204" s="208"/>
      <c r="N1204" s="150"/>
      <c r="O1204" s="150"/>
      <c r="P1204" s="150"/>
      <c r="Q1204" s="209"/>
      <c r="R1204" s="45"/>
      <c r="S1204" s="45"/>
      <c r="T1204" s="150"/>
      <c r="U1204" s="198"/>
    </row>
    <row r="1205" ht="22.5" hidden="1" customHeight="1">
      <c r="A1205" s="199"/>
      <c r="B1205" s="146"/>
      <c r="C1205" s="200"/>
      <c r="D1205" s="200"/>
      <c r="E1205" s="200"/>
      <c r="F1205" s="147"/>
      <c r="G1205" s="186"/>
      <c r="H1205" s="201"/>
      <c r="I1205" s="201"/>
      <c r="J1205" s="201"/>
      <c r="K1205" s="201"/>
      <c r="L1205" s="202"/>
      <c r="M1205" s="202"/>
      <c r="N1205" s="147"/>
      <c r="O1205" s="147"/>
      <c r="P1205" s="147"/>
      <c r="Q1205" s="203"/>
      <c r="R1205" s="186"/>
      <c r="S1205" s="186"/>
      <c r="T1205" s="147"/>
      <c r="U1205" s="204"/>
    </row>
    <row r="1206" ht="22.5" hidden="1" customHeight="1">
      <c r="A1206" s="205"/>
      <c r="B1206" s="82"/>
      <c r="C1206" s="206"/>
      <c r="D1206" s="206"/>
      <c r="E1206" s="206"/>
      <c r="F1206" s="150"/>
      <c r="G1206" s="45"/>
      <c r="H1206" s="207"/>
      <c r="I1206" s="207"/>
      <c r="J1206" s="207"/>
      <c r="K1206" s="207"/>
      <c r="L1206" s="208"/>
      <c r="M1206" s="208"/>
      <c r="N1206" s="150"/>
      <c r="O1206" s="150"/>
      <c r="P1206" s="150"/>
      <c r="Q1206" s="209"/>
      <c r="R1206" s="45"/>
      <c r="S1206" s="45"/>
      <c r="T1206" s="150"/>
      <c r="U1206" s="198"/>
    </row>
    <row r="1207" ht="22.5" hidden="1" customHeight="1">
      <c r="A1207" s="199"/>
      <c r="B1207" s="146"/>
      <c r="C1207" s="200"/>
      <c r="D1207" s="200"/>
      <c r="E1207" s="200"/>
      <c r="F1207" s="147"/>
      <c r="G1207" s="186"/>
      <c r="H1207" s="201"/>
      <c r="I1207" s="201"/>
      <c r="J1207" s="201"/>
      <c r="K1207" s="201"/>
      <c r="L1207" s="202"/>
      <c r="M1207" s="202"/>
      <c r="N1207" s="147"/>
      <c r="O1207" s="147"/>
      <c r="P1207" s="147"/>
      <c r="Q1207" s="203"/>
      <c r="R1207" s="186"/>
      <c r="S1207" s="186"/>
      <c r="T1207" s="147"/>
      <c r="U1207" s="204"/>
    </row>
    <row r="1208" ht="22.5" hidden="1" customHeight="1">
      <c r="A1208" s="205"/>
      <c r="B1208" s="82"/>
      <c r="C1208" s="206"/>
      <c r="D1208" s="206"/>
      <c r="E1208" s="206"/>
      <c r="F1208" s="150"/>
      <c r="G1208" s="45"/>
      <c r="H1208" s="207"/>
      <c r="I1208" s="207"/>
      <c r="J1208" s="207"/>
      <c r="K1208" s="207"/>
      <c r="L1208" s="208"/>
      <c r="M1208" s="208"/>
      <c r="N1208" s="150"/>
      <c r="O1208" s="150"/>
      <c r="P1208" s="150"/>
      <c r="Q1208" s="209"/>
      <c r="R1208" s="45"/>
      <c r="S1208" s="45"/>
      <c r="T1208" s="150"/>
      <c r="U1208" s="198"/>
    </row>
    <row r="1209" ht="22.5" hidden="1" customHeight="1">
      <c r="A1209" s="199"/>
      <c r="B1209" s="146"/>
      <c r="C1209" s="200"/>
      <c r="D1209" s="200"/>
      <c r="E1209" s="200"/>
      <c r="F1209" s="147"/>
      <c r="G1209" s="186"/>
      <c r="H1209" s="201"/>
      <c r="I1209" s="201"/>
      <c r="J1209" s="201"/>
      <c r="K1209" s="201"/>
      <c r="L1209" s="202"/>
      <c r="M1209" s="202"/>
      <c r="N1209" s="147"/>
      <c r="O1209" s="147"/>
      <c r="P1209" s="147"/>
      <c r="Q1209" s="203"/>
      <c r="R1209" s="186"/>
      <c r="S1209" s="186"/>
      <c r="T1209" s="147"/>
      <c r="U1209" s="204"/>
    </row>
    <row r="1210" ht="22.5" hidden="1" customHeight="1">
      <c r="A1210" s="205"/>
      <c r="B1210" s="82"/>
      <c r="C1210" s="206"/>
      <c r="D1210" s="206"/>
      <c r="E1210" s="206"/>
      <c r="F1210" s="150"/>
      <c r="G1210" s="45"/>
      <c r="H1210" s="207"/>
      <c r="I1210" s="207"/>
      <c r="J1210" s="207"/>
      <c r="K1210" s="207"/>
      <c r="L1210" s="208"/>
      <c r="M1210" s="208"/>
      <c r="N1210" s="150"/>
      <c r="O1210" s="150"/>
      <c r="P1210" s="150"/>
      <c r="Q1210" s="209"/>
      <c r="R1210" s="45"/>
      <c r="S1210" s="45"/>
      <c r="T1210" s="150"/>
      <c r="U1210" s="198"/>
    </row>
    <row r="1211" ht="22.5" hidden="1" customHeight="1">
      <c r="A1211" s="199"/>
      <c r="B1211" s="146"/>
      <c r="C1211" s="200"/>
      <c r="D1211" s="200"/>
      <c r="E1211" s="200"/>
      <c r="F1211" s="147"/>
      <c r="G1211" s="186"/>
      <c r="H1211" s="201"/>
      <c r="I1211" s="201"/>
      <c r="J1211" s="201"/>
      <c r="K1211" s="201"/>
      <c r="L1211" s="202"/>
      <c r="M1211" s="202"/>
      <c r="N1211" s="147"/>
      <c r="O1211" s="147"/>
      <c r="P1211" s="147"/>
      <c r="Q1211" s="203"/>
      <c r="R1211" s="186"/>
      <c r="S1211" s="186"/>
      <c r="T1211" s="147"/>
      <c r="U1211" s="204"/>
    </row>
    <row r="1212" ht="22.5" hidden="1" customHeight="1">
      <c r="A1212" s="205"/>
      <c r="B1212" s="82"/>
      <c r="C1212" s="206"/>
      <c r="D1212" s="206"/>
      <c r="E1212" s="206"/>
      <c r="F1212" s="150"/>
      <c r="G1212" s="45"/>
      <c r="H1212" s="207"/>
      <c r="I1212" s="207"/>
      <c r="J1212" s="207"/>
      <c r="K1212" s="207"/>
      <c r="L1212" s="208"/>
      <c r="M1212" s="208"/>
      <c r="N1212" s="150"/>
      <c r="O1212" s="150"/>
      <c r="P1212" s="150"/>
      <c r="Q1212" s="209"/>
      <c r="R1212" s="45"/>
      <c r="S1212" s="45"/>
      <c r="T1212" s="150"/>
      <c r="U1212" s="198"/>
    </row>
    <row r="1213" ht="22.5" hidden="1" customHeight="1">
      <c r="A1213" s="199"/>
      <c r="B1213" s="146"/>
      <c r="C1213" s="200"/>
      <c r="D1213" s="200"/>
      <c r="E1213" s="200"/>
      <c r="F1213" s="147"/>
      <c r="G1213" s="186"/>
      <c r="H1213" s="201"/>
      <c r="I1213" s="201"/>
      <c r="J1213" s="201"/>
      <c r="K1213" s="201"/>
      <c r="L1213" s="202"/>
      <c r="M1213" s="202"/>
      <c r="N1213" s="147"/>
      <c r="O1213" s="147"/>
      <c r="P1213" s="147"/>
      <c r="Q1213" s="203"/>
      <c r="R1213" s="186"/>
      <c r="S1213" s="186"/>
      <c r="T1213" s="147"/>
      <c r="U1213" s="204"/>
    </row>
    <row r="1214" ht="22.5" hidden="1" customHeight="1">
      <c r="A1214" s="205"/>
      <c r="B1214" s="82"/>
      <c r="C1214" s="206"/>
      <c r="D1214" s="206"/>
      <c r="E1214" s="206"/>
      <c r="F1214" s="150"/>
      <c r="G1214" s="45"/>
      <c r="H1214" s="207"/>
      <c r="I1214" s="207"/>
      <c r="J1214" s="207"/>
      <c r="K1214" s="207"/>
      <c r="L1214" s="208"/>
      <c r="M1214" s="208"/>
      <c r="N1214" s="150"/>
      <c r="O1214" s="150"/>
      <c r="P1214" s="150"/>
      <c r="Q1214" s="209"/>
      <c r="R1214" s="45"/>
      <c r="S1214" s="45"/>
      <c r="T1214" s="150"/>
      <c r="U1214" s="198"/>
    </row>
    <row r="1215" ht="22.5" hidden="1" customHeight="1">
      <c r="A1215" s="199"/>
      <c r="B1215" s="146"/>
      <c r="C1215" s="200"/>
      <c r="D1215" s="200"/>
      <c r="E1215" s="200"/>
      <c r="F1215" s="147"/>
      <c r="G1215" s="186"/>
      <c r="H1215" s="201"/>
      <c r="I1215" s="201"/>
      <c r="J1215" s="201"/>
      <c r="K1215" s="201"/>
      <c r="L1215" s="202"/>
      <c r="M1215" s="202"/>
      <c r="N1215" s="147"/>
      <c r="O1215" s="147"/>
      <c r="P1215" s="147"/>
      <c r="Q1215" s="203"/>
      <c r="R1215" s="186"/>
      <c r="S1215" s="186"/>
      <c r="T1215" s="147"/>
      <c r="U1215" s="204"/>
    </row>
    <row r="1216" ht="22.5" hidden="1" customHeight="1">
      <c r="A1216" s="205"/>
      <c r="B1216" s="82"/>
      <c r="C1216" s="206"/>
      <c r="D1216" s="206"/>
      <c r="E1216" s="206"/>
      <c r="F1216" s="150"/>
      <c r="G1216" s="45"/>
      <c r="H1216" s="207"/>
      <c r="I1216" s="207"/>
      <c r="J1216" s="207"/>
      <c r="K1216" s="207"/>
      <c r="L1216" s="208"/>
      <c r="M1216" s="208"/>
      <c r="N1216" s="150"/>
      <c r="O1216" s="150"/>
      <c r="P1216" s="150"/>
      <c r="Q1216" s="209"/>
      <c r="R1216" s="45"/>
      <c r="S1216" s="45"/>
      <c r="T1216" s="150"/>
      <c r="U1216" s="198"/>
    </row>
    <row r="1217" ht="22.5" hidden="1" customHeight="1">
      <c r="A1217" s="199"/>
      <c r="B1217" s="146"/>
      <c r="C1217" s="200"/>
      <c r="D1217" s="200"/>
      <c r="E1217" s="200"/>
      <c r="F1217" s="147"/>
      <c r="G1217" s="186"/>
      <c r="H1217" s="201"/>
      <c r="I1217" s="201"/>
      <c r="J1217" s="201"/>
      <c r="K1217" s="201"/>
      <c r="L1217" s="202"/>
      <c r="M1217" s="202"/>
      <c r="N1217" s="147"/>
      <c r="O1217" s="147"/>
      <c r="P1217" s="147"/>
      <c r="Q1217" s="203"/>
      <c r="R1217" s="186"/>
      <c r="S1217" s="186"/>
      <c r="T1217" s="147"/>
      <c r="U1217" s="204"/>
    </row>
    <row r="1218" ht="22.5" hidden="1" customHeight="1">
      <c r="A1218" s="205"/>
      <c r="B1218" s="82"/>
      <c r="C1218" s="206"/>
      <c r="D1218" s="206"/>
      <c r="E1218" s="206"/>
      <c r="F1218" s="150"/>
      <c r="G1218" s="45"/>
      <c r="H1218" s="207"/>
      <c r="I1218" s="207"/>
      <c r="J1218" s="207"/>
      <c r="K1218" s="207"/>
      <c r="L1218" s="208"/>
      <c r="M1218" s="208"/>
      <c r="N1218" s="150"/>
      <c r="O1218" s="150"/>
      <c r="P1218" s="150"/>
      <c r="Q1218" s="209"/>
      <c r="R1218" s="45"/>
      <c r="S1218" s="45"/>
      <c r="T1218" s="150"/>
      <c r="U1218" s="198"/>
    </row>
    <row r="1219" ht="22.5" hidden="1" customHeight="1">
      <c r="A1219" s="199"/>
      <c r="B1219" s="146"/>
      <c r="C1219" s="200"/>
      <c r="D1219" s="200"/>
      <c r="E1219" s="200"/>
      <c r="F1219" s="147"/>
      <c r="G1219" s="186"/>
      <c r="H1219" s="201"/>
      <c r="I1219" s="201"/>
      <c r="J1219" s="201"/>
      <c r="K1219" s="201"/>
      <c r="L1219" s="202"/>
      <c r="M1219" s="202"/>
      <c r="N1219" s="147"/>
      <c r="O1219" s="147"/>
      <c r="P1219" s="147"/>
      <c r="Q1219" s="203"/>
      <c r="R1219" s="186"/>
      <c r="S1219" s="186"/>
      <c r="T1219" s="147"/>
      <c r="U1219" s="204"/>
    </row>
    <row r="1220" ht="22.5" hidden="1" customHeight="1">
      <c r="A1220" s="205"/>
      <c r="B1220" s="82"/>
      <c r="C1220" s="206"/>
      <c r="D1220" s="206"/>
      <c r="E1220" s="206"/>
      <c r="F1220" s="150"/>
      <c r="G1220" s="45"/>
      <c r="H1220" s="207"/>
      <c r="I1220" s="207"/>
      <c r="J1220" s="207"/>
      <c r="K1220" s="207"/>
      <c r="L1220" s="208"/>
      <c r="M1220" s="208"/>
      <c r="N1220" s="150"/>
      <c r="O1220" s="150"/>
      <c r="P1220" s="150"/>
      <c r="Q1220" s="209"/>
      <c r="R1220" s="45"/>
      <c r="S1220" s="45"/>
      <c r="T1220" s="150"/>
      <c r="U1220" s="198"/>
    </row>
    <row r="1221" ht="22.5" hidden="1" customHeight="1">
      <c r="A1221" s="199"/>
      <c r="B1221" s="146"/>
      <c r="C1221" s="200"/>
      <c r="D1221" s="200"/>
      <c r="E1221" s="200"/>
      <c r="F1221" s="147"/>
      <c r="G1221" s="186"/>
      <c r="H1221" s="201"/>
      <c r="I1221" s="201"/>
      <c r="J1221" s="201"/>
      <c r="K1221" s="201"/>
      <c r="L1221" s="202"/>
      <c r="M1221" s="202"/>
      <c r="N1221" s="147"/>
      <c r="O1221" s="147"/>
      <c r="P1221" s="147"/>
      <c r="Q1221" s="203"/>
      <c r="R1221" s="186"/>
      <c r="S1221" s="186"/>
      <c r="T1221" s="147"/>
      <c r="U1221" s="204"/>
    </row>
    <row r="1222" ht="22.5" hidden="1" customHeight="1">
      <c r="A1222" s="205"/>
      <c r="B1222" s="82"/>
      <c r="C1222" s="206"/>
      <c r="D1222" s="206"/>
      <c r="E1222" s="206"/>
      <c r="F1222" s="150"/>
      <c r="G1222" s="45"/>
      <c r="H1222" s="207"/>
      <c r="I1222" s="207"/>
      <c r="J1222" s="207"/>
      <c r="K1222" s="207"/>
      <c r="L1222" s="208"/>
      <c r="M1222" s="208"/>
      <c r="N1222" s="150"/>
      <c r="O1222" s="150"/>
      <c r="P1222" s="150"/>
      <c r="Q1222" s="209"/>
      <c r="R1222" s="45"/>
      <c r="S1222" s="45"/>
      <c r="T1222" s="150"/>
      <c r="U1222" s="198"/>
    </row>
    <row r="1223" ht="22.5" hidden="1" customHeight="1">
      <c r="A1223" s="199"/>
      <c r="B1223" s="146"/>
      <c r="C1223" s="200"/>
      <c r="D1223" s="200"/>
      <c r="E1223" s="200"/>
      <c r="F1223" s="147"/>
      <c r="G1223" s="186"/>
      <c r="H1223" s="201"/>
      <c r="I1223" s="201"/>
      <c r="J1223" s="201"/>
      <c r="K1223" s="201"/>
      <c r="L1223" s="202"/>
      <c r="M1223" s="202"/>
      <c r="N1223" s="147"/>
      <c r="O1223" s="147"/>
      <c r="P1223" s="147"/>
      <c r="Q1223" s="203"/>
      <c r="R1223" s="186"/>
      <c r="S1223" s="186"/>
      <c r="T1223" s="147"/>
      <c r="U1223" s="204"/>
    </row>
    <row r="1224" ht="22.5" hidden="1" customHeight="1">
      <c r="A1224" s="205"/>
      <c r="B1224" s="82"/>
      <c r="C1224" s="206"/>
      <c r="D1224" s="206"/>
      <c r="E1224" s="206"/>
      <c r="F1224" s="150"/>
      <c r="G1224" s="45"/>
      <c r="H1224" s="207"/>
      <c r="I1224" s="207"/>
      <c r="J1224" s="207"/>
      <c r="K1224" s="207"/>
      <c r="L1224" s="208"/>
      <c r="M1224" s="208"/>
      <c r="N1224" s="150"/>
      <c r="O1224" s="150"/>
      <c r="P1224" s="150"/>
      <c r="Q1224" s="209"/>
      <c r="R1224" s="45"/>
      <c r="S1224" s="45"/>
      <c r="T1224" s="150"/>
      <c r="U1224" s="198"/>
    </row>
    <row r="1225" ht="22.5" hidden="1" customHeight="1">
      <c r="A1225" s="199"/>
      <c r="B1225" s="146"/>
      <c r="C1225" s="200"/>
      <c r="D1225" s="200"/>
      <c r="E1225" s="200"/>
      <c r="F1225" s="147"/>
      <c r="G1225" s="186"/>
      <c r="H1225" s="201"/>
      <c r="I1225" s="201"/>
      <c r="J1225" s="201"/>
      <c r="K1225" s="201"/>
      <c r="L1225" s="202"/>
      <c r="M1225" s="202"/>
      <c r="N1225" s="147"/>
      <c r="O1225" s="147"/>
      <c r="P1225" s="147"/>
      <c r="Q1225" s="203"/>
      <c r="R1225" s="186"/>
      <c r="S1225" s="186"/>
      <c r="T1225" s="147"/>
      <c r="U1225" s="204"/>
    </row>
    <row r="1226" ht="22.5" hidden="1" customHeight="1">
      <c r="A1226" s="205"/>
      <c r="B1226" s="82"/>
      <c r="C1226" s="206"/>
      <c r="D1226" s="206"/>
      <c r="E1226" s="206"/>
      <c r="F1226" s="150"/>
      <c r="G1226" s="45"/>
      <c r="H1226" s="207"/>
      <c r="I1226" s="207"/>
      <c r="J1226" s="207"/>
      <c r="K1226" s="207"/>
      <c r="L1226" s="208"/>
      <c r="M1226" s="208"/>
      <c r="N1226" s="150"/>
      <c r="O1226" s="150"/>
      <c r="P1226" s="150"/>
      <c r="Q1226" s="209"/>
      <c r="R1226" s="45"/>
      <c r="S1226" s="45"/>
      <c r="T1226" s="150"/>
      <c r="U1226" s="198"/>
    </row>
    <row r="1227" ht="22.5" hidden="1" customHeight="1">
      <c r="A1227" s="199"/>
      <c r="B1227" s="146"/>
      <c r="C1227" s="200"/>
      <c r="D1227" s="200"/>
      <c r="E1227" s="200"/>
      <c r="F1227" s="147"/>
      <c r="G1227" s="186"/>
      <c r="H1227" s="201"/>
      <c r="I1227" s="201"/>
      <c r="J1227" s="201"/>
      <c r="K1227" s="201"/>
      <c r="L1227" s="202"/>
      <c r="M1227" s="202"/>
      <c r="N1227" s="147"/>
      <c r="O1227" s="147"/>
      <c r="P1227" s="147"/>
      <c r="Q1227" s="203"/>
      <c r="R1227" s="186"/>
      <c r="S1227" s="186"/>
      <c r="T1227" s="147"/>
      <c r="U1227" s="204"/>
    </row>
    <row r="1228" ht="22.5" hidden="1" customHeight="1">
      <c r="A1228" s="205"/>
      <c r="B1228" s="82"/>
      <c r="C1228" s="206"/>
      <c r="D1228" s="206"/>
      <c r="E1228" s="206"/>
      <c r="F1228" s="150"/>
      <c r="G1228" s="45"/>
      <c r="H1228" s="207"/>
      <c r="I1228" s="207"/>
      <c r="J1228" s="207"/>
      <c r="K1228" s="207"/>
      <c r="L1228" s="208"/>
      <c r="M1228" s="208"/>
      <c r="N1228" s="150"/>
      <c r="O1228" s="150"/>
      <c r="P1228" s="150"/>
      <c r="Q1228" s="209"/>
      <c r="R1228" s="45"/>
      <c r="S1228" s="45"/>
      <c r="T1228" s="150"/>
      <c r="U1228" s="198"/>
    </row>
    <row r="1229" ht="22.5" hidden="1" customHeight="1">
      <c r="A1229" s="199"/>
      <c r="B1229" s="146"/>
      <c r="C1229" s="200"/>
      <c r="D1229" s="200"/>
      <c r="E1229" s="200"/>
      <c r="F1229" s="147"/>
      <c r="G1229" s="186"/>
      <c r="H1229" s="201"/>
      <c r="I1229" s="201"/>
      <c r="J1229" s="201"/>
      <c r="K1229" s="201"/>
      <c r="L1229" s="202"/>
      <c r="M1229" s="202"/>
      <c r="N1229" s="147"/>
      <c r="O1229" s="147"/>
      <c r="P1229" s="147"/>
      <c r="Q1229" s="203"/>
      <c r="R1229" s="186"/>
      <c r="S1229" s="186"/>
      <c r="T1229" s="147"/>
      <c r="U1229" s="204"/>
    </row>
    <row r="1230" ht="22.5" hidden="1" customHeight="1">
      <c r="A1230" s="205"/>
      <c r="B1230" s="82"/>
      <c r="C1230" s="206"/>
      <c r="D1230" s="206"/>
      <c r="E1230" s="206"/>
      <c r="F1230" s="150"/>
      <c r="G1230" s="45"/>
      <c r="H1230" s="207"/>
      <c r="I1230" s="207"/>
      <c r="J1230" s="207"/>
      <c r="K1230" s="207"/>
      <c r="L1230" s="208"/>
      <c r="M1230" s="208"/>
      <c r="N1230" s="150"/>
      <c r="O1230" s="150"/>
      <c r="P1230" s="150"/>
      <c r="Q1230" s="209"/>
      <c r="R1230" s="45"/>
      <c r="S1230" s="45"/>
      <c r="T1230" s="150"/>
      <c r="U1230" s="198"/>
    </row>
    <row r="1231" ht="22.5" hidden="1" customHeight="1">
      <c r="A1231" s="199"/>
      <c r="B1231" s="146"/>
      <c r="C1231" s="200"/>
      <c r="D1231" s="200"/>
      <c r="E1231" s="200"/>
      <c r="F1231" s="147"/>
      <c r="G1231" s="186"/>
      <c r="H1231" s="201"/>
      <c r="I1231" s="201"/>
      <c r="J1231" s="201"/>
      <c r="K1231" s="201"/>
      <c r="L1231" s="202"/>
      <c r="M1231" s="202"/>
      <c r="N1231" s="147"/>
      <c r="O1231" s="147"/>
      <c r="P1231" s="147"/>
      <c r="Q1231" s="203"/>
      <c r="R1231" s="186"/>
      <c r="S1231" s="186"/>
      <c r="T1231" s="147"/>
      <c r="U1231" s="204"/>
    </row>
    <row r="1232" ht="22.5" hidden="1" customHeight="1">
      <c r="A1232" s="205"/>
      <c r="B1232" s="82"/>
      <c r="C1232" s="206"/>
      <c r="D1232" s="206"/>
      <c r="E1232" s="206"/>
      <c r="F1232" s="150"/>
      <c r="G1232" s="45"/>
      <c r="H1232" s="207"/>
      <c r="I1232" s="207"/>
      <c r="J1232" s="207"/>
      <c r="K1232" s="207"/>
      <c r="L1232" s="208"/>
      <c r="M1232" s="208"/>
      <c r="N1232" s="150"/>
      <c r="O1232" s="150"/>
      <c r="P1232" s="150"/>
      <c r="Q1232" s="209"/>
      <c r="R1232" s="45"/>
      <c r="S1232" s="45"/>
      <c r="T1232" s="150"/>
      <c r="U1232" s="198"/>
    </row>
    <row r="1233" ht="22.5" hidden="1" customHeight="1">
      <c r="A1233" s="199"/>
      <c r="B1233" s="146"/>
      <c r="C1233" s="200"/>
      <c r="D1233" s="200"/>
      <c r="E1233" s="200"/>
      <c r="F1233" s="147"/>
      <c r="G1233" s="186"/>
      <c r="H1233" s="201"/>
      <c r="I1233" s="201"/>
      <c r="J1233" s="201"/>
      <c r="K1233" s="201"/>
      <c r="L1233" s="202"/>
      <c r="M1233" s="202"/>
      <c r="N1233" s="147"/>
      <c r="O1233" s="147"/>
      <c r="P1233" s="147"/>
      <c r="Q1233" s="203"/>
      <c r="R1233" s="186"/>
      <c r="S1233" s="186"/>
      <c r="T1233" s="147"/>
      <c r="U1233" s="204"/>
    </row>
    <row r="1234" ht="22.5" hidden="1" customHeight="1">
      <c r="A1234" s="205"/>
      <c r="B1234" s="82"/>
      <c r="C1234" s="206"/>
      <c r="D1234" s="206"/>
      <c r="E1234" s="206"/>
      <c r="F1234" s="150"/>
      <c r="G1234" s="45"/>
      <c r="H1234" s="207"/>
      <c r="I1234" s="207"/>
      <c r="J1234" s="207"/>
      <c r="K1234" s="207"/>
      <c r="L1234" s="208"/>
      <c r="M1234" s="208"/>
      <c r="N1234" s="150"/>
      <c r="O1234" s="150"/>
      <c r="P1234" s="150"/>
      <c r="Q1234" s="209"/>
      <c r="R1234" s="45"/>
      <c r="S1234" s="45"/>
      <c r="T1234" s="150"/>
      <c r="U1234" s="198"/>
    </row>
    <row r="1235" ht="22.5" hidden="1" customHeight="1">
      <c r="A1235" s="199"/>
      <c r="B1235" s="146"/>
      <c r="C1235" s="200"/>
      <c r="D1235" s="200"/>
      <c r="E1235" s="200"/>
      <c r="F1235" s="147"/>
      <c r="G1235" s="186"/>
      <c r="H1235" s="201"/>
      <c r="I1235" s="201"/>
      <c r="J1235" s="201"/>
      <c r="K1235" s="201"/>
      <c r="L1235" s="202"/>
      <c r="M1235" s="202"/>
      <c r="N1235" s="147"/>
      <c r="O1235" s="147"/>
      <c r="P1235" s="147"/>
      <c r="Q1235" s="203"/>
      <c r="R1235" s="186"/>
      <c r="S1235" s="186"/>
      <c r="T1235" s="147"/>
      <c r="U1235" s="204"/>
    </row>
    <row r="1236" ht="22.5" hidden="1" customHeight="1">
      <c r="A1236" s="205"/>
      <c r="B1236" s="82"/>
      <c r="C1236" s="206"/>
      <c r="D1236" s="206"/>
      <c r="E1236" s="206"/>
      <c r="F1236" s="150"/>
      <c r="G1236" s="45"/>
      <c r="H1236" s="207"/>
      <c r="I1236" s="207"/>
      <c r="J1236" s="207"/>
      <c r="K1236" s="207"/>
      <c r="L1236" s="208"/>
      <c r="M1236" s="208"/>
      <c r="N1236" s="150"/>
      <c r="O1236" s="150"/>
      <c r="P1236" s="150"/>
      <c r="Q1236" s="209"/>
      <c r="R1236" s="45"/>
      <c r="S1236" s="45"/>
      <c r="T1236" s="150"/>
      <c r="U1236" s="198"/>
    </row>
    <row r="1237" ht="22.5" hidden="1" customHeight="1">
      <c r="A1237" s="199"/>
      <c r="B1237" s="146"/>
      <c r="C1237" s="200"/>
      <c r="D1237" s="200"/>
      <c r="E1237" s="200"/>
      <c r="F1237" s="147"/>
      <c r="G1237" s="186"/>
      <c r="H1237" s="201"/>
      <c r="I1237" s="201"/>
      <c r="J1237" s="201"/>
      <c r="K1237" s="201"/>
      <c r="L1237" s="202"/>
      <c r="M1237" s="202"/>
      <c r="N1237" s="147"/>
      <c r="O1237" s="147"/>
      <c r="P1237" s="147"/>
      <c r="Q1237" s="203"/>
      <c r="R1237" s="186"/>
      <c r="S1237" s="186"/>
      <c r="T1237" s="147"/>
      <c r="U1237" s="204"/>
    </row>
    <row r="1238" ht="22.5" hidden="1" customHeight="1">
      <c r="A1238" s="205"/>
      <c r="B1238" s="82"/>
      <c r="C1238" s="206"/>
      <c r="D1238" s="206"/>
      <c r="E1238" s="206"/>
      <c r="F1238" s="150"/>
      <c r="G1238" s="45"/>
      <c r="H1238" s="207"/>
      <c r="I1238" s="207"/>
      <c r="J1238" s="207"/>
      <c r="K1238" s="207"/>
      <c r="L1238" s="208"/>
      <c r="M1238" s="208"/>
      <c r="N1238" s="150"/>
      <c r="O1238" s="150"/>
      <c r="P1238" s="150"/>
      <c r="Q1238" s="209"/>
      <c r="R1238" s="45"/>
      <c r="S1238" s="45"/>
      <c r="T1238" s="150"/>
      <c r="U1238" s="198"/>
    </row>
    <row r="1239" ht="22.5" hidden="1" customHeight="1">
      <c r="A1239" s="199"/>
      <c r="B1239" s="146"/>
      <c r="C1239" s="200"/>
      <c r="D1239" s="200"/>
      <c r="E1239" s="200"/>
      <c r="F1239" s="147"/>
      <c r="G1239" s="186"/>
      <c r="H1239" s="201"/>
      <c r="I1239" s="201"/>
      <c r="J1239" s="201"/>
      <c r="K1239" s="201"/>
      <c r="L1239" s="202"/>
      <c r="M1239" s="202"/>
      <c r="N1239" s="147"/>
      <c r="O1239" s="147"/>
      <c r="P1239" s="147"/>
      <c r="Q1239" s="203"/>
      <c r="R1239" s="186"/>
      <c r="S1239" s="186"/>
      <c r="T1239" s="147"/>
      <c r="U1239" s="204"/>
    </row>
    <row r="1240" ht="22.5" hidden="1" customHeight="1">
      <c r="A1240" s="205"/>
      <c r="B1240" s="82"/>
      <c r="C1240" s="206"/>
      <c r="D1240" s="206"/>
      <c r="E1240" s="206"/>
      <c r="F1240" s="150"/>
      <c r="G1240" s="45"/>
      <c r="H1240" s="207"/>
      <c r="I1240" s="207"/>
      <c r="J1240" s="207"/>
      <c r="K1240" s="207"/>
      <c r="L1240" s="208"/>
      <c r="M1240" s="208"/>
      <c r="N1240" s="150"/>
      <c r="O1240" s="150"/>
      <c r="P1240" s="150"/>
      <c r="Q1240" s="209"/>
      <c r="R1240" s="45"/>
      <c r="S1240" s="45"/>
      <c r="T1240" s="150"/>
      <c r="U1240" s="198"/>
    </row>
    <row r="1241" ht="22.5" hidden="1" customHeight="1">
      <c r="A1241" s="199"/>
      <c r="B1241" s="146"/>
      <c r="C1241" s="200"/>
      <c r="D1241" s="200"/>
      <c r="E1241" s="200"/>
      <c r="F1241" s="147"/>
      <c r="G1241" s="186"/>
      <c r="H1241" s="201"/>
      <c r="I1241" s="201"/>
      <c r="J1241" s="201"/>
      <c r="K1241" s="201"/>
      <c r="L1241" s="202"/>
      <c r="M1241" s="202"/>
      <c r="N1241" s="147"/>
      <c r="O1241" s="147"/>
      <c r="P1241" s="147"/>
      <c r="Q1241" s="203"/>
      <c r="R1241" s="186"/>
      <c r="S1241" s="186"/>
      <c r="T1241" s="147"/>
      <c r="U1241" s="204"/>
    </row>
    <row r="1242" ht="22.5" hidden="1" customHeight="1">
      <c r="A1242" s="205"/>
      <c r="B1242" s="82"/>
      <c r="C1242" s="206"/>
      <c r="D1242" s="206"/>
      <c r="E1242" s="206"/>
      <c r="F1242" s="150"/>
      <c r="G1242" s="45"/>
      <c r="H1242" s="207"/>
      <c r="I1242" s="207"/>
      <c r="J1242" s="207"/>
      <c r="K1242" s="207"/>
      <c r="L1242" s="208"/>
      <c r="M1242" s="208"/>
      <c r="N1242" s="150"/>
      <c r="O1242" s="150"/>
      <c r="P1242" s="150"/>
      <c r="Q1242" s="209"/>
      <c r="R1242" s="45"/>
      <c r="S1242" s="45"/>
      <c r="T1242" s="150"/>
      <c r="U1242" s="198"/>
    </row>
    <row r="1243" ht="22.5" hidden="1" customHeight="1">
      <c r="A1243" s="199"/>
      <c r="B1243" s="146"/>
      <c r="C1243" s="200"/>
      <c r="D1243" s="200"/>
      <c r="E1243" s="200"/>
      <c r="F1243" s="147"/>
      <c r="G1243" s="186"/>
      <c r="H1243" s="201"/>
      <c r="I1243" s="201"/>
      <c r="J1243" s="201"/>
      <c r="K1243" s="201"/>
      <c r="L1243" s="202"/>
      <c r="M1243" s="202"/>
      <c r="N1243" s="147"/>
      <c r="O1243" s="147"/>
      <c r="P1243" s="147"/>
      <c r="Q1243" s="203"/>
      <c r="R1243" s="186"/>
      <c r="S1243" s="186"/>
      <c r="T1243" s="147"/>
      <c r="U1243" s="204"/>
    </row>
    <row r="1244" ht="22.5" hidden="1" customHeight="1">
      <c r="A1244" s="205"/>
      <c r="B1244" s="82"/>
      <c r="C1244" s="206"/>
      <c r="D1244" s="206"/>
      <c r="E1244" s="206"/>
      <c r="F1244" s="150"/>
      <c r="G1244" s="45"/>
      <c r="H1244" s="207"/>
      <c r="I1244" s="207"/>
      <c r="J1244" s="207"/>
      <c r="K1244" s="207"/>
      <c r="L1244" s="208"/>
      <c r="M1244" s="208"/>
      <c r="N1244" s="150"/>
      <c r="O1244" s="150"/>
      <c r="P1244" s="150"/>
      <c r="Q1244" s="209"/>
      <c r="R1244" s="45"/>
      <c r="S1244" s="45"/>
      <c r="T1244" s="150"/>
      <c r="U1244" s="198"/>
    </row>
    <row r="1245" ht="22.5" hidden="1" customHeight="1">
      <c r="A1245" s="199"/>
      <c r="B1245" s="146"/>
      <c r="C1245" s="200"/>
      <c r="D1245" s="200"/>
      <c r="E1245" s="200"/>
      <c r="F1245" s="147"/>
      <c r="G1245" s="186"/>
      <c r="H1245" s="201"/>
      <c r="I1245" s="201"/>
      <c r="J1245" s="201"/>
      <c r="K1245" s="201"/>
      <c r="L1245" s="202"/>
      <c r="M1245" s="202"/>
      <c r="N1245" s="147"/>
      <c r="O1245" s="147"/>
      <c r="P1245" s="147"/>
      <c r="Q1245" s="203"/>
      <c r="R1245" s="186"/>
      <c r="S1245" s="186"/>
      <c r="T1245" s="147"/>
      <c r="U1245" s="204"/>
    </row>
    <row r="1246" ht="22.5" hidden="1" customHeight="1">
      <c r="A1246" s="205"/>
      <c r="B1246" s="82"/>
      <c r="C1246" s="206"/>
      <c r="D1246" s="206"/>
      <c r="E1246" s="206"/>
      <c r="F1246" s="150"/>
      <c r="G1246" s="45"/>
      <c r="H1246" s="207"/>
      <c r="I1246" s="207"/>
      <c r="J1246" s="207"/>
      <c r="K1246" s="207"/>
      <c r="L1246" s="208"/>
      <c r="M1246" s="208"/>
      <c r="N1246" s="150"/>
      <c r="O1246" s="150"/>
      <c r="P1246" s="150"/>
      <c r="Q1246" s="209"/>
      <c r="R1246" s="45"/>
      <c r="S1246" s="45"/>
      <c r="T1246" s="150"/>
      <c r="U1246" s="198"/>
    </row>
    <row r="1247" ht="22.5" hidden="1" customHeight="1">
      <c r="A1247" s="199"/>
      <c r="B1247" s="146"/>
      <c r="C1247" s="200"/>
      <c r="D1247" s="200"/>
      <c r="E1247" s="200"/>
      <c r="F1247" s="147"/>
      <c r="G1247" s="186"/>
      <c r="H1247" s="201"/>
      <c r="I1247" s="201"/>
      <c r="J1247" s="201"/>
      <c r="K1247" s="201"/>
      <c r="L1247" s="202"/>
      <c r="M1247" s="202"/>
      <c r="N1247" s="147"/>
      <c r="O1247" s="147"/>
      <c r="P1247" s="147"/>
      <c r="Q1247" s="203"/>
      <c r="R1247" s="186"/>
      <c r="S1247" s="186"/>
      <c r="T1247" s="147"/>
      <c r="U1247" s="204"/>
    </row>
    <row r="1248" ht="22.5" hidden="1" customHeight="1">
      <c r="A1248" s="205"/>
      <c r="B1248" s="82"/>
      <c r="C1248" s="206"/>
      <c r="D1248" s="206"/>
      <c r="E1248" s="206"/>
      <c r="F1248" s="150"/>
      <c r="G1248" s="45"/>
      <c r="H1248" s="207"/>
      <c r="I1248" s="207"/>
      <c r="J1248" s="207"/>
      <c r="K1248" s="207"/>
      <c r="L1248" s="208"/>
      <c r="M1248" s="208"/>
      <c r="N1248" s="150"/>
      <c r="O1248" s="150"/>
      <c r="P1248" s="150"/>
      <c r="Q1248" s="209"/>
      <c r="R1248" s="45"/>
      <c r="S1248" s="45"/>
      <c r="T1248" s="150"/>
      <c r="U1248" s="198"/>
    </row>
    <row r="1249" ht="22.5" hidden="1" customHeight="1">
      <c r="A1249" s="199"/>
      <c r="B1249" s="146"/>
      <c r="C1249" s="200"/>
      <c r="D1249" s="200"/>
      <c r="E1249" s="200"/>
      <c r="F1249" s="147"/>
      <c r="G1249" s="186"/>
      <c r="H1249" s="201"/>
      <c r="I1249" s="201"/>
      <c r="J1249" s="201"/>
      <c r="K1249" s="201"/>
      <c r="L1249" s="202"/>
      <c r="M1249" s="202"/>
      <c r="N1249" s="147"/>
      <c r="O1249" s="147"/>
      <c r="P1249" s="147"/>
      <c r="Q1249" s="203"/>
      <c r="R1249" s="186"/>
      <c r="S1249" s="186"/>
      <c r="T1249" s="147"/>
      <c r="U1249" s="204"/>
    </row>
    <row r="1250" ht="22.5" hidden="1" customHeight="1">
      <c r="A1250" s="205"/>
      <c r="B1250" s="82"/>
      <c r="C1250" s="206"/>
      <c r="D1250" s="206"/>
      <c r="E1250" s="206"/>
      <c r="F1250" s="150"/>
      <c r="G1250" s="45"/>
      <c r="H1250" s="207"/>
      <c r="I1250" s="207"/>
      <c r="J1250" s="207"/>
      <c r="K1250" s="207"/>
      <c r="L1250" s="208"/>
      <c r="M1250" s="208"/>
      <c r="N1250" s="150"/>
      <c r="O1250" s="150"/>
      <c r="P1250" s="150"/>
      <c r="Q1250" s="209"/>
      <c r="R1250" s="45"/>
      <c r="S1250" s="45"/>
      <c r="T1250" s="150"/>
      <c r="U1250" s="198"/>
    </row>
    <row r="1251" ht="22.5" hidden="1" customHeight="1">
      <c r="A1251" s="199"/>
      <c r="B1251" s="146"/>
      <c r="C1251" s="200"/>
      <c r="D1251" s="200"/>
      <c r="E1251" s="200"/>
      <c r="F1251" s="147"/>
      <c r="G1251" s="186"/>
      <c r="H1251" s="201"/>
      <c r="I1251" s="201"/>
      <c r="J1251" s="201"/>
      <c r="K1251" s="201"/>
      <c r="L1251" s="202"/>
      <c r="M1251" s="202"/>
      <c r="N1251" s="147"/>
      <c r="O1251" s="147"/>
      <c r="P1251" s="147"/>
      <c r="Q1251" s="203"/>
      <c r="R1251" s="186"/>
      <c r="S1251" s="186"/>
      <c r="T1251" s="147"/>
      <c r="U1251" s="204"/>
    </row>
    <row r="1252" ht="22.5" hidden="1" customHeight="1">
      <c r="A1252" s="205"/>
      <c r="B1252" s="82"/>
      <c r="C1252" s="206"/>
      <c r="D1252" s="206"/>
      <c r="E1252" s="206"/>
      <c r="F1252" s="150"/>
      <c r="G1252" s="45"/>
      <c r="H1252" s="207"/>
      <c r="I1252" s="207"/>
      <c r="J1252" s="207"/>
      <c r="K1252" s="207"/>
      <c r="L1252" s="208"/>
      <c r="M1252" s="208"/>
      <c r="N1252" s="150"/>
      <c r="O1252" s="150"/>
      <c r="P1252" s="150"/>
      <c r="Q1252" s="209"/>
      <c r="R1252" s="45"/>
      <c r="S1252" s="45"/>
      <c r="T1252" s="150"/>
      <c r="U1252" s="198"/>
    </row>
    <row r="1253" ht="22.5" hidden="1" customHeight="1">
      <c r="A1253" s="199"/>
      <c r="B1253" s="146"/>
      <c r="C1253" s="200"/>
      <c r="D1253" s="200"/>
      <c r="E1253" s="200"/>
      <c r="F1253" s="147"/>
      <c r="G1253" s="186"/>
      <c r="H1253" s="201"/>
      <c r="I1253" s="201"/>
      <c r="J1253" s="201"/>
      <c r="K1253" s="201"/>
      <c r="L1253" s="202"/>
      <c r="M1253" s="202"/>
      <c r="N1253" s="147"/>
      <c r="O1253" s="147"/>
      <c r="P1253" s="147"/>
      <c r="Q1253" s="203"/>
      <c r="R1253" s="186"/>
      <c r="S1253" s="186"/>
      <c r="T1253" s="147"/>
      <c r="U1253" s="204"/>
    </row>
    <row r="1254" ht="22.5" hidden="1" customHeight="1">
      <c r="A1254" s="205"/>
      <c r="B1254" s="82"/>
      <c r="C1254" s="206"/>
      <c r="D1254" s="206"/>
      <c r="E1254" s="206"/>
      <c r="F1254" s="150"/>
      <c r="G1254" s="45"/>
      <c r="H1254" s="207"/>
      <c r="I1254" s="207"/>
      <c r="J1254" s="207"/>
      <c r="K1254" s="207"/>
      <c r="L1254" s="208"/>
      <c r="M1254" s="208"/>
      <c r="N1254" s="150"/>
      <c r="O1254" s="150"/>
      <c r="P1254" s="150"/>
      <c r="Q1254" s="209"/>
      <c r="R1254" s="45"/>
      <c r="S1254" s="45"/>
      <c r="T1254" s="150"/>
      <c r="U1254" s="198"/>
    </row>
    <row r="1255" ht="22.5" hidden="1" customHeight="1">
      <c r="A1255" s="199"/>
      <c r="B1255" s="146"/>
      <c r="C1255" s="200"/>
      <c r="D1255" s="200"/>
      <c r="E1255" s="200"/>
      <c r="F1255" s="147"/>
      <c r="G1255" s="186"/>
      <c r="H1255" s="201"/>
      <c r="I1255" s="201"/>
      <c r="J1255" s="201"/>
      <c r="K1255" s="201"/>
      <c r="L1255" s="202"/>
      <c r="M1255" s="202"/>
      <c r="N1255" s="147"/>
      <c r="O1255" s="147"/>
      <c r="P1255" s="147"/>
      <c r="Q1255" s="203"/>
      <c r="R1255" s="186"/>
      <c r="S1255" s="186"/>
      <c r="T1255" s="147"/>
      <c r="U1255" s="204"/>
    </row>
    <row r="1256" ht="22.5" hidden="1" customHeight="1">
      <c r="A1256" s="205"/>
      <c r="B1256" s="82"/>
      <c r="C1256" s="206"/>
      <c r="D1256" s="206"/>
      <c r="E1256" s="206"/>
      <c r="F1256" s="150"/>
      <c r="G1256" s="45"/>
      <c r="H1256" s="207"/>
      <c r="I1256" s="207"/>
      <c r="J1256" s="207"/>
      <c r="K1256" s="207"/>
      <c r="L1256" s="208"/>
      <c r="M1256" s="208"/>
      <c r="N1256" s="150"/>
      <c r="O1256" s="150"/>
      <c r="P1256" s="150"/>
      <c r="Q1256" s="209"/>
      <c r="R1256" s="45"/>
      <c r="S1256" s="45"/>
      <c r="T1256" s="150"/>
      <c r="U1256" s="198"/>
    </row>
    <row r="1257" ht="22.5" hidden="1" customHeight="1">
      <c r="A1257" s="199"/>
      <c r="B1257" s="146"/>
      <c r="C1257" s="200"/>
      <c r="D1257" s="200"/>
      <c r="E1257" s="200"/>
      <c r="F1257" s="147"/>
      <c r="G1257" s="186"/>
      <c r="H1257" s="201"/>
      <c r="I1257" s="201"/>
      <c r="J1257" s="201"/>
      <c r="K1257" s="201"/>
      <c r="L1257" s="202"/>
      <c r="M1257" s="202"/>
      <c r="N1257" s="147"/>
      <c r="O1257" s="147"/>
      <c r="P1257" s="147"/>
      <c r="Q1257" s="203"/>
      <c r="R1257" s="186"/>
      <c r="S1257" s="186"/>
      <c r="T1257" s="147"/>
      <c r="U1257" s="204"/>
    </row>
    <row r="1258" ht="22.5" hidden="1" customHeight="1">
      <c r="A1258" s="205"/>
      <c r="B1258" s="82"/>
      <c r="C1258" s="206"/>
      <c r="D1258" s="206"/>
      <c r="E1258" s="206"/>
      <c r="F1258" s="150"/>
      <c r="G1258" s="45"/>
      <c r="H1258" s="207"/>
      <c r="I1258" s="207"/>
      <c r="J1258" s="207"/>
      <c r="K1258" s="207"/>
      <c r="L1258" s="208"/>
      <c r="M1258" s="208"/>
      <c r="N1258" s="150"/>
      <c r="O1258" s="150"/>
      <c r="P1258" s="150"/>
      <c r="Q1258" s="209"/>
      <c r="R1258" s="45"/>
      <c r="S1258" s="45"/>
      <c r="T1258" s="150"/>
      <c r="U1258" s="198"/>
    </row>
    <row r="1259" ht="22.5" hidden="1" customHeight="1">
      <c r="A1259" s="199"/>
      <c r="B1259" s="146"/>
      <c r="C1259" s="200"/>
      <c r="D1259" s="200"/>
      <c r="E1259" s="200"/>
      <c r="F1259" s="147"/>
      <c r="G1259" s="186"/>
      <c r="H1259" s="201"/>
      <c r="I1259" s="201"/>
      <c r="J1259" s="201"/>
      <c r="K1259" s="201"/>
      <c r="L1259" s="202"/>
      <c r="M1259" s="202"/>
      <c r="N1259" s="147"/>
      <c r="O1259" s="147"/>
      <c r="P1259" s="147"/>
      <c r="Q1259" s="203"/>
      <c r="R1259" s="186"/>
      <c r="S1259" s="186"/>
      <c r="T1259" s="147"/>
      <c r="U1259" s="204"/>
    </row>
    <row r="1260" ht="22.5" hidden="1" customHeight="1">
      <c r="A1260" s="205"/>
      <c r="B1260" s="82"/>
      <c r="C1260" s="206"/>
      <c r="D1260" s="206"/>
      <c r="E1260" s="206"/>
      <c r="F1260" s="150"/>
      <c r="G1260" s="45"/>
      <c r="H1260" s="207"/>
      <c r="I1260" s="207"/>
      <c r="J1260" s="207"/>
      <c r="K1260" s="207"/>
      <c r="L1260" s="208"/>
      <c r="M1260" s="208"/>
      <c r="N1260" s="150"/>
      <c r="O1260" s="150"/>
      <c r="P1260" s="150"/>
      <c r="Q1260" s="209"/>
      <c r="R1260" s="45"/>
      <c r="S1260" s="45"/>
      <c r="T1260" s="150"/>
      <c r="U1260" s="198"/>
    </row>
    <row r="1261" ht="22.5" hidden="1" customHeight="1">
      <c r="A1261" s="199"/>
      <c r="B1261" s="146"/>
      <c r="C1261" s="200"/>
      <c r="D1261" s="200"/>
      <c r="E1261" s="200"/>
      <c r="F1261" s="147"/>
      <c r="G1261" s="186"/>
      <c r="H1261" s="201"/>
      <c r="I1261" s="201"/>
      <c r="J1261" s="201"/>
      <c r="K1261" s="201"/>
      <c r="L1261" s="202"/>
      <c r="M1261" s="202"/>
      <c r="N1261" s="147"/>
      <c r="O1261" s="147"/>
      <c r="P1261" s="147"/>
      <c r="Q1261" s="203"/>
      <c r="R1261" s="186"/>
      <c r="S1261" s="186"/>
      <c r="T1261" s="147"/>
      <c r="U1261" s="204"/>
    </row>
    <row r="1262" ht="22.5" hidden="1" customHeight="1">
      <c r="A1262" s="205"/>
      <c r="B1262" s="82"/>
      <c r="C1262" s="206"/>
      <c r="D1262" s="206"/>
      <c r="E1262" s="206"/>
      <c r="F1262" s="150"/>
      <c r="G1262" s="45"/>
      <c r="H1262" s="207"/>
      <c r="I1262" s="207"/>
      <c r="J1262" s="207"/>
      <c r="K1262" s="207"/>
      <c r="L1262" s="208"/>
      <c r="M1262" s="208"/>
      <c r="N1262" s="150"/>
      <c r="O1262" s="150"/>
      <c r="P1262" s="150"/>
      <c r="Q1262" s="209"/>
      <c r="R1262" s="45"/>
      <c r="S1262" s="45"/>
      <c r="T1262" s="150"/>
      <c r="U1262" s="198"/>
    </row>
    <row r="1263" ht="22.5" hidden="1" customHeight="1">
      <c r="A1263" s="199"/>
      <c r="B1263" s="146"/>
      <c r="C1263" s="200"/>
      <c r="D1263" s="200"/>
      <c r="E1263" s="200"/>
      <c r="F1263" s="147"/>
      <c r="G1263" s="186"/>
      <c r="H1263" s="201"/>
      <c r="I1263" s="201"/>
      <c r="J1263" s="201"/>
      <c r="K1263" s="201"/>
      <c r="L1263" s="202"/>
      <c r="M1263" s="202"/>
      <c r="N1263" s="147"/>
      <c r="O1263" s="147"/>
      <c r="P1263" s="147"/>
      <c r="Q1263" s="203"/>
      <c r="R1263" s="186"/>
      <c r="S1263" s="186"/>
      <c r="T1263" s="147"/>
      <c r="U1263" s="204"/>
    </row>
    <row r="1264" ht="22.5" hidden="1" customHeight="1">
      <c r="A1264" s="205"/>
      <c r="B1264" s="82"/>
      <c r="C1264" s="206"/>
      <c r="D1264" s="206"/>
      <c r="E1264" s="206"/>
      <c r="F1264" s="150"/>
      <c r="G1264" s="45"/>
      <c r="H1264" s="207"/>
      <c r="I1264" s="207"/>
      <c r="J1264" s="207"/>
      <c r="K1264" s="207"/>
      <c r="L1264" s="208"/>
      <c r="M1264" s="208"/>
      <c r="N1264" s="150"/>
      <c r="O1264" s="150"/>
      <c r="P1264" s="150"/>
      <c r="Q1264" s="209"/>
      <c r="R1264" s="45"/>
      <c r="S1264" s="45"/>
      <c r="T1264" s="150"/>
      <c r="U1264" s="198"/>
    </row>
    <row r="1265" ht="22.5" hidden="1" customHeight="1">
      <c r="A1265" s="199"/>
      <c r="B1265" s="146"/>
      <c r="C1265" s="200"/>
      <c r="D1265" s="200"/>
      <c r="E1265" s="200"/>
      <c r="F1265" s="147"/>
      <c r="G1265" s="186"/>
      <c r="H1265" s="201"/>
      <c r="I1265" s="201"/>
      <c r="J1265" s="201"/>
      <c r="K1265" s="201"/>
      <c r="L1265" s="202"/>
      <c r="M1265" s="202"/>
      <c r="N1265" s="147"/>
      <c r="O1265" s="147"/>
      <c r="P1265" s="147"/>
      <c r="Q1265" s="203"/>
      <c r="R1265" s="186"/>
      <c r="S1265" s="186"/>
      <c r="T1265" s="147"/>
      <c r="U1265" s="204"/>
    </row>
    <row r="1266" ht="22.5" hidden="1" customHeight="1">
      <c r="A1266" s="205"/>
      <c r="B1266" s="82"/>
      <c r="C1266" s="206"/>
      <c r="D1266" s="206"/>
      <c r="E1266" s="206"/>
      <c r="F1266" s="150"/>
      <c r="G1266" s="45"/>
      <c r="H1266" s="207"/>
      <c r="I1266" s="207"/>
      <c r="J1266" s="207"/>
      <c r="K1266" s="207"/>
      <c r="L1266" s="208"/>
      <c r="M1266" s="208"/>
      <c r="N1266" s="150"/>
      <c r="O1266" s="150"/>
      <c r="P1266" s="150"/>
      <c r="Q1266" s="209"/>
      <c r="R1266" s="45"/>
      <c r="S1266" s="45"/>
      <c r="T1266" s="150"/>
      <c r="U1266" s="198"/>
    </row>
    <row r="1267" ht="22.5" hidden="1" customHeight="1">
      <c r="A1267" s="199"/>
      <c r="B1267" s="146"/>
      <c r="C1267" s="200"/>
      <c r="D1267" s="200"/>
      <c r="E1267" s="200"/>
      <c r="F1267" s="147"/>
      <c r="G1267" s="186"/>
      <c r="H1267" s="201"/>
      <c r="I1267" s="201"/>
      <c r="J1267" s="201"/>
      <c r="K1267" s="201"/>
      <c r="L1267" s="202"/>
      <c r="M1267" s="202"/>
      <c r="N1267" s="147"/>
      <c r="O1267" s="147"/>
      <c r="P1267" s="147"/>
      <c r="Q1267" s="203"/>
      <c r="R1267" s="186"/>
      <c r="S1267" s="186"/>
      <c r="T1267" s="147"/>
      <c r="U1267" s="204"/>
    </row>
    <row r="1268" ht="22.5" hidden="1" customHeight="1">
      <c r="A1268" s="205"/>
      <c r="B1268" s="82"/>
      <c r="C1268" s="206"/>
      <c r="D1268" s="206"/>
      <c r="E1268" s="206"/>
      <c r="F1268" s="150"/>
      <c r="G1268" s="45"/>
      <c r="H1268" s="207"/>
      <c r="I1268" s="207"/>
      <c r="J1268" s="207"/>
      <c r="K1268" s="207"/>
      <c r="L1268" s="208"/>
      <c r="M1268" s="208"/>
      <c r="N1268" s="150"/>
      <c r="O1268" s="150"/>
      <c r="P1268" s="150"/>
      <c r="Q1268" s="209"/>
      <c r="R1268" s="45"/>
      <c r="S1268" s="45"/>
      <c r="T1268" s="150"/>
      <c r="U1268" s="198"/>
    </row>
    <row r="1269" ht="22.5" hidden="1" customHeight="1">
      <c r="A1269" s="199"/>
      <c r="B1269" s="146"/>
      <c r="C1269" s="200"/>
      <c r="D1269" s="200"/>
      <c r="E1269" s="200"/>
      <c r="F1269" s="147"/>
      <c r="G1269" s="186"/>
      <c r="H1269" s="201"/>
      <c r="I1269" s="201"/>
      <c r="J1269" s="201"/>
      <c r="K1269" s="201"/>
      <c r="L1269" s="202"/>
      <c r="M1269" s="202"/>
      <c r="N1269" s="147"/>
      <c r="O1269" s="147"/>
      <c r="P1269" s="147"/>
      <c r="Q1269" s="203"/>
      <c r="R1269" s="186"/>
      <c r="S1269" s="186"/>
      <c r="T1269" s="147"/>
      <c r="U1269" s="204"/>
    </row>
    <row r="1270" ht="22.5" hidden="1" customHeight="1">
      <c r="A1270" s="205"/>
      <c r="B1270" s="82"/>
      <c r="C1270" s="206"/>
      <c r="D1270" s="206"/>
      <c r="E1270" s="206"/>
      <c r="F1270" s="150"/>
      <c r="G1270" s="45"/>
      <c r="H1270" s="207"/>
      <c r="I1270" s="207"/>
      <c r="J1270" s="207"/>
      <c r="K1270" s="207"/>
      <c r="L1270" s="208"/>
      <c r="M1270" s="208"/>
      <c r="N1270" s="150"/>
      <c r="O1270" s="150"/>
      <c r="P1270" s="150"/>
      <c r="Q1270" s="209"/>
      <c r="R1270" s="45"/>
      <c r="S1270" s="45"/>
      <c r="T1270" s="150"/>
      <c r="U1270" s="198"/>
    </row>
    <row r="1271" ht="22.5" hidden="1" customHeight="1">
      <c r="A1271" s="199"/>
      <c r="B1271" s="146"/>
      <c r="C1271" s="200"/>
      <c r="D1271" s="200"/>
      <c r="E1271" s="200"/>
      <c r="F1271" s="147"/>
      <c r="G1271" s="186"/>
      <c r="H1271" s="201"/>
      <c r="I1271" s="201"/>
      <c r="J1271" s="201"/>
      <c r="K1271" s="201"/>
      <c r="L1271" s="202"/>
      <c r="M1271" s="202"/>
      <c r="N1271" s="147"/>
      <c r="O1271" s="147"/>
      <c r="P1271" s="147"/>
      <c r="Q1271" s="203"/>
      <c r="R1271" s="186"/>
      <c r="S1271" s="186"/>
      <c r="T1271" s="147"/>
      <c r="U1271" s="204"/>
    </row>
    <row r="1272" ht="22.5" hidden="1" customHeight="1">
      <c r="A1272" s="205"/>
      <c r="B1272" s="82"/>
      <c r="C1272" s="206"/>
      <c r="D1272" s="206"/>
      <c r="E1272" s="206"/>
      <c r="F1272" s="150"/>
      <c r="G1272" s="45"/>
      <c r="H1272" s="207"/>
      <c r="I1272" s="207"/>
      <c r="J1272" s="207"/>
      <c r="K1272" s="207"/>
      <c r="L1272" s="208"/>
      <c r="M1272" s="208"/>
      <c r="N1272" s="150"/>
      <c r="O1272" s="150"/>
      <c r="P1272" s="150"/>
      <c r="Q1272" s="209"/>
      <c r="R1272" s="45"/>
      <c r="S1272" s="45"/>
      <c r="T1272" s="150"/>
      <c r="U1272" s="198"/>
    </row>
    <row r="1273" ht="22.5" hidden="1" customHeight="1">
      <c r="A1273" s="199"/>
      <c r="B1273" s="146"/>
      <c r="C1273" s="200"/>
      <c r="D1273" s="200"/>
      <c r="E1273" s="200"/>
      <c r="F1273" s="147"/>
      <c r="G1273" s="186"/>
      <c r="H1273" s="201"/>
      <c r="I1273" s="201"/>
      <c r="J1273" s="201"/>
      <c r="K1273" s="201"/>
      <c r="L1273" s="202"/>
      <c r="M1273" s="202"/>
      <c r="N1273" s="147"/>
      <c r="O1273" s="147"/>
      <c r="P1273" s="147"/>
      <c r="Q1273" s="203"/>
      <c r="R1273" s="186"/>
      <c r="S1273" s="186"/>
      <c r="T1273" s="147"/>
      <c r="U1273" s="204"/>
    </row>
    <row r="1274" ht="22.5" hidden="1" customHeight="1">
      <c r="A1274" s="205"/>
      <c r="B1274" s="82"/>
      <c r="C1274" s="206"/>
      <c r="D1274" s="206"/>
      <c r="E1274" s="206"/>
      <c r="F1274" s="150"/>
      <c r="G1274" s="45"/>
      <c r="H1274" s="207"/>
      <c r="I1274" s="207"/>
      <c r="J1274" s="207"/>
      <c r="K1274" s="207"/>
      <c r="L1274" s="208"/>
      <c r="M1274" s="208"/>
      <c r="N1274" s="150"/>
      <c r="O1274" s="150"/>
      <c r="P1274" s="150"/>
      <c r="Q1274" s="209"/>
      <c r="R1274" s="45"/>
      <c r="S1274" s="45"/>
      <c r="T1274" s="150"/>
      <c r="U1274" s="198"/>
    </row>
    <row r="1275" ht="22.5" hidden="1" customHeight="1">
      <c r="A1275" s="199"/>
      <c r="B1275" s="146"/>
      <c r="C1275" s="200"/>
      <c r="D1275" s="200"/>
      <c r="E1275" s="200"/>
      <c r="F1275" s="147"/>
      <c r="G1275" s="186"/>
      <c r="H1275" s="201"/>
      <c r="I1275" s="201"/>
      <c r="J1275" s="201"/>
      <c r="K1275" s="201"/>
      <c r="L1275" s="202"/>
      <c r="M1275" s="202"/>
      <c r="N1275" s="147"/>
      <c r="O1275" s="147"/>
      <c r="P1275" s="147"/>
      <c r="Q1275" s="203"/>
      <c r="R1275" s="186"/>
      <c r="S1275" s="186"/>
      <c r="T1275" s="147"/>
      <c r="U1275" s="204"/>
    </row>
    <row r="1276" ht="22.5" hidden="1" customHeight="1">
      <c r="A1276" s="205"/>
      <c r="B1276" s="82"/>
      <c r="C1276" s="206"/>
      <c r="D1276" s="206"/>
      <c r="E1276" s="206"/>
      <c r="F1276" s="150"/>
      <c r="G1276" s="45"/>
      <c r="H1276" s="207"/>
      <c r="I1276" s="207"/>
      <c r="J1276" s="207"/>
      <c r="K1276" s="207"/>
      <c r="L1276" s="208"/>
      <c r="M1276" s="208"/>
      <c r="N1276" s="150"/>
      <c r="O1276" s="150"/>
      <c r="P1276" s="150"/>
      <c r="Q1276" s="209"/>
      <c r="R1276" s="45"/>
      <c r="S1276" s="45"/>
      <c r="T1276" s="150"/>
      <c r="U1276" s="198"/>
    </row>
    <row r="1277" ht="22.5" hidden="1" customHeight="1">
      <c r="A1277" s="199"/>
      <c r="B1277" s="146"/>
      <c r="C1277" s="200"/>
      <c r="D1277" s="200"/>
      <c r="E1277" s="200"/>
      <c r="F1277" s="147"/>
      <c r="G1277" s="186"/>
      <c r="H1277" s="201"/>
      <c r="I1277" s="201"/>
      <c r="J1277" s="201"/>
      <c r="K1277" s="201"/>
      <c r="L1277" s="202"/>
      <c r="M1277" s="202"/>
      <c r="N1277" s="147"/>
      <c r="O1277" s="147"/>
      <c r="P1277" s="147"/>
      <c r="Q1277" s="203"/>
      <c r="R1277" s="186"/>
      <c r="S1277" s="186"/>
      <c r="T1277" s="147"/>
      <c r="U1277" s="204"/>
    </row>
    <row r="1278" ht="22.5" hidden="1" customHeight="1">
      <c r="A1278" s="205"/>
      <c r="B1278" s="82"/>
      <c r="C1278" s="206"/>
      <c r="D1278" s="206"/>
      <c r="E1278" s="206"/>
      <c r="F1278" s="150"/>
      <c r="G1278" s="45"/>
      <c r="H1278" s="207"/>
      <c r="I1278" s="207"/>
      <c r="J1278" s="207"/>
      <c r="K1278" s="207"/>
      <c r="L1278" s="208"/>
      <c r="M1278" s="208"/>
      <c r="N1278" s="150"/>
      <c r="O1278" s="150"/>
      <c r="P1278" s="150"/>
      <c r="Q1278" s="209"/>
      <c r="R1278" s="45"/>
      <c r="S1278" s="45"/>
      <c r="T1278" s="150"/>
      <c r="U1278" s="198"/>
    </row>
    <row r="1279" ht="22.5" hidden="1" customHeight="1">
      <c r="A1279" s="199"/>
      <c r="B1279" s="146"/>
      <c r="C1279" s="200"/>
      <c r="D1279" s="200"/>
      <c r="E1279" s="200"/>
      <c r="F1279" s="147"/>
      <c r="G1279" s="186"/>
      <c r="H1279" s="201"/>
      <c r="I1279" s="201"/>
      <c r="J1279" s="201"/>
      <c r="K1279" s="201"/>
      <c r="L1279" s="202"/>
      <c r="M1279" s="202"/>
      <c r="N1279" s="147"/>
      <c r="O1279" s="147"/>
      <c r="P1279" s="147"/>
      <c r="Q1279" s="203"/>
      <c r="R1279" s="186"/>
      <c r="S1279" s="186"/>
      <c r="T1279" s="147"/>
      <c r="U1279" s="204"/>
    </row>
    <row r="1280" ht="22.5" hidden="1" customHeight="1">
      <c r="A1280" s="205"/>
      <c r="B1280" s="82"/>
      <c r="C1280" s="206"/>
      <c r="D1280" s="206"/>
      <c r="E1280" s="206"/>
      <c r="F1280" s="150"/>
      <c r="G1280" s="45"/>
      <c r="H1280" s="207"/>
      <c r="I1280" s="207"/>
      <c r="J1280" s="207"/>
      <c r="K1280" s="207"/>
      <c r="L1280" s="208"/>
      <c r="M1280" s="208"/>
      <c r="N1280" s="150"/>
      <c r="O1280" s="150"/>
      <c r="P1280" s="150"/>
      <c r="Q1280" s="209"/>
      <c r="R1280" s="45"/>
      <c r="S1280" s="45"/>
      <c r="T1280" s="150"/>
      <c r="U1280" s="198"/>
    </row>
    <row r="1281" ht="22.5" hidden="1" customHeight="1">
      <c r="A1281" s="199"/>
      <c r="B1281" s="146"/>
      <c r="C1281" s="200"/>
      <c r="D1281" s="200"/>
      <c r="E1281" s="200"/>
      <c r="F1281" s="147"/>
      <c r="G1281" s="186"/>
      <c r="H1281" s="201"/>
      <c r="I1281" s="201"/>
      <c r="J1281" s="201"/>
      <c r="K1281" s="201"/>
      <c r="L1281" s="202"/>
      <c r="M1281" s="202"/>
      <c r="N1281" s="147"/>
      <c r="O1281" s="147"/>
      <c r="P1281" s="147"/>
      <c r="Q1281" s="203"/>
      <c r="R1281" s="186"/>
      <c r="S1281" s="186"/>
      <c r="T1281" s="147"/>
      <c r="U1281" s="204"/>
    </row>
    <row r="1282" ht="22.5" hidden="1" customHeight="1">
      <c r="A1282" s="205"/>
      <c r="B1282" s="82"/>
      <c r="C1282" s="206"/>
      <c r="D1282" s="206"/>
      <c r="E1282" s="206"/>
      <c r="F1282" s="150"/>
      <c r="G1282" s="45"/>
      <c r="H1282" s="207"/>
      <c r="I1282" s="207"/>
      <c r="J1282" s="207"/>
      <c r="K1282" s="207"/>
      <c r="L1282" s="208"/>
      <c r="M1282" s="208"/>
      <c r="N1282" s="150"/>
      <c r="O1282" s="150"/>
      <c r="P1282" s="150"/>
      <c r="Q1282" s="209"/>
      <c r="R1282" s="45"/>
      <c r="S1282" s="45"/>
      <c r="T1282" s="150"/>
      <c r="U1282" s="198"/>
    </row>
    <row r="1283" ht="22.5" hidden="1" customHeight="1">
      <c r="A1283" s="199"/>
      <c r="B1283" s="146"/>
      <c r="C1283" s="200"/>
      <c r="D1283" s="200"/>
      <c r="E1283" s="200"/>
      <c r="F1283" s="147"/>
      <c r="G1283" s="186"/>
      <c r="H1283" s="201"/>
      <c r="I1283" s="201"/>
      <c r="J1283" s="201"/>
      <c r="K1283" s="201"/>
      <c r="L1283" s="202"/>
      <c r="M1283" s="202"/>
      <c r="N1283" s="147"/>
      <c r="O1283" s="147"/>
      <c r="P1283" s="147"/>
      <c r="Q1283" s="203"/>
      <c r="R1283" s="186"/>
      <c r="S1283" s="186"/>
      <c r="T1283" s="147"/>
      <c r="U1283" s="204"/>
    </row>
    <row r="1284" ht="22.5" hidden="1" customHeight="1">
      <c r="A1284" s="205"/>
      <c r="B1284" s="82"/>
      <c r="C1284" s="206"/>
      <c r="D1284" s="206"/>
      <c r="E1284" s="206"/>
      <c r="F1284" s="150"/>
      <c r="G1284" s="45"/>
      <c r="H1284" s="207"/>
      <c r="I1284" s="207"/>
      <c r="J1284" s="207"/>
      <c r="K1284" s="207"/>
      <c r="L1284" s="208"/>
      <c r="M1284" s="208"/>
      <c r="N1284" s="150"/>
      <c r="O1284" s="150"/>
      <c r="P1284" s="150"/>
      <c r="Q1284" s="209"/>
      <c r="R1284" s="45"/>
      <c r="S1284" s="45"/>
      <c r="T1284" s="150"/>
      <c r="U1284" s="198"/>
    </row>
    <row r="1285" ht="22.5" hidden="1" customHeight="1">
      <c r="A1285" s="199"/>
      <c r="B1285" s="146"/>
      <c r="C1285" s="200"/>
      <c r="D1285" s="200"/>
      <c r="E1285" s="200"/>
      <c r="F1285" s="147"/>
      <c r="G1285" s="186"/>
      <c r="H1285" s="201"/>
      <c r="I1285" s="201"/>
      <c r="J1285" s="201"/>
      <c r="K1285" s="201"/>
      <c r="L1285" s="202"/>
      <c r="M1285" s="202"/>
      <c r="N1285" s="147"/>
      <c r="O1285" s="147"/>
      <c r="P1285" s="147"/>
      <c r="Q1285" s="203"/>
      <c r="R1285" s="186"/>
      <c r="S1285" s="186"/>
      <c r="T1285" s="147"/>
      <c r="U1285" s="204"/>
    </row>
    <row r="1286" ht="22.5" hidden="1" customHeight="1">
      <c r="A1286" s="205"/>
      <c r="B1286" s="82"/>
      <c r="C1286" s="206"/>
      <c r="D1286" s="206"/>
      <c r="E1286" s="206"/>
      <c r="F1286" s="150"/>
      <c r="G1286" s="45"/>
      <c r="H1286" s="207"/>
      <c r="I1286" s="207"/>
      <c r="J1286" s="207"/>
      <c r="K1286" s="207"/>
      <c r="L1286" s="208"/>
      <c r="M1286" s="208"/>
      <c r="N1286" s="150"/>
      <c r="O1286" s="150"/>
      <c r="P1286" s="150"/>
      <c r="Q1286" s="209"/>
      <c r="R1286" s="45"/>
      <c r="S1286" s="45"/>
      <c r="T1286" s="150"/>
      <c r="U1286" s="198"/>
    </row>
    <row r="1287" ht="22.5" hidden="1" customHeight="1">
      <c r="A1287" s="199"/>
      <c r="B1287" s="146"/>
      <c r="C1287" s="200"/>
      <c r="D1287" s="200"/>
      <c r="E1287" s="200"/>
      <c r="F1287" s="147"/>
      <c r="G1287" s="186"/>
      <c r="H1287" s="201"/>
      <c r="I1287" s="201"/>
      <c r="J1287" s="201"/>
      <c r="K1287" s="201"/>
      <c r="L1287" s="202"/>
      <c r="M1287" s="202"/>
      <c r="N1287" s="147"/>
      <c r="O1287" s="147"/>
      <c r="P1287" s="147"/>
      <c r="Q1287" s="203"/>
      <c r="R1287" s="186"/>
      <c r="S1287" s="186"/>
      <c r="T1287" s="147"/>
      <c r="U1287" s="204"/>
    </row>
    <row r="1288" ht="22.5" hidden="1" customHeight="1">
      <c r="A1288" s="205"/>
      <c r="B1288" s="82"/>
      <c r="C1288" s="206"/>
      <c r="D1288" s="206"/>
      <c r="E1288" s="206"/>
      <c r="F1288" s="150"/>
      <c r="G1288" s="45"/>
      <c r="H1288" s="207"/>
      <c r="I1288" s="207"/>
      <c r="J1288" s="207"/>
      <c r="K1288" s="207"/>
      <c r="L1288" s="208"/>
      <c r="M1288" s="208"/>
      <c r="N1288" s="150"/>
      <c r="O1288" s="150"/>
      <c r="P1288" s="150"/>
      <c r="Q1288" s="209"/>
      <c r="R1288" s="45"/>
      <c r="S1288" s="45"/>
      <c r="T1288" s="150"/>
      <c r="U1288" s="198"/>
    </row>
    <row r="1289" ht="22.5" hidden="1" customHeight="1">
      <c r="A1289" s="199"/>
      <c r="B1289" s="146"/>
      <c r="C1289" s="200"/>
      <c r="D1289" s="200"/>
      <c r="E1289" s="200"/>
      <c r="F1289" s="147"/>
      <c r="G1289" s="186"/>
      <c r="H1289" s="201"/>
      <c r="I1289" s="201"/>
      <c r="J1289" s="201"/>
      <c r="K1289" s="201"/>
      <c r="L1289" s="202"/>
      <c r="M1289" s="202"/>
      <c r="N1289" s="147"/>
      <c r="O1289" s="147"/>
      <c r="P1289" s="147"/>
      <c r="Q1289" s="203"/>
      <c r="R1289" s="186"/>
      <c r="S1289" s="186"/>
      <c r="T1289" s="147"/>
      <c r="U1289" s="204"/>
    </row>
    <row r="1290" ht="22.5" hidden="1" customHeight="1">
      <c r="A1290" s="205"/>
      <c r="B1290" s="82"/>
      <c r="C1290" s="206"/>
      <c r="D1290" s="206"/>
      <c r="E1290" s="206"/>
      <c r="F1290" s="150"/>
      <c r="G1290" s="45"/>
      <c r="H1290" s="207"/>
      <c r="I1290" s="207"/>
      <c r="J1290" s="207"/>
      <c r="K1290" s="207"/>
      <c r="L1290" s="208"/>
      <c r="M1290" s="208"/>
      <c r="N1290" s="150"/>
      <c r="O1290" s="150"/>
      <c r="P1290" s="150"/>
      <c r="Q1290" s="209"/>
      <c r="R1290" s="45"/>
      <c r="S1290" s="45"/>
      <c r="T1290" s="150"/>
      <c r="U1290" s="198"/>
    </row>
    <row r="1291" ht="22.5" hidden="1" customHeight="1">
      <c r="A1291" s="199"/>
      <c r="B1291" s="146"/>
      <c r="C1291" s="200"/>
      <c r="D1291" s="200"/>
      <c r="E1291" s="200"/>
      <c r="F1291" s="147"/>
      <c r="G1291" s="186"/>
      <c r="H1291" s="201"/>
      <c r="I1291" s="201"/>
      <c r="J1291" s="201"/>
      <c r="K1291" s="201"/>
      <c r="L1291" s="202"/>
      <c r="M1291" s="202"/>
      <c r="N1291" s="147"/>
      <c r="O1291" s="147"/>
      <c r="P1291" s="147"/>
      <c r="Q1291" s="203"/>
      <c r="R1291" s="186"/>
      <c r="S1291" s="186"/>
      <c r="T1291" s="147"/>
      <c r="U1291" s="204"/>
    </row>
    <row r="1292" ht="22.5" hidden="1" customHeight="1">
      <c r="A1292" s="205"/>
      <c r="B1292" s="82"/>
      <c r="C1292" s="206"/>
      <c r="D1292" s="206"/>
      <c r="E1292" s="206"/>
      <c r="F1292" s="150"/>
      <c r="G1292" s="45"/>
      <c r="H1292" s="207"/>
      <c r="I1292" s="207"/>
      <c r="J1292" s="207"/>
      <c r="K1292" s="207"/>
      <c r="L1292" s="208"/>
      <c r="M1292" s="208"/>
      <c r="N1292" s="150"/>
      <c r="O1292" s="150"/>
      <c r="P1292" s="150"/>
      <c r="Q1292" s="209"/>
      <c r="R1292" s="45"/>
      <c r="S1292" s="45"/>
      <c r="T1292" s="150"/>
      <c r="U1292" s="198"/>
    </row>
    <row r="1293" ht="22.5" hidden="1" customHeight="1">
      <c r="A1293" s="199"/>
      <c r="B1293" s="146"/>
      <c r="C1293" s="200"/>
      <c r="D1293" s="200"/>
      <c r="E1293" s="200"/>
      <c r="F1293" s="147"/>
      <c r="G1293" s="186"/>
      <c r="H1293" s="201"/>
      <c r="I1293" s="201"/>
      <c r="J1293" s="201"/>
      <c r="K1293" s="201"/>
      <c r="L1293" s="202"/>
      <c r="M1293" s="202"/>
      <c r="N1293" s="147"/>
      <c r="O1293" s="147"/>
      <c r="P1293" s="147"/>
      <c r="Q1293" s="203"/>
      <c r="R1293" s="186"/>
      <c r="S1293" s="186"/>
      <c r="T1293" s="147"/>
      <c r="U1293" s="204"/>
    </row>
    <row r="1294" ht="22.5" hidden="1" customHeight="1">
      <c r="A1294" s="205"/>
      <c r="B1294" s="82"/>
      <c r="C1294" s="206"/>
      <c r="D1294" s="206"/>
      <c r="E1294" s="206"/>
      <c r="F1294" s="150"/>
      <c r="G1294" s="45"/>
      <c r="H1294" s="207"/>
      <c r="I1294" s="207"/>
      <c r="J1294" s="207"/>
      <c r="K1294" s="207"/>
      <c r="L1294" s="208"/>
      <c r="M1294" s="208"/>
      <c r="N1294" s="150"/>
      <c r="O1294" s="150"/>
      <c r="P1294" s="150"/>
      <c r="Q1294" s="209"/>
      <c r="R1294" s="45"/>
      <c r="S1294" s="45"/>
      <c r="T1294" s="150"/>
      <c r="U1294" s="198"/>
    </row>
    <row r="1295" ht="22.5" hidden="1" customHeight="1">
      <c r="A1295" s="199"/>
      <c r="B1295" s="146"/>
      <c r="C1295" s="200"/>
      <c r="D1295" s="200"/>
      <c r="E1295" s="200"/>
      <c r="F1295" s="147"/>
      <c r="G1295" s="186"/>
      <c r="H1295" s="201"/>
      <c r="I1295" s="201"/>
      <c r="J1295" s="201"/>
      <c r="K1295" s="201"/>
      <c r="L1295" s="202"/>
      <c r="M1295" s="202"/>
      <c r="N1295" s="147"/>
      <c r="O1295" s="147"/>
      <c r="P1295" s="147"/>
      <c r="Q1295" s="203"/>
      <c r="R1295" s="186"/>
      <c r="S1295" s="186"/>
      <c r="T1295" s="147"/>
      <c r="U1295" s="204"/>
    </row>
    <row r="1296" ht="22.5" hidden="1" customHeight="1">
      <c r="A1296" s="205"/>
      <c r="B1296" s="82"/>
      <c r="C1296" s="206"/>
      <c r="D1296" s="206"/>
      <c r="E1296" s="206"/>
      <c r="F1296" s="150"/>
      <c r="G1296" s="45"/>
      <c r="H1296" s="207"/>
      <c r="I1296" s="207"/>
      <c r="J1296" s="207"/>
      <c r="K1296" s="207"/>
      <c r="L1296" s="208"/>
      <c r="M1296" s="208"/>
      <c r="N1296" s="150"/>
      <c r="O1296" s="150"/>
      <c r="P1296" s="150"/>
      <c r="Q1296" s="209"/>
      <c r="R1296" s="45"/>
      <c r="S1296" s="45"/>
      <c r="T1296" s="150"/>
      <c r="U1296" s="198"/>
    </row>
    <row r="1297" ht="22.5" hidden="1" customHeight="1">
      <c r="A1297" s="199"/>
      <c r="B1297" s="146"/>
      <c r="C1297" s="200"/>
      <c r="D1297" s="200"/>
      <c r="E1297" s="200"/>
      <c r="F1297" s="147"/>
      <c r="G1297" s="186"/>
      <c r="H1297" s="201"/>
      <c r="I1297" s="201"/>
      <c r="J1297" s="201"/>
      <c r="K1297" s="201"/>
      <c r="L1297" s="202"/>
      <c r="M1297" s="202"/>
      <c r="N1297" s="147"/>
      <c r="O1297" s="147"/>
      <c r="P1297" s="147"/>
      <c r="Q1297" s="203"/>
      <c r="R1297" s="186"/>
      <c r="S1297" s="186"/>
      <c r="T1297" s="147"/>
      <c r="U1297" s="204"/>
    </row>
    <row r="1298" ht="22.5" hidden="1" customHeight="1">
      <c r="A1298" s="205"/>
      <c r="B1298" s="82"/>
      <c r="C1298" s="206"/>
      <c r="D1298" s="206"/>
      <c r="E1298" s="206"/>
      <c r="F1298" s="150"/>
      <c r="G1298" s="45"/>
      <c r="H1298" s="207"/>
      <c r="I1298" s="207"/>
      <c r="J1298" s="207"/>
      <c r="K1298" s="207"/>
      <c r="L1298" s="208"/>
      <c r="M1298" s="208"/>
      <c r="N1298" s="150"/>
      <c r="O1298" s="150"/>
      <c r="P1298" s="150"/>
      <c r="Q1298" s="209"/>
      <c r="R1298" s="45"/>
      <c r="S1298" s="45"/>
      <c r="T1298" s="150"/>
      <c r="U1298" s="198"/>
    </row>
    <row r="1299" ht="22.5" hidden="1" customHeight="1">
      <c r="A1299" s="199"/>
      <c r="B1299" s="146"/>
      <c r="C1299" s="200"/>
      <c r="D1299" s="200"/>
      <c r="E1299" s="200"/>
      <c r="F1299" s="147"/>
      <c r="G1299" s="186"/>
      <c r="H1299" s="201"/>
      <c r="I1299" s="201"/>
      <c r="J1299" s="201"/>
      <c r="K1299" s="201"/>
      <c r="L1299" s="202"/>
      <c r="M1299" s="202"/>
      <c r="N1299" s="147"/>
      <c r="O1299" s="147"/>
      <c r="P1299" s="147"/>
      <c r="Q1299" s="203"/>
      <c r="R1299" s="186"/>
      <c r="S1299" s="186"/>
      <c r="T1299" s="147"/>
      <c r="U1299" s="204"/>
    </row>
    <row r="1300" ht="22.5" hidden="1" customHeight="1">
      <c r="A1300" s="205"/>
      <c r="B1300" s="82"/>
      <c r="C1300" s="206"/>
      <c r="D1300" s="206"/>
      <c r="E1300" s="206"/>
      <c r="F1300" s="150"/>
      <c r="G1300" s="45"/>
      <c r="H1300" s="207"/>
      <c r="I1300" s="207"/>
      <c r="J1300" s="207"/>
      <c r="K1300" s="207"/>
      <c r="L1300" s="208"/>
      <c r="M1300" s="208"/>
      <c r="N1300" s="150"/>
      <c r="O1300" s="150"/>
      <c r="P1300" s="150"/>
      <c r="Q1300" s="209"/>
      <c r="R1300" s="45"/>
      <c r="S1300" s="45"/>
      <c r="T1300" s="150"/>
      <c r="U1300" s="198"/>
    </row>
    <row r="1301" ht="22.5" hidden="1" customHeight="1">
      <c r="A1301" s="199"/>
      <c r="B1301" s="146"/>
      <c r="C1301" s="200"/>
      <c r="D1301" s="200"/>
      <c r="E1301" s="200"/>
      <c r="F1301" s="147"/>
      <c r="G1301" s="186"/>
      <c r="H1301" s="201"/>
      <c r="I1301" s="201"/>
      <c r="J1301" s="201"/>
      <c r="K1301" s="201"/>
      <c r="L1301" s="202"/>
      <c r="M1301" s="202"/>
      <c r="N1301" s="147"/>
      <c r="O1301" s="147"/>
      <c r="P1301" s="147"/>
      <c r="Q1301" s="203"/>
      <c r="R1301" s="186"/>
      <c r="S1301" s="186"/>
      <c r="T1301" s="147"/>
      <c r="U1301" s="204"/>
    </row>
    <row r="1302" ht="22.5" hidden="1" customHeight="1">
      <c r="A1302" s="205"/>
      <c r="B1302" s="82"/>
      <c r="C1302" s="206"/>
      <c r="D1302" s="206"/>
      <c r="E1302" s="206"/>
      <c r="F1302" s="150"/>
      <c r="G1302" s="45"/>
      <c r="H1302" s="207"/>
      <c r="I1302" s="207"/>
      <c r="J1302" s="207"/>
      <c r="K1302" s="207"/>
      <c r="L1302" s="208"/>
      <c r="M1302" s="208"/>
      <c r="N1302" s="150"/>
      <c r="O1302" s="150"/>
      <c r="P1302" s="150"/>
      <c r="Q1302" s="209"/>
      <c r="R1302" s="45"/>
      <c r="S1302" s="45"/>
      <c r="T1302" s="150"/>
      <c r="U1302" s="198"/>
    </row>
    <row r="1303" ht="22.5" hidden="1" customHeight="1">
      <c r="A1303" s="199"/>
      <c r="B1303" s="146"/>
      <c r="C1303" s="200"/>
      <c r="D1303" s="200"/>
      <c r="E1303" s="200"/>
      <c r="F1303" s="147"/>
      <c r="G1303" s="186"/>
      <c r="H1303" s="201"/>
      <c r="I1303" s="201"/>
      <c r="J1303" s="201"/>
      <c r="K1303" s="201"/>
      <c r="L1303" s="202"/>
      <c r="M1303" s="202"/>
      <c r="N1303" s="147"/>
      <c r="O1303" s="147"/>
      <c r="P1303" s="147"/>
      <c r="Q1303" s="203"/>
      <c r="R1303" s="186"/>
      <c r="S1303" s="186"/>
      <c r="T1303" s="147"/>
      <c r="U1303" s="204"/>
    </row>
    <row r="1304" ht="22.5" hidden="1" customHeight="1">
      <c r="A1304" s="205"/>
      <c r="B1304" s="82"/>
      <c r="C1304" s="206"/>
      <c r="D1304" s="206"/>
      <c r="E1304" s="206"/>
      <c r="F1304" s="150"/>
      <c r="G1304" s="45"/>
      <c r="H1304" s="207"/>
      <c r="I1304" s="207"/>
      <c r="J1304" s="207"/>
      <c r="K1304" s="207"/>
      <c r="L1304" s="208"/>
      <c r="M1304" s="208"/>
      <c r="N1304" s="150"/>
      <c r="O1304" s="150"/>
      <c r="P1304" s="150"/>
      <c r="Q1304" s="209"/>
      <c r="R1304" s="45"/>
      <c r="S1304" s="45"/>
      <c r="T1304" s="150"/>
      <c r="U1304" s="198"/>
    </row>
    <row r="1305" ht="22.5" hidden="1" customHeight="1">
      <c r="A1305" s="199"/>
      <c r="B1305" s="146"/>
      <c r="C1305" s="200"/>
      <c r="D1305" s="200"/>
      <c r="E1305" s="200"/>
      <c r="F1305" s="147"/>
      <c r="G1305" s="186"/>
      <c r="H1305" s="201"/>
      <c r="I1305" s="201"/>
      <c r="J1305" s="201"/>
      <c r="K1305" s="201"/>
      <c r="L1305" s="202"/>
      <c r="M1305" s="202"/>
      <c r="N1305" s="147"/>
      <c r="O1305" s="147"/>
      <c r="P1305" s="147"/>
      <c r="Q1305" s="203"/>
      <c r="R1305" s="186"/>
      <c r="S1305" s="186"/>
      <c r="T1305" s="147"/>
      <c r="U1305" s="204"/>
    </row>
    <row r="1306" ht="22.5" hidden="1" customHeight="1">
      <c r="A1306" s="205"/>
      <c r="B1306" s="82"/>
      <c r="C1306" s="206"/>
      <c r="D1306" s="206"/>
      <c r="E1306" s="206"/>
      <c r="F1306" s="150"/>
      <c r="G1306" s="45"/>
      <c r="H1306" s="207"/>
      <c r="I1306" s="207"/>
      <c r="J1306" s="207"/>
      <c r="K1306" s="207"/>
      <c r="L1306" s="208"/>
      <c r="M1306" s="208"/>
      <c r="N1306" s="150"/>
      <c r="O1306" s="150"/>
      <c r="P1306" s="150"/>
      <c r="Q1306" s="209"/>
      <c r="R1306" s="45"/>
      <c r="S1306" s="45"/>
      <c r="T1306" s="150"/>
      <c r="U1306" s="198"/>
    </row>
    <row r="1307" ht="22.5" hidden="1" customHeight="1">
      <c r="A1307" s="199"/>
      <c r="B1307" s="146"/>
      <c r="C1307" s="200"/>
      <c r="D1307" s="200"/>
      <c r="E1307" s="200"/>
      <c r="F1307" s="147"/>
      <c r="G1307" s="186"/>
      <c r="H1307" s="201"/>
      <c r="I1307" s="201"/>
      <c r="J1307" s="201"/>
      <c r="K1307" s="201"/>
      <c r="L1307" s="202"/>
      <c r="M1307" s="202"/>
      <c r="N1307" s="147"/>
      <c r="O1307" s="147"/>
      <c r="P1307" s="147"/>
      <c r="Q1307" s="203"/>
      <c r="R1307" s="186"/>
      <c r="S1307" s="186"/>
      <c r="T1307" s="147"/>
      <c r="U1307" s="204"/>
    </row>
    <row r="1308" ht="22.5" hidden="1" customHeight="1">
      <c r="A1308" s="205"/>
      <c r="B1308" s="82"/>
      <c r="C1308" s="206"/>
      <c r="D1308" s="206"/>
      <c r="E1308" s="206"/>
      <c r="F1308" s="150"/>
      <c r="G1308" s="45"/>
      <c r="H1308" s="207"/>
      <c r="I1308" s="207"/>
      <c r="J1308" s="207"/>
      <c r="K1308" s="207"/>
      <c r="L1308" s="208"/>
      <c r="M1308" s="208"/>
      <c r="N1308" s="150"/>
      <c r="O1308" s="150"/>
      <c r="P1308" s="150"/>
      <c r="Q1308" s="209"/>
      <c r="R1308" s="45"/>
      <c r="S1308" s="45"/>
      <c r="T1308" s="150"/>
      <c r="U1308" s="198"/>
    </row>
    <row r="1309" ht="22.5" hidden="1" customHeight="1">
      <c r="A1309" s="199"/>
      <c r="B1309" s="146"/>
      <c r="C1309" s="200"/>
      <c r="D1309" s="200"/>
      <c r="E1309" s="200"/>
      <c r="F1309" s="147"/>
      <c r="G1309" s="186"/>
      <c r="H1309" s="201"/>
      <c r="I1309" s="201"/>
      <c r="J1309" s="201"/>
      <c r="K1309" s="201"/>
      <c r="L1309" s="202"/>
      <c r="M1309" s="202"/>
      <c r="N1309" s="147"/>
      <c r="O1309" s="147"/>
      <c r="P1309" s="147"/>
      <c r="Q1309" s="203"/>
      <c r="R1309" s="186"/>
      <c r="S1309" s="186"/>
      <c r="T1309" s="147"/>
      <c r="U1309" s="204"/>
    </row>
    <row r="1310" ht="22.5" hidden="1" customHeight="1">
      <c r="A1310" s="205"/>
      <c r="B1310" s="82"/>
      <c r="C1310" s="206"/>
      <c r="D1310" s="206"/>
      <c r="E1310" s="206"/>
      <c r="F1310" s="150"/>
      <c r="G1310" s="45"/>
      <c r="H1310" s="207"/>
      <c r="I1310" s="207"/>
      <c r="J1310" s="207"/>
      <c r="K1310" s="207"/>
      <c r="L1310" s="208"/>
      <c r="M1310" s="208"/>
      <c r="N1310" s="150"/>
      <c r="O1310" s="150"/>
      <c r="P1310" s="150"/>
      <c r="Q1310" s="209"/>
      <c r="R1310" s="45"/>
      <c r="S1310" s="45"/>
      <c r="T1310" s="150"/>
      <c r="U1310" s="198"/>
    </row>
    <row r="1311" ht="22.5" hidden="1" customHeight="1">
      <c r="A1311" s="199"/>
      <c r="B1311" s="146"/>
      <c r="C1311" s="200"/>
      <c r="D1311" s="200"/>
      <c r="E1311" s="200"/>
      <c r="F1311" s="147"/>
      <c r="G1311" s="186"/>
      <c r="H1311" s="201"/>
      <c r="I1311" s="201"/>
      <c r="J1311" s="201"/>
      <c r="K1311" s="201"/>
      <c r="L1311" s="202"/>
      <c r="M1311" s="202"/>
      <c r="N1311" s="147"/>
      <c r="O1311" s="147"/>
      <c r="P1311" s="147"/>
      <c r="Q1311" s="203"/>
      <c r="R1311" s="186"/>
      <c r="S1311" s="186"/>
      <c r="T1311" s="147"/>
      <c r="U1311" s="204"/>
    </row>
    <row r="1312" ht="22.5" hidden="1" customHeight="1">
      <c r="A1312" s="205"/>
      <c r="B1312" s="82"/>
      <c r="C1312" s="206"/>
      <c r="D1312" s="206"/>
      <c r="E1312" s="206"/>
      <c r="F1312" s="150"/>
      <c r="G1312" s="45"/>
      <c r="H1312" s="207"/>
      <c r="I1312" s="207"/>
      <c r="J1312" s="207"/>
      <c r="K1312" s="207"/>
      <c r="L1312" s="208"/>
      <c r="M1312" s="208"/>
      <c r="N1312" s="150"/>
      <c r="O1312" s="150"/>
      <c r="P1312" s="150"/>
      <c r="Q1312" s="209"/>
      <c r="R1312" s="45"/>
      <c r="S1312" s="45"/>
      <c r="T1312" s="150"/>
      <c r="U1312" s="198"/>
    </row>
    <row r="1313" ht="22.5" hidden="1" customHeight="1">
      <c r="A1313" s="199"/>
      <c r="B1313" s="146"/>
      <c r="C1313" s="200"/>
      <c r="D1313" s="200"/>
      <c r="E1313" s="200"/>
      <c r="F1313" s="147"/>
      <c r="G1313" s="186"/>
      <c r="H1313" s="201"/>
      <c r="I1313" s="201"/>
      <c r="J1313" s="201"/>
      <c r="K1313" s="201"/>
      <c r="L1313" s="202"/>
      <c r="M1313" s="202"/>
      <c r="N1313" s="147"/>
      <c r="O1313" s="147"/>
      <c r="P1313" s="147"/>
      <c r="Q1313" s="203"/>
      <c r="R1313" s="186"/>
      <c r="S1313" s="186"/>
      <c r="T1313" s="147"/>
      <c r="U1313" s="204"/>
    </row>
    <row r="1314" ht="22.5" hidden="1" customHeight="1">
      <c r="A1314" s="205"/>
      <c r="B1314" s="82"/>
      <c r="C1314" s="206"/>
      <c r="D1314" s="206"/>
      <c r="E1314" s="206"/>
      <c r="F1314" s="150"/>
      <c r="G1314" s="45"/>
      <c r="H1314" s="207"/>
      <c r="I1314" s="207"/>
      <c r="J1314" s="207"/>
      <c r="K1314" s="207"/>
      <c r="L1314" s="208"/>
      <c r="M1314" s="208"/>
      <c r="N1314" s="150"/>
      <c r="O1314" s="150"/>
      <c r="P1314" s="150"/>
      <c r="Q1314" s="209"/>
      <c r="R1314" s="45"/>
      <c r="S1314" s="45"/>
      <c r="T1314" s="150"/>
      <c r="U1314" s="198"/>
    </row>
    <row r="1315" ht="22.5" hidden="1" customHeight="1">
      <c r="A1315" s="199"/>
      <c r="B1315" s="146"/>
      <c r="C1315" s="200"/>
      <c r="D1315" s="200"/>
      <c r="E1315" s="200"/>
      <c r="F1315" s="147"/>
      <c r="G1315" s="186"/>
      <c r="H1315" s="201"/>
      <c r="I1315" s="201"/>
      <c r="J1315" s="201"/>
      <c r="K1315" s="201"/>
      <c r="L1315" s="202"/>
      <c r="M1315" s="202"/>
      <c r="N1315" s="147"/>
      <c r="O1315" s="147"/>
      <c r="P1315" s="147"/>
      <c r="Q1315" s="203"/>
      <c r="R1315" s="186"/>
      <c r="S1315" s="186"/>
      <c r="T1315" s="147"/>
      <c r="U1315" s="204"/>
    </row>
    <row r="1316" ht="22.5" hidden="1" customHeight="1">
      <c r="A1316" s="205"/>
      <c r="B1316" s="82"/>
      <c r="C1316" s="206"/>
      <c r="D1316" s="206"/>
      <c r="E1316" s="206"/>
      <c r="F1316" s="150"/>
      <c r="G1316" s="45"/>
      <c r="H1316" s="207"/>
      <c r="I1316" s="207"/>
      <c r="J1316" s="207"/>
      <c r="K1316" s="207"/>
      <c r="L1316" s="208"/>
      <c r="M1316" s="208"/>
      <c r="N1316" s="150"/>
      <c r="O1316" s="150"/>
      <c r="P1316" s="150"/>
      <c r="Q1316" s="209"/>
      <c r="R1316" s="45"/>
      <c r="S1316" s="45"/>
      <c r="T1316" s="150"/>
      <c r="U1316" s="198"/>
    </row>
    <row r="1317" ht="22.5" hidden="1" customHeight="1">
      <c r="A1317" s="199"/>
      <c r="B1317" s="146"/>
      <c r="C1317" s="200"/>
      <c r="D1317" s="200"/>
      <c r="E1317" s="200"/>
      <c r="F1317" s="147"/>
      <c r="G1317" s="186"/>
      <c r="H1317" s="201"/>
      <c r="I1317" s="201"/>
      <c r="J1317" s="201"/>
      <c r="K1317" s="201"/>
      <c r="L1317" s="202"/>
      <c r="M1317" s="202"/>
      <c r="N1317" s="147"/>
      <c r="O1317" s="147"/>
      <c r="P1317" s="147"/>
      <c r="Q1317" s="203"/>
      <c r="R1317" s="186"/>
      <c r="S1317" s="186"/>
      <c r="T1317" s="147"/>
      <c r="U1317" s="204"/>
    </row>
    <row r="1318" ht="22.5" hidden="1" customHeight="1">
      <c r="A1318" s="205"/>
      <c r="B1318" s="82"/>
      <c r="C1318" s="206"/>
      <c r="D1318" s="206"/>
      <c r="E1318" s="206"/>
      <c r="F1318" s="150"/>
      <c r="G1318" s="45"/>
      <c r="H1318" s="207"/>
      <c r="I1318" s="207"/>
      <c r="J1318" s="207"/>
      <c r="K1318" s="207"/>
      <c r="L1318" s="208"/>
      <c r="M1318" s="208"/>
      <c r="N1318" s="150"/>
      <c r="O1318" s="150"/>
      <c r="P1318" s="150"/>
      <c r="Q1318" s="209"/>
      <c r="R1318" s="45"/>
      <c r="S1318" s="45"/>
      <c r="T1318" s="150"/>
      <c r="U1318" s="198"/>
    </row>
    <row r="1319" ht="22.5" hidden="1" customHeight="1">
      <c r="A1319" s="199"/>
      <c r="B1319" s="146"/>
      <c r="C1319" s="200"/>
      <c r="D1319" s="200"/>
      <c r="E1319" s="200"/>
      <c r="F1319" s="147"/>
      <c r="G1319" s="186"/>
      <c r="H1319" s="201"/>
      <c r="I1319" s="201"/>
      <c r="J1319" s="201"/>
      <c r="K1319" s="201"/>
      <c r="L1319" s="202"/>
      <c r="M1319" s="202"/>
      <c r="N1319" s="147"/>
      <c r="O1319" s="147"/>
      <c r="P1319" s="147"/>
      <c r="Q1319" s="203"/>
      <c r="R1319" s="186"/>
      <c r="S1319" s="186"/>
      <c r="T1319" s="147"/>
      <c r="U1319" s="204"/>
    </row>
    <row r="1320" ht="22.5" hidden="1" customHeight="1">
      <c r="A1320" s="205"/>
      <c r="B1320" s="82"/>
      <c r="C1320" s="206"/>
      <c r="D1320" s="206"/>
      <c r="E1320" s="206"/>
      <c r="F1320" s="150"/>
      <c r="G1320" s="45"/>
      <c r="H1320" s="207"/>
      <c r="I1320" s="207"/>
      <c r="J1320" s="207"/>
      <c r="K1320" s="207"/>
      <c r="L1320" s="208"/>
      <c r="M1320" s="208"/>
      <c r="N1320" s="150"/>
      <c r="O1320" s="150"/>
      <c r="P1320" s="150"/>
      <c r="Q1320" s="209"/>
      <c r="R1320" s="45"/>
      <c r="S1320" s="45"/>
      <c r="T1320" s="150"/>
      <c r="U1320" s="198"/>
    </row>
    <row r="1321" ht="22.5" hidden="1" customHeight="1">
      <c r="A1321" s="199"/>
      <c r="B1321" s="146"/>
      <c r="C1321" s="200"/>
      <c r="D1321" s="200"/>
      <c r="E1321" s="200"/>
      <c r="F1321" s="147"/>
      <c r="G1321" s="186"/>
      <c r="H1321" s="201"/>
      <c r="I1321" s="201"/>
      <c r="J1321" s="201"/>
      <c r="K1321" s="201"/>
      <c r="L1321" s="202"/>
      <c r="M1321" s="202"/>
      <c r="N1321" s="147"/>
      <c r="O1321" s="147"/>
      <c r="P1321" s="147"/>
      <c r="Q1321" s="203"/>
      <c r="R1321" s="186"/>
      <c r="S1321" s="186"/>
      <c r="T1321" s="147"/>
      <c r="U1321" s="204"/>
    </row>
    <row r="1322" ht="22.5" hidden="1" customHeight="1">
      <c r="A1322" s="205"/>
      <c r="B1322" s="82"/>
      <c r="C1322" s="206"/>
      <c r="D1322" s="206"/>
      <c r="E1322" s="206"/>
      <c r="F1322" s="150"/>
      <c r="G1322" s="45"/>
      <c r="H1322" s="207"/>
      <c r="I1322" s="207"/>
      <c r="J1322" s="207"/>
      <c r="K1322" s="207"/>
      <c r="L1322" s="208"/>
      <c r="M1322" s="208"/>
      <c r="N1322" s="150"/>
      <c r="O1322" s="150"/>
      <c r="P1322" s="150"/>
      <c r="Q1322" s="209"/>
      <c r="R1322" s="45"/>
      <c r="S1322" s="45"/>
      <c r="T1322" s="150"/>
      <c r="U1322" s="198"/>
    </row>
    <row r="1323" ht="22.5" hidden="1" customHeight="1">
      <c r="A1323" s="199"/>
      <c r="B1323" s="146"/>
      <c r="C1323" s="200"/>
      <c r="D1323" s="200"/>
      <c r="E1323" s="200"/>
      <c r="F1323" s="147"/>
      <c r="G1323" s="186"/>
      <c r="H1323" s="201"/>
      <c r="I1323" s="201"/>
      <c r="J1323" s="201"/>
      <c r="K1323" s="201"/>
      <c r="L1323" s="202"/>
      <c r="M1323" s="202"/>
      <c r="N1323" s="147"/>
      <c r="O1323" s="147"/>
      <c r="P1323" s="147"/>
      <c r="Q1323" s="203"/>
      <c r="R1323" s="186"/>
      <c r="S1323" s="186"/>
      <c r="T1323" s="147"/>
      <c r="U1323" s="204"/>
    </row>
    <row r="1324" ht="22.5" hidden="1" customHeight="1">
      <c r="A1324" s="205"/>
      <c r="B1324" s="82"/>
      <c r="C1324" s="206"/>
      <c r="D1324" s="206"/>
      <c r="E1324" s="206"/>
      <c r="F1324" s="150"/>
      <c r="G1324" s="45"/>
      <c r="H1324" s="207"/>
      <c r="I1324" s="207"/>
      <c r="J1324" s="207"/>
      <c r="K1324" s="207"/>
      <c r="L1324" s="208"/>
      <c r="M1324" s="208"/>
      <c r="N1324" s="150"/>
      <c r="O1324" s="150"/>
      <c r="P1324" s="150"/>
      <c r="Q1324" s="209"/>
      <c r="R1324" s="45"/>
      <c r="S1324" s="45"/>
      <c r="T1324" s="150"/>
      <c r="U1324" s="198"/>
    </row>
    <row r="1325" ht="22.5" hidden="1" customHeight="1">
      <c r="A1325" s="199"/>
      <c r="B1325" s="146"/>
      <c r="C1325" s="200"/>
      <c r="D1325" s="200"/>
      <c r="E1325" s="200"/>
      <c r="F1325" s="147"/>
      <c r="G1325" s="186"/>
      <c r="H1325" s="201"/>
      <c r="I1325" s="201"/>
      <c r="J1325" s="201"/>
      <c r="K1325" s="201"/>
      <c r="L1325" s="202"/>
      <c r="M1325" s="202"/>
      <c r="N1325" s="147"/>
      <c r="O1325" s="147"/>
      <c r="P1325" s="147"/>
      <c r="Q1325" s="203"/>
      <c r="R1325" s="186"/>
      <c r="S1325" s="186"/>
      <c r="T1325" s="147"/>
      <c r="U1325" s="204"/>
    </row>
    <row r="1326" ht="22.5" hidden="1" customHeight="1">
      <c r="A1326" s="205"/>
      <c r="B1326" s="82"/>
      <c r="C1326" s="206"/>
      <c r="D1326" s="206"/>
      <c r="E1326" s="206"/>
      <c r="F1326" s="150"/>
      <c r="G1326" s="45"/>
      <c r="H1326" s="207"/>
      <c r="I1326" s="207"/>
      <c r="J1326" s="207"/>
      <c r="K1326" s="207"/>
      <c r="L1326" s="208"/>
      <c r="M1326" s="208"/>
      <c r="N1326" s="150"/>
      <c r="O1326" s="150"/>
      <c r="P1326" s="150"/>
      <c r="Q1326" s="209"/>
      <c r="R1326" s="45"/>
      <c r="S1326" s="45"/>
      <c r="T1326" s="150"/>
      <c r="U1326" s="198"/>
    </row>
    <row r="1327" ht="22.5" hidden="1" customHeight="1">
      <c r="A1327" s="199"/>
      <c r="B1327" s="146"/>
      <c r="C1327" s="200"/>
      <c r="D1327" s="200"/>
      <c r="E1327" s="200"/>
      <c r="F1327" s="147"/>
      <c r="G1327" s="186"/>
      <c r="H1327" s="201"/>
      <c r="I1327" s="201"/>
      <c r="J1327" s="201"/>
      <c r="K1327" s="201"/>
      <c r="L1327" s="202"/>
      <c r="M1327" s="202"/>
      <c r="N1327" s="147"/>
      <c r="O1327" s="147"/>
      <c r="P1327" s="147"/>
      <c r="Q1327" s="203"/>
      <c r="R1327" s="186"/>
      <c r="S1327" s="186"/>
      <c r="T1327" s="147"/>
      <c r="U1327" s="204"/>
    </row>
    <row r="1328" ht="22.5" hidden="1" customHeight="1">
      <c r="A1328" s="205"/>
      <c r="B1328" s="82"/>
      <c r="C1328" s="206"/>
      <c r="D1328" s="206"/>
      <c r="E1328" s="206"/>
      <c r="F1328" s="150"/>
      <c r="G1328" s="45"/>
      <c r="H1328" s="207"/>
      <c r="I1328" s="207"/>
      <c r="J1328" s="207"/>
      <c r="K1328" s="207"/>
      <c r="L1328" s="208"/>
      <c r="M1328" s="208"/>
      <c r="N1328" s="150"/>
      <c r="O1328" s="150"/>
      <c r="P1328" s="150"/>
      <c r="Q1328" s="209"/>
      <c r="R1328" s="45"/>
      <c r="S1328" s="45"/>
      <c r="T1328" s="150"/>
      <c r="U1328" s="198"/>
    </row>
    <row r="1329" ht="22.5" hidden="1" customHeight="1">
      <c r="A1329" s="199"/>
      <c r="B1329" s="146"/>
      <c r="C1329" s="200"/>
      <c r="D1329" s="200"/>
      <c r="E1329" s="200"/>
      <c r="F1329" s="147"/>
      <c r="G1329" s="186"/>
      <c r="H1329" s="201"/>
      <c r="I1329" s="201"/>
      <c r="J1329" s="201"/>
      <c r="K1329" s="201"/>
      <c r="L1329" s="202"/>
      <c r="M1329" s="202"/>
      <c r="N1329" s="147"/>
      <c r="O1329" s="147"/>
      <c r="P1329" s="147"/>
      <c r="Q1329" s="203"/>
      <c r="R1329" s="186"/>
      <c r="S1329" s="186"/>
      <c r="T1329" s="147"/>
      <c r="U1329" s="204"/>
    </row>
    <row r="1330" ht="22.5" hidden="1" customHeight="1">
      <c r="A1330" s="205"/>
      <c r="B1330" s="82"/>
      <c r="C1330" s="206"/>
      <c r="D1330" s="206"/>
      <c r="E1330" s="206"/>
      <c r="F1330" s="150"/>
      <c r="G1330" s="45"/>
      <c r="H1330" s="207"/>
      <c r="I1330" s="207"/>
      <c r="J1330" s="207"/>
      <c r="K1330" s="207"/>
      <c r="L1330" s="208"/>
      <c r="M1330" s="208"/>
      <c r="N1330" s="150"/>
      <c r="O1330" s="150"/>
      <c r="P1330" s="150"/>
      <c r="Q1330" s="209"/>
      <c r="R1330" s="45"/>
      <c r="S1330" s="45"/>
      <c r="T1330" s="150"/>
      <c r="U1330" s="198"/>
    </row>
    <row r="1331" ht="22.5" hidden="1" customHeight="1">
      <c r="A1331" s="199"/>
      <c r="B1331" s="146"/>
      <c r="C1331" s="200"/>
      <c r="D1331" s="200"/>
      <c r="E1331" s="200"/>
      <c r="F1331" s="147"/>
      <c r="G1331" s="186"/>
      <c r="H1331" s="201"/>
      <c r="I1331" s="201"/>
      <c r="J1331" s="201"/>
      <c r="K1331" s="201"/>
      <c r="L1331" s="202"/>
      <c r="M1331" s="202"/>
      <c r="N1331" s="147"/>
      <c r="O1331" s="147"/>
      <c r="P1331" s="147"/>
      <c r="Q1331" s="203"/>
      <c r="R1331" s="186"/>
      <c r="S1331" s="186"/>
      <c r="T1331" s="147"/>
      <c r="U1331" s="204"/>
    </row>
    <row r="1332" ht="22.5" hidden="1" customHeight="1">
      <c r="A1332" s="205"/>
      <c r="B1332" s="82"/>
      <c r="C1332" s="206"/>
      <c r="D1332" s="206"/>
      <c r="E1332" s="206"/>
      <c r="F1332" s="150"/>
      <c r="G1332" s="45"/>
      <c r="H1332" s="207"/>
      <c r="I1332" s="207"/>
      <c r="J1332" s="207"/>
      <c r="K1332" s="207"/>
      <c r="L1332" s="208"/>
      <c r="M1332" s="208"/>
      <c r="N1332" s="150"/>
      <c r="O1332" s="150"/>
      <c r="P1332" s="150"/>
      <c r="Q1332" s="209"/>
      <c r="R1332" s="45"/>
      <c r="S1332" s="45"/>
      <c r="T1332" s="150"/>
      <c r="U1332" s="198"/>
    </row>
    <row r="1333" ht="22.5" hidden="1" customHeight="1">
      <c r="A1333" s="199"/>
      <c r="B1333" s="146"/>
      <c r="C1333" s="200"/>
      <c r="D1333" s="200"/>
      <c r="E1333" s="200"/>
      <c r="F1333" s="147"/>
      <c r="G1333" s="186"/>
      <c r="H1333" s="201"/>
      <c r="I1333" s="201"/>
      <c r="J1333" s="201"/>
      <c r="K1333" s="201"/>
      <c r="L1333" s="202"/>
      <c r="M1333" s="202"/>
      <c r="N1333" s="147"/>
      <c r="O1333" s="147"/>
      <c r="P1333" s="147"/>
      <c r="Q1333" s="203"/>
      <c r="R1333" s="186"/>
      <c r="S1333" s="186"/>
      <c r="T1333" s="147"/>
      <c r="U1333" s="204"/>
    </row>
    <row r="1334" ht="22.5" hidden="1" customHeight="1">
      <c r="A1334" s="205"/>
      <c r="B1334" s="82"/>
      <c r="C1334" s="206"/>
      <c r="D1334" s="206"/>
      <c r="E1334" s="206"/>
      <c r="F1334" s="150"/>
      <c r="G1334" s="45"/>
      <c r="H1334" s="207"/>
      <c r="I1334" s="207"/>
      <c r="J1334" s="207"/>
      <c r="K1334" s="207"/>
      <c r="L1334" s="208"/>
      <c r="M1334" s="208"/>
      <c r="N1334" s="150"/>
      <c r="O1334" s="150"/>
      <c r="P1334" s="150"/>
      <c r="Q1334" s="209"/>
      <c r="R1334" s="45"/>
      <c r="S1334" s="45"/>
      <c r="T1334" s="150"/>
      <c r="U1334" s="198"/>
    </row>
    <row r="1335" ht="22.5" hidden="1" customHeight="1">
      <c r="A1335" s="199"/>
      <c r="B1335" s="146"/>
      <c r="C1335" s="200"/>
      <c r="D1335" s="200"/>
      <c r="E1335" s="200"/>
      <c r="F1335" s="147"/>
      <c r="G1335" s="186"/>
      <c r="H1335" s="201"/>
      <c r="I1335" s="201"/>
      <c r="J1335" s="201"/>
      <c r="K1335" s="201"/>
      <c r="L1335" s="202"/>
      <c r="M1335" s="202"/>
      <c r="N1335" s="147"/>
      <c r="O1335" s="147"/>
      <c r="P1335" s="147"/>
      <c r="Q1335" s="203"/>
      <c r="R1335" s="186"/>
      <c r="S1335" s="186"/>
      <c r="T1335" s="147"/>
      <c r="U1335" s="204"/>
    </row>
    <row r="1336" ht="22.5" hidden="1" customHeight="1">
      <c r="A1336" s="205"/>
      <c r="B1336" s="82"/>
      <c r="C1336" s="206"/>
      <c r="D1336" s="206"/>
      <c r="E1336" s="206"/>
      <c r="F1336" s="150"/>
      <c r="G1336" s="45"/>
      <c r="H1336" s="207"/>
      <c r="I1336" s="207"/>
      <c r="J1336" s="207"/>
      <c r="K1336" s="207"/>
      <c r="L1336" s="208"/>
      <c r="M1336" s="208"/>
      <c r="N1336" s="150"/>
      <c r="O1336" s="150"/>
      <c r="P1336" s="150"/>
      <c r="Q1336" s="209"/>
      <c r="R1336" s="45"/>
      <c r="S1336" s="45"/>
      <c r="T1336" s="150"/>
      <c r="U1336" s="198"/>
    </row>
    <row r="1337" ht="22.5" hidden="1" customHeight="1">
      <c r="A1337" s="199"/>
      <c r="B1337" s="146"/>
      <c r="C1337" s="200"/>
      <c r="D1337" s="200"/>
      <c r="E1337" s="200"/>
      <c r="F1337" s="147"/>
      <c r="G1337" s="186"/>
      <c r="H1337" s="201"/>
      <c r="I1337" s="201"/>
      <c r="J1337" s="201"/>
      <c r="K1337" s="201"/>
      <c r="L1337" s="202"/>
      <c r="M1337" s="202"/>
      <c r="N1337" s="147"/>
      <c r="O1337" s="147"/>
      <c r="P1337" s="147"/>
      <c r="Q1337" s="203"/>
      <c r="R1337" s="186"/>
      <c r="S1337" s="186"/>
      <c r="T1337" s="147"/>
      <c r="U1337" s="204"/>
    </row>
    <row r="1338" ht="22.5" hidden="1" customHeight="1">
      <c r="A1338" s="205"/>
      <c r="B1338" s="82"/>
      <c r="C1338" s="206"/>
      <c r="D1338" s="206"/>
      <c r="E1338" s="206"/>
      <c r="F1338" s="150"/>
      <c r="G1338" s="45"/>
      <c r="H1338" s="207"/>
      <c r="I1338" s="207"/>
      <c r="J1338" s="207"/>
      <c r="K1338" s="207"/>
      <c r="L1338" s="208"/>
      <c r="M1338" s="208"/>
      <c r="N1338" s="150"/>
      <c r="O1338" s="150"/>
      <c r="P1338" s="150"/>
      <c r="Q1338" s="209"/>
      <c r="R1338" s="45"/>
      <c r="S1338" s="45"/>
      <c r="T1338" s="150"/>
      <c r="U1338" s="198"/>
    </row>
    <row r="1339" ht="22.5" hidden="1" customHeight="1">
      <c r="A1339" s="199"/>
      <c r="B1339" s="146"/>
      <c r="C1339" s="200"/>
      <c r="D1339" s="200"/>
      <c r="E1339" s="200"/>
      <c r="F1339" s="147"/>
      <c r="G1339" s="186"/>
      <c r="H1339" s="201"/>
      <c r="I1339" s="201"/>
      <c r="J1339" s="201"/>
      <c r="K1339" s="201"/>
      <c r="L1339" s="202"/>
      <c r="M1339" s="202"/>
      <c r="N1339" s="147"/>
      <c r="O1339" s="147"/>
      <c r="P1339" s="147"/>
      <c r="Q1339" s="203"/>
      <c r="R1339" s="186"/>
      <c r="S1339" s="186"/>
      <c r="T1339" s="147"/>
      <c r="U1339" s="204"/>
    </row>
    <row r="1340" ht="22.5" hidden="1" customHeight="1">
      <c r="A1340" s="205"/>
      <c r="B1340" s="82"/>
      <c r="C1340" s="206"/>
      <c r="D1340" s="206"/>
      <c r="E1340" s="206"/>
      <c r="F1340" s="150"/>
      <c r="G1340" s="45"/>
      <c r="H1340" s="207"/>
      <c r="I1340" s="207"/>
      <c r="J1340" s="207"/>
      <c r="K1340" s="207"/>
      <c r="L1340" s="208"/>
      <c r="M1340" s="208"/>
      <c r="N1340" s="150"/>
      <c r="O1340" s="150"/>
      <c r="P1340" s="150"/>
      <c r="Q1340" s="209"/>
      <c r="R1340" s="45"/>
      <c r="S1340" s="45"/>
      <c r="T1340" s="150"/>
      <c r="U1340" s="198"/>
    </row>
    <row r="1341" ht="22.5" hidden="1" customHeight="1">
      <c r="A1341" s="199"/>
      <c r="B1341" s="146"/>
      <c r="C1341" s="200"/>
      <c r="D1341" s="200"/>
      <c r="E1341" s="200"/>
      <c r="F1341" s="147"/>
      <c r="G1341" s="186"/>
      <c r="H1341" s="201"/>
      <c r="I1341" s="201"/>
      <c r="J1341" s="201"/>
      <c r="K1341" s="201"/>
      <c r="L1341" s="202"/>
      <c r="M1341" s="202"/>
      <c r="N1341" s="147"/>
      <c r="O1341" s="147"/>
      <c r="P1341" s="147"/>
      <c r="Q1341" s="203"/>
      <c r="R1341" s="186"/>
      <c r="S1341" s="186"/>
      <c r="T1341" s="147"/>
      <c r="U1341" s="204"/>
    </row>
    <row r="1342" ht="22.5" hidden="1" customHeight="1">
      <c r="A1342" s="205"/>
      <c r="B1342" s="82"/>
      <c r="C1342" s="206"/>
      <c r="D1342" s="206"/>
      <c r="E1342" s="206"/>
      <c r="F1342" s="150"/>
      <c r="G1342" s="45"/>
      <c r="H1342" s="207"/>
      <c r="I1342" s="207"/>
      <c r="J1342" s="207"/>
      <c r="K1342" s="207"/>
      <c r="L1342" s="208"/>
      <c r="M1342" s="208"/>
      <c r="N1342" s="150"/>
      <c r="O1342" s="150"/>
      <c r="P1342" s="150"/>
      <c r="Q1342" s="209"/>
      <c r="R1342" s="45"/>
      <c r="S1342" s="45"/>
      <c r="T1342" s="150"/>
      <c r="U1342" s="198"/>
    </row>
    <row r="1343" ht="22.5" hidden="1" customHeight="1">
      <c r="A1343" s="199"/>
      <c r="B1343" s="146"/>
      <c r="C1343" s="200"/>
      <c r="D1343" s="200"/>
      <c r="E1343" s="200"/>
      <c r="F1343" s="147"/>
      <c r="G1343" s="186"/>
      <c r="H1343" s="201"/>
      <c r="I1343" s="201"/>
      <c r="J1343" s="201"/>
      <c r="K1343" s="201"/>
      <c r="L1343" s="202"/>
      <c r="M1343" s="202"/>
      <c r="N1343" s="147"/>
      <c r="O1343" s="147"/>
      <c r="P1343" s="147"/>
      <c r="Q1343" s="203"/>
      <c r="R1343" s="186"/>
      <c r="S1343" s="186"/>
      <c r="T1343" s="147"/>
      <c r="U1343" s="204"/>
    </row>
    <row r="1344" ht="22.5" hidden="1" customHeight="1">
      <c r="A1344" s="205"/>
      <c r="B1344" s="82"/>
      <c r="C1344" s="206"/>
      <c r="D1344" s="206"/>
      <c r="E1344" s="206"/>
      <c r="F1344" s="150"/>
      <c r="G1344" s="45"/>
      <c r="H1344" s="207"/>
      <c r="I1344" s="207"/>
      <c r="J1344" s="207"/>
      <c r="K1344" s="207"/>
      <c r="L1344" s="208"/>
      <c r="M1344" s="208"/>
      <c r="N1344" s="150"/>
      <c r="O1344" s="150"/>
      <c r="P1344" s="150"/>
      <c r="Q1344" s="209"/>
      <c r="R1344" s="45"/>
      <c r="S1344" s="45"/>
      <c r="T1344" s="150"/>
      <c r="U1344" s="198"/>
    </row>
    <row r="1345" ht="22.5" hidden="1" customHeight="1">
      <c r="A1345" s="199"/>
      <c r="B1345" s="146"/>
      <c r="C1345" s="200"/>
      <c r="D1345" s="200"/>
      <c r="E1345" s="200"/>
      <c r="F1345" s="147"/>
      <c r="G1345" s="186"/>
      <c r="H1345" s="201"/>
      <c r="I1345" s="201"/>
      <c r="J1345" s="201"/>
      <c r="K1345" s="201"/>
      <c r="L1345" s="202"/>
      <c r="M1345" s="202"/>
      <c r="N1345" s="147"/>
      <c r="O1345" s="147"/>
      <c r="P1345" s="147"/>
      <c r="Q1345" s="203"/>
      <c r="R1345" s="186"/>
      <c r="S1345" s="186"/>
      <c r="T1345" s="147"/>
      <c r="U1345" s="204"/>
    </row>
    <row r="1346" ht="22.5" hidden="1" customHeight="1">
      <c r="A1346" s="205"/>
      <c r="B1346" s="82"/>
      <c r="C1346" s="206"/>
      <c r="D1346" s="206"/>
      <c r="E1346" s="206"/>
      <c r="F1346" s="150"/>
      <c r="G1346" s="45"/>
      <c r="H1346" s="207"/>
      <c r="I1346" s="207"/>
      <c r="J1346" s="207"/>
      <c r="K1346" s="207"/>
      <c r="L1346" s="208"/>
      <c r="M1346" s="208"/>
      <c r="N1346" s="150"/>
      <c r="O1346" s="150"/>
      <c r="P1346" s="150"/>
      <c r="Q1346" s="209"/>
      <c r="R1346" s="45"/>
      <c r="S1346" s="45"/>
      <c r="T1346" s="150"/>
      <c r="U1346" s="198"/>
    </row>
    <row r="1347" ht="22.5" hidden="1" customHeight="1">
      <c r="A1347" s="199"/>
      <c r="B1347" s="146"/>
      <c r="C1347" s="200"/>
      <c r="D1347" s="200"/>
      <c r="E1347" s="200"/>
      <c r="F1347" s="147"/>
      <c r="G1347" s="186"/>
      <c r="H1347" s="201"/>
      <c r="I1347" s="201"/>
      <c r="J1347" s="201"/>
      <c r="K1347" s="201"/>
      <c r="L1347" s="202"/>
      <c r="M1347" s="202"/>
      <c r="N1347" s="147"/>
      <c r="O1347" s="147"/>
      <c r="P1347" s="147"/>
      <c r="Q1347" s="203"/>
      <c r="R1347" s="186"/>
      <c r="S1347" s="186"/>
      <c r="T1347" s="147"/>
      <c r="U1347" s="204"/>
    </row>
    <row r="1348" ht="22.5" hidden="1" customHeight="1">
      <c r="A1348" s="205"/>
      <c r="B1348" s="82"/>
      <c r="C1348" s="206"/>
      <c r="D1348" s="206"/>
      <c r="E1348" s="206"/>
      <c r="F1348" s="150"/>
      <c r="G1348" s="45"/>
      <c r="H1348" s="207"/>
      <c r="I1348" s="207"/>
      <c r="J1348" s="207"/>
      <c r="K1348" s="207"/>
      <c r="L1348" s="208"/>
      <c r="M1348" s="208"/>
      <c r="N1348" s="150"/>
      <c r="O1348" s="150"/>
      <c r="P1348" s="150"/>
      <c r="Q1348" s="209"/>
      <c r="R1348" s="45"/>
      <c r="S1348" s="45"/>
      <c r="T1348" s="150"/>
      <c r="U1348" s="198"/>
    </row>
    <row r="1349" ht="22.5" hidden="1" customHeight="1">
      <c r="A1349" s="199"/>
      <c r="B1349" s="146"/>
      <c r="C1349" s="200"/>
      <c r="D1349" s="200"/>
      <c r="E1349" s="200"/>
      <c r="F1349" s="147"/>
      <c r="G1349" s="186"/>
      <c r="H1349" s="201"/>
      <c r="I1349" s="201"/>
      <c r="J1349" s="201"/>
      <c r="K1349" s="201"/>
      <c r="L1349" s="202"/>
      <c r="M1349" s="202"/>
      <c r="N1349" s="147"/>
      <c r="O1349" s="147"/>
      <c r="P1349" s="147"/>
      <c r="Q1349" s="203"/>
      <c r="R1349" s="186"/>
      <c r="S1349" s="186"/>
      <c r="T1349" s="147"/>
      <c r="U1349" s="204"/>
    </row>
    <row r="1350" ht="22.5" hidden="1" customHeight="1">
      <c r="A1350" s="205"/>
      <c r="B1350" s="82"/>
      <c r="C1350" s="206"/>
      <c r="D1350" s="206"/>
      <c r="E1350" s="206"/>
      <c r="F1350" s="150"/>
      <c r="G1350" s="45"/>
      <c r="H1350" s="207"/>
      <c r="I1350" s="207"/>
      <c r="J1350" s="207"/>
      <c r="K1350" s="207"/>
      <c r="L1350" s="208"/>
      <c r="M1350" s="208"/>
      <c r="N1350" s="150"/>
      <c r="O1350" s="150"/>
      <c r="P1350" s="150"/>
      <c r="Q1350" s="209"/>
      <c r="R1350" s="45"/>
      <c r="S1350" s="45"/>
      <c r="T1350" s="150"/>
      <c r="U1350" s="198"/>
    </row>
    <row r="1351" ht="22.5" hidden="1" customHeight="1">
      <c r="A1351" s="199"/>
      <c r="B1351" s="146"/>
      <c r="C1351" s="200"/>
      <c r="D1351" s="200"/>
      <c r="E1351" s="200"/>
      <c r="F1351" s="147"/>
      <c r="G1351" s="186"/>
      <c r="H1351" s="201"/>
      <c r="I1351" s="201"/>
      <c r="J1351" s="201"/>
      <c r="K1351" s="201"/>
      <c r="L1351" s="202"/>
      <c r="M1351" s="202"/>
      <c r="N1351" s="147"/>
      <c r="O1351" s="147"/>
      <c r="P1351" s="147"/>
      <c r="Q1351" s="203"/>
      <c r="R1351" s="186"/>
      <c r="S1351" s="186"/>
      <c r="T1351" s="147"/>
      <c r="U1351" s="204"/>
    </row>
    <row r="1352" ht="22.5" hidden="1" customHeight="1">
      <c r="A1352" s="205"/>
      <c r="B1352" s="82"/>
      <c r="C1352" s="206"/>
      <c r="D1352" s="206"/>
      <c r="E1352" s="206"/>
      <c r="F1352" s="150"/>
      <c r="G1352" s="45"/>
      <c r="H1352" s="207"/>
      <c r="I1352" s="207"/>
      <c r="J1352" s="207"/>
      <c r="K1352" s="207"/>
      <c r="L1352" s="208"/>
      <c r="M1352" s="208"/>
      <c r="N1352" s="150"/>
      <c r="O1352" s="150"/>
      <c r="P1352" s="150"/>
      <c r="Q1352" s="209"/>
      <c r="R1352" s="45"/>
      <c r="S1352" s="45"/>
      <c r="T1352" s="150"/>
      <c r="U1352" s="198"/>
    </row>
    <row r="1353" ht="22.5" hidden="1" customHeight="1">
      <c r="A1353" s="199"/>
      <c r="B1353" s="146"/>
      <c r="C1353" s="200"/>
      <c r="D1353" s="200"/>
      <c r="E1353" s="200"/>
      <c r="F1353" s="147"/>
      <c r="G1353" s="186"/>
      <c r="H1353" s="201"/>
      <c r="I1353" s="201"/>
      <c r="J1353" s="201"/>
      <c r="K1353" s="201"/>
      <c r="L1353" s="202"/>
      <c r="M1353" s="202"/>
      <c r="N1353" s="147"/>
      <c r="O1353" s="147"/>
      <c r="P1353" s="147"/>
      <c r="Q1353" s="203"/>
      <c r="R1353" s="186"/>
      <c r="S1353" s="186"/>
      <c r="T1353" s="147"/>
      <c r="U1353" s="204"/>
    </row>
    <row r="1354" ht="22.5" hidden="1" customHeight="1">
      <c r="A1354" s="205"/>
      <c r="B1354" s="82"/>
      <c r="C1354" s="206"/>
      <c r="D1354" s="206"/>
      <c r="E1354" s="206"/>
      <c r="F1354" s="150"/>
      <c r="G1354" s="45"/>
      <c r="H1354" s="207"/>
      <c r="I1354" s="207"/>
      <c r="J1354" s="207"/>
      <c r="K1354" s="207"/>
      <c r="L1354" s="208"/>
      <c r="M1354" s="208"/>
      <c r="N1354" s="150"/>
      <c r="O1354" s="150"/>
      <c r="P1354" s="150"/>
      <c r="Q1354" s="209"/>
      <c r="R1354" s="45"/>
      <c r="S1354" s="45"/>
      <c r="T1354" s="150"/>
      <c r="U1354" s="198"/>
    </row>
    <row r="1355" ht="22.5" hidden="1" customHeight="1">
      <c r="A1355" s="199"/>
      <c r="B1355" s="146"/>
      <c r="C1355" s="200"/>
      <c r="D1355" s="200"/>
      <c r="E1355" s="200"/>
      <c r="F1355" s="147"/>
      <c r="G1355" s="186"/>
      <c r="H1355" s="201"/>
      <c r="I1355" s="201"/>
      <c r="J1355" s="201"/>
      <c r="K1355" s="201"/>
      <c r="L1355" s="202"/>
      <c r="M1355" s="202"/>
      <c r="N1355" s="147"/>
      <c r="O1355" s="147"/>
      <c r="P1355" s="147"/>
      <c r="Q1355" s="203"/>
      <c r="R1355" s="186"/>
      <c r="S1355" s="186"/>
      <c r="T1355" s="147"/>
      <c r="U1355" s="204"/>
    </row>
    <row r="1356" ht="22.5" hidden="1" customHeight="1">
      <c r="A1356" s="205"/>
      <c r="B1356" s="82"/>
      <c r="C1356" s="206"/>
      <c r="D1356" s="206"/>
      <c r="E1356" s="206"/>
      <c r="F1356" s="150"/>
      <c r="G1356" s="45"/>
      <c r="H1356" s="207"/>
      <c r="I1356" s="207"/>
      <c r="J1356" s="207"/>
      <c r="K1356" s="207"/>
      <c r="L1356" s="208"/>
      <c r="M1356" s="208"/>
      <c r="N1356" s="150"/>
      <c r="O1356" s="150"/>
      <c r="P1356" s="150"/>
      <c r="Q1356" s="209"/>
      <c r="R1356" s="45"/>
      <c r="S1356" s="45"/>
      <c r="T1356" s="150"/>
      <c r="U1356" s="198"/>
    </row>
    <row r="1357" ht="22.5" hidden="1" customHeight="1">
      <c r="A1357" s="199"/>
      <c r="B1357" s="146"/>
      <c r="C1357" s="200"/>
      <c r="D1357" s="200"/>
      <c r="E1357" s="200"/>
      <c r="F1357" s="147"/>
      <c r="G1357" s="186"/>
      <c r="H1357" s="201"/>
      <c r="I1357" s="201"/>
      <c r="J1357" s="201"/>
      <c r="K1357" s="201"/>
      <c r="L1357" s="202"/>
      <c r="M1357" s="202"/>
      <c r="N1357" s="147"/>
      <c r="O1357" s="147"/>
      <c r="P1357" s="147"/>
      <c r="Q1357" s="203"/>
      <c r="R1357" s="186"/>
      <c r="S1357" s="186"/>
      <c r="T1357" s="147"/>
      <c r="U1357" s="204"/>
    </row>
    <row r="1358" ht="22.5" hidden="1" customHeight="1">
      <c r="A1358" s="205"/>
      <c r="B1358" s="82"/>
      <c r="C1358" s="206"/>
      <c r="D1358" s="206"/>
      <c r="E1358" s="206"/>
      <c r="F1358" s="150"/>
      <c r="G1358" s="45"/>
      <c r="H1358" s="207"/>
      <c r="I1358" s="207"/>
      <c r="J1358" s="207"/>
      <c r="K1358" s="207"/>
      <c r="L1358" s="208"/>
      <c r="M1358" s="208"/>
      <c r="N1358" s="150"/>
      <c r="O1358" s="150"/>
      <c r="P1358" s="150"/>
      <c r="Q1358" s="209"/>
      <c r="R1358" s="45"/>
      <c r="S1358" s="45"/>
      <c r="T1358" s="150"/>
      <c r="U1358" s="198"/>
    </row>
    <row r="1359" ht="22.5" hidden="1" customHeight="1">
      <c r="A1359" s="199"/>
      <c r="B1359" s="146"/>
      <c r="C1359" s="200"/>
      <c r="D1359" s="200"/>
      <c r="E1359" s="200"/>
      <c r="F1359" s="147"/>
      <c r="G1359" s="186"/>
      <c r="H1359" s="201"/>
      <c r="I1359" s="201"/>
      <c r="J1359" s="201"/>
      <c r="K1359" s="201"/>
      <c r="L1359" s="202"/>
      <c r="M1359" s="202"/>
      <c r="N1359" s="147"/>
      <c r="O1359" s="147"/>
      <c r="P1359" s="147"/>
      <c r="Q1359" s="203"/>
      <c r="R1359" s="186"/>
      <c r="S1359" s="186"/>
      <c r="T1359" s="147"/>
      <c r="U1359" s="204"/>
    </row>
    <row r="1360" ht="22.5" hidden="1" customHeight="1">
      <c r="A1360" s="205"/>
      <c r="B1360" s="82"/>
      <c r="C1360" s="206"/>
      <c r="D1360" s="206"/>
      <c r="E1360" s="206"/>
      <c r="F1360" s="150"/>
      <c r="G1360" s="45"/>
      <c r="H1360" s="207"/>
      <c r="I1360" s="207"/>
      <c r="J1360" s="207"/>
      <c r="K1360" s="207"/>
      <c r="L1360" s="208"/>
      <c r="M1360" s="208"/>
      <c r="N1360" s="150"/>
      <c r="O1360" s="150"/>
      <c r="P1360" s="150"/>
      <c r="Q1360" s="209"/>
      <c r="R1360" s="45"/>
      <c r="S1360" s="45"/>
      <c r="T1360" s="150"/>
      <c r="U1360" s="198"/>
    </row>
    <row r="1361" ht="22.5" hidden="1" customHeight="1">
      <c r="A1361" s="199"/>
      <c r="B1361" s="146"/>
      <c r="C1361" s="200"/>
      <c r="D1361" s="200"/>
      <c r="E1361" s="200"/>
      <c r="F1361" s="147"/>
      <c r="G1361" s="186"/>
      <c r="H1361" s="201"/>
      <c r="I1361" s="201"/>
      <c r="J1361" s="201"/>
      <c r="K1361" s="201"/>
      <c r="L1361" s="202"/>
      <c r="M1361" s="202"/>
      <c r="N1361" s="147"/>
      <c r="O1361" s="147"/>
      <c r="P1361" s="147"/>
      <c r="Q1361" s="203"/>
      <c r="R1361" s="186"/>
      <c r="S1361" s="186"/>
      <c r="T1361" s="147"/>
      <c r="U1361" s="204"/>
    </row>
    <row r="1362" ht="22.5" hidden="1" customHeight="1">
      <c r="A1362" s="205"/>
      <c r="B1362" s="82"/>
      <c r="C1362" s="206"/>
      <c r="D1362" s="206"/>
      <c r="E1362" s="206"/>
      <c r="F1362" s="150"/>
      <c r="G1362" s="45"/>
      <c r="H1362" s="207"/>
      <c r="I1362" s="207"/>
      <c r="J1362" s="207"/>
      <c r="K1362" s="207"/>
      <c r="L1362" s="208"/>
      <c r="M1362" s="208"/>
      <c r="N1362" s="150"/>
      <c r="O1362" s="150"/>
      <c r="P1362" s="150"/>
      <c r="Q1362" s="209"/>
      <c r="R1362" s="45"/>
      <c r="S1362" s="45"/>
      <c r="T1362" s="150"/>
      <c r="U1362" s="198"/>
    </row>
    <row r="1363" ht="22.5" hidden="1" customHeight="1">
      <c r="A1363" s="199"/>
      <c r="B1363" s="146"/>
      <c r="C1363" s="200"/>
      <c r="D1363" s="200"/>
      <c r="E1363" s="200"/>
      <c r="F1363" s="147"/>
      <c r="G1363" s="186"/>
      <c r="H1363" s="201"/>
      <c r="I1363" s="201"/>
      <c r="J1363" s="201"/>
      <c r="K1363" s="201"/>
      <c r="L1363" s="202"/>
      <c r="M1363" s="202"/>
      <c r="N1363" s="147"/>
      <c r="O1363" s="147"/>
      <c r="P1363" s="147"/>
      <c r="Q1363" s="203"/>
      <c r="R1363" s="186"/>
      <c r="S1363" s="186"/>
      <c r="T1363" s="147"/>
      <c r="U1363" s="204"/>
    </row>
    <row r="1364" ht="22.5" hidden="1" customHeight="1">
      <c r="A1364" s="205"/>
      <c r="B1364" s="82"/>
      <c r="C1364" s="206"/>
      <c r="D1364" s="206"/>
      <c r="E1364" s="206"/>
      <c r="F1364" s="150"/>
      <c r="G1364" s="45"/>
      <c r="H1364" s="207"/>
      <c r="I1364" s="207"/>
      <c r="J1364" s="207"/>
      <c r="K1364" s="207"/>
      <c r="L1364" s="208"/>
      <c r="M1364" s="208"/>
      <c r="N1364" s="150"/>
      <c r="O1364" s="150"/>
      <c r="P1364" s="150"/>
      <c r="Q1364" s="209"/>
      <c r="R1364" s="45"/>
      <c r="S1364" s="45"/>
      <c r="T1364" s="150"/>
      <c r="U1364" s="198"/>
    </row>
    <row r="1365" ht="22.5" hidden="1" customHeight="1">
      <c r="A1365" s="199"/>
      <c r="B1365" s="146"/>
      <c r="C1365" s="200"/>
      <c r="D1365" s="200"/>
      <c r="E1365" s="200"/>
      <c r="F1365" s="147"/>
      <c r="G1365" s="186"/>
      <c r="H1365" s="201"/>
      <c r="I1365" s="201"/>
      <c r="J1365" s="201"/>
      <c r="K1365" s="201"/>
      <c r="L1365" s="202"/>
      <c r="M1365" s="202"/>
      <c r="N1365" s="147"/>
      <c r="O1365" s="147"/>
      <c r="P1365" s="147"/>
      <c r="Q1365" s="203"/>
      <c r="R1365" s="186"/>
      <c r="S1365" s="186"/>
      <c r="T1365" s="147"/>
      <c r="U1365" s="204"/>
    </row>
    <row r="1366" ht="22.5" hidden="1" customHeight="1">
      <c r="A1366" s="205"/>
      <c r="B1366" s="82"/>
      <c r="C1366" s="206"/>
      <c r="D1366" s="206"/>
      <c r="E1366" s="206"/>
      <c r="F1366" s="150"/>
      <c r="G1366" s="45"/>
      <c r="H1366" s="207"/>
      <c r="I1366" s="207"/>
      <c r="J1366" s="207"/>
      <c r="K1366" s="207"/>
      <c r="L1366" s="208"/>
      <c r="M1366" s="208"/>
      <c r="N1366" s="150"/>
      <c r="O1366" s="150"/>
      <c r="P1366" s="150"/>
      <c r="Q1366" s="209"/>
      <c r="R1366" s="45"/>
      <c r="S1366" s="45"/>
      <c r="T1366" s="150"/>
      <c r="U1366" s="198"/>
    </row>
    <row r="1367" ht="22.5" hidden="1" customHeight="1">
      <c r="A1367" s="199"/>
      <c r="B1367" s="146"/>
      <c r="C1367" s="200"/>
      <c r="D1367" s="200"/>
      <c r="E1367" s="200"/>
      <c r="F1367" s="147"/>
      <c r="G1367" s="186"/>
      <c r="H1367" s="201"/>
      <c r="I1367" s="201"/>
      <c r="J1367" s="201"/>
      <c r="K1367" s="201"/>
      <c r="L1367" s="202"/>
      <c r="M1367" s="202"/>
      <c r="N1367" s="147"/>
      <c r="O1367" s="147"/>
      <c r="P1367" s="147"/>
      <c r="Q1367" s="203"/>
      <c r="R1367" s="186"/>
      <c r="S1367" s="186"/>
      <c r="T1367" s="147"/>
      <c r="U1367" s="204"/>
    </row>
    <row r="1368" ht="22.5" hidden="1" customHeight="1">
      <c r="A1368" s="205"/>
      <c r="B1368" s="82"/>
      <c r="C1368" s="206"/>
      <c r="D1368" s="206"/>
      <c r="E1368" s="206"/>
      <c r="F1368" s="150"/>
      <c r="G1368" s="45"/>
      <c r="H1368" s="207"/>
      <c r="I1368" s="207"/>
      <c r="J1368" s="207"/>
      <c r="K1368" s="207"/>
      <c r="L1368" s="208"/>
      <c r="M1368" s="208"/>
      <c r="N1368" s="150"/>
      <c r="O1368" s="150"/>
      <c r="P1368" s="150"/>
      <c r="Q1368" s="209"/>
      <c r="R1368" s="45"/>
      <c r="S1368" s="45"/>
      <c r="T1368" s="150"/>
      <c r="U1368" s="198"/>
    </row>
    <row r="1369" ht="22.5" hidden="1" customHeight="1">
      <c r="A1369" s="199"/>
      <c r="B1369" s="146"/>
      <c r="C1369" s="200"/>
      <c r="D1369" s="200"/>
      <c r="E1369" s="200"/>
      <c r="F1369" s="147"/>
      <c r="G1369" s="186"/>
      <c r="H1369" s="201"/>
      <c r="I1369" s="201"/>
      <c r="J1369" s="201"/>
      <c r="K1369" s="201"/>
      <c r="L1369" s="202"/>
      <c r="M1369" s="202"/>
      <c r="N1369" s="147"/>
      <c r="O1369" s="147"/>
      <c r="P1369" s="147"/>
      <c r="Q1369" s="203"/>
      <c r="R1369" s="186"/>
      <c r="S1369" s="186"/>
      <c r="T1369" s="147"/>
      <c r="U1369" s="204"/>
    </row>
    <row r="1370" ht="22.5" customHeight="1">
      <c r="A1370" s="259"/>
      <c r="B1370" s="260">
        <f>COUNTA('Report, Invoices Due 2026'!$G$2:$G$233)</f>
        <v>1</v>
      </c>
      <c r="C1370" s="261"/>
      <c r="D1370" s="261"/>
      <c r="E1370" s="261"/>
      <c r="F1370" s="261"/>
      <c r="G1370" s="261"/>
      <c r="H1370" s="261"/>
      <c r="I1370" s="261"/>
      <c r="J1370" s="262" t="str">
        <f>SUM('Report, Invoices Due 2026'!$O$2:$O$233)</f>
        <v>#REF!</v>
      </c>
      <c r="K1370" s="262" t="str">
        <f>SUM('Report, Invoices Due 2026'!$P$2:$P$233)</f>
        <v>#REF!</v>
      </c>
      <c r="L1370" s="261"/>
      <c r="M1370" s="261"/>
      <c r="N1370" s="261"/>
      <c r="O1370" s="261"/>
      <c r="P1370" s="261"/>
      <c r="Q1370" s="261"/>
      <c r="R1370" s="261"/>
      <c r="S1370" s="261"/>
      <c r="T1370" s="261"/>
      <c r="U1370" s="263"/>
    </row>
  </sheetData>
  <dataValidations>
    <dataValidation type="list" allowBlank="1" sqref="D2:E1369">
      <formula1>#REF!</formula1>
    </dataValidation>
    <dataValidation type="custom" allowBlank="1" showDropDown="1" sqref="L2:M1369 Q2:Q1369">
      <formula1>OR(NOT(ISERROR(DATEVALUE(L2))), AND(ISNUMBER(L2), LEFT(CELL("format", L2))="D"))</formula1>
    </dataValidation>
    <dataValidation type="custom" allowBlank="1" showDropDown="1" sqref="F2:F1369 H2:K1369 N2:P1369 T2:T1369">
      <formula1>AND(ISNUMBER(F2),(NOT(OR(NOT(ISERROR(DATEVALUE(F2))), AND(ISNUMBER(F2), LEFT(CELL("format", F2))="D")))))</formula1>
    </dataValidation>
    <dataValidation allowBlank="1" showDropDown="1" sqref="B2:B1369"/>
    <dataValidation type="list" allowBlank="1" sqref="C2:C1369">
      <formula1>"Active,Paused,Cancelled,NA,Invoice made,Invoice sent,Warning sent"</formula1>
    </dataValidation>
  </dataValidations>
  <hyperlinks>
    <hyperlink r:id="rId1" ref="S9"/>
    <hyperlink r:id="rId2" ref="S10"/>
    <hyperlink r:id="rId3" ref="S14"/>
    <hyperlink r:id="rId4" ref="S21"/>
    <hyperlink r:id="rId5" ref="S30"/>
    <hyperlink r:id="rId6" ref="S32"/>
    <hyperlink r:id="rId7" ref="S33"/>
    <hyperlink r:id="rId8" ref="S35"/>
    <hyperlink r:id="rId9" ref="S36"/>
    <hyperlink r:id="rId10" ref="S37"/>
    <hyperlink r:id="rId11" ref="S39"/>
    <hyperlink r:id="rId12" ref="S40"/>
    <hyperlink r:id="rId13" ref="S41"/>
    <hyperlink r:id="rId14" ref="S42"/>
    <hyperlink r:id="rId15" ref="S44"/>
    <hyperlink r:id="rId16" ref="S53"/>
    <hyperlink r:id="rId17" ref="S55"/>
    <hyperlink r:id="rId18" ref="S58"/>
    <hyperlink r:id="rId19" ref="S59"/>
    <hyperlink r:id="rId20" ref="S61"/>
    <hyperlink r:id="rId21" ref="S62"/>
    <hyperlink r:id="rId22" ref="S63"/>
    <hyperlink r:id="rId23" ref="S64"/>
    <hyperlink r:id="rId24" ref="S65"/>
    <hyperlink r:id="rId25" ref="S67"/>
    <hyperlink r:id="rId26" ref="S76"/>
    <hyperlink r:id="rId27" ref="S78"/>
    <hyperlink r:id="rId28" ref="S81"/>
    <hyperlink r:id="rId29" ref="S82"/>
    <hyperlink r:id="rId30" ref="S84"/>
    <hyperlink r:id="rId31" ref="S85"/>
    <hyperlink r:id="rId32" ref="S86"/>
    <hyperlink r:id="rId33" ref="S88"/>
    <hyperlink r:id="rId34" ref="S90"/>
    <hyperlink r:id="rId35" ref="S99"/>
    <hyperlink r:id="rId36" ref="S101"/>
    <hyperlink r:id="rId37" ref="S105"/>
    <hyperlink r:id="rId38" ref="S107"/>
    <hyperlink r:id="rId39" ref="S108"/>
    <hyperlink r:id="rId40" ref="S109"/>
    <hyperlink r:id="rId41" ref="S111"/>
    <hyperlink r:id="rId42" ref="S122"/>
    <hyperlink r:id="rId43" ref="S123"/>
    <hyperlink r:id="rId44" ref="S124"/>
    <hyperlink r:id="rId45" ref="S125"/>
    <hyperlink r:id="rId46" ref="S128"/>
    <hyperlink r:id="rId47" ref="S131"/>
    <hyperlink r:id="rId48" ref="S132"/>
    <hyperlink r:id="rId49" ref="S134"/>
    <hyperlink r:id="rId50" ref="S135"/>
    <hyperlink r:id="rId51" ref="S145"/>
    <hyperlink r:id="rId52" ref="S146"/>
    <hyperlink r:id="rId53" ref="S147"/>
    <hyperlink r:id="rId54" ref="S148"/>
    <hyperlink r:id="rId55" ref="S150"/>
    <hyperlink r:id="rId56" ref="S154"/>
    <hyperlink r:id="rId57" ref="S155"/>
    <hyperlink r:id="rId58" ref="S157"/>
    <hyperlink r:id="rId59" ref="S158"/>
    <hyperlink r:id="rId60" ref="S168"/>
    <hyperlink r:id="rId61" ref="S169"/>
    <hyperlink r:id="rId62" ref="S170"/>
    <hyperlink r:id="rId63" ref="S171"/>
    <hyperlink r:id="rId64" ref="S173"/>
    <hyperlink r:id="rId65" ref="S175"/>
    <hyperlink r:id="rId66" ref="S177"/>
    <hyperlink r:id="rId67" ref="S178"/>
    <hyperlink r:id="rId68" ref="S179"/>
    <hyperlink r:id="rId69" ref="S180"/>
    <hyperlink r:id="rId70" ref="S181"/>
    <hyperlink r:id="rId71" ref="S191"/>
    <hyperlink r:id="rId72" ref="S193"/>
    <hyperlink r:id="rId73" ref="S195"/>
    <hyperlink r:id="rId74" ref="S196"/>
    <hyperlink r:id="rId75" ref="S198"/>
    <hyperlink r:id="rId76" ref="S199"/>
    <hyperlink r:id="rId77" ref="S200"/>
    <hyperlink r:id="rId78" ref="S201"/>
    <hyperlink r:id="rId79" ref="S202"/>
    <hyperlink r:id="rId80" ref="S203"/>
    <hyperlink r:id="rId81" ref="S204"/>
    <hyperlink r:id="rId82" ref="S214"/>
    <hyperlink r:id="rId83" ref="S216"/>
    <hyperlink r:id="rId84" ref="S219"/>
    <hyperlink r:id="rId85" ref="S223"/>
    <hyperlink r:id="rId86" ref="S224"/>
    <hyperlink r:id="rId87" ref="S226"/>
    <hyperlink r:id="rId88" ref="S227"/>
    <hyperlink r:id="rId89" ref="S228"/>
    <hyperlink r:id="rId90" ref="S237"/>
    <hyperlink r:id="rId91" ref="S239"/>
    <hyperlink r:id="rId92" ref="S242"/>
    <hyperlink r:id="rId93" ref="S246"/>
    <hyperlink r:id="rId94" ref="S247"/>
    <hyperlink r:id="rId95" ref="S249"/>
    <hyperlink r:id="rId96" ref="S250"/>
    <hyperlink r:id="rId97" ref="S251"/>
    <hyperlink r:id="rId98" ref="S260"/>
    <hyperlink r:id="rId99" ref="S264"/>
    <hyperlink r:id="rId100" ref="S265"/>
    <hyperlink r:id="rId101" ref="S266"/>
    <hyperlink r:id="rId102" ref="S267"/>
    <hyperlink r:id="rId103" ref="S268"/>
    <hyperlink r:id="rId104" ref="S269"/>
    <hyperlink r:id="rId105" ref="S270"/>
    <hyperlink r:id="rId106" ref="S286"/>
    <hyperlink r:id="rId107" ref="S287"/>
    <hyperlink r:id="rId108" ref="S288"/>
    <hyperlink r:id="rId109" ref="S289"/>
    <hyperlink r:id="rId110" ref="S290"/>
    <hyperlink r:id="rId111" ref="S292"/>
    <hyperlink r:id="rId112" ref="S293"/>
    <hyperlink r:id="rId113" ref="S296"/>
    <hyperlink r:id="rId114" ref="S297"/>
    <hyperlink r:id="rId115" ref="S298"/>
    <hyperlink r:id="rId116" ref="S299"/>
    <hyperlink r:id="rId117" ref="S303"/>
    <hyperlink r:id="rId118" ref="S313"/>
    <hyperlink r:id="rId119" ref="S315"/>
    <hyperlink r:id="rId120" ref="S316"/>
    <hyperlink r:id="rId121" ref="S317"/>
    <hyperlink r:id="rId122" ref="S319"/>
    <hyperlink r:id="rId123" ref="S321"/>
    <hyperlink r:id="rId124" ref="S322"/>
    <hyperlink r:id="rId125" ref="S323"/>
    <hyperlink r:id="rId126" ref="S324"/>
    <hyperlink r:id="rId127" ref="S334"/>
    <hyperlink r:id="rId128" ref="S337"/>
    <hyperlink r:id="rId129" ref="S338"/>
    <hyperlink r:id="rId130" ref="S339"/>
    <hyperlink r:id="rId131" ref="S341"/>
    <hyperlink r:id="rId132" ref="S343"/>
    <hyperlink r:id="rId133" ref="S344"/>
    <hyperlink r:id="rId134" ref="S353"/>
    <hyperlink r:id="rId135" ref="S354"/>
    <hyperlink r:id="rId136" ref="S355"/>
    <hyperlink r:id="rId137" ref="S356"/>
    <hyperlink r:id="rId138" ref="S358"/>
    <hyperlink r:id="rId139" ref="S359"/>
    <hyperlink r:id="rId140" ref="S361"/>
    <hyperlink r:id="rId141" ref="S362"/>
    <hyperlink r:id="rId142" ref="S363"/>
    <hyperlink r:id="rId143" ref="S365"/>
    <hyperlink r:id="rId144" ref="S366"/>
    <hyperlink r:id="rId145" ref="S367"/>
    <hyperlink r:id="rId146" ref="S368"/>
    <hyperlink r:id="rId147" ref="S369"/>
    <hyperlink r:id="rId148" ref="S370"/>
    <hyperlink r:id="rId149" ref="S379"/>
    <hyperlink r:id="rId150" ref="S380"/>
    <hyperlink r:id="rId151" ref="S381"/>
    <hyperlink r:id="rId152" ref="S382"/>
    <hyperlink r:id="rId153" ref="S383"/>
    <hyperlink r:id="rId154" ref="S384"/>
    <hyperlink r:id="rId155" ref="S385"/>
    <hyperlink r:id="rId156" ref="S386"/>
    <hyperlink r:id="rId157" ref="S387"/>
    <hyperlink r:id="rId158" ref="S388"/>
    <hyperlink r:id="rId159" ref="S389"/>
    <hyperlink r:id="rId160" ref="S390"/>
    <hyperlink r:id="rId161" ref="S393"/>
    <hyperlink r:id="rId162" ref="S394"/>
    <hyperlink r:id="rId163" ref="S395"/>
    <hyperlink r:id="rId164" ref="S396"/>
    <hyperlink r:id="rId165" ref="S405"/>
    <hyperlink r:id="rId166" ref="S406"/>
    <hyperlink r:id="rId167" ref="S407"/>
    <hyperlink r:id="rId168" ref="S408"/>
    <hyperlink r:id="rId169" ref="S409"/>
    <hyperlink r:id="rId170" ref="S410"/>
    <hyperlink r:id="rId171" ref="S411"/>
    <hyperlink r:id="rId172" ref="S412"/>
    <hyperlink r:id="rId173" ref="S413"/>
    <hyperlink r:id="rId174" ref="S414"/>
    <hyperlink r:id="rId175" ref="S415"/>
    <hyperlink r:id="rId176" ref="S416"/>
    <hyperlink r:id="rId177" ref="S417"/>
    <hyperlink r:id="rId178" ref="S419"/>
    <hyperlink r:id="rId179" ref="S420"/>
    <hyperlink r:id="rId180" ref="S421"/>
    <hyperlink r:id="rId181" ref="S422"/>
    <hyperlink r:id="rId182" ref="S423"/>
    <hyperlink r:id="rId183" ref="S432"/>
    <hyperlink r:id="rId184" ref="S433"/>
    <hyperlink r:id="rId185" ref="S434"/>
    <hyperlink r:id="rId186" ref="S435"/>
    <hyperlink r:id="rId187" ref="S436"/>
    <hyperlink r:id="rId188" ref="S437"/>
    <hyperlink r:id="rId189" ref="S438"/>
    <hyperlink r:id="rId190" ref="S439"/>
    <hyperlink r:id="rId191" ref="S440"/>
    <hyperlink r:id="rId192" ref="S441"/>
    <hyperlink r:id="rId193" ref="S442"/>
    <hyperlink r:id="rId194" ref="S443"/>
    <hyperlink r:id="rId195" ref="S444"/>
    <hyperlink r:id="rId196" ref="S446"/>
    <hyperlink r:id="rId197" ref="S447"/>
    <hyperlink r:id="rId198" ref="S448"/>
    <hyperlink r:id="rId199" ref="S457"/>
    <hyperlink r:id="rId200" ref="S458"/>
    <hyperlink r:id="rId201" ref="S459"/>
    <hyperlink r:id="rId202" ref="S460"/>
    <hyperlink r:id="rId203" ref="S462"/>
    <hyperlink r:id="rId204" ref="S463"/>
    <hyperlink r:id="rId205" ref="S464"/>
    <hyperlink r:id="rId206" ref="S465"/>
    <hyperlink r:id="rId207" ref="S466"/>
    <hyperlink r:id="rId208" ref="S467"/>
    <hyperlink r:id="rId209" ref="S468"/>
    <hyperlink r:id="rId210" ref="S469"/>
    <hyperlink r:id="rId211" ref="S470"/>
    <hyperlink r:id="rId212" ref="S471"/>
    <hyperlink r:id="rId213" ref="S472"/>
  </hyperlinks>
  <drawing r:id="rId214"/>
  <tableParts count="1">
    <tablePart r:id="rId216"/>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4" t="s">
        <v>181</v>
      </c>
      <c r="B1" s="4" t="s">
        <v>132</v>
      </c>
      <c r="C1" s="4" t="s">
        <v>131</v>
      </c>
      <c r="D1" s="4" t="s">
        <v>870</v>
      </c>
      <c r="E1" s="4" t="s">
        <v>7</v>
      </c>
      <c r="F1" s="4" t="s">
        <v>871</v>
      </c>
      <c r="G1" s="4" t="s">
        <v>872</v>
      </c>
      <c r="H1" s="4" t="s">
        <v>8</v>
      </c>
      <c r="I1" s="4" t="s">
        <v>873</v>
      </c>
      <c r="J1" s="4" t="s">
        <v>17</v>
      </c>
      <c r="K1" s="4" t="s">
        <v>874</v>
      </c>
      <c r="L1" s="4" t="s">
        <v>875</v>
      </c>
      <c r="M1" s="4" t="s">
        <v>876</v>
      </c>
      <c r="N1" s="4" t="s">
        <v>877</v>
      </c>
      <c r="O1" s="4" t="s">
        <v>878</v>
      </c>
      <c r="P1" s="4" t="s">
        <v>879</v>
      </c>
      <c r="Q1" s="4" t="s">
        <v>880</v>
      </c>
      <c r="R1" s="4" t="s">
        <v>881</v>
      </c>
      <c r="S1" s="4" t="s">
        <v>882</v>
      </c>
      <c r="T1" s="4" t="s">
        <v>557</v>
      </c>
      <c r="U1" s="4" t="s">
        <v>551</v>
      </c>
    </row>
    <row r="2" ht="22.5" customHeight="1">
      <c r="A2" s="211" t="s">
        <v>883</v>
      </c>
      <c r="B2" s="212" t="s">
        <v>402</v>
      </c>
      <c r="C2" s="213" t="s">
        <v>136</v>
      </c>
      <c r="D2" s="214" t="s">
        <v>884</v>
      </c>
      <c r="E2" s="212" t="s">
        <v>15</v>
      </c>
      <c r="F2" s="215">
        <v>1.0</v>
      </c>
      <c r="G2" s="210"/>
      <c r="H2" s="216">
        <v>200.0</v>
      </c>
      <c r="I2" s="216">
        <v>200.0</v>
      </c>
      <c r="J2" s="216">
        <v>4930.58</v>
      </c>
      <c r="K2" s="216">
        <v>4930.58</v>
      </c>
      <c r="L2" s="217">
        <v>46113.0</v>
      </c>
      <c r="M2" s="217">
        <v>46143.0</v>
      </c>
      <c r="N2" s="215">
        <v>0.0</v>
      </c>
      <c r="O2" s="215">
        <v>-23.0</v>
      </c>
      <c r="P2" s="215">
        <v>53.0</v>
      </c>
      <c r="Q2" s="203"/>
      <c r="R2" s="218" t="s">
        <v>885</v>
      </c>
      <c r="S2" s="186"/>
      <c r="T2" s="215">
        <v>734.0</v>
      </c>
      <c r="U2" s="204"/>
    </row>
    <row r="3" ht="22.5" customHeight="1">
      <c r="A3" s="205"/>
      <c r="B3" s="193" t="s">
        <v>454</v>
      </c>
      <c r="C3" s="219" t="s">
        <v>684</v>
      </c>
      <c r="D3" s="194" t="s">
        <v>886</v>
      </c>
      <c r="E3" s="193" t="s">
        <v>17</v>
      </c>
      <c r="F3" s="220">
        <v>3.0</v>
      </c>
      <c r="G3" s="221"/>
      <c r="H3" s="222">
        <v>3000.0</v>
      </c>
      <c r="I3" s="222">
        <v>5000.0</v>
      </c>
      <c r="J3" s="207"/>
      <c r="K3" s="207"/>
      <c r="L3" s="223">
        <v>46113.0</v>
      </c>
      <c r="M3" s="223">
        <v>46143.0</v>
      </c>
      <c r="N3" s="150"/>
      <c r="O3" s="220">
        <v>-23.0</v>
      </c>
      <c r="P3" s="220">
        <v>53.0</v>
      </c>
      <c r="Q3" s="209"/>
      <c r="R3" s="196" t="s">
        <v>887</v>
      </c>
      <c r="S3" s="45"/>
      <c r="T3" s="220">
        <v>735.0</v>
      </c>
      <c r="U3" s="198"/>
    </row>
    <row r="4" ht="22.5" customHeight="1">
      <c r="A4" s="199"/>
      <c r="B4" s="212" t="s">
        <v>414</v>
      </c>
      <c r="C4" s="213" t="s">
        <v>136</v>
      </c>
      <c r="D4" s="214" t="s">
        <v>888</v>
      </c>
      <c r="E4" s="212" t="s">
        <v>17</v>
      </c>
      <c r="F4" s="215">
        <v>3.0</v>
      </c>
      <c r="G4" s="224">
        <v>0.38</v>
      </c>
      <c r="H4" s="216">
        <v>4000.0</v>
      </c>
      <c r="I4" s="216">
        <v>7500.0</v>
      </c>
      <c r="J4" s="216">
        <v>7500.0</v>
      </c>
      <c r="K4" s="216">
        <v>7500.0</v>
      </c>
      <c r="L4" s="217">
        <v>46113.0</v>
      </c>
      <c r="M4" s="217">
        <v>46143.0</v>
      </c>
      <c r="N4" s="215">
        <v>0.0</v>
      </c>
      <c r="O4" s="215">
        <v>-23.0</v>
      </c>
      <c r="P4" s="215">
        <v>53.0</v>
      </c>
      <c r="Q4" s="203"/>
      <c r="R4" s="218" t="s">
        <v>889</v>
      </c>
      <c r="S4" s="225" t="s">
        <v>890</v>
      </c>
      <c r="T4" s="215">
        <v>736.0</v>
      </c>
      <c r="U4" s="204"/>
    </row>
    <row r="5" ht="22.5" customHeight="1">
      <c r="A5" s="205"/>
      <c r="B5" s="193" t="s">
        <v>154</v>
      </c>
      <c r="C5" s="226" t="s">
        <v>136</v>
      </c>
      <c r="D5" s="194" t="s">
        <v>891</v>
      </c>
      <c r="E5" s="193" t="s">
        <v>19</v>
      </c>
      <c r="F5" s="195" t="s">
        <v>892</v>
      </c>
      <c r="G5" s="221"/>
      <c r="H5" s="222">
        <v>10.0</v>
      </c>
      <c r="I5" s="222">
        <v>40.0</v>
      </c>
      <c r="J5" s="222">
        <v>4935.82</v>
      </c>
      <c r="K5" s="222">
        <v>4935.82</v>
      </c>
      <c r="L5" s="223">
        <v>46113.0</v>
      </c>
      <c r="M5" s="223">
        <v>46143.0</v>
      </c>
      <c r="N5" s="220">
        <v>0.0</v>
      </c>
      <c r="O5" s="220">
        <v>-23.0</v>
      </c>
      <c r="P5" s="220">
        <v>53.0</v>
      </c>
      <c r="Q5" s="209"/>
      <c r="R5" s="196" t="s">
        <v>893</v>
      </c>
      <c r="S5" s="227" t="s">
        <v>894</v>
      </c>
      <c r="T5" s="220">
        <v>737.0</v>
      </c>
      <c r="U5" s="198"/>
    </row>
    <row r="6" ht="22.5" customHeight="1">
      <c r="A6" s="199"/>
      <c r="B6" s="212" t="s">
        <v>495</v>
      </c>
      <c r="C6" s="214" t="s">
        <v>693</v>
      </c>
      <c r="D6" s="214" t="s">
        <v>895</v>
      </c>
      <c r="E6" s="212" t="s">
        <v>19</v>
      </c>
      <c r="F6" s="228" t="s">
        <v>892</v>
      </c>
      <c r="G6" s="210"/>
      <c r="H6" s="216">
        <v>15.0</v>
      </c>
      <c r="I6" s="216">
        <v>60.0</v>
      </c>
      <c r="J6" s="201"/>
      <c r="K6" s="201"/>
      <c r="L6" s="217">
        <v>46113.0</v>
      </c>
      <c r="M6" s="217">
        <v>46143.0</v>
      </c>
      <c r="N6" s="147"/>
      <c r="O6" s="215">
        <v>-23.0</v>
      </c>
      <c r="P6" s="215">
        <v>53.0</v>
      </c>
      <c r="Q6" s="203"/>
      <c r="R6" s="218" t="s">
        <v>896</v>
      </c>
      <c r="S6" s="186"/>
      <c r="T6" s="215">
        <v>738.0</v>
      </c>
      <c r="U6" s="204"/>
    </row>
    <row r="7" ht="22.5" customHeight="1">
      <c r="A7" s="205"/>
      <c r="B7" s="193" t="s">
        <v>477</v>
      </c>
      <c r="C7" s="226" t="s">
        <v>136</v>
      </c>
      <c r="D7" s="194" t="s">
        <v>897</v>
      </c>
      <c r="E7" s="193" t="s">
        <v>100</v>
      </c>
      <c r="F7" s="220">
        <v>2.0</v>
      </c>
      <c r="G7" s="221"/>
      <c r="H7" s="222">
        <v>40.0</v>
      </c>
      <c r="I7" s="222">
        <v>80.0</v>
      </c>
      <c r="J7" s="207"/>
      <c r="K7" s="207"/>
      <c r="L7" s="223">
        <v>46113.0</v>
      </c>
      <c r="M7" s="223">
        <v>46143.0</v>
      </c>
      <c r="N7" s="150"/>
      <c r="O7" s="220">
        <v>-23.0</v>
      </c>
      <c r="P7" s="220">
        <v>53.0</v>
      </c>
      <c r="Q7" s="209"/>
      <c r="R7" s="196" t="s">
        <v>898</v>
      </c>
      <c r="S7" s="45"/>
      <c r="T7" s="220">
        <v>739.0</v>
      </c>
      <c r="U7" s="198"/>
    </row>
    <row r="8" ht="22.5" customHeight="1">
      <c r="A8" s="199"/>
      <c r="B8" s="212" t="s">
        <v>472</v>
      </c>
      <c r="C8" s="229" t="s">
        <v>685</v>
      </c>
      <c r="D8" s="214" t="s">
        <v>899</v>
      </c>
      <c r="E8" s="212" t="s">
        <v>17</v>
      </c>
      <c r="F8" s="215">
        <v>3.0</v>
      </c>
      <c r="G8" s="224">
        <v>0.25</v>
      </c>
      <c r="H8" s="216">
        <v>8000.0</v>
      </c>
      <c r="I8" s="216">
        <v>18000.0</v>
      </c>
      <c r="J8" s="201"/>
      <c r="K8" s="201"/>
      <c r="L8" s="217">
        <v>46113.0</v>
      </c>
      <c r="M8" s="217">
        <v>46143.0</v>
      </c>
      <c r="N8" s="147"/>
      <c r="O8" s="215">
        <v>-23.0</v>
      </c>
      <c r="P8" s="215">
        <v>53.0</v>
      </c>
      <c r="Q8" s="203"/>
      <c r="R8" s="218" t="s">
        <v>900</v>
      </c>
      <c r="S8" s="186"/>
      <c r="T8" s="215">
        <v>740.0</v>
      </c>
      <c r="U8" s="204"/>
    </row>
    <row r="9" ht="22.5" customHeight="1">
      <c r="A9" s="205"/>
      <c r="B9" s="193" t="s">
        <v>359</v>
      </c>
      <c r="C9" s="226" t="s">
        <v>136</v>
      </c>
      <c r="D9" s="194" t="s">
        <v>901</v>
      </c>
      <c r="E9" s="193" t="s">
        <v>15</v>
      </c>
      <c r="F9" s="220">
        <v>6.0</v>
      </c>
      <c r="G9" s="230">
        <v>0.5</v>
      </c>
      <c r="H9" s="222">
        <v>200.0</v>
      </c>
      <c r="I9" s="222">
        <v>600.0</v>
      </c>
      <c r="J9" s="222">
        <v>14664.51</v>
      </c>
      <c r="K9" s="222">
        <v>14664.51</v>
      </c>
      <c r="L9" s="223">
        <v>46113.0</v>
      </c>
      <c r="M9" s="223">
        <v>46143.0</v>
      </c>
      <c r="N9" s="220">
        <v>0.0</v>
      </c>
      <c r="O9" s="220">
        <v>-23.0</v>
      </c>
      <c r="P9" s="220">
        <v>53.0</v>
      </c>
      <c r="Q9" s="209"/>
      <c r="R9" s="196" t="s">
        <v>902</v>
      </c>
      <c r="S9" s="227" t="s">
        <v>903</v>
      </c>
      <c r="T9" s="220">
        <v>741.0</v>
      </c>
      <c r="U9" s="198"/>
    </row>
    <row r="10" ht="22.5" customHeight="1">
      <c r="A10" s="199"/>
      <c r="B10" s="212" t="s">
        <v>464</v>
      </c>
      <c r="C10" s="231" t="s">
        <v>684</v>
      </c>
      <c r="D10" s="214" t="s">
        <v>904</v>
      </c>
      <c r="E10" s="212" t="s">
        <v>15</v>
      </c>
      <c r="F10" s="215">
        <v>4.0</v>
      </c>
      <c r="G10" s="215">
        <v>0.166</v>
      </c>
      <c r="H10" s="216">
        <v>200.0</v>
      </c>
      <c r="I10" s="216">
        <v>667.2</v>
      </c>
      <c r="J10" s="201"/>
      <c r="K10" s="201"/>
      <c r="L10" s="217">
        <v>46113.0</v>
      </c>
      <c r="M10" s="217">
        <v>46143.0</v>
      </c>
      <c r="N10" s="147"/>
      <c r="O10" s="215">
        <v>-23.0</v>
      </c>
      <c r="P10" s="215">
        <v>53.0</v>
      </c>
      <c r="Q10" s="203"/>
      <c r="R10" s="218" t="s">
        <v>905</v>
      </c>
      <c r="S10" s="186"/>
      <c r="T10" s="215">
        <v>742.0</v>
      </c>
      <c r="U10" s="204"/>
    </row>
    <row r="11" ht="22.5" customHeight="1">
      <c r="A11" s="205"/>
      <c r="B11" s="193" t="s">
        <v>438</v>
      </c>
      <c r="C11" s="226" t="s">
        <v>136</v>
      </c>
      <c r="D11" s="194" t="s">
        <v>906</v>
      </c>
      <c r="E11" s="193" t="s">
        <v>17</v>
      </c>
      <c r="F11" s="220">
        <v>4.0</v>
      </c>
      <c r="G11" s="220">
        <v>0.43</v>
      </c>
      <c r="H11" s="222">
        <v>8000.0</v>
      </c>
      <c r="I11" s="222">
        <v>18240.0</v>
      </c>
      <c r="J11" s="222">
        <v>18240.0</v>
      </c>
      <c r="K11" s="222">
        <v>18240.0</v>
      </c>
      <c r="L11" s="223">
        <v>46113.0</v>
      </c>
      <c r="M11" s="223">
        <v>46143.0</v>
      </c>
      <c r="N11" s="220">
        <v>0.0</v>
      </c>
      <c r="O11" s="220">
        <v>-23.0</v>
      </c>
      <c r="P11" s="220">
        <v>53.0</v>
      </c>
      <c r="Q11" s="209"/>
      <c r="R11" s="196" t="s">
        <v>907</v>
      </c>
      <c r="S11" s="45"/>
      <c r="T11" s="220">
        <v>743.0</v>
      </c>
      <c r="U11" s="198"/>
    </row>
    <row r="12" ht="22.5" customHeight="1">
      <c r="A12" s="199"/>
      <c r="B12" s="212" t="s">
        <v>440</v>
      </c>
      <c r="C12" s="213" t="s">
        <v>136</v>
      </c>
      <c r="D12" s="214" t="s">
        <v>908</v>
      </c>
      <c r="E12" s="212" t="s">
        <v>19</v>
      </c>
      <c r="F12" s="228" t="s">
        <v>909</v>
      </c>
      <c r="G12" s="147"/>
      <c r="H12" s="216">
        <v>15.0</v>
      </c>
      <c r="I12" s="216">
        <v>270.0</v>
      </c>
      <c r="J12" s="216">
        <v>0.0</v>
      </c>
      <c r="K12" s="216">
        <v>0.0</v>
      </c>
      <c r="L12" s="217">
        <v>46113.0</v>
      </c>
      <c r="M12" s="217">
        <v>46143.0</v>
      </c>
      <c r="N12" s="215">
        <v>1.0</v>
      </c>
      <c r="O12" s="215">
        <v>-23.0</v>
      </c>
      <c r="P12" s="215">
        <v>53.0</v>
      </c>
      <c r="Q12" s="203"/>
      <c r="R12" s="218" t="s">
        <v>910</v>
      </c>
      <c r="S12" s="186"/>
      <c r="T12" s="215">
        <v>744.0</v>
      </c>
      <c r="U12" s="204"/>
    </row>
    <row r="13" ht="22.5" customHeight="1">
      <c r="A13" s="205"/>
      <c r="B13" s="193" t="s">
        <v>483</v>
      </c>
      <c r="C13" s="226" t="s">
        <v>136</v>
      </c>
      <c r="D13" s="194" t="s">
        <v>911</v>
      </c>
      <c r="E13" s="193" t="s">
        <v>15</v>
      </c>
      <c r="F13" s="220">
        <v>5.0</v>
      </c>
      <c r="G13" s="230">
        <v>0.5</v>
      </c>
      <c r="H13" s="222">
        <v>200.0</v>
      </c>
      <c r="I13" s="222">
        <v>500.0</v>
      </c>
      <c r="J13" s="222">
        <v>12326.45</v>
      </c>
      <c r="K13" s="222">
        <v>12326.45</v>
      </c>
      <c r="L13" s="223">
        <v>46113.0</v>
      </c>
      <c r="M13" s="223">
        <v>46143.0</v>
      </c>
      <c r="N13" s="220">
        <v>0.0</v>
      </c>
      <c r="O13" s="220">
        <v>-23.0</v>
      </c>
      <c r="P13" s="220">
        <v>53.0</v>
      </c>
      <c r="Q13" s="209"/>
      <c r="R13" s="196" t="s">
        <v>912</v>
      </c>
      <c r="S13" s="45"/>
      <c r="T13" s="220">
        <v>745.0</v>
      </c>
      <c r="U13" s="198"/>
    </row>
    <row r="14" ht="22.5" customHeight="1">
      <c r="A14" s="199"/>
      <c r="B14" s="212" t="s">
        <v>160</v>
      </c>
      <c r="C14" s="213" t="s">
        <v>136</v>
      </c>
      <c r="D14" s="214" t="s">
        <v>913</v>
      </c>
      <c r="E14" s="212" t="s">
        <v>17</v>
      </c>
      <c r="F14" s="215">
        <v>1.0</v>
      </c>
      <c r="G14" s="147"/>
      <c r="H14" s="216">
        <v>2000.0</v>
      </c>
      <c r="I14" s="216">
        <v>2000.0</v>
      </c>
      <c r="J14" s="216">
        <v>2000.0</v>
      </c>
      <c r="K14" s="216">
        <v>0.0</v>
      </c>
      <c r="L14" s="217">
        <v>46113.0</v>
      </c>
      <c r="M14" s="217">
        <v>46143.0</v>
      </c>
      <c r="N14" s="215">
        <v>1.0</v>
      </c>
      <c r="O14" s="215">
        <v>-23.0</v>
      </c>
      <c r="P14" s="215">
        <v>53.0</v>
      </c>
      <c r="Q14" s="232">
        <v>46052.0</v>
      </c>
      <c r="R14" s="218" t="s">
        <v>914</v>
      </c>
      <c r="S14" s="186"/>
      <c r="T14" s="215">
        <v>746.0</v>
      </c>
      <c r="U14" s="204"/>
    </row>
    <row r="15" ht="22.5" customHeight="1">
      <c r="A15" s="205"/>
      <c r="B15" s="193" t="s">
        <v>915</v>
      </c>
      <c r="C15" s="219" t="s">
        <v>684</v>
      </c>
      <c r="D15" s="194" t="s">
        <v>916</v>
      </c>
      <c r="E15" s="193" t="s">
        <v>17</v>
      </c>
      <c r="F15" s="220">
        <v>3.0</v>
      </c>
      <c r="G15" s="230">
        <v>0.25</v>
      </c>
      <c r="H15" s="197" t="s">
        <v>917</v>
      </c>
      <c r="I15" s="222">
        <v>9000.0</v>
      </c>
      <c r="J15" s="207"/>
      <c r="K15" s="207"/>
      <c r="L15" s="223">
        <v>46113.0</v>
      </c>
      <c r="M15" s="223">
        <v>46143.0</v>
      </c>
      <c r="N15" s="150"/>
      <c r="O15" s="220">
        <v>-23.0</v>
      </c>
      <c r="P15" s="220">
        <v>53.0</v>
      </c>
      <c r="Q15" s="209"/>
      <c r="R15" s="196" t="s">
        <v>918</v>
      </c>
      <c r="S15" s="45"/>
      <c r="T15" s="220">
        <v>747.0</v>
      </c>
      <c r="U15" s="198"/>
    </row>
    <row r="16" ht="22.5" customHeight="1">
      <c r="A16" s="199"/>
      <c r="B16" s="212" t="s">
        <v>153</v>
      </c>
      <c r="C16" s="213" t="s">
        <v>136</v>
      </c>
      <c r="D16" s="214" t="s">
        <v>919</v>
      </c>
      <c r="E16" s="212" t="s">
        <v>108</v>
      </c>
      <c r="F16" s="228" t="s">
        <v>920</v>
      </c>
      <c r="G16" s="210"/>
      <c r="H16" s="216">
        <v>30.0</v>
      </c>
      <c r="I16" s="216">
        <v>2507.4</v>
      </c>
      <c r="J16" s="216">
        <v>182031.27</v>
      </c>
      <c r="K16" s="216">
        <v>182031.27</v>
      </c>
      <c r="L16" s="217">
        <v>46113.0</v>
      </c>
      <c r="M16" s="217">
        <v>46143.0</v>
      </c>
      <c r="N16" s="215">
        <v>0.0</v>
      </c>
      <c r="O16" s="215">
        <v>-23.0</v>
      </c>
      <c r="P16" s="215">
        <v>53.0</v>
      </c>
      <c r="Q16" s="203"/>
      <c r="R16" s="218" t="s">
        <v>921</v>
      </c>
      <c r="S16" s="225" t="s">
        <v>922</v>
      </c>
      <c r="T16" s="215">
        <v>748.0</v>
      </c>
      <c r="U16" s="204"/>
    </row>
    <row r="17" ht="22.5" customHeight="1">
      <c r="A17" s="192" t="s">
        <v>929</v>
      </c>
      <c r="B17" s="193" t="s">
        <v>402</v>
      </c>
      <c r="C17" s="226" t="s">
        <v>136</v>
      </c>
      <c r="D17" s="194" t="s">
        <v>930</v>
      </c>
      <c r="E17" s="193" t="s">
        <v>15</v>
      </c>
      <c r="F17" s="220">
        <v>1.0</v>
      </c>
      <c r="G17" s="221"/>
      <c r="H17" s="222">
        <v>200.0</v>
      </c>
      <c r="I17" s="222">
        <v>200.0</v>
      </c>
      <c r="J17" s="222">
        <v>4897.7</v>
      </c>
      <c r="K17" s="222">
        <v>4897.7</v>
      </c>
      <c r="L17" s="223">
        <v>46082.0</v>
      </c>
      <c r="M17" s="223">
        <v>46113.0</v>
      </c>
      <c r="N17" s="220">
        <v>0.0</v>
      </c>
      <c r="O17" s="220">
        <v>-53.0</v>
      </c>
      <c r="P17" s="220">
        <v>83.0</v>
      </c>
      <c r="Q17" s="209"/>
      <c r="R17" s="196" t="s">
        <v>931</v>
      </c>
      <c r="S17" s="227" t="s">
        <v>932</v>
      </c>
      <c r="T17" s="220">
        <v>719.0</v>
      </c>
      <c r="U17" s="198"/>
    </row>
    <row r="18" ht="22.5" customHeight="1">
      <c r="A18" s="199"/>
      <c r="B18" s="212" t="s">
        <v>454</v>
      </c>
      <c r="C18" s="231" t="s">
        <v>684</v>
      </c>
      <c r="D18" s="214" t="s">
        <v>886</v>
      </c>
      <c r="E18" s="212" t="s">
        <v>17</v>
      </c>
      <c r="F18" s="215">
        <v>3.0</v>
      </c>
      <c r="G18" s="147"/>
      <c r="H18" s="216">
        <v>3000.0</v>
      </c>
      <c r="I18" s="216">
        <v>5000.0</v>
      </c>
      <c r="J18" s="201"/>
      <c r="K18" s="201"/>
      <c r="L18" s="217">
        <v>46082.0</v>
      </c>
      <c r="M18" s="217">
        <v>46113.0</v>
      </c>
      <c r="N18" s="147"/>
      <c r="O18" s="215">
        <v>-53.0</v>
      </c>
      <c r="P18" s="215">
        <v>83.0</v>
      </c>
      <c r="Q18" s="203"/>
      <c r="R18" s="218" t="s">
        <v>933</v>
      </c>
      <c r="S18" s="186"/>
      <c r="T18" s="215">
        <v>720.0</v>
      </c>
      <c r="U18" s="204"/>
    </row>
    <row r="19" ht="22.5" customHeight="1">
      <c r="A19" s="205"/>
      <c r="B19" s="193" t="s">
        <v>414</v>
      </c>
      <c r="C19" s="226" t="s">
        <v>136</v>
      </c>
      <c r="D19" s="194" t="s">
        <v>888</v>
      </c>
      <c r="E19" s="193" t="s">
        <v>17</v>
      </c>
      <c r="F19" s="220">
        <v>3.0</v>
      </c>
      <c r="G19" s="220">
        <v>0.375</v>
      </c>
      <c r="H19" s="222">
        <v>4000.0</v>
      </c>
      <c r="I19" s="222">
        <v>7500.0</v>
      </c>
      <c r="J19" s="222">
        <v>7500.0</v>
      </c>
      <c r="K19" s="222">
        <v>7500.0</v>
      </c>
      <c r="L19" s="223">
        <v>46082.0</v>
      </c>
      <c r="M19" s="223">
        <v>46113.0</v>
      </c>
      <c r="N19" s="220">
        <v>0.0</v>
      </c>
      <c r="O19" s="220">
        <v>-53.0</v>
      </c>
      <c r="P19" s="220">
        <v>83.0</v>
      </c>
      <c r="Q19" s="209"/>
      <c r="R19" s="196" t="s">
        <v>934</v>
      </c>
      <c r="S19" s="227" t="s">
        <v>935</v>
      </c>
      <c r="T19" s="220">
        <v>721.0</v>
      </c>
      <c r="U19" s="198"/>
    </row>
    <row r="20" ht="22.5" customHeight="1">
      <c r="A20" s="199"/>
      <c r="B20" s="212" t="s">
        <v>154</v>
      </c>
      <c r="C20" s="213" t="s">
        <v>136</v>
      </c>
      <c r="D20" s="214" t="s">
        <v>891</v>
      </c>
      <c r="E20" s="212" t="s">
        <v>19</v>
      </c>
      <c r="F20" s="228" t="s">
        <v>892</v>
      </c>
      <c r="G20" s="147"/>
      <c r="H20" s="216">
        <v>10.0</v>
      </c>
      <c r="I20" s="216">
        <v>40.0</v>
      </c>
      <c r="J20" s="216">
        <v>4911.53</v>
      </c>
      <c r="K20" s="216">
        <v>0.0</v>
      </c>
      <c r="L20" s="217">
        <v>46082.0</v>
      </c>
      <c r="M20" s="217">
        <v>46113.0</v>
      </c>
      <c r="N20" s="215">
        <v>1.0</v>
      </c>
      <c r="O20" s="215">
        <v>-53.0</v>
      </c>
      <c r="P20" s="215">
        <v>83.0</v>
      </c>
      <c r="Q20" s="232">
        <v>46081.0</v>
      </c>
      <c r="R20" s="218" t="s">
        <v>936</v>
      </c>
      <c r="S20" s="225" t="s">
        <v>937</v>
      </c>
      <c r="T20" s="215">
        <v>722.0</v>
      </c>
      <c r="U20" s="204"/>
    </row>
    <row r="21" ht="22.5" customHeight="1">
      <c r="A21" s="205"/>
      <c r="B21" s="193" t="s">
        <v>495</v>
      </c>
      <c r="C21" s="194" t="s">
        <v>693</v>
      </c>
      <c r="D21" s="194" t="s">
        <v>895</v>
      </c>
      <c r="E21" s="193" t="s">
        <v>19</v>
      </c>
      <c r="F21" s="195" t="s">
        <v>892</v>
      </c>
      <c r="G21" s="221"/>
      <c r="H21" s="222">
        <v>15.0</v>
      </c>
      <c r="I21" s="222">
        <v>60.0</v>
      </c>
      <c r="J21" s="207"/>
      <c r="K21" s="207"/>
      <c r="L21" s="223">
        <v>46082.0</v>
      </c>
      <c r="M21" s="223">
        <v>46113.0</v>
      </c>
      <c r="N21" s="150"/>
      <c r="O21" s="220">
        <v>-53.0</v>
      </c>
      <c r="P21" s="220">
        <v>83.0</v>
      </c>
      <c r="Q21" s="209"/>
      <c r="R21" s="196" t="s">
        <v>938</v>
      </c>
      <c r="S21" s="45"/>
      <c r="T21" s="220">
        <v>723.0</v>
      </c>
      <c r="U21" s="198"/>
    </row>
    <row r="22" ht="22.5" customHeight="1">
      <c r="A22" s="199"/>
      <c r="B22" s="212" t="s">
        <v>477</v>
      </c>
      <c r="C22" s="213" t="s">
        <v>136</v>
      </c>
      <c r="D22" s="214" t="s">
        <v>897</v>
      </c>
      <c r="E22" s="212" t="s">
        <v>100</v>
      </c>
      <c r="F22" s="215">
        <v>2.0</v>
      </c>
      <c r="G22" s="147"/>
      <c r="H22" s="216">
        <v>40.0</v>
      </c>
      <c r="I22" s="216">
        <v>80.0</v>
      </c>
      <c r="J22" s="216">
        <v>9169.45</v>
      </c>
      <c r="K22" s="216">
        <v>9169.45</v>
      </c>
      <c r="L22" s="217">
        <v>46082.0</v>
      </c>
      <c r="M22" s="217">
        <v>46113.0</v>
      </c>
      <c r="N22" s="215">
        <v>0.0</v>
      </c>
      <c r="O22" s="215">
        <v>-53.0</v>
      </c>
      <c r="P22" s="215">
        <v>83.0</v>
      </c>
      <c r="Q22" s="203"/>
      <c r="R22" s="218" t="s">
        <v>939</v>
      </c>
      <c r="S22" s="225" t="s">
        <v>940</v>
      </c>
      <c r="T22" s="215">
        <v>724.0</v>
      </c>
      <c r="U22" s="204"/>
    </row>
    <row r="23" ht="22.5" customHeight="1">
      <c r="A23" s="205"/>
      <c r="B23" s="193" t="s">
        <v>472</v>
      </c>
      <c r="C23" s="226" t="s">
        <v>136</v>
      </c>
      <c r="D23" s="194" t="s">
        <v>899</v>
      </c>
      <c r="E23" s="193" t="s">
        <v>17</v>
      </c>
      <c r="F23" s="220">
        <v>3.0</v>
      </c>
      <c r="G23" s="220">
        <v>0.25</v>
      </c>
      <c r="H23" s="222">
        <v>8000.0</v>
      </c>
      <c r="I23" s="222">
        <v>18000.0</v>
      </c>
      <c r="J23" s="222">
        <v>18000.0</v>
      </c>
      <c r="K23" s="222">
        <v>18000.0</v>
      </c>
      <c r="L23" s="223">
        <v>46082.0</v>
      </c>
      <c r="M23" s="223">
        <v>46113.0</v>
      </c>
      <c r="N23" s="220">
        <v>0.0</v>
      </c>
      <c r="O23" s="220">
        <v>-53.0</v>
      </c>
      <c r="P23" s="220">
        <v>83.0</v>
      </c>
      <c r="Q23" s="209"/>
      <c r="R23" s="196" t="s">
        <v>941</v>
      </c>
      <c r="S23" s="227" t="s">
        <v>942</v>
      </c>
      <c r="T23" s="220">
        <v>725.0</v>
      </c>
      <c r="U23" s="198"/>
    </row>
    <row r="24" ht="22.5" customHeight="1">
      <c r="A24" s="199"/>
      <c r="B24" s="212" t="s">
        <v>359</v>
      </c>
      <c r="C24" s="213" t="s">
        <v>136</v>
      </c>
      <c r="D24" s="214" t="s">
        <v>901</v>
      </c>
      <c r="E24" s="212" t="s">
        <v>15</v>
      </c>
      <c r="F24" s="215">
        <v>6.0</v>
      </c>
      <c r="G24" s="215">
        <v>0.5</v>
      </c>
      <c r="H24" s="216">
        <v>200.0</v>
      </c>
      <c r="I24" s="216">
        <v>600.0</v>
      </c>
      <c r="J24" s="216">
        <v>14664.51</v>
      </c>
      <c r="K24" s="216">
        <v>0.0</v>
      </c>
      <c r="L24" s="217">
        <v>46082.0</v>
      </c>
      <c r="M24" s="217">
        <v>46113.0</v>
      </c>
      <c r="N24" s="215">
        <v>1.0</v>
      </c>
      <c r="O24" s="215">
        <v>-53.0</v>
      </c>
      <c r="P24" s="215">
        <v>83.0</v>
      </c>
      <c r="Q24" s="232">
        <v>46082.0</v>
      </c>
      <c r="R24" s="218" t="s">
        <v>943</v>
      </c>
      <c r="S24" s="225" t="s">
        <v>944</v>
      </c>
      <c r="T24" s="215">
        <v>726.0</v>
      </c>
      <c r="U24" s="204"/>
    </row>
    <row r="25" ht="22.5" customHeight="1">
      <c r="A25" s="205"/>
      <c r="B25" s="193" t="s">
        <v>464</v>
      </c>
      <c r="C25" s="219" t="s">
        <v>684</v>
      </c>
      <c r="D25" s="194" t="s">
        <v>904</v>
      </c>
      <c r="E25" s="193" t="s">
        <v>15</v>
      </c>
      <c r="F25" s="220">
        <v>4.0</v>
      </c>
      <c r="G25" s="230">
        <v>0.17</v>
      </c>
      <c r="H25" s="222">
        <v>200.0</v>
      </c>
      <c r="I25" s="222">
        <v>667.2</v>
      </c>
      <c r="J25" s="207"/>
      <c r="K25" s="207"/>
      <c r="L25" s="223">
        <v>46082.0</v>
      </c>
      <c r="M25" s="223">
        <v>46113.0</v>
      </c>
      <c r="N25" s="150"/>
      <c r="O25" s="220">
        <v>-53.0</v>
      </c>
      <c r="P25" s="220">
        <v>83.0</v>
      </c>
      <c r="Q25" s="209"/>
      <c r="R25" s="196" t="s">
        <v>945</v>
      </c>
      <c r="S25" s="45"/>
      <c r="T25" s="220">
        <v>727.0</v>
      </c>
      <c r="U25" s="198"/>
    </row>
    <row r="26" ht="22.5" customHeight="1">
      <c r="A26" s="199"/>
      <c r="B26" s="212" t="s">
        <v>438</v>
      </c>
      <c r="C26" s="213" t="s">
        <v>136</v>
      </c>
      <c r="D26" s="214" t="s">
        <v>906</v>
      </c>
      <c r="E26" s="212" t="s">
        <v>17</v>
      </c>
      <c r="F26" s="215">
        <v>4.0</v>
      </c>
      <c r="G26" s="224">
        <v>0.43</v>
      </c>
      <c r="H26" s="216">
        <v>8000.0</v>
      </c>
      <c r="I26" s="216">
        <v>18240.0</v>
      </c>
      <c r="J26" s="216">
        <v>18240.0</v>
      </c>
      <c r="K26" s="216">
        <v>18240.0</v>
      </c>
      <c r="L26" s="217">
        <v>46082.0</v>
      </c>
      <c r="M26" s="217">
        <v>46113.0</v>
      </c>
      <c r="N26" s="215">
        <v>0.0</v>
      </c>
      <c r="O26" s="215">
        <v>-53.0</v>
      </c>
      <c r="P26" s="215">
        <v>83.0</v>
      </c>
      <c r="Q26" s="203"/>
      <c r="R26" s="218" t="s">
        <v>946</v>
      </c>
      <c r="S26" s="225" t="s">
        <v>947</v>
      </c>
      <c r="T26" s="215">
        <v>728.0</v>
      </c>
      <c r="U26" s="204"/>
    </row>
    <row r="27" ht="22.5" customHeight="1">
      <c r="A27" s="205"/>
      <c r="B27" s="193" t="s">
        <v>440</v>
      </c>
      <c r="C27" s="226" t="s">
        <v>136</v>
      </c>
      <c r="D27" s="194" t="s">
        <v>908</v>
      </c>
      <c r="E27" s="193" t="s">
        <v>19</v>
      </c>
      <c r="F27" s="220">
        <v>8.0</v>
      </c>
      <c r="G27" s="221"/>
      <c r="H27" s="222">
        <v>15.0</v>
      </c>
      <c r="I27" s="222">
        <v>120.0</v>
      </c>
      <c r="J27" s="222">
        <v>14734.6</v>
      </c>
      <c r="K27" s="222">
        <v>14734.6</v>
      </c>
      <c r="L27" s="223">
        <v>46082.0</v>
      </c>
      <c r="M27" s="223">
        <v>46113.0</v>
      </c>
      <c r="N27" s="220">
        <v>0.0</v>
      </c>
      <c r="O27" s="220">
        <v>-53.0</v>
      </c>
      <c r="P27" s="220">
        <v>83.0</v>
      </c>
      <c r="Q27" s="209"/>
      <c r="R27" s="196" t="s">
        <v>948</v>
      </c>
      <c r="S27" s="227" t="s">
        <v>949</v>
      </c>
      <c r="T27" s="220">
        <v>729.0</v>
      </c>
      <c r="U27" s="198"/>
    </row>
    <row r="28" ht="22.5" customHeight="1">
      <c r="A28" s="199"/>
      <c r="B28" s="212" t="s">
        <v>483</v>
      </c>
      <c r="C28" s="213" t="s">
        <v>136</v>
      </c>
      <c r="D28" s="214" t="s">
        <v>911</v>
      </c>
      <c r="E28" s="212" t="s">
        <v>15</v>
      </c>
      <c r="F28" s="215">
        <v>5.0</v>
      </c>
      <c r="G28" s="215">
        <v>0.5</v>
      </c>
      <c r="H28" s="216">
        <v>200.0</v>
      </c>
      <c r="I28" s="216">
        <v>500.0</v>
      </c>
      <c r="J28" s="216">
        <v>12244.26</v>
      </c>
      <c r="K28" s="216">
        <v>12244.26</v>
      </c>
      <c r="L28" s="217">
        <v>46082.0</v>
      </c>
      <c r="M28" s="217">
        <v>46113.0</v>
      </c>
      <c r="N28" s="215">
        <v>0.0</v>
      </c>
      <c r="O28" s="215">
        <v>-53.0</v>
      </c>
      <c r="P28" s="215">
        <v>83.0</v>
      </c>
      <c r="Q28" s="203"/>
      <c r="R28" s="218" t="s">
        <v>950</v>
      </c>
      <c r="S28" s="225" t="s">
        <v>951</v>
      </c>
      <c r="T28" s="215">
        <v>730.0</v>
      </c>
      <c r="U28" s="204"/>
    </row>
    <row r="29" ht="22.5" customHeight="1">
      <c r="A29" s="205"/>
      <c r="B29" s="193" t="s">
        <v>160</v>
      </c>
      <c r="C29" s="226" t="s">
        <v>136</v>
      </c>
      <c r="D29" s="194" t="s">
        <v>913</v>
      </c>
      <c r="E29" s="193" t="s">
        <v>17</v>
      </c>
      <c r="F29" s="220">
        <v>1.0</v>
      </c>
      <c r="G29" s="221"/>
      <c r="H29" s="222">
        <v>2000.0</v>
      </c>
      <c r="I29" s="222">
        <v>2000.0</v>
      </c>
      <c r="J29" s="222">
        <v>2000.0</v>
      </c>
      <c r="K29" s="222">
        <v>0.0</v>
      </c>
      <c r="L29" s="223">
        <v>46082.0</v>
      </c>
      <c r="M29" s="223">
        <v>46113.0</v>
      </c>
      <c r="N29" s="220">
        <v>1.0</v>
      </c>
      <c r="O29" s="220">
        <v>-53.0</v>
      </c>
      <c r="P29" s="220">
        <v>83.0</v>
      </c>
      <c r="Q29" s="238">
        <v>46052.0</v>
      </c>
      <c r="R29" s="196" t="s">
        <v>952</v>
      </c>
      <c r="S29" s="227" t="s">
        <v>953</v>
      </c>
      <c r="T29" s="220">
        <v>731.0</v>
      </c>
      <c r="U29" s="198"/>
    </row>
    <row r="30" ht="22.5" customHeight="1">
      <c r="A30" s="199"/>
      <c r="B30" s="212" t="s">
        <v>915</v>
      </c>
      <c r="C30" s="231" t="s">
        <v>684</v>
      </c>
      <c r="D30" s="214" t="s">
        <v>916</v>
      </c>
      <c r="E30" s="212" t="s">
        <v>17</v>
      </c>
      <c r="F30" s="215">
        <v>3.0</v>
      </c>
      <c r="G30" s="215">
        <v>0.25</v>
      </c>
      <c r="H30" s="237" t="s">
        <v>917</v>
      </c>
      <c r="I30" s="216">
        <v>9000.0</v>
      </c>
      <c r="J30" s="201"/>
      <c r="K30" s="201"/>
      <c r="L30" s="217">
        <v>46082.0</v>
      </c>
      <c r="M30" s="217">
        <v>46113.0</v>
      </c>
      <c r="N30" s="147"/>
      <c r="O30" s="215">
        <v>-53.0</v>
      </c>
      <c r="P30" s="215">
        <v>83.0</v>
      </c>
      <c r="Q30" s="203"/>
      <c r="R30" s="218" t="s">
        <v>954</v>
      </c>
      <c r="S30" s="186"/>
      <c r="T30" s="215">
        <v>732.0</v>
      </c>
      <c r="U30" s="204"/>
    </row>
    <row r="31" ht="22.5" customHeight="1">
      <c r="A31" s="205"/>
      <c r="B31" s="193" t="s">
        <v>153</v>
      </c>
      <c r="C31" s="226" t="s">
        <v>136</v>
      </c>
      <c r="D31" s="194" t="s">
        <v>919</v>
      </c>
      <c r="E31" s="193" t="s">
        <v>108</v>
      </c>
      <c r="F31" s="195" t="s">
        <v>955</v>
      </c>
      <c r="G31" s="221"/>
      <c r="H31" s="222">
        <v>30.0</v>
      </c>
      <c r="I31" s="222">
        <v>1128.0</v>
      </c>
      <c r="J31" s="222">
        <v>81244.15</v>
      </c>
      <c r="K31" s="222">
        <v>81244.15</v>
      </c>
      <c r="L31" s="223">
        <v>46082.0</v>
      </c>
      <c r="M31" s="223">
        <v>46113.0</v>
      </c>
      <c r="N31" s="220">
        <v>0.0</v>
      </c>
      <c r="O31" s="220">
        <v>-53.0</v>
      </c>
      <c r="P31" s="220">
        <v>83.0</v>
      </c>
      <c r="Q31" s="209"/>
      <c r="R31" s="196" t="s">
        <v>956</v>
      </c>
      <c r="S31" s="227" t="s">
        <v>957</v>
      </c>
      <c r="T31" s="220">
        <v>733.0</v>
      </c>
      <c r="U31" s="198"/>
    </row>
    <row r="32" ht="22.5" customHeight="1">
      <c r="A32" s="199"/>
      <c r="B32" s="212" t="s">
        <v>402</v>
      </c>
      <c r="C32" s="213" t="s">
        <v>136</v>
      </c>
      <c r="D32" s="214" t="s">
        <v>930</v>
      </c>
      <c r="E32" s="212" t="s">
        <v>15</v>
      </c>
      <c r="F32" s="215">
        <v>1.0</v>
      </c>
      <c r="G32" s="210"/>
      <c r="H32" s="216">
        <v>200.0</v>
      </c>
      <c r="I32" s="216">
        <v>200.0</v>
      </c>
      <c r="J32" s="216">
        <v>4859.84</v>
      </c>
      <c r="K32" s="216">
        <v>0.0</v>
      </c>
      <c r="L32" s="217">
        <v>46054.0</v>
      </c>
      <c r="M32" s="217">
        <v>46082.0</v>
      </c>
      <c r="N32" s="215">
        <v>1.0</v>
      </c>
      <c r="O32" s="215">
        <v>-84.0</v>
      </c>
      <c r="P32" s="215">
        <v>114.0</v>
      </c>
      <c r="Q32" s="232">
        <v>46081.0</v>
      </c>
      <c r="R32" s="218" t="s">
        <v>959</v>
      </c>
      <c r="S32" s="225" t="s">
        <v>960</v>
      </c>
      <c r="T32" s="215">
        <v>704.0</v>
      </c>
      <c r="U32" s="204"/>
    </row>
    <row r="33" ht="22.5" customHeight="1">
      <c r="A33" s="205"/>
      <c r="B33" s="193" t="s">
        <v>454</v>
      </c>
      <c r="C33" s="219" t="s">
        <v>684</v>
      </c>
      <c r="D33" s="194" t="s">
        <v>886</v>
      </c>
      <c r="E33" s="193" t="s">
        <v>17</v>
      </c>
      <c r="F33" s="220">
        <v>3.0</v>
      </c>
      <c r="G33" s="221"/>
      <c r="H33" s="222">
        <v>3000.0</v>
      </c>
      <c r="I33" s="222">
        <v>5000.0</v>
      </c>
      <c r="J33" s="207"/>
      <c r="K33" s="207"/>
      <c r="L33" s="223">
        <v>46054.0</v>
      </c>
      <c r="M33" s="223">
        <v>46082.0</v>
      </c>
      <c r="N33" s="150"/>
      <c r="O33" s="220">
        <v>-84.0</v>
      </c>
      <c r="P33" s="220">
        <v>114.0</v>
      </c>
      <c r="Q33" s="209"/>
      <c r="R33" s="196" t="s">
        <v>961</v>
      </c>
      <c r="S33" s="45"/>
      <c r="T33" s="220">
        <v>705.0</v>
      </c>
      <c r="U33" s="198"/>
    </row>
    <row r="34" ht="22.5" customHeight="1">
      <c r="A34" s="199"/>
      <c r="B34" s="212" t="s">
        <v>414</v>
      </c>
      <c r="C34" s="213" t="s">
        <v>136</v>
      </c>
      <c r="D34" s="214" t="s">
        <v>888</v>
      </c>
      <c r="E34" s="212" t="s">
        <v>17</v>
      </c>
      <c r="F34" s="215">
        <v>3.0</v>
      </c>
      <c r="G34" s="224">
        <v>0.38</v>
      </c>
      <c r="H34" s="216">
        <v>4000.0</v>
      </c>
      <c r="I34" s="216">
        <v>7500.0</v>
      </c>
      <c r="J34" s="216">
        <v>7500.0</v>
      </c>
      <c r="K34" s="216">
        <v>7500.0</v>
      </c>
      <c r="L34" s="217">
        <v>46054.0</v>
      </c>
      <c r="M34" s="217">
        <v>46082.0</v>
      </c>
      <c r="N34" s="215">
        <v>0.0</v>
      </c>
      <c r="O34" s="215">
        <v>-84.0</v>
      </c>
      <c r="P34" s="215">
        <v>114.0</v>
      </c>
      <c r="Q34" s="203"/>
      <c r="R34" s="218" t="s">
        <v>962</v>
      </c>
      <c r="S34" s="225" t="s">
        <v>963</v>
      </c>
      <c r="T34" s="215">
        <v>706.0</v>
      </c>
      <c r="U34" s="204"/>
    </row>
    <row r="35" ht="22.5" customHeight="1">
      <c r="A35" s="205"/>
      <c r="B35" s="193" t="s">
        <v>460</v>
      </c>
      <c r="C35" s="219" t="s">
        <v>684</v>
      </c>
      <c r="D35" s="194" t="s">
        <v>964</v>
      </c>
      <c r="E35" s="193" t="s">
        <v>17</v>
      </c>
      <c r="F35" s="220">
        <v>1.0</v>
      </c>
      <c r="G35" s="150"/>
      <c r="H35" s="222">
        <v>4000.0</v>
      </c>
      <c r="I35" s="222">
        <v>4000.0</v>
      </c>
      <c r="J35" s="207"/>
      <c r="K35" s="207"/>
      <c r="L35" s="223">
        <v>46054.0</v>
      </c>
      <c r="M35" s="223">
        <v>46082.0</v>
      </c>
      <c r="N35" s="150"/>
      <c r="O35" s="220">
        <v>-84.0</v>
      </c>
      <c r="P35" s="220">
        <v>114.0</v>
      </c>
      <c r="Q35" s="209"/>
      <c r="R35" s="196" t="s">
        <v>965</v>
      </c>
      <c r="S35" s="45"/>
      <c r="T35" s="220">
        <v>707.0</v>
      </c>
      <c r="U35" s="198"/>
    </row>
    <row r="36" ht="22.5" customHeight="1">
      <c r="A36" s="199"/>
      <c r="B36" s="212" t="s">
        <v>301</v>
      </c>
      <c r="C36" s="214" t="s">
        <v>694</v>
      </c>
      <c r="D36" s="214" t="s">
        <v>895</v>
      </c>
      <c r="E36" s="212" t="s">
        <v>17</v>
      </c>
      <c r="F36" s="215">
        <v>6.35</v>
      </c>
      <c r="G36" s="210"/>
      <c r="H36" s="216">
        <v>1250.0</v>
      </c>
      <c r="I36" s="216">
        <v>7937.5</v>
      </c>
      <c r="J36" s="201"/>
      <c r="K36" s="201"/>
      <c r="L36" s="217">
        <v>46054.0</v>
      </c>
      <c r="M36" s="217">
        <v>46082.0</v>
      </c>
      <c r="N36" s="147"/>
      <c r="O36" s="215">
        <v>-84.0</v>
      </c>
      <c r="P36" s="215">
        <v>114.0</v>
      </c>
      <c r="Q36" s="203"/>
      <c r="R36" s="218" t="s">
        <v>966</v>
      </c>
      <c r="S36" s="186"/>
      <c r="T36" s="215">
        <v>708.0</v>
      </c>
      <c r="U36" s="204"/>
    </row>
    <row r="37" ht="22.5" customHeight="1">
      <c r="A37" s="205"/>
      <c r="B37" s="193" t="s">
        <v>477</v>
      </c>
      <c r="C37" s="226" t="s">
        <v>136</v>
      </c>
      <c r="D37" s="194" t="s">
        <v>897</v>
      </c>
      <c r="E37" s="193" t="s">
        <v>100</v>
      </c>
      <c r="F37" s="220">
        <v>2.0</v>
      </c>
      <c r="G37" s="221"/>
      <c r="H37" s="222">
        <v>40.0</v>
      </c>
      <c r="I37" s="222">
        <v>80.0</v>
      </c>
      <c r="J37" s="222">
        <v>7334.96</v>
      </c>
      <c r="K37" s="222">
        <v>7334.96</v>
      </c>
      <c r="L37" s="223">
        <v>46054.0</v>
      </c>
      <c r="M37" s="223">
        <v>46082.0</v>
      </c>
      <c r="N37" s="220">
        <v>0.0</v>
      </c>
      <c r="O37" s="220">
        <v>-84.0</v>
      </c>
      <c r="P37" s="220">
        <v>114.0</v>
      </c>
      <c r="Q37" s="209"/>
      <c r="R37" s="196" t="s">
        <v>967</v>
      </c>
      <c r="S37" s="227" t="s">
        <v>968</v>
      </c>
      <c r="T37" s="220">
        <v>709.0</v>
      </c>
      <c r="U37" s="198"/>
    </row>
    <row r="38" ht="22.5" customHeight="1">
      <c r="A38" s="199"/>
      <c r="B38" s="212" t="s">
        <v>472</v>
      </c>
      <c r="C38" s="213" t="s">
        <v>136</v>
      </c>
      <c r="D38" s="214" t="s">
        <v>899</v>
      </c>
      <c r="E38" s="212" t="s">
        <v>17</v>
      </c>
      <c r="F38" s="215">
        <v>3.0</v>
      </c>
      <c r="G38" s="224">
        <v>0.25</v>
      </c>
      <c r="H38" s="216">
        <v>8000.0</v>
      </c>
      <c r="I38" s="216">
        <v>18000.0</v>
      </c>
      <c r="J38" s="216">
        <v>18000.0</v>
      </c>
      <c r="K38" s="216">
        <v>0.0</v>
      </c>
      <c r="L38" s="217">
        <v>46054.0</v>
      </c>
      <c r="M38" s="217">
        <v>46082.0</v>
      </c>
      <c r="N38" s="215">
        <v>1.0</v>
      </c>
      <c r="O38" s="215">
        <v>-84.0</v>
      </c>
      <c r="P38" s="215">
        <v>114.0</v>
      </c>
      <c r="Q38" s="232">
        <v>46077.0</v>
      </c>
      <c r="R38" s="218" t="s">
        <v>969</v>
      </c>
      <c r="S38" s="225" t="s">
        <v>970</v>
      </c>
      <c r="T38" s="215">
        <v>710.0</v>
      </c>
      <c r="U38" s="204"/>
    </row>
    <row r="39" ht="22.5" customHeight="1">
      <c r="A39" s="205"/>
      <c r="B39" s="193" t="s">
        <v>359</v>
      </c>
      <c r="C39" s="219" t="s">
        <v>684</v>
      </c>
      <c r="D39" s="194" t="s">
        <v>911</v>
      </c>
      <c r="E39" s="193" t="s">
        <v>15</v>
      </c>
      <c r="F39" s="220">
        <v>5.0</v>
      </c>
      <c r="G39" s="230">
        <v>0.5</v>
      </c>
      <c r="H39" s="222">
        <v>200.0</v>
      </c>
      <c r="I39" s="222">
        <v>500.0</v>
      </c>
      <c r="J39" s="207"/>
      <c r="K39" s="207"/>
      <c r="L39" s="223">
        <v>46054.0</v>
      </c>
      <c r="M39" s="223">
        <v>46082.0</v>
      </c>
      <c r="N39" s="150"/>
      <c r="O39" s="220">
        <v>-84.0</v>
      </c>
      <c r="P39" s="220">
        <v>114.0</v>
      </c>
      <c r="Q39" s="238">
        <v>46082.0</v>
      </c>
      <c r="R39" s="196" t="s">
        <v>971</v>
      </c>
      <c r="S39" s="45"/>
      <c r="T39" s="220">
        <v>711.0</v>
      </c>
      <c r="U39" s="198"/>
    </row>
    <row r="40" ht="22.5" customHeight="1">
      <c r="A40" s="211" t="s">
        <v>972</v>
      </c>
      <c r="B40" s="212" t="s">
        <v>464</v>
      </c>
      <c r="C40" s="213" t="s">
        <v>136</v>
      </c>
      <c r="D40" s="214" t="s">
        <v>904</v>
      </c>
      <c r="E40" s="212" t="s">
        <v>15</v>
      </c>
      <c r="F40" s="215">
        <v>4.0</v>
      </c>
      <c r="G40" s="215">
        <v>0.166</v>
      </c>
      <c r="H40" s="216">
        <v>200.0</v>
      </c>
      <c r="I40" s="216">
        <v>667.2</v>
      </c>
      <c r="J40" s="216">
        <v>16212.43</v>
      </c>
      <c r="K40" s="216">
        <v>16212.43</v>
      </c>
      <c r="L40" s="217">
        <v>46054.0</v>
      </c>
      <c r="M40" s="217">
        <v>46082.0</v>
      </c>
      <c r="N40" s="215">
        <v>0.0</v>
      </c>
      <c r="O40" s="215">
        <v>-84.0</v>
      </c>
      <c r="P40" s="215">
        <v>114.0</v>
      </c>
      <c r="Q40" s="203"/>
      <c r="R40" s="218" t="s">
        <v>973</v>
      </c>
      <c r="S40" s="225" t="s">
        <v>974</v>
      </c>
      <c r="T40" s="215">
        <v>712.0</v>
      </c>
      <c r="U40" s="204"/>
    </row>
    <row r="41" ht="22.5" customHeight="1">
      <c r="A41" s="192" t="s">
        <v>975</v>
      </c>
      <c r="B41" s="193" t="s">
        <v>438</v>
      </c>
      <c r="C41" s="226" t="s">
        <v>136</v>
      </c>
      <c r="D41" s="194" t="s">
        <v>906</v>
      </c>
      <c r="E41" s="193" t="s">
        <v>17</v>
      </c>
      <c r="F41" s="220">
        <v>4.0</v>
      </c>
      <c r="G41" s="230">
        <v>0.43</v>
      </c>
      <c r="H41" s="222">
        <v>8000.0</v>
      </c>
      <c r="I41" s="222">
        <v>18240.0</v>
      </c>
      <c r="J41" s="222">
        <v>18240.0</v>
      </c>
      <c r="K41" s="222">
        <v>18240.0</v>
      </c>
      <c r="L41" s="223">
        <v>46054.0</v>
      </c>
      <c r="M41" s="223">
        <v>46082.0</v>
      </c>
      <c r="N41" s="220">
        <v>0.0</v>
      </c>
      <c r="O41" s="220">
        <v>-84.0</v>
      </c>
      <c r="P41" s="220">
        <v>114.0</v>
      </c>
      <c r="Q41" s="209"/>
      <c r="R41" s="196" t="s">
        <v>976</v>
      </c>
      <c r="S41" s="227" t="s">
        <v>977</v>
      </c>
      <c r="T41" s="220">
        <v>713.0</v>
      </c>
      <c r="U41" s="198"/>
    </row>
    <row r="42" ht="22.5" customHeight="1">
      <c r="A42" s="199"/>
      <c r="B42" s="212" t="s">
        <v>440</v>
      </c>
      <c r="C42" s="213" t="s">
        <v>136</v>
      </c>
      <c r="D42" s="214" t="s">
        <v>908</v>
      </c>
      <c r="E42" s="212" t="s">
        <v>19</v>
      </c>
      <c r="F42" s="228" t="s">
        <v>978</v>
      </c>
      <c r="G42" s="210"/>
      <c r="H42" s="216">
        <v>15.0</v>
      </c>
      <c r="I42" s="216">
        <v>210.0</v>
      </c>
      <c r="J42" s="216">
        <v>26350.7</v>
      </c>
      <c r="K42" s="216">
        <v>26350.7</v>
      </c>
      <c r="L42" s="217">
        <v>46054.0</v>
      </c>
      <c r="M42" s="217">
        <v>46082.0</v>
      </c>
      <c r="N42" s="215">
        <v>0.0</v>
      </c>
      <c r="O42" s="215">
        <v>-84.0</v>
      </c>
      <c r="P42" s="215">
        <v>114.0</v>
      </c>
      <c r="Q42" s="203"/>
      <c r="R42" s="218" t="s">
        <v>979</v>
      </c>
      <c r="S42" s="225" t="s">
        <v>980</v>
      </c>
      <c r="T42" s="215">
        <v>714.0</v>
      </c>
      <c r="U42" s="204"/>
    </row>
    <row r="43" ht="22.5" customHeight="1">
      <c r="A43" s="205"/>
      <c r="B43" s="193" t="s">
        <v>483</v>
      </c>
      <c r="C43" s="226" t="s">
        <v>136</v>
      </c>
      <c r="D43" s="194" t="s">
        <v>911</v>
      </c>
      <c r="E43" s="193" t="s">
        <v>15</v>
      </c>
      <c r="F43" s="220">
        <v>5.0</v>
      </c>
      <c r="G43" s="220">
        <v>0.75</v>
      </c>
      <c r="H43" s="222">
        <v>200.0</v>
      </c>
      <c r="I43" s="222">
        <v>250.0</v>
      </c>
      <c r="J43" s="222">
        <v>6061.24</v>
      </c>
      <c r="K43" s="222">
        <v>0.0</v>
      </c>
      <c r="L43" s="223">
        <v>46068.0</v>
      </c>
      <c r="M43" s="223">
        <v>46096.0</v>
      </c>
      <c r="N43" s="220">
        <v>1.0</v>
      </c>
      <c r="O43" s="220">
        <v>-70.0</v>
      </c>
      <c r="P43" s="220">
        <v>100.0</v>
      </c>
      <c r="Q43" s="238">
        <v>46078.0</v>
      </c>
      <c r="R43" s="196" t="s">
        <v>981</v>
      </c>
      <c r="S43" s="227" t="s">
        <v>982</v>
      </c>
      <c r="T43" s="220">
        <v>715.0</v>
      </c>
      <c r="U43" s="198"/>
    </row>
    <row r="44" ht="22.5" customHeight="1">
      <c r="A44" s="199"/>
      <c r="B44" s="212" t="s">
        <v>160</v>
      </c>
      <c r="C44" s="213" t="s">
        <v>136</v>
      </c>
      <c r="D44" s="214" t="s">
        <v>913</v>
      </c>
      <c r="E44" s="212" t="s">
        <v>17</v>
      </c>
      <c r="F44" s="215">
        <v>1.0</v>
      </c>
      <c r="G44" s="210"/>
      <c r="H44" s="216">
        <v>2000.0</v>
      </c>
      <c r="I44" s="216">
        <v>2000.0</v>
      </c>
      <c r="J44" s="216">
        <v>2000.0</v>
      </c>
      <c r="K44" s="216">
        <v>0.0</v>
      </c>
      <c r="L44" s="217">
        <v>46054.0</v>
      </c>
      <c r="M44" s="217">
        <v>46082.0</v>
      </c>
      <c r="N44" s="215">
        <v>1.0</v>
      </c>
      <c r="O44" s="215">
        <v>-84.0</v>
      </c>
      <c r="P44" s="215">
        <v>114.0</v>
      </c>
      <c r="Q44" s="232">
        <v>46052.0</v>
      </c>
      <c r="R44" s="218" t="s">
        <v>983</v>
      </c>
      <c r="S44" s="225" t="s">
        <v>984</v>
      </c>
      <c r="T44" s="215">
        <v>716.0</v>
      </c>
      <c r="U44" s="204"/>
    </row>
    <row r="45" ht="22.5" customHeight="1">
      <c r="A45" s="205"/>
      <c r="B45" s="193" t="s">
        <v>915</v>
      </c>
      <c r="C45" s="219" t="s">
        <v>684</v>
      </c>
      <c r="D45" s="194" t="s">
        <v>916</v>
      </c>
      <c r="E45" s="193" t="s">
        <v>17</v>
      </c>
      <c r="F45" s="220">
        <v>3.0</v>
      </c>
      <c r="G45" s="230">
        <v>0.25</v>
      </c>
      <c r="H45" s="197" t="s">
        <v>917</v>
      </c>
      <c r="I45" s="222">
        <v>9000.0</v>
      </c>
      <c r="J45" s="207"/>
      <c r="K45" s="207"/>
      <c r="L45" s="223">
        <v>46054.0</v>
      </c>
      <c r="M45" s="223">
        <v>46082.0</v>
      </c>
      <c r="N45" s="150"/>
      <c r="O45" s="220">
        <v>-84.0</v>
      </c>
      <c r="P45" s="220">
        <v>114.0</v>
      </c>
      <c r="Q45" s="209"/>
      <c r="R45" s="196" t="s">
        <v>985</v>
      </c>
      <c r="S45" s="45"/>
      <c r="T45" s="220">
        <v>717.0</v>
      </c>
      <c r="U45" s="198"/>
    </row>
    <row r="46" ht="22.5" customHeight="1">
      <c r="A46" s="199"/>
      <c r="B46" s="212" t="s">
        <v>153</v>
      </c>
      <c r="C46" s="213" t="s">
        <v>136</v>
      </c>
      <c r="D46" s="214" t="s">
        <v>919</v>
      </c>
      <c r="E46" s="212" t="s">
        <v>108</v>
      </c>
      <c r="F46" s="228" t="s">
        <v>986</v>
      </c>
      <c r="G46" s="210"/>
      <c r="H46" s="216">
        <v>25.0</v>
      </c>
      <c r="I46" s="216">
        <v>820.0</v>
      </c>
      <c r="J46" s="216">
        <v>59222.74</v>
      </c>
      <c r="K46" s="216">
        <v>0.0</v>
      </c>
      <c r="L46" s="217">
        <v>46054.0</v>
      </c>
      <c r="M46" s="217">
        <v>46082.0</v>
      </c>
      <c r="N46" s="215">
        <v>1.0</v>
      </c>
      <c r="O46" s="215">
        <v>-84.0</v>
      </c>
      <c r="P46" s="215">
        <v>114.0</v>
      </c>
      <c r="Q46" s="232">
        <v>46046.0</v>
      </c>
      <c r="R46" s="218" t="s">
        <v>987</v>
      </c>
      <c r="S46" s="225" t="s">
        <v>988</v>
      </c>
      <c r="T46" s="215">
        <v>718.0</v>
      </c>
      <c r="U46" s="204"/>
    </row>
    <row r="47" ht="22.5" customHeight="1">
      <c r="A47" s="192" t="s">
        <v>990</v>
      </c>
      <c r="B47" s="193" t="s">
        <v>402</v>
      </c>
      <c r="C47" s="226" t="s">
        <v>136</v>
      </c>
      <c r="D47" s="194" t="s">
        <v>991</v>
      </c>
      <c r="E47" s="193" t="s">
        <v>15</v>
      </c>
      <c r="F47" s="220">
        <v>3.0</v>
      </c>
      <c r="G47" s="150"/>
      <c r="H47" s="222">
        <v>200.0</v>
      </c>
      <c r="I47" s="222">
        <v>600.0</v>
      </c>
      <c r="J47" s="222">
        <v>14375.75</v>
      </c>
      <c r="K47" s="222">
        <v>4785.0</v>
      </c>
      <c r="L47" s="223">
        <v>46023.0</v>
      </c>
      <c r="M47" s="223">
        <v>46054.0</v>
      </c>
      <c r="N47" s="220">
        <v>1.0</v>
      </c>
      <c r="O47" s="220">
        <v>-112.0</v>
      </c>
      <c r="P47" s="220">
        <v>142.0</v>
      </c>
      <c r="Q47" s="238">
        <v>46050.0</v>
      </c>
      <c r="R47" s="196" t="s">
        <v>992</v>
      </c>
      <c r="S47" s="227" t="s">
        <v>993</v>
      </c>
      <c r="T47" s="220">
        <v>689.0</v>
      </c>
      <c r="U47" s="198"/>
    </row>
    <row r="48" ht="22.5" customHeight="1">
      <c r="A48" s="199"/>
      <c r="B48" s="212" t="s">
        <v>454</v>
      </c>
      <c r="C48" s="231" t="s">
        <v>684</v>
      </c>
      <c r="D48" s="214" t="s">
        <v>886</v>
      </c>
      <c r="E48" s="212" t="s">
        <v>17</v>
      </c>
      <c r="F48" s="215">
        <v>3.0</v>
      </c>
      <c r="G48" s="147"/>
      <c r="H48" s="216">
        <v>3000.0</v>
      </c>
      <c r="I48" s="216">
        <v>5000.0</v>
      </c>
      <c r="J48" s="201"/>
      <c r="K48" s="201"/>
      <c r="L48" s="217">
        <v>46023.0</v>
      </c>
      <c r="M48" s="217">
        <v>46054.0</v>
      </c>
      <c r="N48" s="147"/>
      <c r="O48" s="215">
        <v>-112.0</v>
      </c>
      <c r="P48" s="215">
        <v>142.0</v>
      </c>
      <c r="Q48" s="203"/>
      <c r="R48" s="218" t="s">
        <v>994</v>
      </c>
      <c r="S48" s="186"/>
      <c r="T48" s="215">
        <v>690.0</v>
      </c>
      <c r="U48" s="204"/>
    </row>
    <row r="49" ht="22.5" customHeight="1">
      <c r="A49" s="205"/>
      <c r="B49" s="193" t="s">
        <v>414</v>
      </c>
      <c r="C49" s="226" t="s">
        <v>136</v>
      </c>
      <c r="D49" s="194" t="s">
        <v>888</v>
      </c>
      <c r="E49" s="193" t="s">
        <v>17</v>
      </c>
      <c r="F49" s="220">
        <v>3.0</v>
      </c>
      <c r="G49" s="230">
        <v>0.38</v>
      </c>
      <c r="H49" s="222">
        <v>4000.0</v>
      </c>
      <c r="I49" s="222">
        <v>7500.0</v>
      </c>
      <c r="J49" s="222">
        <v>7500.0</v>
      </c>
      <c r="K49" s="222">
        <v>7500.0</v>
      </c>
      <c r="L49" s="223">
        <v>46023.0</v>
      </c>
      <c r="M49" s="223">
        <v>46054.0</v>
      </c>
      <c r="N49" s="220">
        <v>0.0</v>
      </c>
      <c r="O49" s="220">
        <v>-112.0</v>
      </c>
      <c r="P49" s="220">
        <v>142.0</v>
      </c>
      <c r="Q49" s="209"/>
      <c r="R49" s="196" t="s">
        <v>995</v>
      </c>
      <c r="S49" s="227" t="s">
        <v>996</v>
      </c>
      <c r="T49" s="220">
        <v>691.0</v>
      </c>
      <c r="U49" s="198"/>
    </row>
    <row r="50" ht="22.5" customHeight="1">
      <c r="A50" s="199"/>
      <c r="B50" s="212" t="s">
        <v>460</v>
      </c>
      <c r="C50" s="231" t="s">
        <v>684</v>
      </c>
      <c r="D50" s="214" t="s">
        <v>964</v>
      </c>
      <c r="E50" s="212" t="s">
        <v>17</v>
      </c>
      <c r="F50" s="215">
        <v>1.0</v>
      </c>
      <c r="G50" s="147"/>
      <c r="H50" s="216">
        <v>4000.0</v>
      </c>
      <c r="I50" s="216">
        <v>4000.0</v>
      </c>
      <c r="J50" s="201"/>
      <c r="K50" s="201"/>
      <c r="L50" s="217">
        <v>46023.0</v>
      </c>
      <c r="M50" s="217">
        <v>46054.0</v>
      </c>
      <c r="N50" s="147"/>
      <c r="O50" s="215">
        <v>-112.0</v>
      </c>
      <c r="P50" s="215">
        <v>142.0</v>
      </c>
      <c r="Q50" s="203"/>
      <c r="R50" s="218" t="s">
        <v>997</v>
      </c>
      <c r="S50" s="186"/>
      <c r="T50" s="215">
        <v>692.0</v>
      </c>
      <c r="U50" s="204"/>
    </row>
    <row r="51" ht="22.5" customHeight="1">
      <c r="A51" s="205"/>
      <c r="B51" s="193" t="s">
        <v>301</v>
      </c>
      <c r="C51" s="194" t="s">
        <v>694</v>
      </c>
      <c r="D51" s="194" t="s">
        <v>895</v>
      </c>
      <c r="E51" s="193" t="s">
        <v>17</v>
      </c>
      <c r="F51" s="220">
        <v>6.35</v>
      </c>
      <c r="G51" s="150"/>
      <c r="H51" s="222">
        <v>1250.0</v>
      </c>
      <c r="I51" s="222">
        <v>7937.5</v>
      </c>
      <c r="J51" s="207"/>
      <c r="K51" s="207"/>
      <c r="L51" s="223">
        <v>46023.0</v>
      </c>
      <c r="M51" s="223">
        <v>46054.0</v>
      </c>
      <c r="N51" s="150"/>
      <c r="O51" s="220">
        <v>-112.0</v>
      </c>
      <c r="P51" s="220">
        <v>142.0</v>
      </c>
      <c r="Q51" s="209"/>
      <c r="R51" s="196" t="s">
        <v>998</v>
      </c>
      <c r="S51" s="45"/>
      <c r="T51" s="220">
        <v>693.0</v>
      </c>
      <c r="U51" s="198"/>
    </row>
    <row r="52" ht="22.5" customHeight="1">
      <c r="A52" s="199"/>
      <c r="B52" s="212" t="s">
        <v>477</v>
      </c>
      <c r="C52" s="213" t="s">
        <v>136</v>
      </c>
      <c r="D52" s="214" t="s">
        <v>897</v>
      </c>
      <c r="E52" s="212" t="s">
        <v>100</v>
      </c>
      <c r="F52" s="215">
        <v>2.0</v>
      </c>
      <c r="G52" s="147"/>
      <c r="H52" s="216">
        <v>40.0</v>
      </c>
      <c r="I52" s="216">
        <v>80.0</v>
      </c>
      <c r="J52" s="216">
        <v>7196.95</v>
      </c>
      <c r="K52" s="216">
        <v>0.0</v>
      </c>
      <c r="L52" s="217">
        <v>46023.0</v>
      </c>
      <c r="M52" s="217">
        <v>46054.0</v>
      </c>
      <c r="N52" s="215">
        <v>1.0</v>
      </c>
      <c r="O52" s="215">
        <v>-112.0</v>
      </c>
      <c r="P52" s="215">
        <v>142.0</v>
      </c>
      <c r="Q52" s="232">
        <v>46062.0</v>
      </c>
      <c r="R52" s="218" t="s">
        <v>999</v>
      </c>
      <c r="S52" s="225" t="s">
        <v>1000</v>
      </c>
      <c r="T52" s="215">
        <v>694.0</v>
      </c>
      <c r="U52" s="204"/>
    </row>
    <row r="53" ht="22.5" customHeight="1">
      <c r="A53" s="205"/>
      <c r="B53" s="193" t="s">
        <v>472</v>
      </c>
      <c r="C53" s="226" t="s">
        <v>136</v>
      </c>
      <c r="D53" s="194" t="s">
        <v>899</v>
      </c>
      <c r="E53" s="193" t="s">
        <v>17</v>
      </c>
      <c r="F53" s="220">
        <v>3.0</v>
      </c>
      <c r="G53" s="230">
        <v>0.25</v>
      </c>
      <c r="H53" s="222">
        <v>8000.0</v>
      </c>
      <c r="I53" s="222">
        <v>18000.0</v>
      </c>
      <c r="J53" s="222">
        <v>18000.0</v>
      </c>
      <c r="K53" s="222">
        <v>0.0</v>
      </c>
      <c r="L53" s="223">
        <v>46023.0</v>
      </c>
      <c r="M53" s="223">
        <v>46054.0</v>
      </c>
      <c r="N53" s="220">
        <v>1.0</v>
      </c>
      <c r="O53" s="220">
        <v>-112.0</v>
      </c>
      <c r="P53" s="220">
        <v>142.0</v>
      </c>
      <c r="Q53" s="238">
        <v>46038.0</v>
      </c>
      <c r="R53" s="196" t="s">
        <v>1001</v>
      </c>
      <c r="S53" s="227" t="s">
        <v>1002</v>
      </c>
      <c r="T53" s="220">
        <v>695.0</v>
      </c>
      <c r="U53" s="198"/>
    </row>
    <row r="54" ht="22.5" customHeight="1">
      <c r="A54" s="199"/>
      <c r="B54" s="212" t="s">
        <v>470</v>
      </c>
      <c r="C54" s="214" t="s">
        <v>1003</v>
      </c>
      <c r="D54" s="214" t="s">
        <v>1004</v>
      </c>
      <c r="E54" s="212" t="s">
        <v>15</v>
      </c>
      <c r="F54" s="215">
        <v>1.0</v>
      </c>
      <c r="G54" s="210"/>
      <c r="H54" s="216">
        <v>26000.0</v>
      </c>
      <c r="I54" s="216">
        <v>26000.0</v>
      </c>
      <c r="J54" s="201"/>
      <c r="K54" s="201"/>
      <c r="L54" s="217">
        <v>46023.0</v>
      </c>
      <c r="M54" s="217">
        <v>46054.0</v>
      </c>
      <c r="N54" s="147"/>
      <c r="O54" s="215">
        <v>-112.0</v>
      </c>
      <c r="P54" s="215">
        <v>142.0</v>
      </c>
      <c r="Q54" s="203"/>
      <c r="R54" s="218" t="s">
        <v>1005</v>
      </c>
      <c r="S54" s="186"/>
      <c r="T54" s="215">
        <v>696.0</v>
      </c>
      <c r="U54" s="204"/>
    </row>
    <row r="55" ht="22.5" customHeight="1">
      <c r="A55" s="205"/>
      <c r="B55" s="193" t="s">
        <v>464</v>
      </c>
      <c r="C55" s="226" t="s">
        <v>136</v>
      </c>
      <c r="D55" s="194" t="s">
        <v>904</v>
      </c>
      <c r="E55" s="193" t="s">
        <v>15</v>
      </c>
      <c r="F55" s="220">
        <v>4.0</v>
      </c>
      <c r="G55" s="230">
        <v>0.17</v>
      </c>
      <c r="H55" s="222">
        <v>200.0</v>
      </c>
      <c r="I55" s="222">
        <v>667.2</v>
      </c>
      <c r="J55" s="222">
        <v>15985.84</v>
      </c>
      <c r="K55" s="222">
        <v>15985.84</v>
      </c>
      <c r="L55" s="223">
        <v>46023.0</v>
      </c>
      <c r="M55" s="223">
        <v>46054.0</v>
      </c>
      <c r="N55" s="220">
        <v>0.0</v>
      </c>
      <c r="O55" s="220">
        <v>-112.0</v>
      </c>
      <c r="P55" s="220">
        <v>142.0</v>
      </c>
      <c r="Q55" s="209"/>
      <c r="R55" s="196" t="s">
        <v>1006</v>
      </c>
      <c r="S55" s="227" t="s">
        <v>1007</v>
      </c>
      <c r="T55" s="220">
        <v>697.0</v>
      </c>
      <c r="U55" s="198"/>
    </row>
    <row r="56" ht="22.5" customHeight="1">
      <c r="A56" s="211" t="s">
        <v>975</v>
      </c>
      <c r="B56" s="212" t="s">
        <v>438</v>
      </c>
      <c r="C56" s="213" t="s">
        <v>136</v>
      </c>
      <c r="D56" s="214" t="s">
        <v>906</v>
      </c>
      <c r="E56" s="212" t="s">
        <v>17</v>
      </c>
      <c r="F56" s="215">
        <v>4.0</v>
      </c>
      <c r="G56" s="224">
        <v>0.43</v>
      </c>
      <c r="H56" s="216">
        <v>8000.0</v>
      </c>
      <c r="I56" s="216">
        <v>18240.0</v>
      </c>
      <c r="J56" s="216">
        <v>18240.0</v>
      </c>
      <c r="K56" s="216">
        <v>18240.0</v>
      </c>
      <c r="L56" s="217">
        <v>46023.0</v>
      </c>
      <c r="M56" s="217">
        <v>46054.0</v>
      </c>
      <c r="N56" s="215">
        <v>0.0</v>
      </c>
      <c r="O56" s="215">
        <v>-112.0</v>
      </c>
      <c r="P56" s="215">
        <v>142.0</v>
      </c>
      <c r="Q56" s="203"/>
      <c r="R56" s="218" t="s">
        <v>1008</v>
      </c>
      <c r="S56" s="225" t="s">
        <v>1009</v>
      </c>
      <c r="T56" s="215">
        <v>698.0</v>
      </c>
      <c r="U56" s="204"/>
    </row>
    <row r="57" ht="22.5" customHeight="1">
      <c r="A57" s="205"/>
      <c r="B57" s="193" t="s">
        <v>440</v>
      </c>
      <c r="C57" s="226" t="s">
        <v>136</v>
      </c>
      <c r="D57" s="194" t="s">
        <v>908</v>
      </c>
      <c r="E57" s="193" t="s">
        <v>19</v>
      </c>
      <c r="F57" s="220">
        <v>8.0</v>
      </c>
      <c r="G57" s="150"/>
      <c r="H57" s="222">
        <v>15.0</v>
      </c>
      <c r="I57" s="222">
        <v>120.0</v>
      </c>
      <c r="J57" s="222">
        <v>14516.75</v>
      </c>
      <c r="K57" s="222">
        <v>14516.75</v>
      </c>
      <c r="L57" s="223">
        <v>46023.0</v>
      </c>
      <c r="M57" s="223">
        <v>46054.0</v>
      </c>
      <c r="N57" s="220">
        <v>0.0</v>
      </c>
      <c r="O57" s="220">
        <v>-112.0</v>
      </c>
      <c r="P57" s="220">
        <v>142.0</v>
      </c>
      <c r="Q57" s="209"/>
      <c r="R57" s="196" t="s">
        <v>1010</v>
      </c>
      <c r="S57" s="227" t="s">
        <v>1011</v>
      </c>
      <c r="T57" s="220">
        <v>699.0</v>
      </c>
      <c r="U57" s="198"/>
    </row>
    <row r="58" ht="22.5" customHeight="1">
      <c r="A58" s="199"/>
      <c r="B58" s="212" t="s">
        <v>186</v>
      </c>
      <c r="C58" s="229" t="s">
        <v>685</v>
      </c>
      <c r="D58" s="214" t="s">
        <v>1012</v>
      </c>
      <c r="E58" s="212" t="s">
        <v>187</v>
      </c>
      <c r="F58" s="215">
        <v>2.0</v>
      </c>
      <c r="G58" s="147"/>
      <c r="H58" s="216">
        <v>200.0</v>
      </c>
      <c r="I58" s="216">
        <v>400.0</v>
      </c>
      <c r="J58" s="201"/>
      <c r="K58" s="201"/>
      <c r="L58" s="217">
        <v>46023.0</v>
      </c>
      <c r="M58" s="217">
        <v>46054.0</v>
      </c>
      <c r="N58" s="147"/>
      <c r="O58" s="215">
        <v>-112.0</v>
      </c>
      <c r="P58" s="215">
        <v>142.0</v>
      </c>
      <c r="Q58" s="203"/>
      <c r="R58" s="218" t="s">
        <v>1013</v>
      </c>
      <c r="S58" s="186"/>
      <c r="T58" s="215">
        <v>700.0</v>
      </c>
      <c r="U58" s="204"/>
    </row>
    <row r="59" ht="22.5" customHeight="1">
      <c r="A59" s="205"/>
      <c r="B59" s="193" t="s">
        <v>160</v>
      </c>
      <c r="C59" s="226" t="s">
        <v>136</v>
      </c>
      <c r="D59" s="194" t="s">
        <v>913</v>
      </c>
      <c r="E59" s="193" t="s">
        <v>17</v>
      </c>
      <c r="F59" s="220">
        <v>1.0</v>
      </c>
      <c r="G59" s="221"/>
      <c r="H59" s="222">
        <v>2000.0</v>
      </c>
      <c r="I59" s="222">
        <v>2000.0</v>
      </c>
      <c r="J59" s="222">
        <v>2000.0</v>
      </c>
      <c r="K59" s="222">
        <v>0.0</v>
      </c>
      <c r="L59" s="223">
        <v>46023.0</v>
      </c>
      <c r="M59" s="223">
        <v>46054.0</v>
      </c>
      <c r="N59" s="220">
        <v>1.0</v>
      </c>
      <c r="O59" s="220">
        <v>-112.0</v>
      </c>
      <c r="P59" s="220">
        <v>142.0</v>
      </c>
      <c r="Q59" s="238">
        <v>46052.0</v>
      </c>
      <c r="R59" s="196" t="s">
        <v>1014</v>
      </c>
      <c r="S59" s="227" t="s">
        <v>1015</v>
      </c>
      <c r="T59" s="220">
        <v>701.0</v>
      </c>
      <c r="U59" s="198"/>
    </row>
    <row r="60" ht="22.5" customHeight="1">
      <c r="A60" s="199"/>
      <c r="B60" s="212" t="s">
        <v>915</v>
      </c>
      <c r="C60" s="231" t="s">
        <v>684</v>
      </c>
      <c r="D60" s="214" t="s">
        <v>916</v>
      </c>
      <c r="E60" s="212" t="s">
        <v>17</v>
      </c>
      <c r="F60" s="215">
        <v>3.0</v>
      </c>
      <c r="G60" s="215">
        <v>0.25</v>
      </c>
      <c r="H60" s="237" t="s">
        <v>917</v>
      </c>
      <c r="I60" s="216">
        <v>9000.0</v>
      </c>
      <c r="J60" s="201"/>
      <c r="K60" s="201"/>
      <c r="L60" s="217">
        <v>46023.0</v>
      </c>
      <c r="M60" s="217">
        <v>46054.0</v>
      </c>
      <c r="N60" s="147"/>
      <c r="O60" s="215">
        <v>-112.0</v>
      </c>
      <c r="P60" s="215">
        <v>142.0</v>
      </c>
      <c r="Q60" s="203"/>
      <c r="R60" s="218" t="s">
        <v>1016</v>
      </c>
      <c r="S60" s="186"/>
      <c r="T60" s="215">
        <v>702.0</v>
      </c>
      <c r="U60" s="204"/>
    </row>
    <row r="61" ht="22.5" customHeight="1">
      <c r="A61" s="205"/>
      <c r="B61" s="193" t="s">
        <v>153</v>
      </c>
      <c r="C61" s="226" t="s">
        <v>136</v>
      </c>
      <c r="D61" s="194" t="s">
        <v>919</v>
      </c>
      <c r="E61" s="193" t="s">
        <v>108</v>
      </c>
      <c r="F61" s="195" t="s">
        <v>1017</v>
      </c>
      <c r="G61" s="221"/>
      <c r="H61" s="222">
        <v>25.0</v>
      </c>
      <c r="I61" s="222">
        <v>56.25</v>
      </c>
      <c r="J61" s="222">
        <v>3929.8</v>
      </c>
      <c r="K61" s="222">
        <v>0.0</v>
      </c>
      <c r="L61" s="223">
        <v>46023.0</v>
      </c>
      <c r="M61" s="223">
        <v>46054.0</v>
      </c>
      <c r="N61" s="220">
        <v>1.0</v>
      </c>
      <c r="O61" s="220">
        <v>-112.0</v>
      </c>
      <c r="P61" s="220">
        <v>142.0</v>
      </c>
      <c r="Q61" s="238">
        <v>46046.0</v>
      </c>
      <c r="R61" s="196" t="s">
        <v>1018</v>
      </c>
      <c r="S61" s="227" t="s">
        <v>1019</v>
      </c>
      <c r="T61" s="220">
        <v>703.0</v>
      </c>
      <c r="U61" s="198"/>
    </row>
    <row r="62" ht="22.5" customHeight="1">
      <c r="A62" s="211" t="s">
        <v>1021</v>
      </c>
      <c r="B62" s="212" t="s">
        <v>402</v>
      </c>
      <c r="C62" s="213" t="s">
        <v>136</v>
      </c>
      <c r="D62" s="214" t="s">
        <v>991</v>
      </c>
      <c r="E62" s="212" t="s">
        <v>15</v>
      </c>
      <c r="F62" s="215">
        <v>3.0</v>
      </c>
      <c r="G62" s="147"/>
      <c r="H62" s="216">
        <v>200.0</v>
      </c>
      <c r="I62" s="216">
        <v>600.0</v>
      </c>
      <c r="J62" s="216">
        <v>14278.65</v>
      </c>
      <c r="K62" s="216">
        <v>4785.0</v>
      </c>
      <c r="L62" s="217">
        <v>46376.0</v>
      </c>
      <c r="M62" s="217">
        <v>46042.0</v>
      </c>
      <c r="N62" s="215">
        <v>1.0</v>
      </c>
      <c r="O62" s="215">
        <v>-124.0</v>
      </c>
      <c r="P62" s="215">
        <v>154.0</v>
      </c>
      <c r="Q62" s="232">
        <v>46385.0</v>
      </c>
      <c r="R62" s="218" t="s">
        <v>1022</v>
      </c>
      <c r="S62" s="225" t="s">
        <v>1023</v>
      </c>
      <c r="T62" s="215">
        <v>674.0</v>
      </c>
      <c r="U62" s="204"/>
    </row>
    <row r="63" ht="22.5" customHeight="1">
      <c r="A63" s="192" t="s">
        <v>1024</v>
      </c>
      <c r="B63" s="193" t="s">
        <v>454</v>
      </c>
      <c r="C63" s="219" t="s">
        <v>684</v>
      </c>
      <c r="D63" s="194" t="s">
        <v>886</v>
      </c>
      <c r="E63" s="193" t="s">
        <v>17</v>
      </c>
      <c r="F63" s="220">
        <v>3.0</v>
      </c>
      <c r="G63" s="221"/>
      <c r="H63" s="222">
        <v>3000.0</v>
      </c>
      <c r="I63" s="222">
        <v>5000.0</v>
      </c>
      <c r="J63" s="207"/>
      <c r="K63" s="207"/>
      <c r="L63" s="223">
        <v>46372.0</v>
      </c>
      <c r="M63" s="223">
        <v>46038.0</v>
      </c>
      <c r="N63" s="150"/>
      <c r="O63" s="220">
        <v>-128.0</v>
      </c>
      <c r="P63" s="220">
        <v>158.0</v>
      </c>
      <c r="Q63" s="209"/>
      <c r="R63" s="196" t="s">
        <v>1025</v>
      </c>
      <c r="S63" s="45"/>
      <c r="T63" s="220">
        <v>675.0</v>
      </c>
      <c r="U63" s="198"/>
    </row>
    <row r="64" ht="22.5" customHeight="1">
      <c r="A64" s="199"/>
      <c r="B64" s="212" t="s">
        <v>414</v>
      </c>
      <c r="C64" s="213" t="s">
        <v>136</v>
      </c>
      <c r="D64" s="214" t="s">
        <v>888</v>
      </c>
      <c r="E64" s="212" t="s">
        <v>17</v>
      </c>
      <c r="F64" s="215">
        <v>3.0</v>
      </c>
      <c r="G64" s="215">
        <v>0.375</v>
      </c>
      <c r="H64" s="216">
        <v>4000.0</v>
      </c>
      <c r="I64" s="216">
        <v>7500.0</v>
      </c>
      <c r="J64" s="216">
        <v>7500.0</v>
      </c>
      <c r="K64" s="216">
        <v>7500.0</v>
      </c>
      <c r="L64" s="217">
        <v>46357.0</v>
      </c>
      <c r="M64" s="217">
        <v>46023.0</v>
      </c>
      <c r="N64" s="215">
        <v>0.0</v>
      </c>
      <c r="O64" s="215">
        <v>-143.0</v>
      </c>
      <c r="P64" s="215">
        <v>173.0</v>
      </c>
      <c r="Q64" s="203"/>
      <c r="R64" s="218" t="s">
        <v>1026</v>
      </c>
      <c r="S64" s="225" t="s">
        <v>1027</v>
      </c>
      <c r="T64" s="215">
        <v>676.0</v>
      </c>
      <c r="U64" s="204"/>
    </row>
    <row r="65" ht="22.5" customHeight="1">
      <c r="A65" s="205"/>
      <c r="B65" s="193" t="s">
        <v>460</v>
      </c>
      <c r="C65" s="219" t="s">
        <v>684</v>
      </c>
      <c r="D65" s="194" t="s">
        <v>964</v>
      </c>
      <c r="E65" s="193" t="s">
        <v>17</v>
      </c>
      <c r="F65" s="220">
        <v>1.0</v>
      </c>
      <c r="G65" s="221"/>
      <c r="H65" s="222">
        <v>4000.0</v>
      </c>
      <c r="I65" s="222">
        <v>4000.0</v>
      </c>
      <c r="J65" s="207"/>
      <c r="K65" s="207"/>
      <c r="L65" s="223">
        <v>46374.0</v>
      </c>
      <c r="M65" s="223">
        <v>46040.0</v>
      </c>
      <c r="N65" s="150"/>
      <c r="O65" s="220">
        <v>-126.0</v>
      </c>
      <c r="P65" s="220">
        <v>156.0</v>
      </c>
      <c r="Q65" s="209"/>
      <c r="R65" s="196" t="s">
        <v>1028</v>
      </c>
      <c r="S65" s="45"/>
      <c r="T65" s="220">
        <v>677.0</v>
      </c>
      <c r="U65" s="198"/>
    </row>
    <row r="66" ht="22.5" customHeight="1">
      <c r="A66" s="199"/>
      <c r="B66" s="212" t="s">
        <v>301</v>
      </c>
      <c r="C66" s="214" t="s">
        <v>694</v>
      </c>
      <c r="D66" s="214" t="s">
        <v>895</v>
      </c>
      <c r="E66" s="212" t="s">
        <v>17</v>
      </c>
      <c r="F66" s="215">
        <v>6.35</v>
      </c>
      <c r="G66" s="210"/>
      <c r="H66" s="216">
        <v>1250.0</v>
      </c>
      <c r="I66" s="216">
        <v>7937.5</v>
      </c>
      <c r="J66" s="201"/>
      <c r="K66" s="201"/>
      <c r="L66" s="217">
        <v>46374.0</v>
      </c>
      <c r="M66" s="217">
        <v>46040.0</v>
      </c>
      <c r="N66" s="147"/>
      <c r="O66" s="215">
        <v>-126.0</v>
      </c>
      <c r="P66" s="215">
        <v>156.0</v>
      </c>
      <c r="Q66" s="203"/>
      <c r="R66" s="218" t="s">
        <v>1029</v>
      </c>
      <c r="S66" s="186"/>
      <c r="T66" s="215">
        <v>678.0</v>
      </c>
      <c r="U66" s="204"/>
    </row>
    <row r="67" ht="22.5" customHeight="1">
      <c r="A67" s="205"/>
      <c r="B67" s="193" t="s">
        <v>147</v>
      </c>
      <c r="C67" s="219" t="s">
        <v>684</v>
      </c>
      <c r="D67" s="194" t="s">
        <v>1030</v>
      </c>
      <c r="E67" s="193" t="s">
        <v>19</v>
      </c>
      <c r="F67" s="195" t="s">
        <v>1031</v>
      </c>
      <c r="G67" s="150"/>
      <c r="H67" s="222">
        <v>15.0</v>
      </c>
      <c r="I67" s="222">
        <v>247.5</v>
      </c>
      <c r="J67" s="207"/>
      <c r="K67" s="207"/>
      <c r="L67" s="223">
        <v>46367.0</v>
      </c>
      <c r="M67" s="223">
        <v>46033.0</v>
      </c>
      <c r="N67" s="150"/>
      <c r="O67" s="220">
        <v>-133.0</v>
      </c>
      <c r="P67" s="220">
        <v>163.0</v>
      </c>
      <c r="Q67" s="209"/>
      <c r="R67" s="196" t="s">
        <v>1032</v>
      </c>
      <c r="S67" s="45"/>
      <c r="T67" s="220">
        <v>679.0</v>
      </c>
      <c r="U67" s="198"/>
    </row>
    <row r="68" ht="22.5" customHeight="1">
      <c r="A68" s="199"/>
      <c r="B68" s="212" t="s">
        <v>477</v>
      </c>
      <c r="C68" s="213" t="s">
        <v>136</v>
      </c>
      <c r="D68" s="214" t="s">
        <v>897</v>
      </c>
      <c r="E68" s="212" t="s">
        <v>100</v>
      </c>
      <c r="F68" s="215">
        <v>2.0</v>
      </c>
      <c r="G68" s="147"/>
      <c r="H68" s="216">
        <v>50.0</v>
      </c>
      <c r="I68" s="216">
        <v>100.0</v>
      </c>
      <c r="J68" s="216">
        <v>8961.27</v>
      </c>
      <c r="K68" s="216">
        <v>0.0</v>
      </c>
      <c r="L68" s="217">
        <v>46357.0</v>
      </c>
      <c r="M68" s="217">
        <v>46023.0</v>
      </c>
      <c r="N68" s="215">
        <v>1.0</v>
      </c>
      <c r="O68" s="215">
        <v>-143.0</v>
      </c>
      <c r="P68" s="215">
        <v>173.0</v>
      </c>
      <c r="Q68" s="232">
        <v>46034.0</v>
      </c>
      <c r="R68" s="218" t="s">
        <v>1033</v>
      </c>
      <c r="S68" s="225" t="s">
        <v>1034</v>
      </c>
      <c r="T68" s="215">
        <v>680.0</v>
      </c>
      <c r="U68" s="204"/>
    </row>
    <row r="69" ht="22.5" customHeight="1">
      <c r="A69" s="205"/>
      <c r="B69" s="193" t="s">
        <v>470</v>
      </c>
      <c r="C69" s="194" t="s">
        <v>1003</v>
      </c>
      <c r="D69" s="194" t="s">
        <v>1004</v>
      </c>
      <c r="E69" s="193" t="s">
        <v>15</v>
      </c>
      <c r="F69" s="220">
        <v>1.0</v>
      </c>
      <c r="G69" s="221"/>
      <c r="H69" s="222">
        <v>26000.0</v>
      </c>
      <c r="I69" s="222">
        <v>26000.0</v>
      </c>
      <c r="J69" s="207"/>
      <c r="K69" s="207"/>
      <c r="L69" s="223">
        <v>46360.0</v>
      </c>
      <c r="M69" s="223">
        <v>46026.0</v>
      </c>
      <c r="N69" s="150"/>
      <c r="O69" s="220">
        <v>-140.0</v>
      </c>
      <c r="P69" s="220">
        <v>170.0</v>
      </c>
      <c r="Q69" s="209"/>
      <c r="R69" s="196" t="s">
        <v>1035</v>
      </c>
      <c r="S69" s="45"/>
      <c r="T69" s="220">
        <v>681.0</v>
      </c>
      <c r="U69" s="198"/>
    </row>
    <row r="70" ht="22.5" customHeight="1">
      <c r="A70" s="199"/>
      <c r="B70" s="212" t="s">
        <v>464</v>
      </c>
      <c r="C70" s="213" t="s">
        <v>136</v>
      </c>
      <c r="D70" s="214" t="s">
        <v>904</v>
      </c>
      <c r="E70" s="212" t="s">
        <v>15</v>
      </c>
      <c r="F70" s="215">
        <v>4.0</v>
      </c>
      <c r="G70" s="215">
        <v>0.166</v>
      </c>
      <c r="H70" s="216">
        <v>200.0</v>
      </c>
      <c r="I70" s="216">
        <v>667.2</v>
      </c>
      <c r="J70" s="216">
        <v>15913.07</v>
      </c>
      <c r="K70" s="216">
        <v>0.0</v>
      </c>
      <c r="L70" s="217">
        <v>46357.0</v>
      </c>
      <c r="M70" s="217">
        <v>46023.0</v>
      </c>
      <c r="N70" s="215">
        <v>1.0</v>
      </c>
      <c r="O70" s="215">
        <v>-143.0</v>
      </c>
      <c r="P70" s="215">
        <v>173.0</v>
      </c>
      <c r="Q70" s="232">
        <v>46367.0</v>
      </c>
      <c r="R70" s="218" t="s">
        <v>1036</v>
      </c>
      <c r="S70" s="225" t="s">
        <v>1037</v>
      </c>
      <c r="T70" s="215">
        <v>682.0</v>
      </c>
      <c r="U70" s="204"/>
    </row>
    <row r="71" ht="22.5" customHeight="1">
      <c r="A71" s="192" t="s">
        <v>1038</v>
      </c>
      <c r="B71" s="193" t="s">
        <v>438</v>
      </c>
      <c r="C71" s="226" t="s">
        <v>136</v>
      </c>
      <c r="D71" s="194" t="s">
        <v>906</v>
      </c>
      <c r="E71" s="193" t="s">
        <v>17</v>
      </c>
      <c r="F71" s="220">
        <v>4.0</v>
      </c>
      <c r="G71" s="220">
        <v>0.43</v>
      </c>
      <c r="H71" s="222">
        <v>8000.0</v>
      </c>
      <c r="I71" s="222">
        <v>18240.0</v>
      </c>
      <c r="J71" s="222">
        <v>18240.0</v>
      </c>
      <c r="K71" s="222">
        <v>18240.0</v>
      </c>
      <c r="L71" s="223">
        <v>46381.0</v>
      </c>
      <c r="M71" s="223">
        <v>46047.0</v>
      </c>
      <c r="N71" s="220">
        <v>0.0</v>
      </c>
      <c r="O71" s="220">
        <v>-119.0</v>
      </c>
      <c r="P71" s="220">
        <v>149.0</v>
      </c>
      <c r="Q71" s="209"/>
      <c r="R71" s="196" t="s">
        <v>1039</v>
      </c>
      <c r="S71" s="227" t="s">
        <v>1040</v>
      </c>
      <c r="T71" s="220">
        <v>683.0</v>
      </c>
      <c r="U71" s="198"/>
    </row>
    <row r="72" ht="22.5" customHeight="1">
      <c r="A72" s="199"/>
      <c r="B72" s="212" t="s">
        <v>440</v>
      </c>
      <c r="C72" s="213" t="s">
        <v>136</v>
      </c>
      <c r="D72" s="214" t="s">
        <v>908</v>
      </c>
      <c r="E72" s="212" t="s">
        <v>19</v>
      </c>
      <c r="F72" s="215">
        <v>8.0</v>
      </c>
      <c r="G72" s="210"/>
      <c r="H72" s="216">
        <v>15.0</v>
      </c>
      <c r="I72" s="216">
        <v>120.0</v>
      </c>
      <c r="J72" s="216">
        <v>14591.39</v>
      </c>
      <c r="K72" s="216">
        <v>0.0</v>
      </c>
      <c r="L72" s="217">
        <v>46381.0</v>
      </c>
      <c r="M72" s="217">
        <v>46047.0</v>
      </c>
      <c r="N72" s="215">
        <v>1.0</v>
      </c>
      <c r="O72" s="215">
        <v>-119.0</v>
      </c>
      <c r="P72" s="215">
        <v>149.0</v>
      </c>
      <c r="Q72" s="232">
        <v>46086.0</v>
      </c>
      <c r="R72" s="218" t="s">
        <v>1041</v>
      </c>
      <c r="S72" s="225" t="s">
        <v>1042</v>
      </c>
      <c r="T72" s="215">
        <v>684.0</v>
      </c>
      <c r="U72" s="204"/>
    </row>
    <row r="73" ht="22.5" customHeight="1">
      <c r="A73" s="205"/>
      <c r="B73" s="193" t="s">
        <v>186</v>
      </c>
      <c r="C73" s="242" t="s">
        <v>685</v>
      </c>
      <c r="D73" s="194" t="s">
        <v>1012</v>
      </c>
      <c r="E73" s="193" t="s">
        <v>187</v>
      </c>
      <c r="F73" s="220">
        <v>2.0</v>
      </c>
      <c r="G73" s="150"/>
      <c r="H73" s="222">
        <v>200.0</v>
      </c>
      <c r="I73" s="222">
        <v>400.0</v>
      </c>
      <c r="J73" s="207"/>
      <c r="K73" s="207"/>
      <c r="L73" s="223">
        <v>46357.0</v>
      </c>
      <c r="M73" s="223">
        <v>46023.0</v>
      </c>
      <c r="N73" s="150"/>
      <c r="O73" s="220">
        <v>-143.0</v>
      </c>
      <c r="P73" s="220">
        <v>173.0</v>
      </c>
      <c r="Q73" s="209"/>
      <c r="R73" s="196" t="s">
        <v>1043</v>
      </c>
      <c r="S73" s="45"/>
      <c r="T73" s="220">
        <v>685.0</v>
      </c>
      <c r="U73" s="198"/>
    </row>
    <row r="74" ht="22.5" customHeight="1">
      <c r="A74" s="199"/>
      <c r="B74" s="212" t="s">
        <v>160</v>
      </c>
      <c r="C74" s="213" t="s">
        <v>136</v>
      </c>
      <c r="D74" s="214" t="s">
        <v>913</v>
      </c>
      <c r="E74" s="212" t="s">
        <v>17</v>
      </c>
      <c r="F74" s="215">
        <v>1.0</v>
      </c>
      <c r="G74" s="147"/>
      <c r="H74" s="216">
        <v>2000.0</v>
      </c>
      <c r="I74" s="216">
        <v>2000.0</v>
      </c>
      <c r="J74" s="216">
        <v>2000.0</v>
      </c>
      <c r="K74" s="216">
        <v>0.0</v>
      </c>
      <c r="L74" s="217">
        <v>46381.0</v>
      </c>
      <c r="M74" s="217">
        <v>46047.0</v>
      </c>
      <c r="N74" s="215">
        <v>1.0</v>
      </c>
      <c r="O74" s="215">
        <v>-119.0</v>
      </c>
      <c r="P74" s="215">
        <v>149.0</v>
      </c>
      <c r="Q74" s="232">
        <v>46052.0</v>
      </c>
      <c r="R74" s="218" t="s">
        <v>1044</v>
      </c>
      <c r="S74" s="225" t="s">
        <v>1045</v>
      </c>
      <c r="T74" s="215">
        <v>686.0</v>
      </c>
      <c r="U74" s="204"/>
    </row>
    <row r="75" ht="22.5" customHeight="1">
      <c r="A75" s="192" t="s">
        <v>1046</v>
      </c>
      <c r="B75" s="193" t="s">
        <v>915</v>
      </c>
      <c r="C75" s="219" t="s">
        <v>684</v>
      </c>
      <c r="D75" s="194" t="s">
        <v>916</v>
      </c>
      <c r="E75" s="193" t="s">
        <v>17</v>
      </c>
      <c r="F75" s="220">
        <v>3.0</v>
      </c>
      <c r="G75" s="230">
        <v>0.25</v>
      </c>
      <c r="H75" s="197" t="s">
        <v>917</v>
      </c>
      <c r="I75" s="222">
        <v>9000.0</v>
      </c>
      <c r="J75" s="207"/>
      <c r="K75" s="207"/>
      <c r="L75" s="223">
        <v>46357.0</v>
      </c>
      <c r="M75" s="223">
        <v>46023.0</v>
      </c>
      <c r="N75" s="150"/>
      <c r="O75" s="220">
        <v>-143.0</v>
      </c>
      <c r="P75" s="220">
        <v>173.0</v>
      </c>
      <c r="Q75" s="209"/>
      <c r="R75" s="196" t="s">
        <v>1047</v>
      </c>
      <c r="S75" s="45"/>
      <c r="T75" s="220">
        <v>687.0</v>
      </c>
      <c r="U75" s="198"/>
    </row>
    <row r="76" ht="22.5" customHeight="1">
      <c r="A76" s="199"/>
      <c r="B76" s="212" t="s">
        <v>153</v>
      </c>
      <c r="C76" s="213" t="s">
        <v>136</v>
      </c>
      <c r="D76" s="214" t="s">
        <v>919</v>
      </c>
      <c r="E76" s="212" t="s">
        <v>108</v>
      </c>
      <c r="F76" s="228" t="s">
        <v>1048</v>
      </c>
      <c r="G76" s="210"/>
      <c r="H76" s="216">
        <v>25.0</v>
      </c>
      <c r="I76" s="216">
        <v>50.0</v>
      </c>
      <c r="J76" s="216">
        <v>3496.58</v>
      </c>
      <c r="K76" s="216">
        <v>0.0</v>
      </c>
      <c r="L76" s="217">
        <v>46382.0</v>
      </c>
      <c r="M76" s="217">
        <v>46048.0</v>
      </c>
      <c r="N76" s="215">
        <v>1.0</v>
      </c>
      <c r="O76" s="215">
        <v>-118.0</v>
      </c>
      <c r="P76" s="215">
        <v>148.0</v>
      </c>
      <c r="Q76" s="232">
        <v>46046.0</v>
      </c>
      <c r="R76" s="218" t="s">
        <v>1049</v>
      </c>
      <c r="S76" s="186"/>
      <c r="T76" s="215">
        <v>688.0</v>
      </c>
      <c r="U76" s="204"/>
    </row>
    <row r="77" ht="22.5" customHeight="1">
      <c r="A77" s="205"/>
      <c r="B77" s="193" t="s">
        <v>402</v>
      </c>
      <c r="C77" s="226" t="s">
        <v>136</v>
      </c>
      <c r="D77" s="194" t="s">
        <v>884</v>
      </c>
      <c r="E77" s="193" t="s">
        <v>15</v>
      </c>
      <c r="F77" s="220">
        <v>2.0</v>
      </c>
      <c r="G77" s="221"/>
      <c r="H77" s="222">
        <v>200.0</v>
      </c>
      <c r="I77" s="222">
        <v>400.0</v>
      </c>
      <c r="J77" s="222">
        <v>9448.5</v>
      </c>
      <c r="K77" s="222">
        <v>0.0</v>
      </c>
      <c r="L77" s="223">
        <v>46346.0</v>
      </c>
      <c r="M77" s="223">
        <v>46376.0</v>
      </c>
      <c r="N77" s="220">
        <v>1.0</v>
      </c>
      <c r="O77" s="220">
        <v>-155.0</v>
      </c>
      <c r="P77" s="220">
        <v>185.0</v>
      </c>
      <c r="Q77" s="238">
        <v>46353.0</v>
      </c>
      <c r="R77" s="196" t="s">
        <v>1051</v>
      </c>
      <c r="S77" s="227" t="s">
        <v>1052</v>
      </c>
      <c r="T77" s="220">
        <v>659.0</v>
      </c>
      <c r="U77" s="198"/>
    </row>
    <row r="78" ht="22.5" customHeight="1">
      <c r="A78" s="211" t="s">
        <v>1053</v>
      </c>
      <c r="B78" s="212" t="s">
        <v>454</v>
      </c>
      <c r="C78" s="213" t="s">
        <v>136</v>
      </c>
      <c r="D78" s="214" t="s">
        <v>886</v>
      </c>
      <c r="E78" s="212" t="s">
        <v>17</v>
      </c>
      <c r="F78" s="215">
        <v>1.0</v>
      </c>
      <c r="G78" s="215">
        <v>0.5</v>
      </c>
      <c r="H78" s="216">
        <v>4000.0</v>
      </c>
      <c r="I78" s="216">
        <v>2000.0</v>
      </c>
      <c r="J78" s="216">
        <v>2000.0</v>
      </c>
      <c r="K78" s="216">
        <v>2000.0</v>
      </c>
      <c r="L78" s="217">
        <v>46342.0</v>
      </c>
      <c r="M78" s="217">
        <v>46357.0</v>
      </c>
      <c r="N78" s="215">
        <v>0.0</v>
      </c>
      <c r="O78" s="215">
        <v>-174.0</v>
      </c>
      <c r="P78" s="215">
        <v>204.0</v>
      </c>
      <c r="Q78" s="203"/>
      <c r="R78" s="218" t="s">
        <v>1054</v>
      </c>
      <c r="S78" s="225" t="s">
        <v>1055</v>
      </c>
      <c r="T78" s="215">
        <v>660.0</v>
      </c>
      <c r="U78" s="204"/>
    </row>
    <row r="79" ht="22.5" customHeight="1">
      <c r="A79" s="205"/>
      <c r="B79" s="193" t="s">
        <v>414</v>
      </c>
      <c r="C79" s="226" t="s">
        <v>136</v>
      </c>
      <c r="D79" s="194" t="s">
        <v>888</v>
      </c>
      <c r="E79" s="193" t="s">
        <v>17</v>
      </c>
      <c r="F79" s="220">
        <v>3.0</v>
      </c>
      <c r="G79" s="230">
        <v>0.38</v>
      </c>
      <c r="H79" s="222">
        <v>4000.0</v>
      </c>
      <c r="I79" s="222">
        <v>7500.0</v>
      </c>
      <c r="J79" s="222">
        <v>7500.0</v>
      </c>
      <c r="K79" s="222">
        <v>7500.0</v>
      </c>
      <c r="L79" s="223">
        <v>46327.0</v>
      </c>
      <c r="M79" s="223">
        <v>46357.0</v>
      </c>
      <c r="N79" s="220">
        <v>0.0</v>
      </c>
      <c r="O79" s="220">
        <v>-174.0</v>
      </c>
      <c r="P79" s="220">
        <v>204.0</v>
      </c>
      <c r="Q79" s="209"/>
      <c r="R79" s="196" t="s">
        <v>1056</v>
      </c>
      <c r="S79" s="227" t="s">
        <v>1057</v>
      </c>
      <c r="T79" s="220">
        <v>661.0</v>
      </c>
      <c r="U79" s="198"/>
    </row>
    <row r="80" ht="22.5" customHeight="1">
      <c r="A80" s="199"/>
      <c r="B80" s="212" t="s">
        <v>460</v>
      </c>
      <c r="C80" s="213" t="s">
        <v>136</v>
      </c>
      <c r="D80" s="214" t="s">
        <v>964</v>
      </c>
      <c r="E80" s="212" t="s">
        <v>17</v>
      </c>
      <c r="F80" s="215">
        <v>1.0</v>
      </c>
      <c r="G80" s="210"/>
      <c r="H80" s="216">
        <v>4000.0</v>
      </c>
      <c r="I80" s="216">
        <v>4000.0</v>
      </c>
      <c r="J80" s="216">
        <v>4000.0</v>
      </c>
      <c r="K80" s="216">
        <v>4000.0</v>
      </c>
      <c r="L80" s="217">
        <v>46344.0</v>
      </c>
      <c r="M80" s="217">
        <v>46374.0</v>
      </c>
      <c r="N80" s="215">
        <v>0.0</v>
      </c>
      <c r="O80" s="215">
        <v>-157.0</v>
      </c>
      <c r="P80" s="215">
        <v>187.0</v>
      </c>
      <c r="Q80" s="203"/>
      <c r="R80" s="218" t="s">
        <v>1058</v>
      </c>
      <c r="S80" s="225" t="s">
        <v>1059</v>
      </c>
      <c r="T80" s="215">
        <v>662.0</v>
      </c>
      <c r="U80" s="204"/>
    </row>
    <row r="81" ht="22.5" customHeight="1">
      <c r="A81" s="205"/>
      <c r="B81" s="193" t="s">
        <v>301</v>
      </c>
      <c r="C81" s="194" t="s">
        <v>694</v>
      </c>
      <c r="D81" s="194" t="s">
        <v>895</v>
      </c>
      <c r="E81" s="193" t="s">
        <v>17</v>
      </c>
      <c r="F81" s="220">
        <v>6.35</v>
      </c>
      <c r="G81" s="150"/>
      <c r="H81" s="222">
        <v>1250.0</v>
      </c>
      <c r="I81" s="222">
        <v>7937.5</v>
      </c>
      <c r="J81" s="207"/>
      <c r="K81" s="207"/>
      <c r="L81" s="223">
        <v>46344.0</v>
      </c>
      <c r="M81" s="223">
        <v>46374.0</v>
      </c>
      <c r="N81" s="150"/>
      <c r="O81" s="220">
        <v>-157.0</v>
      </c>
      <c r="P81" s="220">
        <v>187.0</v>
      </c>
      <c r="Q81" s="209"/>
      <c r="R81" s="196" t="s">
        <v>1060</v>
      </c>
      <c r="S81" s="45"/>
      <c r="T81" s="220">
        <v>663.0</v>
      </c>
      <c r="U81" s="198"/>
    </row>
    <row r="82" ht="22.5" customHeight="1">
      <c r="A82" s="199"/>
      <c r="B82" s="212" t="s">
        <v>147</v>
      </c>
      <c r="C82" s="231" t="s">
        <v>684</v>
      </c>
      <c r="D82" s="214" t="s">
        <v>1030</v>
      </c>
      <c r="E82" s="212" t="s">
        <v>19</v>
      </c>
      <c r="F82" s="228" t="s">
        <v>1031</v>
      </c>
      <c r="G82" s="147"/>
      <c r="H82" s="216">
        <v>15.0</v>
      </c>
      <c r="I82" s="216">
        <v>247.5</v>
      </c>
      <c r="J82" s="201"/>
      <c r="K82" s="201"/>
      <c r="L82" s="217">
        <v>46337.0</v>
      </c>
      <c r="M82" s="217">
        <v>46367.0</v>
      </c>
      <c r="N82" s="147"/>
      <c r="O82" s="215">
        <v>-164.0</v>
      </c>
      <c r="P82" s="215">
        <v>194.0</v>
      </c>
      <c r="Q82" s="203"/>
      <c r="R82" s="218" t="s">
        <v>1061</v>
      </c>
      <c r="S82" s="186"/>
      <c r="T82" s="215">
        <v>664.0</v>
      </c>
      <c r="U82" s="204"/>
    </row>
    <row r="83" ht="22.5" customHeight="1">
      <c r="A83" s="205"/>
      <c r="B83" s="193" t="s">
        <v>477</v>
      </c>
      <c r="C83" s="226" t="s">
        <v>136</v>
      </c>
      <c r="D83" s="194" t="s">
        <v>897</v>
      </c>
      <c r="E83" s="193" t="s">
        <v>100</v>
      </c>
      <c r="F83" s="220">
        <v>2.0</v>
      </c>
      <c r="G83" s="150"/>
      <c r="H83" s="222">
        <v>50.0</v>
      </c>
      <c r="I83" s="222">
        <v>100.0</v>
      </c>
      <c r="J83" s="222">
        <v>8873.2</v>
      </c>
      <c r="K83" s="222">
        <v>0.0</v>
      </c>
      <c r="L83" s="223">
        <v>46330.0</v>
      </c>
      <c r="M83" s="223">
        <v>46360.0</v>
      </c>
      <c r="N83" s="220">
        <v>1.0</v>
      </c>
      <c r="O83" s="220">
        <v>-171.0</v>
      </c>
      <c r="P83" s="220">
        <v>201.0</v>
      </c>
      <c r="Q83" s="238">
        <v>46337.0</v>
      </c>
      <c r="R83" s="196" t="s">
        <v>1062</v>
      </c>
      <c r="S83" s="227" t="s">
        <v>1063</v>
      </c>
      <c r="T83" s="220">
        <v>665.0</v>
      </c>
      <c r="U83" s="198"/>
    </row>
    <row r="84" ht="22.5" customHeight="1">
      <c r="A84" s="199"/>
      <c r="B84" s="212" t="s">
        <v>470</v>
      </c>
      <c r="C84" s="214" t="s">
        <v>1003</v>
      </c>
      <c r="D84" s="214" t="s">
        <v>1004</v>
      </c>
      <c r="E84" s="212" t="s">
        <v>15</v>
      </c>
      <c r="F84" s="215">
        <v>1.0</v>
      </c>
      <c r="G84" s="210"/>
      <c r="H84" s="216">
        <v>26000.0</v>
      </c>
      <c r="I84" s="216">
        <v>26000.0</v>
      </c>
      <c r="J84" s="201"/>
      <c r="K84" s="201"/>
      <c r="L84" s="217">
        <v>46330.0</v>
      </c>
      <c r="M84" s="217">
        <v>46360.0</v>
      </c>
      <c r="N84" s="147"/>
      <c r="O84" s="215">
        <v>-171.0</v>
      </c>
      <c r="P84" s="215">
        <v>201.0</v>
      </c>
      <c r="Q84" s="203"/>
      <c r="R84" s="218" t="s">
        <v>1064</v>
      </c>
      <c r="S84" s="186"/>
      <c r="T84" s="215">
        <v>666.0</v>
      </c>
      <c r="U84" s="204"/>
    </row>
    <row r="85" ht="22.5" customHeight="1">
      <c r="A85" s="205"/>
      <c r="B85" s="193" t="s">
        <v>464</v>
      </c>
      <c r="C85" s="194" t="s">
        <v>1065</v>
      </c>
      <c r="D85" s="194" t="s">
        <v>904</v>
      </c>
      <c r="E85" s="193" t="s">
        <v>15</v>
      </c>
      <c r="F85" s="220">
        <v>4.0</v>
      </c>
      <c r="G85" s="220">
        <v>0.166</v>
      </c>
      <c r="H85" s="222">
        <v>200.0</v>
      </c>
      <c r="I85" s="222">
        <v>667.2</v>
      </c>
      <c r="J85" s="207"/>
      <c r="K85" s="207"/>
      <c r="L85" s="223">
        <v>46342.0</v>
      </c>
      <c r="M85" s="223">
        <v>46372.0</v>
      </c>
      <c r="N85" s="150"/>
      <c r="O85" s="220">
        <v>-159.0</v>
      </c>
      <c r="P85" s="220">
        <v>189.0</v>
      </c>
      <c r="Q85" s="209"/>
      <c r="R85" s="196" t="s">
        <v>1066</v>
      </c>
      <c r="S85" s="45"/>
      <c r="T85" s="220">
        <v>667.0</v>
      </c>
      <c r="U85" s="198"/>
    </row>
    <row r="86" ht="22.5" customHeight="1">
      <c r="A86" s="199"/>
      <c r="B86" s="212" t="s">
        <v>438</v>
      </c>
      <c r="C86" s="213" t="s">
        <v>136</v>
      </c>
      <c r="D86" s="214" t="s">
        <v>906</v>
      </c>
      <c r="E86" s="212" t="s">
        <v>17</v>
      </c>
      <c r="F86" s="215">
        <v>4.0</v>
      </c>
      <c r="G86" s="224">
        <v>0.43</v>
      </c>
      <c r="H86" s="216">
        <v>8000.0</v>
      </c>
      <c r="I86" s="216">
        <v>18240.0</v>
      </c>
      <c r="J86" s="216">
        <v>18240.0</v>
      </c>
      <c r="K86" s="216">
        <v>18240.0</v>
      </c>
      <c r="L86" s="217">
        <v>46351.0</v>
      </c>
      <c r="M86" s="217">
        <v>46381.0</v>
      </c>
      <c r="N86" s="215">
        <v>0.0</v>
      </c>
      <c r="O86" s="215">
        <v>-150.0</v>
      </c>
      <c r="P86" s="215">
        <v>180.0</v>
      </c>
      <c r="Q86" s="203"/>
      <c r="R86" s="218" t="s">
        <v>1067</v>
      </c>
      <c r="S86" s="225" t="s">
        <v>1068</v>
      </c>
      <c r="T86" s="215">
        <v>668.0</v>
      </c>
      <c r="U86" s="204"/>
    </row>
    <row r="87" ht="22.5" customHeight="1">
      <c r="A87" s="205"/>
      <c r="B87" s="193" t="s">
        <v>440</v>
      </c>
      <c r="C87" s="226" t="s">
        <v>136</v>
      </c>
      <c r="D87" s="194" t="s">
        <v>908</v>
      </c>
      <c r="E87" s="193" t="s">
        <v>19</v>
      </c>
      <c r="F87" s="220">
        <v>8.0</v>
      </c>
      <c r="G87" s="221"/>
      <c r="H87" s="222">
        <v>15.0</v>
      </c>
      <c r="I87" s="222">
        <v>120.0</v>
      </c>
      <c r="J87" s="222">
        <v>14083.31</v>
      </c>
      <c r="K87" s="222">
        <v>0.0</v>
      </c>
      <c r="L87" s="223">
        <v>46351.0</v>
      </c>
      <c r="M87" s="223">
        <v>46381.0</v>
      </c>
      <c r="N87" s="220">
        <v>1.0</v>
      </c>
      <c r="O87" s="220">
        <v>-150.0</v>
      </c>
      <c r="P87" s="220">
        <v>180.0</v>
      </c>
      <c r="Q87" s="238">
        <v>46058.0</v>
      </c>
      <c r="R87" s="196" t="s">
        <v>1069</v>
      </c>
      <c r="S87" s="227" t="s">
        <v>1070</v>
      </c>
      <c r="T87" s="220">
        <v>669.0</v>
      </c>
      <c r="U87" s="198"/>
    </row>
    <row r="88" ht="22.5" customHeight="1">
      <c r="A88" s="199"/>
      <c r="B88" s="212" t="s">
        <v>186</v>
      </c>
      <c r="C88" s="229" t="s">
        <v>685</v>
      </c>
      <c r="D88" s="214" t="s">
        <v>1012</v>
      </c>
      <c r="E88" s="212" t="s">
        <v>187</v>
      </c>
      <c r="F88" s="215">
        <v>2.0</v>
      </c>
      <c r="G88" s="147"/>
      <c r="H88" s="216">
        <v>200.0</v>
      </c>
      <c r="I88" s="216">
        <v>400.0</v>
      </c>
      <c r="J88" s="201"/>
      <c r="K88" s="201"/>
      <c r="L88" s="217">
        <v>46327.0</v>
      </c>
      <c r="M88" s="217">
        <v>46357.0</v>
      </c>
      <c r="N88" s="147"/>
      <c r="O88" s="215">
        <v>-174.0</v>
      </c>
      <c r="P88" s="215">
        <v>204.0</v>
      </c>
      <c r="Q88" s="203"/>
      <c r="R88" s="218" t="s">
        <v>1071</v>
      </c>
      <c r="S88" s="186"/>
      <c r="T88" s="215">
        <v>670.0</v>
      </c>
      <c r="U88" s="204"/>
    </row>
    <row r="89" ht="22.5" customHeight="1">
      <c r="A89" s="205"/>
      <c r="B89" s="193" t="s">
        <v>160</v>
      </c>
      <c r="C89" s="226" t="s">
        <v>136</v>
      </c>
      <c r="D89" s="194" t="s">
        <v>913</v>
      </c>
      <c r="E89" s="193" t="s">
        <v>17</v>
      </c>
      <c r="F89" s="220">
        <v>1.0</v>
      </c>
      <c r="G89" s="221"/>
      <c r="H89" s="222">
        <v>2000.0</v>
      </c>
      <c r="I89" s="222">
        <v>2000.0</v>
      </c>
      <c r="J89" s="222">
        <v>2000.0</v>
      </c>
      <c r="K89" s="222">
        <v>0.0</v>
      </c>
      <c r="L89" s="223">
        <v>46351.0</v>
      </c>
      <c r="M89" s="223">
        <v>46381.0</v>
      </c>
      <c r="N89" s="220">
        <v>1.0</v>
      </c>
      <c r="O89" s="220">
        <v>-150.0</v>
      </c>
      <c r="P89" s="220">
        <v>180.0</v>
      </c>
      <c r="Q89" s="238">
        <v>46052.0</v>
      </c>
      <c r="R89" s="196" t="s">
        <v>1072</v>
      </c>
      <c r="S89" s="227" t="s">
        <v>1073</v>
      </c>
      <c r="T89" s="220">
        <v>671.0</v>
      </c>
      <c r="U89" s="198"/>
    </row>
    <row r="90" ht="22.5" customHeight="1">
      <c r="A90" s="199"/>
      <c r="B90" s="212" t="s">
        <v>915</v>
      </c>
      <c r="C90" s="214" t="s">
        <v>1074</v>
      </c>
      <c r="D90" s="214" t="s">
        <v>916</v>
      </c>
      <c r="E90" s="212" t="s">
        <v>17</v>
      </c>
      <c r="F90" s="215">
        <v>3.0</v>
      </c>
      <c r="G90" s="224">
        <v>0.25</v>
      </c>
      <c r="H90" s="237" t="s">
        <v>917</v>
      </c>
      <c r="I90" s="216">
        <v>9000.0</v>
      </c>
      <c r="J90" s="216">
        <v>9000.0</v>
      </c>
      <c r="K90" s="216">
        <v>0.0</v>
      </c>
      <c r="L90" s="217">
        <v>46327.0</v>
      </c>
      <c r="M90" s="217">
        <v>46357.0</v>
      </c>
      <c r="N90" s="215">
        <v>1.0</v>
      </c>
      <c r="O90" s="215">
        <v>-174.0</v>
      </c>
      <c r="P90" s="215">
        <v>204.0</v>
      </c>
      <c r="Q90" s="232">
        <v>46064.0</v>
      </c>
      <c r="R90" s="218" t="s">
        <v>1075</v>
      </c>
      <c r="S90" s="225" t="s">
        <v>1076</v>
      </c>
      <c r="T90" s="215">
        <v>672.0</v>
      </c>
      <c r="U90" s="204"/>
    </row>
    <row r="91" ht="22.5" customHeight="1">
      <c r="A91" s="205"/>
      <c r="B91" s="193" t="s">
        <v>153</v>
      </c>
      <c r="C91" s="219" t="s">
        <v>684</v>
      </c>
      <c r="D91" s="194" t="s">
        <v>1077</v>
      </c>
      <c r="E91" s="193" t="s">
        <v>108</v>
      </c>
      <c r="F91" s="195" t="s">
        <v>1078</v>
      </c>
      <c r="G91" s="221"/>
      <c r="H91" s="222">
        <v>25.0</v>
      </c>
      <c r="I91" s="222">
        <v>600.0</v>
      </c>
      <c r="J91" s="207"/>
      <c r="K91" s="207"/>
      <c r="L91" s="223">
        <v>46352.0</v>
      </c>
      <c r="M91" s="223">
        <v>46382.0</v>
      </c>
      <c r="N91" s="150"/>
      <c r="O91" s="220">
        <v>-149.0</v>
      </c>
      <c r="P91" s="220">
        <v>179.0</v>
      </c>
      <c r="Q91" s="209"/>
      <c r="R91" s="196" t="s">
        <v>1079</v>
      </c>
      <c r="S91" s="45"/>
      <c r="T91" s="220">
        <v>673.0</v>
      </c>
      <c r="U91" s="198"/>
    </row>
    <row r="92" ht="22.5" customHeight="1">
      <c r="A92" s="211" t="s">
        <v>1081</v>
      </c>
      <c r="B92" s="212" t="s">
        <v>402</v>
      </c>
      <c r="C92" s="213" t="s">
        <v>136</v>
      </c>
      <c r="D92" s="214" t="s">
        <v>884</v>
      </c>
      <c r="E92" s="212" t="s">
        <v>15</v>
      </c>
      <c r="F92" s="215">
        <v>3.0</v>
      </c>
      <c r="G92" s="147"/>
      <c r="H92" s="216">
        <v>200.0</v>
      </c>
      <c r="I92" s="216">
        <v>600.0</v>
      </c>
      <c r="J92" s="216">
        <v>14043.29</v>
      </c>
      <c r="K92" s="216">
        <v>0.0</v>
      </c>
      <c r="L92" s="217">
        <v>46315.0</v>
      </c>
      <c r="M92" s="217">
        <v>46346.0</v>
      </c>
      <c r="N92" s="215">
        <v>1.0</v>
      </c>
      <c r="O92" s="215">
        <v>-185.0</v>
      </c>
      <c r="P92" s="215">
        <v>215.0</v>
      </c>
      <c r="Q92" s="232">
        <v>46323.0</v>
      </c>
      <c r="R92" s="218" t="s">
        <v>1082</v>
      </c>
      <c r="S92" s="225" t="s">
        <v>1083</v>
      </c>
      <c r="T92" s="215">
        <v>644.0</v>
      </c>
      <c r="U92" s="204"/>
    </row>
    <row r="93" ht="22.5" customHeight="1">
      <c r="A93" s="192" t="s">
        <v>1084</v>
      </c>
      <c r="B93" s="193" t="s">
        <v>454</v>
      </c>
      <c r="C93" s="226" t="s">
        <v>136</v>
      </c>
      <c r="D93" s="194" t="s">
        <v>886</v>
      </c>
      <c r="E93" s="193" t="s">
        <v>17</v>
      </c>
      <c r="F93" s="220">
        <v>3.0</v>
      </c>
      <c r="G93" s="150"/>
      <c r="H93" s="222">
        <v>3000.0</v>
      </c>
      <c r="I93" s="222">
        <v>5000.0</v>
      </c>
      <c r="J93" s="222">
        <v>5000.0</v>
      </c>
      <c r="K93" s="222">
        <v>0.0</v>
      </c>
      <c r="L93" s="223">
        <v>46311.0</v>
      </c>
      <c r="M93" s="223">
        <v>46342.0</v>
      </c>
      <c r="N93" s="220">
        <v>1.0</v>
      </c>
      <c r="O93" s="220">
        <v>-189.0</v>
      </c>
      <c r="P93" s="220">
        <v>219.0</v>
      </c>
      <c r="Q93" s="238">
        <v>46355.0</v>
      </c>
      <c r="R93" s="196" t="s">
        <v>1085</v>
      </c>
      <c r="S93" s="227" t="s">
        <v>1086</v>
      </c>
      <c r="T93" s="220">
        <v>645.0</v>
      </c>
      <c r="U93" s="198"/>
    </row>
    <row r="94" ht="22.5" customHeight="1">
      <c r="A94" s="211" t="s">
        <v>1087</v>
      </c>
      <c r="B94" s="212" t="s">
        <v>414</v>
      </c>
      <c r="C94" s="213" t="s">
        <v>136</v>
      </c>
      <c r="D94" s="214" t="s">
        <v>888</v>
      </c>
      <c r="E94" s="212" t="s">
        <v>17</v>
      </c>
      <c r="F94" s="215">
        <v>3.0</v>
      </c>
      <c r="G94" s="215">
        <v>0.375</v>
      </c>
      <c r="H94" s="216">
        <v>4000.0</v>
      </c>
      <c r="I94" s="216">
        <v>7500.0</v>
      </c>
      <c r="J94" s="216">
        <v>7500.0</v>
      </c>
      <c r="K94" s="216">
        <v>7500.0</v>
      </c>
      <c r="L94" s="217">
        <v>46296.0</v>
      </c>
      <c r="M94" s="217">
        <v>46327.0</v>
      </c>
      <c r="N94" s="215">
        <v>0.0</v>
      </c>
      <c r="O94" s="215">
        <v>-204.0</v>
      </c>
      <c r="P94" s="215">
        <v>234.0</v>
      </c>
      <c r="Q94" s="203"/>
      <c r="R94" s="218" t="s">
        <v>1088</v>
      </c>
      <c r="S94" s="225" t="s">
        <v>1089</v>
      </c>
      <c r="T94" s="215">
        <v>646.0</v>
      </c>
      <c r="U94" s="204"/>
    </row>
    <row r="95" ht="22.5" customHeight="1">
      <c r="A95" s="192" t="s">
        <v>1090</v>
      </c>
      <c r="B95" s="193" t="s">
        <v>460</v>
      </c>
      <c r="C95" s="226" t="s">
        <v>136</v>
      </c>
      <c r="D95" s="194" t="s">
        <v>964</v>
      </c>
      <c r="E95" s="193" t="s">
        <v>17</v>
      </c>
      <c r="F95" s="220">
        <v>1.0</v>
      </c>
      <c r="G95" s="150"/>
      <c r="H95" s="222">
        <v>4000.0</v>
      </c>
      <c r="I95" s="222">
        <v>4000.0</v>
      </c>
      <c r="J95" s="222">
        <v>4000.0</v>
      </c>
      <c r="K95" s="222">
        <v>0.0</v>
      </c>
      <c r="L95" s="223">
        <v>46313.0</v>
      </c>
      <c r="M95" s="223">
        <v>46344.0</v>
      </c>
      <c r="N95" s="220">
        <v>1.0</v>
      </c>
      <c r="O95" s="220">
        <v>-187.0</v>
      </c>
      <c r="P95" s="220">
        <v>217.0</v>
      </c>
      <c r="Q95" s="238">
        <v>46356.0</v>
      </c>
      <c r="R95" s="196" t="s">
        <v>1091</v>
      </c>
      <c r="S95" s="227" t="s">
        <v>1092</v>
      </c>
      <c r="T95" s="220">
        <v>647.0</v>
      </c>
      <c r="U95" s="198"/>
    </row>
    <row r="96" ht="22.5" customHeight="1">
      <c r="A96" s="199"/>
      <c r="B96" s="212" t="s">
        <v>301</v>
      </c>
      <c r="C96" s="214" t="s">
        <v>694</v>
      </c>
      <c r="D96" s="214" t="s">
        <v>895</v>
      </c>
      <c r="E96" s="212" t="s">
        <v>17</v>
      </c>
      <c r="F96" s="215">
        <v>6.35</v>
      </c>
      <c r="G96" s="147"/>
      <c r="H96" s="216">
        <v>1250.0</v>
      </c>
      <c r="I96" s="216">
        <v>7937.5</v>
      </c>
      <c r="J96" s="201"/>
      <c r="K96" s="201"/>
      <c r="L96" s="217">
        <v>46313.0</v>
      </c>
      <c r="M96" s="217">
        <v>46344.0</v>
      </c>
      <c r="N96" s="147"/>
      <c r="O96" s="215">
        <v>-187.0</v>
      </c>
      <c r="P96" s="215">
        <v>217.0</v>
      </c>
      <c r="Q96" s="203"/>
      <c r="R96" s="218" t="s">
        <v>1093</v>
      </c>
      <c r="S96" s="186"/>
      <c r="T96" s="215">
        <v>648.0</v>
      </c>
      <c r="U96" s="204"/>
    </row>
    <row r="97" ht="22.5" customHeight="1">
      <c r="A97" s="192" t="s">
        <v>1094</v>
      </c>
      <c r="B97" s="193" t="s">
        <v>147</v>
      </c>
      <c r="C97" s="226" t="s">
        <v>136</v>
      </c>
      <c r="D97" s="194" t="s">
        <v>1030</v>
      </c>
      <c r="E97" s="193" t="s">
        <v>19</v>
      </c>
      <c r="F97" s="195" t="s">
        <v>1095</v>
      </c>
      <c r="G97" s="220">
        <v>0.1</v>
      </c>
      <c r="H97" s="222">
        <v>15.0</v>
      </c>
      <c r="I97" s="222">
        <v>222.75</v>
      </c>
      <c r="J97" s="222">
        <v>26403.27</v>
      </c>
      <c r="K97" s="222">
        <v>26403.27</v>
      </c>
      <c r="L97" s="223">
        <v>46306.0</v>
      </c>
      <c r="M97" s="223">
        <v>46337.0</v>
      </c>
      <c r="N97" s="220">
        <v>0.0</v>
      </c>
      <c r="O97" s="220">
        <v>-194.0</v>
      </c>
      <c r="P97" s="220">
        <v>224.0</v>
      </c>
      <c r="Q97" s="238">
        <v>46052.0</v>
      </c>
      <c r="R97" s="196" t="s">
        <v>1096</v>
      </c>
      <c r="S97" s="227" t="s">
        <v>1097</v>
      </c>
      <c r="T97" s="220">
        <v>649.0</v>
      </c>
      <c r="U97" s="198"/>
    </row>
    <row r="98" ht="22.5" customHeight="1">
      <c r="A98" s="199"/>
      <c r="B98" s="212" t="s">
        <v>184</v>
      </c>
      <c r="C98" s="231" t="s">
        <v>684</v>
      </c>
      <c r="D98" s="214" t="s">
        <v>1098</v>
      </c>
      <c r="E98" s="212" t="s">
        <v>15</v>
      </c>
      <c r="F98" s="228" t="s">
        <v>1099</v>
      </c>
      <c r="G98" s="147"/>
      <c r="H98" s="216">
        <v>40.0</v>
      </c>
      <c r="I98" s="216">
        <v>160.0</v>
      </c>
      <c r="J98" s="201"/>
      <c r="K98" s="201"/>
      <c r="L98" s="217">
        <v>46299.0</v>
      </c>
      <c r="M98" s="217">
        <v>46330.0</v>
      </c>
      <c r="N98" s="147"/>
      <c r="O98" s="215">
        <v>-201.0</v>
      </c>
      <c r="P98" s="215">
        <v>231.0</v>
      </c>
      <c r="Q98" s="203"/>
      <c r="R98" s="218" t="s">
        <v>1100</v>
      </c>
      <c r="S98" s="186"/>
      <c r="T98" s="215">
        <v>650.0</v>
      </c>
      <c r="U98" s="204"/>
    </row>
    <row r="99" ht="22.5" customHeight="1">
      <c r="A99" s="205"/>
      <c r="B99" s="193" t="s">
        <v>470</v>
      </c>
      <c r="C99" s="194" t="s">
        <v>1003</v>
      </c>
      <c r="D99" s="194" t="s">
        <v>1004</v>
      </c>
      <c r="E99" s="193" t="s">
        <v>15</v>
      </c>
      <c r="F99" s="220">
        <v>1.0</v>
      </c>
      <c r="G99" s="150"/>
      <c r="H99" s="222">
        <v>26000.0</v>
      </c>
      <c r="I99" s="222">
        <v>26000.0</v>
      </c>
      <c r="J99" s="207"/>
      <c r="K99" s="207"/>
      <c r="L99" s="223">
        <v>46299.0</v>
      </c>
      <c r="M99" s="223">
        <v>46330.0</v>
      </c>
      <c r="N99" s="150"/>
      <c r="O99" s="220">
        <v>-201.0</v>
      </c>
      <c r="P99" s="220">
        <v>231.0</v>
      </c>
      <c r="Q99" s="209"/>
      <c r="R99" s="196" t="s">
        <v>1101</v>
      </c>
      <c r="S99" s="45"/>
      <c r="T99" s="220">
        <v>651.0</v>
      </c>
      <c r="U99" s="198"/>
    </row>
    <row r="100" ht="22.5" customHeight="1">
      <c r="A100" s="199"/>
      <c r="B100" s="212" t="s">
        <v>189</v>
      </c>
      <c r="C100" s="229" t="s">
        <v>685</v>
      </c>
      <c r="D100" s="214" t="s">
        <v>904</v>
      </c>
      <c r="E100" s="212" t="s">
        <v>15</v>
      </c>
      <c r="F100" s="215">
        <v>4.0</v>
      </c>
      <c r="G100" s="147"/>
      <c r="H100" s="216">
        <v>4000.0</v>
      </c>
      <c r="I100" s="216">
        <v>16000.0</v>
      </c>
      <c r="J100" s="201"/>
      <c r="K100" s="201"/>
      <c r="L100" s="217">
        <v>46311.0</v>
      </c>
      <c r="M100" s="217">
        <v>46342.0</v>
      </c>
      <c r="N100" s="147"/>
      <c r="O100" s="215">
        <v>-189.0</v>
      </c>
      <c r="P100" s="215">
        <v>219.0</v>
      </c>
      <c r="Q100" s="203"/>
      <c r="R100" s="218" t="s">
        <v>1102</v>
      </c>
      <c r="S100" s="186"/>
      <c r="T100" s="215">
        <v>652.0</v>
      </c>
      <c r="U100" s="204"/>
    </row>
    <row r="101" ht="22.5" customHeight="1">
      <c r="A101" s="192" t="s">
        <v>1103</v>
      </c>
      <c r="B101" s="193" t="s">
        <v>438</v>
      </c>
      <c r="C101" s="226" t="s">
        <v>136</v>
      </c>
      <c r="D101" s="194" t="s">
        <v>906</v>
      </c>
      <c r="E101" s="193" t="s">
        <v>17</v>
      </c>
      <c r="F101" s="220">
        <v>4.0</v>
      </c>
      <c r="G101" s="220">
        <v>0.25</v>
      </c>
      <c r="H101" s="222">
        <v>8000.0</v>
      </c>
      <c r="I101" s="222">
        <v>24000.0</v>
      </c>
      <c r="J101" s="222">
        <v>24000.0</v>
      </c>
      <c r="K101" s="222">
        <v>0.0</v>
      </c>
      <c r="L101" s="223">
        <v>46320.0</v>
      </c>
      <c r="M101" s="223">
        <v>46351.0</v>
      </c>
      <c r="N101" s="220">
        <v>1.0</v>
      </c>
      <c r="O101" s="220">
        <v>-180.0</v>
      </c>
      <c r="P101" s="220">
        <v>210.0</v>
      </c>
      <c r="Q101" s="238">
        <v>46366.0</v>
      </c>
      <c r="R101" s="196" t="s">
        <v>1104</v>
      </c>
      <c r="S101" s="227" t="s">
        <v>1105</v>
      </c>
      <c r="T101" s="220">
        <v>653.0</v>
      </c>
      <c r="U101" s="198"/>
    </row>
    <row r="102" ht="22.5" customHeight="1">
      <c r="A102" s="211" t="s">
        <v>1106</v>
      </c>
      <c r="B102" s="212" t="s">
        <v>440</v>
      </c>
      <c r="C102" s="213" t="s">
        <v>136</v>
      </c>
      <c r="D102" s="214" t="s">
        <v>908</v>
      </c>
      <c r="E102" s="212" t="s">
        <v>19</v>
      </c>
      <c r="F102" s="228" t="s">
        <v>1107</v>
      </c>
      <c r="G102" s="147"/>
      <c r="H102" s="216">
        <v>15.0</v>
      </c>
      <c r="I102" s="216">
        <v>164.85</v>
      </c>
      <c r="J102" s="216">
        <v>19259.56</v>
      </c>
      <c r="K102" s="216">
        <v>0.0</v>
      </c>
      <c r="L102" s="217">
        <v>46320.0</v>
      </c>
      <c r="M102" s="217">
        <v>46351.0</v>
      </c>
      <c r="N102" s="215">
        <v>1.0</v>
      </c>
      <c r="O102" s="215">
        <v>-180.0</v>
      </c>
      <c r="P102" s="215">
        <v>210.0</v>
      </c>
      <c r="Q102" s="232">
        <v>46343.0</v>
      </c>
      <c r="R102" s="218" t="s">
        <v>1108</v>
      </c>
      <c r="S102" s="225" t="s">
        <v>1109</v>
      </c>
      <c r="T102" s="215">
        <v>654.0</v>
      </c>
      <c r="U102" s="204"/>
    </row>
    <row r="103" ht="22.5" customHeight="1">
      <c r="A103" s="205"/>
      <c r="B103" s="193" t="s">
        <v>186</v>
      </c>
      <c r="C103" s="242" t="s">
        <v>685</v>
      </c>
      <c r="D103" s="194" t="s">
        <v>1012</v>
      </c>
      <c r="E103" s="193" t="s">
        <v>187</v>
      </c>
      <c r="F103" s="220">
        <v>2.0</v>
      </c>
      <c r="G103" s="150"/>
      <c r="H103" s="222">
        <v>200.0</v>
      </c>
      <c r="I103" s="222">
        <v>400.0</v>
      </c>
      <c r="J103" s="207"/>
      <c r="K103" s="207"/>
      <c r="L103" s="223">
        <v>46296.0</v>
      </c>
      <c r="M103" s="223">
        <v>46327.0</v>
      </c>
      <c r="N103" s="150"/>
      <c r="O103" s="220">
        <v>-204.0</v>
      </c>
      <c r="P103" s="220">
        <v>234.0</v>
      </c>
      <c r="Q103" s="209"/>
      <c r="R103" s="196" t="s">
        <v>1110</v>
      </c>
      <c r="S103" s="45"/>
      <c r="T103" s="220">
        <v>655.0</v>
      </c>
      <c r="U103" s="198"/>
    </row>
    <row r="104" ht="22.5" customHeight="1">
      <c r="A104" s="199"/>
      <c r="B104" s="212" t="s">
        <v>160</v>
      </c>
      <c r="C104" s="213" t="s">
        <v>136</v>
      </c>
      <c r="D104" s="214" t="s">
        <v>913</v>
      </c>
      <c r="E104" s="212" t="s">
        <v>17</v>
      </c>
      <c r="F104" s="215">
        <v>1.0</v>
      </c>
      <c r="G104" s="147"/>
      <c r="H104" s="216">
        <v>2000.0</v>
      </c>
      <c r="I104" s="216">
        <v>2000.0</v>
      </c>
      <c r="J104" s="216">
        <v>2000.0</v>
      </c>
      <c r="K104" s="216">
        <v>0.0</v>
      </c>
      <c r="L104" s="217">
        <v>46320.0</v>
      </c>
      <c r="M104" s="217">
        <v>46351.0</v>
      </c>
      <c r="N104" s="215">
        <v>1.0</v>
      </c>
      <c r="O104" s="215">
        <v>-180.0</v>
      </c>
      <c r="P104" s="215">
        <v>210.0</v>
      </c>
      <c r="Q104" s="232">
        <v>46343.0</v>
      </c>
      <c r="R104" s="218" t="s">
        <v>1111</v>
      </c>
      <c r="S104" s="225" t="s">
        <v>1112</v>
      </c>
      <c r="T104" s="215">
        <v>656.0</v>
      </c>
      <c r="U104" s="204"/>
    </row>
    <row r="105" ht="22.5" customHeight="1">
      <c r="A105" s="205"/>
      <c r="B105" s="193" t="s">
        <v>915</v>
      </c>
      <c r="C105" s="194" t="s">
        <v>1074</v>
      </c>
      <c r="D105" s="194" t="s">
        <v>916</v>
      </c>
      <c r="E105" s="193" t="s">
        <v>17</v>
      </c>
      <c r="F105" s="220">
        <v>3.0</v>
      </c>
      <c r="G105" s="220">
        <v>0.25</v>
      </c>
      <c r="H105" s="197" t="s">
        <v>917</v>
      </c>
      <c r="I105" s="222">
        <v>9000.0</v>
      </c>
      <c r="J105" s="222">
        <v>9000.0</v>
      </c>
      <c r="K105" s="222">
        <v>0.0</v>
      </c>
      <c r="L105" s="223">
        <v>46296.0</v>
      </c>
      <c r="M105" s="223">
        <v>46327.0</v>
      </c>
      <c r="N105" s="220">
        <v>1.0</v>
      </c>
      <c r="O105" s="220">
        <v>-204.0</v>
      </c>
      <c r="P105" s="220">
        <v>234.0</v>
      </c>
      <c r="Q105" s="238">
        <v>46064.0</v>
      </c>
      <c r="R105" s="196" t="s">
        <v>1113</v>
      </c>
      <c r="S105" s="227" t="s">
        <v>1114</v>
      </c>
      <c r="T105" s="220">
        <v>657.0</v>
      </c>
      <c r="U105" s="198"/>
    </row>
    <row r="106" ht="22.5" customHeight="1">
      <c r="A106" s="199"/>
      <c r="B106" s="212" t="s">
        <v>153</v>
      </c>
      <c r="C106" s="231" t="s">
        <v>684</v>
      </c>
      <c r="D106" s="214" t="s">
        <v>1077</v>
      </c>
      <c r="E106" s="212" t="s">
        <v>108</v>
      </c>
      <c r="F106" s="228" t="s">
        <v>1078</v>
      </c>
      <c r="G106" s="147"/>
      <c r="H106" s="216">
        <v>25.0</v>
      </c>
      <c r="I106" s="216">
        <v>600.0</v>
      </c>
      <c r="J106" s="201"/>
      <c r="K106" s="201"/>
      <c r="L106" s="217">
        <v>46321.0</v>
      </c>
      <c r="M106" s="217">
        <v>46352.0</v>
      </c>
      <c r="N106" s="147"/>
      <c r="O106" s="215">
        <v>-179.0</v>
      </c>
      <c r="P106" s="215">
        <v>209.0</v>
      </c>
      <c r="Q106" s="203"/>
      <c r="R106" s="218" t="s">
        <v>1115</v>
      </c>
      <c r="S106" s="186"/>
      <c r="T106" s="215">
        <v>658.0</v>
      </c>
      <c r="U106" s="204"/>
    </row>
    <row r="107" ht="22.5" customHeight="1">
      <c r="A107" s="192" t="s">
        <v>1117</v>
      </c>
      <c r="B107" s="193" t="s">
        <v>402</v>
      </c>
      <c r="C107" s="226" t="s">
        <v>136</v>
      </c>
      <c r="D107" s="194" t="s">
        <v>884</v>
      </c>
      <c r="E107" s="193" t="s">
        <v>15</v>
      </c>
      <c r="F107" s="220">
        <v>2.0</v>
      </c>
      <c r="G107" s="150"/>
      <c r="H107" s="222">
        <v>200.0</v>
      </c>
      <c r="I107" s="222">
        <v>400.0</v>
      </c>
      <c r="J107" s="222">
        <v>9496.92</v>
      </c>
      <c r="K107" s="222">
        <v>0.0</v>
      </c>
      <c r="L107" s="223">
        <v>46285.0</v>
      </c>
      <c r="M107" s="223">
        <v>46315.0</v>
      </c>
      <c r="N107" s="220">
        <v>1.0</v>
      </c>
      <c r="O107" s="220">
        <v>-216.0</v>
      </c>
      <c r="P107" s="220">
        <v>246.0</v>
      </c>
      <c r="Q107" s="238">
        <v>46293.0</v>
      </c>
      <c r="R107" s="196" t="s">
        <v>1118</v>
      </c>
      <c r="S107" s="227" t="s">
        <v>1119</v>
      </c>
      <c r="T107" s="220">
        <v>629.0</v>
      </c>
      <c r="U107" s="198"/>
    </row>
    <row r="108" ht="22.5" customHeight="1">
      <c r="A108" s="211" t="s">
        <v>1120</v>
      </c>
      <c r="B108" s="212" t="s">
        <v>454</v>
      </c>
      <c r="C108" s="213" t="s">
        <v>136</v>
      </c>
      <c r="D108" s="214" t="s">
        <v>886</v>
      </c>
      <c r="E108" s="212" t="s">
        <v>17</v>
      </c>
      <c r="F108" s="215">
        <v>3.0</v>
      </c>
      <c r="G108" s="147"/>
      <c r="H108" s="216">
        <v>3000.0</v>
      </c>
      <c r="I108" s="216">
        <v>9000.0</v>
      </c>
      <c r="J108" s="216">
        <v>9000.0</v>
      </c>
      <c r="K108" s="216">
        <v>0.0</v>
      </c>
      <c r="L108" s="217">
        <v>46281.0</v>
      </c>
      <c r="M108" s="217">
        <v>46311.0</v>
      </c>
      <c r="N108" s="215">
        <v>1.0</v>
      </c>
      <c r="O108" s="215">
        <v>-220.0</v>
      </c>
      <c r="P108" s="215">
        <v>250.0</v>
      </c>
      <c r="Q108" s="232">
        <v>46283.0</v>
      </c>
      <c r="R108" s="218" t="s">
        <v>1121</v>
      </c>
      <c r="S108" s="225" t="s">
        <v>1122</v>
      </c>
      <c r="T108" s="215">
        <v>630.0</v>
      </c>
      <c r="U108" s="204"/>
    </row>
    <row r="109" ht="22.5" customHeight="1">
      <c r="A109" s="192" t="s">
        <v>1123</v>
      </c>
      <c r="B109" s="193" t="s">
        <v>414</v>
      </c>
      <c r="C109" s="226" t="s">
        <v>136</v>
      </c>
      <c r="D109" s="194" t="s">
        <v>888</v>
      </c>
      <c r="E109" s="193" t="s">
        <v>17</v>
      </c>
      <c r="F109" s="220">
        <v>3.0</v>
      </c>
      <c r="G109" s="220">
        <v>0.375</v>
      </c>
      <c r="H109" s="222">
        <v>4000.0</v>
      </c>
      <c r="I109" s="222">
        <v>7500.0</v>
      </c>
      <c r="J109" s="222">
        <v>7500.0</v>
      </c>
      <c r="K109" s="222">
        <v>3438.0</v>
      </c>
      <c r="L109" s="223">
        <v>46266.0</v>
      </c>
      <c r="M109" s="223">
        <v>46296.0</v>
      </c>
      <c r="N109" s="220">
        <v>0.0</v>
      </c>
      <c r="O109" s="220">
        <v>-235.0</v>
      </c>
      <c r="P109" s="220">
        <v>265.0</v>
      </c>
      <c r="Q109" s="238">
        <v>46042.0</v>
      </c>
      <c r="R109" s="196" t="s">
        <v>1124</v>
      </c>
      <c r="S109" s="227" t="s">
        <v>1125</v>
      </c>
      <c r="T109" s="220">
        <v>631.0</v>
      </c>
      <c r="U109" s="198"/>
    </row>
    <row r="110" ht="22.5" customHeight="1">
      <c r="A110" s="211" t="s">
        <v>1117</v>
      </c>
      <c r="B110" s="212" t="s">
        <v>460</v>
      </c>
      <c r="C110" s="213" t="s">
        <v>136</v>
      </c>
      <c r="D110" s="214" t="s">
        <v>964</v>
      </c>
      <c r="E110" s="212" t="s">
        <v>17</v>
      </c>
      <c r="F110" s="215">
        <v>1.0</v>
      </c>
      <c r="G110" s="147"/>
      <c r="H110" s="216">
        <v>4000.0</v>
      </c>
      <c r="I110" s="216">
        <v>4000.0</v>
      </c>
      <c r="J110" s="216">
        <v>4000.0</v>
      </c>
      <c r="K110" s="216">
        <v>0.0</v>
      </c>
      <c r="L110" s="217">
        <v>46283.0</v>
      </c>
      <c r="M110" s="217">
        <v>46313.0</v>
      </c>
      <c r="N110" s="215">
        <v>1.0</v>
      </c>
      <c r="O110" s="215">
        <v>-218.0</v>
      </c>
      <c r="P110" s="215">
        <v>248.0</v>
      </c>
      <c r="Q110" s="232">
        <v>46286.0</v>
      </c>
      <c r="R110" s="218" t="s">
        <v>1126</v>
      </c>
      <c r="S110" s="225" t="s">
        <v>1127</v>
      </c>
      <c r="T110" s="215">
        <v>632.0</v>
      </c>
      <c r="U110" s="204"/>
    </row>
    <row r="111" ht="22.5" customHeight="1">
      <c r="A111" s="205"/>
      <c r="B111" s="193" t="s">
        <v>301</v>
      </c>
      <c r="C111" s="194" t="s">
        <v>694</v>
      </c>
      <c r="D111" s="194" t="s">
        <v>895</v>
      </c>
      <c r="E111" s="193" t="s">
        <v>17</v>
      </c>
      <c r="F111" s="220">
        <v>6.35</v>
      </c>
      <c r="G111" s="150"/>
      <c r="H111" s="222">
        <v>1250.0</v>
      </c>
      <c r="I111" s="222">
        <v>7937.5</v>
      </c>
      <c r="J111" s="207"/>
      <c r="K111" s="207"/>
      <c r="L111" s="223">
        <v>46283.0</v>
      </c>
      <c r="M111" s="223">
        <v>46313.0</v>
      </c>
      <c r="N111" s="150"/>
      <c r="O111" s="220">
        <v>-218.0</v>
      </c>
      <c r="P111" s="220">
        <v>248.0</v>
      </c>
      <c r="Q111" s="209"/>
      <c r="R111" s="196" t="s">
        <v>1128</v>
      </c>
      <c r="S111" s="45"/>
      <c r="T111" s="220">
        <v>633.0</v>
      </c>
      <c r="U111" s="198"/>
    </row>
    <row r="112" ht="22.5" customHeight="1">
      <c r="A112" s="211" t="s">
        <v>1129</v>
      </c>
      <c r="B112" s="212" t="s">
        <v>147</v>
      </c>
      <c r="C112" s="214" t="s">
        <v>1130</v>
      </c>
      <c r="D112" s="214" t="s">
        <v>1030</v>
      </c>
      <c r="E112" s="212" t="s">
        <v>19</v>
      </c>
      <c r="F112" s="228" t="s">
        <v>1131</v>
      </c>
      <c r="G112" s="147"/>
      <c r="H112" s="216">
        <v>15.0</v>
      </c>
      <c r="I112" s="216">
        <v>333.75</v>
      </c>
      <c r="J112" s="216">
        <v>39996.37</v>
      </c>
      <c r="K112" s="216">
        <v>0.0</v>
      </c>
      <c r="L112" s="217">
        <v>46276.0</v>
      </c>
      <c r="M112" s="217">
        <v>46306.0</v>
      </c>
      <c r="N112" s="215">
        <v>1.0</v>
      </c>
      <c r="O112" s="215">
        <v>-225.0</v>
      </c>
      <c r="P112" s="215">
        <v>255.0</v>
      </c>
      <c r="Q112" s="218" t="s">
        <v>1132</v>
      </c>
      <c r="R112" s="218" t="s">
        <v>1133</v>
      </c>
      <c r="S112" s="225" t="s">
        <v>1134</v>
      </c>
      <c r="T112" s="215">
        <v>634.0</v>
      </c>
      <c r="U112" s="204"/>
    </row>
    <row r="113" ht="22.5" customHeight="1">
      <c r="A113" s="205"/>
      <c r="B113" s="193" t="s">
        <v>184</v>
      </c>
      <c r="C113" s="219" t="s">
        <v>684</v>
      </c>
      <c r="D113" s="194" t="s">
        <v>1098</v>
      </c>
      <c r="E113" s="193" t="s">
        <v>15</v>
      </c>
      <c r="F113" s="195" t="s">
        <v>1099</v>
      </c>
      <c r="G113" s="150"/>
      <c r="H113" s="222">
        <v>40.0</v>
      </c>
      <c r="I113" s="222">
        <v>160.0</v>
      </c>
      <c r="J113" s="207"/>
      <c r="K113" s="207"/>
      <c r="L113" s="223">
        <v>46269.0</v>
      </c>
      <c r="M113" s="223">
        <v>46299.0</v>
      </c>
      <c r="N113" s="150"/>
      <c r="O113" s="220">
        <v>-232.0</v>
      </c>
      <c r="P113" s="220">
        <v>262.0</v>
      </c>
      <c r="Q113" s="209"/>
      <c r="R113" s="196" t="s">
        <v>1135</v>
      </c>
      <c r="S113" s="45"/>
      <c r="T113" s="220">
        <v>635.0</v>
      </c>
      <c r="U113" s="198"/>
    </row>
    <row r="114" ht="22.5" customHeight="1">
      <c r="A114" s="211" t="s">
        <v>1136</v>
      </c>
      <c r="B114" s="212" t="s">
        <v>291</v>
      </c>
      <c r="C114" s="214" t="s">
        <v>1130</v>
      </c>
      <c r="D114" s="214" t="s">
        <v>1004</v>
      </c>
      <c r="E114" s="212" t="s">
        <v>17</v>
      </c>
      <c r="F114" s="215">
        <v>1.0</v>
      </c>
      <c r="G114" s="147"/>
      <c r="H114" s="216">
        <v>26000.0</v>
      </c>
      <c r="I114" s="216">
        <v>26000.0</v>
      </c>
      <c r="J114" s="201"/>
      <c r="K114" s="201"/>
      <c r="L114" s="217">
        <v>46269.0</v>
      </c>
      <c r="M114" s="217">
        <v>46299.0</v>
      </c>
      <c r="N114" s="147"/>
      <c r="O114" s="215">
        <v>-232.0</v>
      </c>
      <c r="P114" s="215">
        <v>262.0</v>
      </c>
      <c r="Q114" s="203"/>
      <c r="R114" s="218" t="s">
        <v>1137</v>
      </c>
      <c r="S114" s="225" t="s">
        <v>1138</v>
      </c>
      <c r="T114" s="215">
        <v>636.0</v>
      </c>
      <c r="U114" s="204"/>
    </row>
    <row r="115" ht="22.5" customHeight="1">
      <c r="A115" s="192" t="s">
        <v>1139</v>
      </c>
      <c r="B115" s="193" t="s">
        <v>450</v>
      </c>
      <c r="C115" s="194" t="s">
        <v>693</v>
      </c>
      <c r="D115" s="194" t="s">
        <v>1140</v>
      </c>
      <c r="E115" s="193" t="s">
        <v>17</v>
      </c>
      <c r="F115" s="220">
        <v>2.0</v>
      </c>
      <c r="G115" s="150"/>
      <c r="H115" s="222">
        <v>4000.0</v>
      </c>
      <c r="I115" s="222">
        <v>8000.0</v>
      </c>
      <c r="J115" s="207"/>
      <c r="K115" s="207"/>
      <c r="L115" s="223">
        <v>46281.0</v>
      </c>
      <c r="M115" s="223">
        <v>46311.0</v>
      </c>
      <c r="N115" s="150"/>
      <c r="O115" s="220">
        <v>-220.0</v>
      </c>
      <c r="P115" s="220">
        <v>250.0</v>
      </c>
      <c r="Q115" s="209"/>
      <c r="R115" s="196" t="s">
        <v>1141</v>
      </c>
      <c r="S115" s="45"/>
      <c r="T115" s="220">
        <v>637.0</v>
      </c>
      <c r="U115" s="198"/>
    </row>
    <row r="116" ht="22.5" customHeight="1">
      <c r="A116" s="211" t="s">
        <v>1142</v>
      </c>
      <c r="B116" s="212" t="s">
        <v>438</v>
      </c>
      <c r="C116" s="213" t="s">
        <v>136</v>
      </c>
      <c r="D116" s="214" t="s">
        <v>906</v>
      </c>
      <c r="E116" s="212" t="s">
        <v>17</v>
      </c>
      <c r="F116" s="215">
        <v>4.0</v>
      </c>
      <c r="G116" s="215">
        <v>0.25</v>
      </c>
      <c r="H116" s="216">
        <v>8000.0</v>
      </c>
      <c r="I116" s="216">
        <v>24000.0</v>
      </c>
      <c r="J116" s="216">
        <v>24000.0</v>
      </c>
      <c r="K116" s="216">
        <v>0.0</v>
      </c>
      <c r="L116" s="217">
        <v>46290.0</v>
      </c>
      <c r="M116" s="217">
        <v>46320.0</v>
      </c>
      <c r="N116" s="215">
        <v>1.0</v>
      </c>
      <c r="O116" s="215">
        <v>-211.0</v>
      </c>
      <c r="P116" s="215">
        <v>241.0</v>
      </c>
      <c r="Q116" s="232">
        <v>46366.0</v>
      </c>
      <c r="R116" s="218" t="s">
        <v>1143</v>
      </c>
      <c r="S116" s="225" t="s">
        <v>1144</v>
      </c>
      <c r="T116" s="215">
        <v>638.0</v>
      </c>
      <c r="U116" s="204"/>
    </row>
    <row r="117" ht="22.5" customHeight="1">
      <c r="A117" s="205"/>
      <c r="B117" s="193" t="s">
        <v>440</v>
      </c>
      <c r="C117" s="226" t="s">
        <v>136</v>
      </c>
      <c r="D117" s="194" t="s">
        <v>908</v>
      </c>
      <c r="E117" s="193" t="s">
        <v>19</v>
      </c>
      <c r="F117" s="195" t="s">
        <v>1145</v>
      </c>
      <c r="G117" s="150"/>
      <c r="H117" s="222">
        <v>15.0</v>
      </c>
      <c r="I117" s="222">
        <v>180.0</v>
      </c>
      <c r="J117" s="222">
        <v>21456.92</v>
      </c>
      <c r="K117" s="222">
        <v>0.0</v>
      </c>
      <c r="L117" s="223">
        <v>46290.0</v>
      </c>
      <c r="M117" s="223">
        <v>46320.0</v>
      </c>
      <c r="N117" s="220">
        <v>1.0</v>
      </c>
      <c r="O117" s="220">
        <v>-211.0</v>
      </c>
      <c r="P117" s="220">
        <v>241.0</v>
      </c>
      <c r="Q117" s="238">
        <v>46302.0</v>
      </c>
      <c r="R117" s="196" t="s">
        <v>1146</v>
      </c>
      <c r="S117" s="227" t="s">
        <v>1147</v>
      </c>
      <c r="T117" s="220">
        <v>639.0</v>
      </c>
      <c r="U117" s="198"/>
    </row>
    <row r="118" ht="22.5" customHeight="1">
      <c r="A118" s="199"/>
      <c r="B118" s="212" t="s">
        <v>186</v>
      </c>
      <c r="C118" s="213" t="s">
        <v>136</v>
      </c>
      <c r="D118" s="214" t="s">
        <v>1012</v>
      </c>
      <c r="E118" s="212" t="s">
        <v>187</v>
      </c>
      <c r="F118" s="215">
        <v>2.0</v>
      </c>
      <c r="G118" s="147"/>
      <c r="H118" s="216">
        <v>200.0</v>
      </c>
      <c r="I118" s="216">
        <v>400.0</v>
      </c>
      <c r="J118" s="201"/>
      <c r="K118" s="201"/>
      <c r="L118" s="217">
        <v>46266.0</v>
      </c>
      <c r="M118" s="217">
        <v>46296.0</v>
      </c>
      <c r="N118" s="147"/>
      <c r="O118" s="215">
        <v>-235.0</v>
      </c>
      <c r="P118" s="215">
        <v>265.0</v>
      </c>
      <c r="Q118" s="203"/>
      <c r="R118" s="218" t="s">
        <v>1148</v>
      </c>
      <c r="S118" s="225" t="s">
        <v>1149</v>
      </c>
      <c r="T118" s="215">
        <v>640.0</v>
      </c>
      <c r="U118" s="204"/>
    </row>
    <row r="119" ht="22.5" customHeight="1">
      <c r="A119" s="205"/>
      <c r="B119" s="193" t="s">
        <v>160</v>
      </c>
      <c r="C119" s="226" t="s">
        <v>136</v>
      </c>
      <c r="D119" s="194" t="s">
        <v>913</v>
      </c>
      <c r="E119" s="193" t="s">
        <v>17</v>
      </c>
      <c r="F119" s="220">
        <v>1.0</v>
      </c>
      <c r="G119" s="150"/>
      <c r="H119" s="222">
        <v>2000.0</v>
      </c>
      <c r="I119" s="222">
        <v>2000.0</v>
      </c>
      <c r="J119" s="222">
        <v>2000.0</v>
      </c>
      <c r="K119" s="222">
        <v>0.0</v>
      </c>
      <c r="L119" s="223">
        <v>46290.0</v>
      </c>
      <c r="M119" s="223">
        <v>46320.0</v>
      </c>
      <c r="N119" s="220">
        <v>1.0</v>
      </c>
      <c r="O119" s="220">
        <v>-211.0</v>
      </c>
      <c r="P119" s="220">
        <v>241.0</v>
      </c>
      <c r="Q119" s="238">
        <v>46343.0</v>
      </c>
      <c r="R119" s="196" t="s">
        <v>1150</v>
      </c>
      <c r="S119" s="227" t="s">
        <v>1151</v>
      </c>
      <c r="T119" s="220">
        <v>641.0</v>
      </c>
      <c r="U119" s="198"/>
    </row>
    <row r="120" ht="22.5" customHeight="1">
      <c r="A120" s="211" t="s">
        <v>1117</v>
      </c>
      <c r="B120" s="212" t="s">
        <v>915</v>
      </c>
      <c r="C120" s="214" t="s">
        <v>1074</v>
      </c>
      <c r="D120" s="214" t="s">
        <v>916</v>
      </c>
      <c r="E120" s="212" t="s">
        <v>17</v>
      </c>
      <c r="F120" s="215">
        <v>3.0</v>
      </c>
      <c r="G120" s="224">
        <v>0.25</v>
      </c>
      <c r="H120" s="237" t="s">
        <v>917</v>
      </c>
      <c r="I120" s="216">
        <v>9000.0</v>
      </c>
      <c r="J120" s="216">
        <v>9000.0</v>
      </c>
      <c r="K120" s="216">
        <v>0.0</v>
      </c>
      <c r="L120" s="217">
        <v>46266.0</v>
      </c>
      <c r="M120" s="217">
        <v>46296.0</v>
      </c>
      <c r="N120" s="215">
        <v>1.0</v>
      </c>
      <c r="O120" s="215">
        <v>-235.0</v>
      </c>
      <c r="P120" s="215">
        <v>265.0</v>
      </c>
      <c r="Q120" s="232">
        <v>46287.0</v>
      </c>
      <c r="R120" s="218" t="s">
        <v>1152</v>
      </c>
      <c r="S120" s="225" t="s">
        <v>1153</v>
      </c>
      <c r="T120" s="215">
        <v>642.0</v>
      </c>
      <c r="U120" s="204"/>
    </row>
    <row r="121" ht="22.5" customHeight="1">
      <c r="A121" s="205"/>
      <c r="B121" s="193" t="s">
        <v>153</v>
      </c>
      <c r="C121" s="219" t="s">
        <v>684</v>
      </c>
      <c r="D121" s="194" t="s">
        <v>1077</v>
      </c>
      <c r="E121" s="193" t="s">
        <v>108</v>
      </c>
      <c r="F121" s="195" t="s">
        <v>1078</v>
      </c>
      <c r="G121" s="221"/>
      <c r="H121" s="222">
        <v>25.0</v>
      </c>
      <c r="I121" s="222">
        <v>600.0</v>
      </c>
      <c r="J121" s="207"/>
      <c r="K121" s="207"/>
      <c r="L121" s="223">
        <v>46291.0</v>
      </c>
      <c r="M121" s="223">
        <v>46321.0</v>
      </c>
      <c r="N121" s="150"/>
      <c r="O121" s="220">
        <v>-210.0</v>
      </c>
      <c r="P121" s="220">
        <v>240.0</v>
      </c>
      <c r="Q121" s="209"/>
      <c r="R121" s="196" t="s">
        <v>1154</v>
      </c>
      <c r="S121" s="45"/>
      <c r="T121" s="220">
        <v>643.0</v>
      </c>
      <c r="U121" s="198"/>
    </row>
    <row r="122" ht="22.5" customHeight="1">
      <c r="A122" s="211" t="s">
        <v>1156</v>
      </c>
      <c r="B122" s="212" t="s">
        <v>402</v>
      </c>
      <c r="C122" s="214" t="s">
        <v>1074</v>
      </c>
      <c r="D122" s="214" t="s">
        <v>1157</v>
      </c>
      <c r="E122" s="214" t="s">
        <v>15</v>
      </c>
      <c r="F122" s="215">
        <v>2.0</v>
      </c>
      <c r="G122" s="210"/>
      <c r="H122" s="216">
        <v>200.0</v>
      </c>
      <c r="I122" s="216">
        <v>400.0</v>
      </c>
      <c r="J122" s="216">
        <v>9264.25</v>
      </c>
      <c r="K122" s="216">
        <v>0.0</v>
      </c>
      <c r="L122" s="217">
        <v>46254.0</v>
      </c>
      <c r="M122" s="217">
        <v>46285.0</v>
      </c>
      <c r="N122" s="215">
        <v>1.0</v>
      </c>
      <c r="O122" s="215">
        <v>-246.0</v>
      </c>
      <c r="P122" s="215">
        <v>276.0</v>
      </c>
      <c r="Q122" s="232">
        <v>46265.0</v>
      </c>
      <c r="R122" s="218" t="s">
        <v>1158</v>
      </c>
      <c r="S122" s="225" t="s">
        <v>1159</v>
      </c>
      <c r="T122" s="215">
        <v>614.0</v>
      </c>
      <c r="U122" s="204"/>
    </row>
    <row r="123" ht="22.5" customHeight="1">
      <c r="A123" s="205"/>
      <c r="B123" s="193" t="s">
        <v>309</v>
      </c>
      <c r="C123" s="219" t="s">
        <v>684</v>
      </c>
      <c r="D123" s="194" t="s">
        <v>1160</v>
      </c>
      <c r="E123" s="193" t="s">
        <v>17</v>
      </c>
      <c r="F123" s="220">
        <v>3.0</v>
      </c>
      <c r="G123" s="221"/>
      <c r="H123" s="222">
        <v>3000.0</v>
      </c>
      <c r="I123" s="222">
        <v>9000.0</v>
      </c>
      <c r="J123" s="207"/>
      <c r="K123" s="207"/>
      <c r="L123" s="223">
        <v>46237.0</v>
      </c>
      <c r="M123" s="223">
        <v>46268.0</v>
      </c>
      <c r="N123" s="150"/>
      <c r="O123" s="220">
        <v>-263.0</v>
      </c>
      <c r="P123" s="220">
        <v>293.0</v>
      </c>
      <c r="Q123" s="209"/>
      <c r="R123" s="196" t="s">
        <v>1161</v>
      </c>
      <c r="S123" s="45"/>
      <c r="T123" s="220">
        <v>615.0</v>
      </c>
      <c r="U123" s="198"/>
    </row>
    <row r="124" ht="22.5" customHeight="1">
      <c r="A124" s="211" t="s">
        <v>1123</v>
      </c>
      <c r="B124" s="212" t="s">
        <v>414</v>
      </c>
      <c r="C124" s="213" t="s">
        <v>136</v>
      </c>
      <c r="D124" s="214" t="s">
        <v>888</v>
      </c>
      <c r="E124" s="214" t="s">
        <v>17</v>
      </c>
      <c r="F124" s="215">
        <v>3.0</v>
      </c>
      <c r="G124" s="224">
        <v>0.38</v>
      </c>
      <c r="H124" s="216">
        <v>4000.0</v>
      </c>
      <c r="I124" s="216">
        <v>7500.0</v>
      </c>
      <c r="J124" s="216">
        <v>7500.0</v>
      </c>
      <c r="K124" s="216">
        <v>0.0</v>
      </c>
      <c r="L124" s="217">
        <v>46235.0</v>
      </c>
      <c r="M124" s="217">
        <v>46266.0</v>
      </c>
      <c r="N124" s="215">
        <v>1.0</v>
      </c>
      <c r="O124" s="215">
        <v>-265.0</v>
      </c>
      <c r="P124" s="215">
        <v>295.0</v>
      </c>
      <c r="Q124" s="232">
        <v>46042.0</v>
      </c>
      <c r="R124" s="218" t="s">
        <v>1162</v>
      </c>
      <c r="S124" s="225" t="s">
        <v>1163</v>
      </c>
      <c r="T124" s="215">
        <v>616.0</v>
      </c>
      <c r="U124" s="204"/>
    </row>
    <row r="125" ht="22.5" customHeight="1">
      <c r="A125" s="205"/>
      <c r="B125" s="193" t="s">
        <v>1164</v>
      </c>
      <c r="C125" s="242" t="s">
        <v>685</v>
      </c>
      <c r="D125" s="194" t="s">
        <v>1165</v>
      </c>
      <c r="E125" s="194" t="s">
        <v>19</v>
      </c>
      <c r="F125" s="195" t="s">
        <v>1166</v>
      </c>
      <c r="G125" s="221"/>
      <c r="H125" s="222">
        <v>15.0</v>
      </c>
      <c r="I125" s="222">
        <v>120.0</v>
      </c>
      <c r="J125" s="207"/>
      <c r="K125" s="207"/>
      <c r="L125" s="223">
        <v>46252.0</v>
      </c>
      <c r="M125" s="223">
        <v>46283.0</v>
      </c>
      <c r="N125" s="150"/>
      <c r="O125" s="220">
        <v>-248.0</v>
      </c>
      <c r="P125" s="220">
        <v>278.0</v>
      </c>
      <c r="Q125" s="209"/>
      <c r="R125" s="196" t="s">
        <v>1167</v>
      </c>
      <c r="S125" s="45"/>
      <c r="T125" s="220">
        <v>617.0</v>
      </c>
      <c r="U125" s="198"/>
    </row>
    <row r="126" ht="22.5" customHeight="1">
      <c r="A126" s="199"/>
      <c r="B126" s="212" t="s">
        <v>301</v>
      </c>
      <c r="C126" s="213" t="s">
        <v>136</v>
      </c>
      <c r="D126" s="214" t="s">
        <v>895</v>
      </c>
      <c r="E126" s="212" t="s">
        <v>17</v>
      </c>
      <c r="F126" s="215">
        <v>6.35</v>
      </c>
      <c r="G126" s="147"/>
      <c r="H126" s="216">
        <v>1250.0</v>
      </c>
      <c r="I126" s="216">
        <v>7937.5</v>
      </c>
      <c r="J126" s="216">
        <v>7937.5</v>
      </c>
      <c r="K126" s="216">
        <v>0.0</v>
      </c>
      <c r="L126" s="217">
        <v>46252.0</v>
      </c>
      <c r="M126" s="217">
        <v>46283.0</v>
      </c>
      <c r="N126" s="215">
        <v>1.0</v>
      </c>
      <c r="O126" s="215">
        <v>-248.0</v>
      </c>
      <c r="P126" s="215">
        <v>278.0</v>
      </c>
      <c r="Q126" s="232">
        <v>46284.0</v>
      </c>
      <c r="R126" s="218" t="s">
        <v>1168</v>
      </c>
      <c r="S126" s="225" t="s">
        <v>1169</v>
      </c>
      <c r="T126" s="215">
        <v>618.0</v>
      </c>
      <c r="U126" s="204"/>
    </row>
    <row r="127" ht="22.5" customHeight="1">
      <c r="A127" s="192" t="s">
        <v>1170</v>
      </c>
      <c r="B127" s="193" t="s">
        <v>147</v>
      </c>
      <c r="C127" s="194" t="s">
        <v>1130</v>
      </c>
      <c r="D127" s="194" t="s">
        <v>1030</v>
      </c>
      <c r="E127" s="193" t="s">
        <v>19</v>
      </c>
      <c r="F127" s="195" t="s">
        <v>1171</v>
      </c>
      <c r="G127" s="150"/>
      <c r="H127" s="222">
        <v>15.0</v>
      </c>
      <c r="I127" s="222">
        <v>330.0</v>
      </c>
      <c r="J127" s="222">
        <v>38861.23</v>
      </c>
      <c r="K127" s="222">
        <v>0.0</v>
      </c>
      <c r="L127" s="223">
        <v>46245.0</v>
      </c>
      <c r="M127" s="223">
        <v>46276.0</v>
      </c>
      <c r="N127" s="220">
        <v>1.0</v>
      </c>
      <c r="O127" s="220">
        <v>-255.0</v>
      </c>
      <c r="P127" s="220">
        <v>285.0</v>
      </c>
      <c r="Q127" s="196" t="s">
        <v>1132</v>
      </c>
      <c r="R127" s="196" t="s">
        <v>1172</v>
      </c>
      <c r="S127" s="227" t="s">
        <v>1173</v>
      </c>
      <c r="T127" s="220">
        <v>619.0</v>
      </c>
      <c r="U127" s="198"/>
    </row>
    <row r="128" ht="22.5" customHeight="1">
      <c r="A128" s="199"/>
      <c r="B128" s="212" t="s">
        <v>433</v>
      </c>
      <c r="C128" s="231" t="s">
        <v>684</v>
      </c>
      <c r="D128" s="214" t="s">
        <v>1098</v>
      </c>
      <c r="E128" s="214" t="s">
        <v>41</v>
      </c>
      <c r="F128" s="228" t="s">
        <v>1099</v>
      </c>
      <c r="G128" s="147"/>
      <c r="H128" s="216">
        <v>40.0</v>
      </c>
      <c r="I128" s="216">
        <v>160.0</v>
      </c>
      <c r="J128" s="201"/>
      <c r="K128" s="201"/>
      <c r="L128" s="217">
        <v>46238.0</v>
      </c>
      <c r="M128" s="217">
        <v>46269.0</v>
      </c>
      <c r="N128" s="147"/>
      <c r="O128" s="215">
        <v>-262.0</v>
      </c>
      <c r="P128" s="215">
        <v>292.0</v>
      </c>
      <c r="Q128" s="203"/>
      <c r="R128" s="218" t="s">
        <v>1174</v>
      </c>
      <c r="S128" s="186"/>
      <c r="T128" s="215">
        <v>620.0</v>
      </c>
      <c r="U128" s="204"/>
    </row>
    <row r="129" ht="22.5" customHeight="1">
      <c r="A129" s="192" t="s">
        <v>1123</v>
      </c>
      <c r="B129" s="193" t="s">
        <v>291</v>
      </c>
      <c r="C129" s="194" t="s">
        <v>1130</v>
      </c>
      <c r="D129" s="194" t="s">
        <v>1004</v>
      </c>
      <c r="E129" s="193" t="s">
        <v>17</v>
      </c>
      <c r="F129" s="220">
        <v>1.0</v>
      </c>
      <c r="G129" s="150"/>
      <c r="H129" s="222">
        <v>9000.0</v>
      </c>
      <c r="I129" s="222">
        <v>9000.0</v>
      </c>
      <c r="J129" s="222">
        <v>9000.0</v>
      </c>
      <c r="K129" s="222">
        <v>9000.0</v>
      </c>
      <c r="L129" s="223">
        <v>46238.0</v>
      </c>
      <c r="M129" s="223">
        <v>46269.0</v>
      </c>
      <c r="N129" s="220">
        <v>0.0</v>
      </c>
      <c r="O129" s="220">
        <v>-262.0</v>
      </c>
      <c r="P129" s="220">
        <v>292.0</v>
      </c>
      <c r="Q129" s="209"/>
      <c r="R129" s="196" t="s">
        <v>1175</v>
      </c>
      <c r="S129" s="227" t="s">
        <v>1176</v>
      </c>
      <c r="T129" s="220">
        <v>621.0</v>
      </c>
      <c r="U129" s="198"/>
    </row>
    <row r="130" ht="22.5" customHeight="1">
      <c r="A130" s="199"/>
      <c r="B130" s="212" t="s">
        <v>450</v>
      </c>
      <c r="C130" s="214" t="s">
        <v>693</v>
      </c>
      <c r="D130" s="214" t="s">
        <v>1140</v>
      </c>
      <c r="E130" s="212" t="s">
        <v>17</v>
      </c>
      <c r="F130" s="215">
        <v>2.0</v>
      </c>
      <c r="G130" s="147"/>
      <c r="H130" s="216">
        <v>4000.0</v>
      </c>
      <c r="I130" s="216">
        <v>8000.0</v>
      </c>
      <c r="J130" s="201"/>
      <c r="K130" s="201"/>
      <c r="L130" s="217">
        <v>46250.0</v>
      </c>
      <c r="M130" s="217">
        <v>46281.0</v>
      </c>
      <c r="N130" s="147"/>
      <c r="O130" s="215">
        <v>-250.0</v>
      </c>
      <c r="P130" s="215">
        <v>280.0</v>
      </c>
      <c r="Q130" s="203"/>
      <c r="R130" s="218" t="s">
        <v>1177</v>
      </c>
      <c r="S130" s="225" t="s">
        <v>1178</v>
      </c>
      <c r="T130" s="215">
        <v>622.0</v>
      </c>
      <c r="U130" s="204"/>
    </row>
    <row r="131" ht="22.5" customHeight="1">
      <c r="A131" s="205"/>
      <c r="B131" s="193" t="s">
        <v>438</v>
      </c>
      <c r="C131" s="226" t="s">
        <v>136</v>
      </c>
      <c r="D131" s="194" t="s">
        <v>906</v>
      </c>
      <c r="E131" s="194" t="s">
        <v>17</v>
      </c>
      <c r="F131" s="220">
        <v>3.0</v>
      </c>
      <c r="G131" s="220">
        <v>0.25</v>
      </c>
      <c r="H131" s="222">
        <v>8000.0</v>
      </c>
      <c r="I131" s="222">
        <v>18000.0</v>
      </c>
      <c r="J131" s="222">
        <v>18000.0</v>
      </c>
      <c r="K131" s="222">
        <v>0.0</v>
      </c>
      <c r="L131" s="223">
        <v>46259.0</v>
      </c>
      <c r="M131" s="223">
        <v>46290.0</v>
      </c>
      <c r="N131" s="220">
        <v>1.0</v>
      </c>
      <c r="O131" s="220">
        <v>-241.0</v>
      </c>
      <c r="P131" s="220">
        <v>271.0</v>
      </c>
      <c r="Q131" s="238">
        <v>46309.0</v>
      </c>
      <c r="R131" s="196" t="s">
        <v>1179</v>
      </c>
      <c r="S131" s="227" t="s">
        <v>1180</v>
      </c>
      <c r="T131" s="220">
        <v>623.0</v>
      </c>
      <c r="U131" s="198"/>
    </row>
    <row r="132" ht="22.5" customHeight="1">
      <c r="A132" s="199"/>
      <c r="B132" s="212" t="s">
        <v>440</v>
      </c>
      <c r="C132" s="213" t="s">
        <v>136</v>
      </c>
      <c r="D132" s="214" t="s">
        <v>908</v>
      </c>
      <c r="E132" s="214" t="s">
        <v>19</v>
      </c>
      <c r="F132" s="228" t="s">
        <v>1145</v>
      </c>
      <c r="G132" s="147"/>
      <c r="H132" s="216">
        <v>15.0</v>
      </c>
      <c r="I132" s="216">
        <v>180.0</v>
      </c>
      <c r="J132" s="216">
        <v>21218.71</v>
      </c>
      <c r="K132" s="216">
        <v>0.0</v>
      </c>
      <c r="L132" s="217">
        <v>46259.0</v>
      </c>
      <c r="M132" s="217">
        <v>46290.0</v>
      </c>
      <c r="N132" s="215">
        <v>1.0</v>
      </c>
      <c r="O132" s="215">
        <v>-241.0</v>
      </c>
      <c r="P132" s="215">
        <v>271.0</v>
      </c>
      <c r="Q132" s="232">
        <v>46290.0</v>
      </c>
      <c r="R132" s="218" t="s">
        <v>1181</v>
      </c>
      <c r="S132" s="225" t="s">
        <v>1182</v>
      </c>
      <c r="T132" s="215">
        <v>624.0</v>
      </c>
      <c r="U132" s="204"/>
    </row>
    <row r="133" ht="22.5" customHeight="1">
      <c r="A133" s="205"/>
      <c r="B133" s="193" t="s">
        <v>445</v>
      </c>
      <c r="C133" s="226" t="s">
        <v>136</v>
      </c>
      <c r="D133" s="194" t="s">
        <v>1012</v>
      </c>
      <c r="E133" s="193" t="s">
        <v>16</v>
      </c>
      <c r="F133" s="220">
        <v>2.0</v>
      </c>
      <c r="G133" s="150"/>
      <c r="H133" s="222">
        <v>200.0</v>
      </c>
      <c r="I133" s="222">
        <v>400.0</v>
      </c>
      <c r="J133" s="207"/>
      <c r="K133" s="207"/>
      <c r="L133" s="223">
        <v>46235.0</v>
      </c>
      <c r="M133" s="223">
        <v>46266.0</v>
      </c>
      <c r="N133" s="150"/>
      <c r="O133" s="220">
        <v>-265.0</v>
      </c>
      <c r="P133" s="220">
        <v>295.0</v>
      </c>
      <c r="Q133" s="209"/>
      <c r="R133" s="196" t="s">
        <v>1183</v>
      </c>
      <c r="S133" s="227" t="s">
        <v>1184</v>
      </c>
      <c r="T133" s="220">
        <v>625.0</v>
      </c>
      <c r="U133" s="198"/>
    </row>
    <row r="134" ht="22.5" customHeight="1">
      <c r="A134" s="199"/>
      <c r="B134" s="212" t="s">
        <v>160</v>
      </c>
      <c r="C134" s="213" t="s">
        <v>136</v>
      </c>
      <c r="D134" s="214" t="s">
        <v>913</v>
      </c>
      <c r="E134" s="212" t="s">
        <v>17</v>
      </c>
      <c r="F134" s="215">
        <v>1.0</v>
      </c>
      <c r="G134" s="147"/>
      <c r="H134" s="216">
        <v>2000.0</v>
      </c>
      <c r="I134" s="216">
        <v>2000.0</v>
      </c>
      <c r="J134" s="216">
        <v>2000.0</v>
      </c>
      <c r="K134" s="216">
        <v>0.0</v>
      </c>
      <c r="L134" s="217">
        <v>46259.0</v>
      </c>
      <c r="M134" s="217">
        <v>46290.0</v>
      </c>
      <c r="N134" s="215">
        <v>1.0</v>
      </c>
      <c r="O134" s="215">
        <v>-241.0</v>
      </c>
      <c r="P134" s="215">
        <v>271.0</v>
      </c>
      <c r="Q134" s="232">
        <v>46343.0</v>
      </c>
      <c r="R134" s="218" t="s">
        <v>1185</v>
      </c>
      <c r="S134" s="225" t="s">
        <v>1186</v>
      </c>
      <c r="T134" s="215">
        <v>626.0</v>
      </c>
      <c r="U134" s="204"/>
    </row>
    <row r="135" ht="22.5" customHeight="1">
      <c r="A135" s="192" t="s">
        <v>1187</v>
      </c>
      <c r="B135" s="193" t="s">
        <v>915</v>
      </c>
      <c r="C135" s="194" t="s">
        <v>1074</v>
      </c>
      <c r="D135" s="194" t="s">
        <v>916</v>
      </c>
      <c r="E135" s="193" t="s">
        <v>17</v>
      </c>
      <c r="F135" s="220">
        <v>3.0</v>
      </c>
      <c r="G135" s="220">
        <v>0.25</v>
      </c>
      <c r="H135" s="197" t="s">
        <v>917</v>
      </c>
      <c r="I135" s="222">
        <v>9000.0</v>
      </c>
      <c r="J135" s="222">
        <v>9000.0</v>
      </c>
      <c r="K135" s="222">
        <v>0.0</v>
      </c>
      <c r="L135" s="223">
        <v>46235.0</v>
      </c>
      <c r="M135" s="223">
        <v>46266.0</v>
      </c>
      <c r="N135" s="220">
        <v>1.0</v>
      </c>
      <c r="O135" s="220">
        <v>-265.0</v>
      </c>
      <c r="P135" s="220">
        <v>295.0</v>
      </c>
      <c r="Q135" s="238">
        <v>46287.0</v>
      </c>
      <c r="R135" s="196" t="s">
        <v>1188</v>
      </c>
      <c r="S135" s="227" t="s">
        <v>1189</v>
      </c>
      <c r="T135" s="220">
        <v>627.0</v>
      </c>
      <c r="U135" s="198"/>
    </row>
    <row r="136" ht="22.5" customHeight="1">
      <c r="A136" s="211" t="s">
        <v>1190</v>
      </c>
      <c r="B136" s="212" t="s">
        <v>153</v>
      </c>
      <c r="C136" s="231" t="s">
        <v>684</v>
      </c>
      <c r="D136" s="214" t="s">
        <v>1077</v>
      </c>
      <c r="E136" s="212" t="s">
        <v>108</v>
      </c>
      <c r="F136" s="228" t="s">
        <v>1078</v>
      </c>
      <c r="G136" s="147"/>
      <c r="H136" s="216">
        <v>25.0</v>
      </c>
      <c r="I136" s="216">
        <v>600.0</v>
      </c>
      <c r="J136" s="201"/>
      <c r="K136" s="201"/>
      <c r="L136" s="217">
        <v>46260.0</v>
      </c>
      <c r="M136" s="217">
        <v>46291.0</v>
      </c>
      <c r="N136" s="147"/>
      <c r="O136" s="215">
        <v>-240.0</v>
      </c>
      <c r="P136" s="215">
        <v>270.0</v>
      </c>
      <c r="Q136" s="203"/>
      <c r="R136" s="218" t="s">
        <v>1191</v>
      </c>
      <c r="S136" s="186"/>
      <c r="T136" s="215">
        <v>628.0</v>
      </c>
      <c r="U136" s="204"/>
    </row>
    <row r="137" ht="22.5" customHeight="1">
      <c r="A137" s="205"/>
      <c r="B137" s="193" t="s">
        <v>402</v>
      </c>
      <c r="C137" s="226" t="s">
        <v>136</v>
      </c>
      <c r="D137" s="194" t="s">
        <v>1157</v>
      </c>
      <c r="E137" s="194" t="s">
        <v>15</v>
      </c>
      <c r="F137" s="220">
        <v>3.0</v>
      </c>
      <c r="G137" s="150"/>
      <c r="H137" s="222">
        <v>200.0</v>
      </c>
      <c r="I137" s="222">
        <v>600.0</v>
      </c>
      <c r="J137" s="222">
        <v>13761.25</v>
      </c>
      <c r="K137" s="222">
        <v>0.0</v>
      </c>
      <c r="L137" s="223">
        <v>46223.0</v>
      </c>
      <c r="M137" s="223">
        <v>46254.0</v>
      </c>
      <c r="N137" s="220">
        <v>1.0</v>
      </c>
      <c r="O137" s="220">
        <v>-277.0</v>
      </c>
      <c r="P137" s="220">
        <v>307.0</v>
      </c>
      <c r="Q137" s="238">
        <v>46234.0</v>
      </c>
      <c r="R137" s="196" t="s">
        <v>1193</v>
      </c>
      <c r="S137" s="227" t="s">
        <v>1194</v>
      </c>
      <c r="T137" s="220">
        <v>599.0</v>
      </c>
      <c r="U137" s="198"/>
    </row>
    <row r="138" ht="22.5" customHeight="1">
      <c r="A138" s="199"/>
      <c r="B138" s="212" t="s">
        <v>309</v>
      </c>
      <c r="C138" s="231" t="s">
        <v>684</v>
      </c>
      <c r="D138" s="214" t="s">
        <v>1160</v>
      </c>
      <c r="E138" s="212" t="s">
        <v>17</v>
      </c>
      <c r="F138" s="215">
        <v>3.0</v>
      </c>
      <c r="G138" s="147"/>
      <c r="H138" s="216">
        <v>3000.0</v>
      </c>
      <c r="I138" s="216">
        <v>9000.0</v>
      </c>
      <c r="J138" s="201"/>
      <c r="K138" s="201"/>
      <c r="L138" s="217">
        <v>46206.0</v>
      </c>
      <c r="M138" s="217">
        <v>46237.0</v>
      </c>
      <c r="N138" s="147"/>
      <c r="O138" s="215">
        <v>-294.0</v>
      </c>
      <c r="P138" s="215">
        <v>324.0</v>
      </c>
      <c r="Q138" s="203"/>
      <c r="R138" s="218" t="s">
        <v>1195</v>
      </c>
      <c r="S138" s="186"/>
      <c r="T138" s="215">
        <v>600.0</v>
      </c>
      <c r="U138" s="204"/>
    </row>
    <row r="139" ht="22.5" customHeight="1">
      <c r="A139" s="205"/>
      <c r="B139" s="193" t="s">
        <v>414</v>
      </c>
      <c r="C139" s="226" t="s">
        <v>136</v>
      </c>
      <c r="D139" s="194" t="s">
        <v>888</v>
      </c>
      <c r="E139" s="194" t="s">
        <v>17</v>
      </c>
      <c r="F139" s="220">
        <v>3.0</v>
      </c>
      <c r="G139" s="220">
        <v>0.375</v>
      </c>
      <c r="H139" s="222">
        <v>4000.0</v>
      </c>
      <c r="I139" s="222">
        <v>5937.5</v>
      </c>
      <c r="J139" s="222">
        <v>5937.5</v>
      </c>
      <c r="K139" s="222">
        <v>0.0</v>
      </c>
      <c r="L139" s="223">
        <v>46204.0</v>
      </c>
      <c r="M139" s="223">
        <v>46235.0</v>
      </c>
      <c r="N139" s="220">
        <v>1.0</v>
      </c>
      <c r="O139" s="220">
        <v>-296.0</v>
      </c>
      <c r="P139" s="220">
        <v>326.0</v>
      </c>
      <c r="Q139" s="238">
        <v>46294.0</v>
      </c>
      <c r="R139" s="196" t="s">
        <v>1196</v>
      </c>
      <c r="S139" s="227" t="s">
        <v>1197</v>
      </c>
      <c r="T139" s="220">
        <v>601.0</v>
      </c>
      <c r="U139" s="198"/>
    </row>
    <row r="140" ht="22.5" customHeight="1">
      <c r="A140" s="199"/>
      <c r="B140" s="212" t="s">
        <v>1164</v>
      </c>
      <c r="C140" s="229" t="s">
        <v>685</v>
      </c>
      <c r="D140" s="214" t="s">
        <v>1165</v>
      </c>
      <c r="E140" s="214" t="s">
        <v>19</v>
      </c>
      <c r="F140" s="228" t="s">
        <v>1166</v>
      </c>
      <c r="G140" s="147"/>
      <c r="H140" s="216">
        <v>15.0</v>
      </c>
      <c r="I140" s="216">
        <v>120.0</v>
      </c>
      <c r="J140" s="201"/>
      <c r="K140" s="201"/>
      <c r="L140" s="217">
        <v>46221.0</v>
      </c>
      <c r="M140" s="217">
        <v>46252.0</v>
      </c>
      <c r="N140" s="147"/>
      <c r="O140" s="215">
        <v>-279.0</v>
      </c>
      <c r="P140" s="215">
        <v>309.0</v>
      </c>
      <c r="Q140" s="203"/>
      <c r="R140" s="218" t="s">
        <v>1198</v>
      </c>
      <c r="S140" s="186"/>
      <c r="T140" s="215">
        <v>602.0</v>
      </c>
      <c r="U140" s="204"/>
    </row>
    <row r="141" ht="22.5" customHeight="1">
      <c r="A141" s="205"/>
      <c r="B141" s="193" t="s">
        <v>301</v>
      </c>
      <c r="C141" s="194" t="s">
        <v>694</v>
      </c>
      <c r="D141" s="194" t="s">
        <v>1199</v>
      </c>
      <c r="E141" s="193" t="s">
        <v>17</v>
      </c>
      <c r="F141" s="220">
        <v>3.0</v>
      </c>
      <c r="G141" s="220">
        <v>0.15</v>
      </c>
      <c r="H141" s="197" t="s">
        <v>1200</v>
      </c>
      <c r="I141" s="222">
        <v>21000.0</v>
      </c>
      <c r="J141" s="207"/>
      <c r="K141" s="207"/>
      <c r="L141" s="223">
        <v>46221.0</v>
      </c>
      <c r="M141" s="223">
        <v>46252.0</v>
      </c>
      <c r="N141" s="150"/>
      <c r="O141" s="220">
        <v>-279.0</v>
      </c>
      <c r="P141" s="220">
        <v>309.0</v>
      </c>
      <c r="Q141" s="209"/>
      <c r="R141" s="196" t="s">
        <v>1201</v>
      </c>
      <c r="S141" s="45"/>
      <c r="T141" s="220">
        <v>603.0</v>
      </c>
      <c r="U141" s="198"/>
    </row>
    <row r="142" ht="22.5" customHeight="1">
      <c r="A142" s="211" t="s">
        <v>1202</v>
      </c>
      <c r="B142" s="212" t="s">
        <v>147</v>
      </c>
      <c r="C142" s="214" t="s">
        <v>1130</v>
      </c>
      <c r="D142" s="214" t="s">
        <v>1030</v>
      </c>
      <c r="E142" s="212" t="s">
        <v>19</v>
      </c>
      <c r="F142" s="228" t="s">
        <v>1203</v>
      </c>
      <c r="G142" s="147"/>
      <c r="H142" s="216">
        <v>15.0</v>
      </c>
      <c r="I142" s="216">
        <v>300.0</v>
      </c>
      <c r="J142" s="216">
        <v>34734.78</v>
      </c>
      <c r="K142" s="216">
        <v>0.0</v>
      </c>
      <c r="L142" s="217">
        <v>46214.0</v>
      </c>
      <c r="M142" s="217">
        <v>46245.0</v>
      </c>
      <c r="N142" s="215">
        <v>1.0</v>
      </c>
      <c r="O142" s="215">
        <v>-286.0</v>
      </c>
      <c r="P142" s="215">
        <v>316.0</v>
      </c>
      <c r="Q142" s="218" t="s">
        <v>1132</v>
      </c>
      <c r="R142" s="218" t="s">
        <v>1204</v>
      </c>
      <c r="S142" s="225" t="s">
        <v>1205</v>
      </c>
      <c r="T142" s="215">
        <v>604.0</v>
      </c>
      <c r="U142" s="204"/>
    </row>
    <row r="143" ht="22.5" customHeight="1">
      <c r="A143" s="205"/>
      <c r="B143" s="193" t="s">
        <v>433</v>
      </c>
      <c r="C143" s="219" t="s">
        <v>684</v>
      </c>
      <c r="D143" s="194" t="s">
        <v>1098</v>
      </c>
      <c r="E143" s="194" t="s">
        <v>41</v>
      </c>
      <c r="F143" s="195" t="s">
        <v>1099</v>
      </c>
      <c r="G143" s="150"/>
      <c r="H143" s="222">
        <v>40.0</v>
      </c>
      <c r="I143" s="222">
        <v>160.0</v>
      </c>
      <c r="J143" s="207"/>
      <c r="K143" s="207"/>
      <c r="L143" s="223">
        <v>46207.0</v>
      </c>
      <c r="M143" s="223">
        <v>46238.0</v>
      </c>
      <c r="N143" s="150"/>
      <c r="O143" s="220">
        <v>-293.0</v>
      </c>
      <c r="P143" s="220">
        <v>323.0</v>
      </c>
      <c r="Q143" s="209"/>
      <c r="R143" s="196" t="s">
        <v>1206</v>
      </c>
      <c r="S143" s="45"/>
      <c r="T143" s="220">
        <v>605.0</v>
      </c>
      <c r="U143" s="198"/>
    </row>
    <row r="144" ht="22.5" customHeight="1">
      <c r="A144" s="199"/>
      <c r="B144" s="212" t="s">
        <v>330</v>
      </c>
      <c r="C144" s="214" t="s">
        <v>694</v>
      </c>
      <c r="D144" s="214" t="s">
        <v>1207</v>
      </c>
      <c r="E144" s="212" t="s">
        <v>17</v>
      </c>
      <c r="F144" s="215">
        <v>4.0</v>
      </c>
      <c r="G144" s="147"/>
      <c r="H144" s="237" t="s">
        <v>1200</v>
      </c>
      <c r="I144" s="216">
        <v>27000.0</v>
      </c>
      <c r="J144" s="201"/>
      <c r="K144" s="201"/>
      <c r="L144" s="217">
        <v>46212.0</v>
      </c>
      <c r="M144" s="217">
        <v>46243.0</v>
      </c>
      <c r="N144" s="147"/>
      <c r="O144" s="215">
        <v>-288.0</v>
      </c>
      <c r="P144" s="215">
        <v>318.0</v>
      </c>
      <c r="Q144" s="203"/>
      <c r="R144" s="218" t="s">
        <v>1208</v>
      </c>
      <c r="S144" s="186"/>
      <c r="T144" s="215">
        <v>606.0</v>
      </c>
      <c r="U144" s="204"/>
    </row>
    <row r="145" ht="22.5" customHeight="1">
      <c r="A145" s="205"/>
      <c r="B145" s="193" t="s">
        <v>152</v>
      </c>
      <c r="C145" s="194" t="s">
        <v>694</v>
      </c>
      <c r="D145" s="194" t="s">
        <v>1209</v>
      </c>
      <c r="E145" s="193" t="s">
        <v>19</v>
      </c>
      <c r="F145" s="195" t="s">
        <v>909</v>
      </c>
      <c r="G145" s="150"/>
      <c r="H145" s="222">
        <v>10.0</v>
      </c>
      <c r="I145" s="222">
        <v>180.0</v>
      </c>
      <c r="J145" s="207"/>
      <c r="K145" s="207"/>
      <c r="L145" s="223">
        <v>46219.0</v>
      </c>
      <c r="M145" s="223">
        <v>46250.0</v>
      </c>
      <c r="N145" s="150"/>
      <c r="O145" s="220">
        <v>-281.0</v>
      </c>
      <c r="P145" s="220">
        <v>311.0</v>
      </c>
      <c r="Q145" s="209"/>
      <c r="R145" s="196" t="s">
        <v>1210</v>
      </c>
      <c r="S145" s="45"/>
      <c r="T145" s="220">
        <v>607.0</v>
      </c>
      <c r="U145" s="198"/>
    </row>
    <row r="146" ht="22.5" customHeight="1">
      <c r="A146" s="199"/>
      <c r="B146" s="212" t="s">
        <v>438</v>
      </c>
      <c r="C146" s="213" t="s">
        <v>136</v>
      </c>
      <c r="D146" s="214" t="s">
        <v>906</v>
      </c>
      <c r="E146" s="214" t="s">
        <v>17</v>
      </c>
      <c r="F146" s="215">
        <v>3.0</v>
      </c>
      <c r="G146" s="215">
        <v>0.25</v>
      </c>
      <c r="H146" s="216">
        <v>8000.0</v>
      </c>
      <c r="I146" s="216">
        <v>18000.0</v>
      </c>
      <c r="J146" s="216">
        <v>18000.0</v>
      </c>
      <c r="K146" s="216">
        <v>0.0</v>
      </c>
      <c r="L146" s="217">
        <v>46228.0</v>
      </c>
      <c r="M146" s="217">
        <v>46259.0</v>
      </c>
      <c r="N146" s="215">
        <v>1.0</v>
      </c>
      <c r="O146" s="215">
        <v>-272.0</v>
      </c>
      <c r="P146" s="215">
        <v>302.0</v>
      </c>
      <c r="Q146" s="232">
        <v>46262.0</v>
      </c>
      <c r="R146" s="218" t="s">
        <v>1211</v>
      </c>
      <c r="S146" s="225" t="s">
        <v>1212</v>
      </c>
      <c r="T146" s="215">
        <v>608.0</v>
      </c>
      <c r="U146" s="204"/>
    </row>
    <row r="147" ht="22.5" customHeight="1">
      <c r="A147" s="205"/>
      <c r="B147" s="193" t="s">
        <v>440</v>
      </c>
      <c r="C147" s="226" t="s">
        <v>136</v>
      </c>
      <c r="D147" s="194" t="s">
        <v>908</v>
      </c>
      <c r="E147" s="194" t="s">
        <v>19</v>
      </c>
      <c r="F147" s="195" t="s">
        <v>1145</v>
      </c>
      <c r="G147" s="150"/>
      <c r="H147" s="222">
        <v>15.0</v>
      </c>
      <c r="I147" s="222">
        <v>180.0</v>
      </c>
      <c r="J147" s="222">
        <v>20918.25</v>
      </c>
      <c r="K147" s="222">
        <v>0.0</v>
      </c>
      <c r="L147" s="223">
        <v>46228.0</v>
      </c>
      <c r="M147" s="223">
        <v>46259.0</v>
      </c>
      <c r="N147" s="220">
        <v>1.0</v>
      </c>
      <c r="O147" s="220">
        <v>-272.0</v>
      </c>
      <c r="P147" s="220">
        <v>302.0</v>
      </c>
      <c r="Q147" s="238">
        <v>46238.0</v>
      </c>
      <c r="R147" s="196" t="s">
        <v>1213</v>
      </c>
      <c r="S147" s="227" t="s">
        <v>1214</v>
      </c>
      <c r="T147" s="220">
        <v>609.0</v>
      </c>
      <c r="U147" s="198"/>
    </row>
    <row r="148" ht="22.5" customHeight="1">
      <c r="A148" s="199"/>
      <c r="B148" s="212" t="s">
        <v>151</v>
      </c>
      <c r="C148" s="214" t="s">
        <v>1215</v>
      </c>
      <c r="D148" s="214" t="s">
        <v>1216</v>
      </c>
      <c r="E148" s="214" t="s">
        <v>15</v>
      </c>
      <c r="F148" s="215">
        <v>1.0</v>
      </c>
      <c r="G148" s="147"/>
      <c r="H148" s="216">
        <v>250.0</v>
      </c>
      <c r="I148" s="216">
        <v>250.0</v>
      </c>
      <c r="J148" s="201"/>
      <c r="K148" s="201"/>
      <c r="L148" s="217">
        <v>46228.0</v>
      </c>
      <c r="M148" s="217">
        <v>46259.0</v>
      </c>
      <c r="N148" s="147"/>
      <c r="O148" s="215">
        <v>-272.0</v>
      </c>
      <c r="P148" s="215">
        <v>302.0</v>
      </c>
      <c r="Q148" s="203"/>
      <c r="R148" s="218" t="s">
        <v>1217</v>
      </c>
      <c r="S148" s="186"/>
      <c r="T148" s="215">
        <v>610.0</v>
      </c>
      <c r="U148" s="204"/>
    </row>
    <row r="149" ht="22.5" customHeight="1">
      <c r="A149" s="205"/>
      <c r="B149" s="193" t="s">
        <v>160</v>
      </c>
      <c r="C149" s="226" t="s">
        <v>136</v>
      </c>
      <c r="D149" s="194" t="s">
        <v>913</v>
      </c>
      <c r="E149" s="194" t="s">
        <v>17</v>
      </c>
      <c r="F149" s="220">
        <v>1.0</v>
      </c>
      <c r="G149" s="150"/>
      <c r="H149" s="222">
        <v>2000.0</v>
      </c>
      <c r="I149" s="222">
        <v>2000.0</v>
      </c>
      <c r="J149" s="222">
        <v>3000.0</v>
      </c>
      <c r="K149" s="222">
        <v>0.0</v>
      </c>
      <c r="L149" s="223">
        <v>46228.0</v>
      </c>
      <c r="M149" s="223">
        <v>46259.0</v>
      </c>
      <c r="N149" s="220">
        <v>1.0</v>
      </c>
      <c r="O149" s="220">
        <v>-272.0</v>
      </c>
      <c r="P149" s="220">
        <v>302.0</v>
      </c>
      <c r="Q149" s="238">
        <v>46343.0</v>
      </c>
      <c r="R149" s="196" t="s">
        <v>1218</v>
      </c>
      <c r="S149" s="227" t="s">
        <v>1219</v>
      </c>
      <c r="T149" s="220">
        <v>611.0</v>
      </c>
      <c r="U149" s="198"/>
    </row>
    <row r="150" ht="22.5" customHeight="1">
      <c r="A150" s="211" t="s">
        <v>1220</v>
      </c>
      <c r="B150" s="212" t="s">
        <v>915</v>
      </c>
      <c r="C150" s="214" t="s">
        <v>1074</v>
      </c>
      <c r="D150" s="214" t="s">
        <v>916</v>
      </c>
      <c r="E150" s="214" t="s">
        <v>17</v>
      </c>
      <c r="F150" s="215">
        <v>3.0</v>
      </c>
      <c r="G150" s="215">
        <v>0.25</v>
      </c>
      <c r="H150" s="237" t="s">
        <v>917</v>
      </c>
      <c r="I150" s="216">
        <v>3000.0</v>
      </c>
      <c r="J150" s="216">
        <v>9000.0</v>
      </c>
      <c r="K150" s="216">
        <v>0.0</v>
      </c>
      <c r="L150" s="217">
        <v>46204.0</v>
      </c>
      <c r="M150" s="217">
        <v>46235.0</v>
      </c>
      <c r="N150" s="215">
        <v>1.0</v>
      </c>
      <c r="O150" s="215">
        <v>-296.0</v>
      </c>
      <c r="P150" s="215">
        <v>326.0</v>
      </c>
      <c r="Q150" s="203"/>
      <c r="R150" s="243" t="e">
        <v>#REF!</v>
      </c>
      <c r="S150" s="225" t="s">
        <v>1221</v>
      </c>
      <c r="T150" s="215">
        <v>612.0</v>
      </c>
      <c r="U150" s="204"/>
    </row>
    <row r="151" ht="22.5" customHeight="1">
      <c r="A151" s="205"/>
      <c r="B151" s="193" t="s">
        <v>153</v>
      </c>
      <c r="C151" s="226" t="s">
        <v>136</v>
      </c>
      <c r="D151" s="194" t="s">
        <v>1077</v>
      </c>
      <c r="E151" s="194" t="s">
        <v>108</v>
      </c>
      <c r="F151" s="195" t="s">
        <v>1078</v>
      </c>
      <c r="G151" s="150"/>
      <c r="H151" s="222">
        <v>25.0</v>
      </c>
      <c r="I151" s="222">
        <v>600.0</v>
      </c>
      <c r="J151" s="207"/>
      <c r="K151" s="207"/>
      <c r="L151" s="223">
        <v>46229.0</v>
      </c>
      <c r="M151" s="223">
        <v>46260.0</v>
      </c>
      <c r="N151" s="150"/>
      <c r="O151" s="220">
        <v>-271.0</v>
      </c>
      <c r="P151" s="220">
        <v>301.0</v>
      </c>
      <c r="Q151" s="209"/>
      <c r="R151" s="196" t="s">
        <v>1222</v>
      </c>
      <c r="S151" s="227" t="s">
        <v>1223</v>
      </c>
      <c r="T151" s="220">
        <v>613.0</v>
      </c>
      <c r="U151" s="198"/>
    </row>
    <row r="152" ht="22.5" customHeight="1">
      <c r="A152" s="211" t="s">
        <v>1225</v>
      </c>
      <c r="B152" s="212" t="s">
        <v>402</v>
      </c>
      <c r="C152" s="213" t="s">
        <v>136</v>
      </c>
      <c r="D152" s="214" t="s">
        <v>1157</v>
      </c>
      <c r="E152" s="214" t="s">
        <v>15</v>
      </c>
      <c r="F152" s="215">
        <v>2.75</v>
      </c>
      <c r="G152" s="210"/>
      <c r="H152" s="216">
        <v>200.0</v>
      </c>
      <c r="I152" s="216">
        <v>550.0</v>
      </c>
      <c r="J152" s="216">
        <v>12693.17</v>
      </c>
      <c r="K152" s="216">
        <v>0.0</v>
      </c>
      <c r="L152" s="217">
        <v>46193.0</v>
      </c>
      <c r="M152" s="217">
        <v>46223.0</v>
      </c>
      <c r="N152" s="215">
        <v>1.0</v>
      </c>
      <c r="O152" s="215">
        <v>-308.0</v>
      </c>
      <c r="P152" s="215">
        <v>338.0</v>
      </c>
      <c r="Q152" s="232">
        <v>46204.0</v>
      </c>
      <c r="R152" s="218" t="s">
        <v>1226</v>
      </c>
      <c r="S152" s="225" t="s">
        <v>1227</v>
      </c>
      <c r="T152" s="215">
        <v>584.0</v>
      </c>
      <c r="U152" s="204"/>
    </row>
    <row r="153" ht="22.5" customHeight="1">
      <c r="A153" s="205"/>
      <c r="B153" s="193" t="s">
        <v>309</v>
      </c>
      <c r="C153" s="219" t="s">
        <v>684</v>
      </c>
      <c r="D153" s="194" t="s">
        <v>1160</v>
      </c>
      <c r="E153" s="193" t="s">
        <v>17</v>
      </c>
      <c r="F153" s="220">
        <v>3.0</v>
      </c>
      <c r="G153" s="221"/>
      <c r="H153" s="222">
        <v>3000.0</v>
      </c>
      <c r="I153" s="222">
        <v>9000.0</v>
      </c>
      <c r="J153" s="207"/>
      <c r="K153" s="207"/>
      <c r="L153" s="223">
        <v>46176.0</v>
      </c>
      <c r="M153" s="223">
        <v>46206.0</v>
      </c>
      <c r="N153" s="150"/>
      <c r="O153" s="220">
        <v>-325.0</v>
      </c>
      <c r="P153" s="220">
        <v>355.0</v>
      </c>
      <c r="Q153" s="209"/>
      <c r="R153" s="196" t="s">
        <v>1228</v>
      </c>
      <c r="S153" s="45"/>
      <c r="T153" s="220">
        <v>585.0</v>
      </c>
      <c r="U153" s="198"/>
    </row>
    <row r="154" ht="22.5" customHeight="1">
      <c r="A154" s="211" t="s">
        <v>1229</v>
      </c>
      <c r="B154" s="212" t="s">
        <v>414</v>
      </c>
      <c r="C154" s="213" t="s">
        <v>136</v>
      </c>
      <c r="D154" s="214" t="s">
        <v>888</v>
      </c>
      <c r="E154" s="214" t="s">
        <v>17</v>
      </c>
      <c r="F154" s="215">
        <v>3.0</v>
      </c>
      <c r="G154" s="224">
        <v>0.38</v>
      </c>
      <c r="H154" s="216">
        <v>4000.0</v>
      </c>
      <c r="I154" s="216">
        <v>5312.5</v>
      </c>
      <c r="J154" s="216">
        <v>5312.5</v>
      </c>
      <c r="K154" s="216">
        <v>0.0</v>
      </c>
      <c r="L154" s="217">
        <v>46201.0</v>
      </c>
      <c r="M154" s="217">
        <v>46231.0</v>
      </c>
      <c r="N154" s="215">
        <v>1.0</v>
      </c>
      <c r="O154" s="215">
        <v>-300.0</v>
      </c>
      <c r="P154" s="215">
        <v>330.0</v>
      </c>
      <c r="Q154" s="232">
        <v>46248.0</v>
      </c>
      <c r="R154" s="218" t="s">
        <v>1230</v>
      </c>
      <c r="S154" s="225" t="s">
        <v>1231</v>
      </c>
      <c r="T154" s="215">
        <v>586.0</v>
      </c>
      <c r="U154" s="204"/>
    </row>
    <row r="155" ht="22.5" customHeight="1">
      <c r="A155" s="205"/>
      <c r="B155" s="193" t="s">
        <v>1164</v>
      </c>
      <c r="C155" s="242" t="s">
        <v>685</v>
      </c>
      <c r="D155" s="194" t="s">
        <v>1165</v>
      </c>
      <c r="E155" s="194" t="s">
        <v>19</v>
      </c>
      <c r="F155" s="195" t="s">
        <v>1166</v>
      </c>
      <c r="G155" s="221"/>
      <c r="H155" s="222">
        <v>15.0</v>
      </c>
      <c r="I155" s="222">
        <v>120.0</v>
      </c>
      <c r="J155" s="207"/>
      <c r="K155" s="207"/>
      <c r="L155" s="223">
        <v>46191.0</v>
      </c>
      <c r="M155" s="223">
        <v>46221.0</v>
      </c>
      <c r="N155" s="150"/>
      <c r="O155" s="220">
        <v>-310.0</v>
      </c>
      <c r="P155" s="220">
        <v>340.0</v>
      </c>
      <c r="Q155" s="209"/>
      <c r="R155" s="196" t="s">
        <v>1232</v>
      </c>
      <c r="S155" s="45"/>
      <c r="T155" s="220">
        <v>587.0</v>
      </c>
      <c r="U155" s="198"/>
    </row>
    <row r="156" ht="22.5" customHeight="1">
      <c r="A156" s="199"/>
      <c r="B156" s="212" t="s">
        <v>301</v>
      </c>
      <c r="C156" s="214" t="s">
        <v>694</v>
      </c>
      <c r="D156" s="214" t="s">
        <v>1199</v>
      </c>
      <c r="E156" s="212" t="s">
        <v>17</v>
      </c>
      <c r="F156" s="215">
        <v>3.0</v>
      </c>
      <c r="G156" s="224">
        <v>0.15</v>
      </c>
      <c r="H156" s="237" t="s">
        <v>1200</v>
      </c>
      <c r="I156" s="216">
        <v>21000.0</v>
      </c>
      <c r="J156" s="201"/>
      <c r="K156" s="201"/>
      <c r="L156" s="217">
        <v>46191.0</v>
      </c>
      <c r="M156" s="217">
        <v>46221.0</v>
      </c>
      <c r="N156" s="147"/>
      <c r="O156" s="215">
        <v>-310.0</v>
      </c>
      <c r="P156" s="215">
        <v>340.0</v>
      </c>
      <c r="Q156" s="203"/>
      <c r="R156" s="218" t="s">
        <v>1233</v>
      </c>
      <c r="S156" s="186"/>
      <c r="T156" s="215">
        <v>588.0</v>
      </c>
      <c r="U156" s="204"/>
    </row>
    <row r="157" ht="22.5" customHeight="1">
      <c r="A157" s="205"/>
      <c r="B157" s="193" t="s">
        <v>147</v>
      </c>
      <c r="C157" s="194" t="s">
        <v>1130</v>
      </c>
      <c r="D157" s="194" t="s">
        <v>1030</v>
      </c>
      <c r="E157" s="193" t="s">
        <v>19</v>
      </c>
      <c r="F157" s="195" t="s">
        <v>1171</v>
      </c>
      <c r="G157" s="150"/>
      <c r="H157" s="222">
        <v>15.0</v>
      </c>
      <c r="I157" s="222">
        <v>330.0</v>
      </c>
      <c r="J157" s="222">
        <v>38225.95</v>
      </c>
      <c r="K157" s="222">
        <v>0.0</v>
      </c>
      <c r="L157" s="223">
        <v>46184.0</v>
      </c>
      <c r="M157" s="223">
        <v>46214.0</v>
      </c>
      <c r="N157" s="220">
        <v>1.0</v>
      </c>
      <c r="O157" s="220">
        <v>-317.0</v>
      </c>
      <c r="P157" s="220">
        <v>347.0</v>
      </c>
      <c r="Q157" s="238">
        <v>46206.0</v>
      </c>
      <c r="R157" s="196" t="s">
        <v>1234</v>
      </c>
      <c r="S157" s="227" t="s">
        <v>1235</v>
      </c>
      <c r="T157" s="220">
        <v>589.0</v>
      </c>
      <c r="U157" s="198"/>
    </row>
    <row r="158" ht="22.5" customHeight="1">
      <c r="A158" s="199"/>
      <c r="B158" s="212" t="s">
        <v>433</v>
      </c>
      <c r="C158" s="231" t="s">
        <v>684</v>
      </c>
      <c r="D158" s="214" t="s">
        <v>1098</v>
      </c>
      <c r="E158" s="214" t="s">
        <v>41</v>
      </c>
      <c r="F158" s="228" t="s">
        <v>1099</v>
      </c>
      <c r="G158" s="210"/>
      <c r="H158" s="216">
        <v>40.0</v>
      </c>
      <c r="I158" s="216">
        <v>160.0</v>
      </c>
      <c r="J158" s="201"/>
      <c r="K158" s="201"/>
      <c r="L158" s="217">
        <v>46177.0</v>
      </c>
      <c r="M158" s="217">
        <v>46207.0</v>
      </c>
      <c r="N158" s="147"/>
      <c r="O158" s="215">
        <v>-324.0</v>
      </c>
      <c r="P158" s="215">
        <v>354.0</v>
      </c>
      <c r="Q158" s="203"/>
      <c r="R158" s="218" t="s">
        <v>1236</v>
      </c>
      <c r="S158" s="186"/>
      <c r="T158" s="215">
        <v>590.0</v>
      </c>
      <c r="U158" s="204"/>
    </row>
    <row r="159" ht="22.5" customHeight="1">
      <c r="A159" s="205"/>
      <c r="B159" s="193" t="s">
        <v>330</v>
      </c>
      <c r="C159" s="194" t="s">
        <v>694</v>
      </c>
      <c r="D159" s="194" t="s">
        <v>1207</v>
      </c>
      <c r="E159" s="193" t="s">
        <v>17</v>
      </c>
      <c r="F159" s="220">
        <v>4.0</v>
      </c>
      <c r="G159" s="221"/>
      <c r="H159" s="197" t="s">
        <v>1200</v>
      </c>
      <c r="I159" s="222">
        <v>27000.0</v>
      </c>
      <c r="J159" s="207"/>
      <c r="K159" s="207"/>
      <c r="L159" s="223">
        <v>46182.0</v>
      </c>
      <c r="M159" s="223">
        <v>46212.0</v>
      </c>
      <c r="N159" s="150"/>
      <c r="O159" s="220">
        <v>-319.0</v>
      </c>
      <c r="P159" s="220">
        <v>349.0</v>
      </c>
      <c r="Q159" s="209"/>
      <c r="R159" s="196" t="s">
        <v>1237</v>
      </c>
      <c r="S159" s="45"/>
      <c r="T159" s="220">
        <v>591.0</v>
      </c>
      <c r="U159" s="198"/>
    </row>
    <row r="160" ht="22.5" customHeight="1">
      <c r="A160" s="199"/>
      <c r="B160" s="212" t="s">
        <v>152</v>
      </c>
      <c r="C160" s="214" t="s">
        <v>694</v>
      </c>
      <c r="D160" s="214" t="s">
        <v>1209</v>
      </c>
      <c r="E160" s="212" t="s">
        <v>19</v>
      </c>
      <c r="F160" s="228" t="s">
        <v>909</v>
      </c>
      <c r="G160" s="210"/>
      <c r="H160" s="216">
        <v>10.0</v>
      </c>
      <c r="I160" s="216">
        <v>180.0</v>
      </c>
      <c r="J160" s="201"/>
      <c r="K160" s="201"/>
      <c r="L160" s="217">
        <v>46189.0</v>
      </c>
      <c r="M160" s="217">
        <v>46219.0</v>
      </c>
      <c r="N160" s="147"/>
      <c r="O160" s="215">
        <v>-312.0</v>
      </c>
      <c r="P160" s="215">
        <v>342.0</v>
      </c>
      <c r="Q160" s="203"/>
      <c r="R160" s="218" t="s">
        <v>1238</v>
      </c>
      <c r="S160" s="186"/>
      <c r="T160" s="215">
        <v>592.0</v>
      </c>
      <c r="U160" s="204"/>
    </row>
    <row r="161" ht="22.5" customHeight="1">
      <c r="A161" s="192" t="s">
        <v>1239</v>
      </c>
      <c r="B161" s="193" t="s">
        <v>438</v>
      </c>
      <c r="C161" s="194" t="s">
        <v>1074</v>
      </c>
      <c r="D161" s="194" t="s">
        <v>906</v>
      </c>
      <c r="E161" s="194" t="s">
        <v>17</v>
      </c>
      <c r="F161" s="220">
        <v>3.0</v>
      </c>
      <c r="G161" s="230">
        <v>0.25</v>
      </c>
      <c r="H161" s="222">
        <v>8000.0</v>
      </c>
      <c r="I161" s="222">
        <v>18000.0</v>
      </c>
      <c r="J161" s="222">
        <v>18000.0</v>
      </c>
      <c r="K161" s="222">
        <v>0.0</v>
      </c>
      <c r="L161" s="223">
        <v>46198.0</v>
      </c>
      <c r="M161" s="223">
        <v>46228.0</v>
      </c>
      <c r="N161" s="220">
        <v>1.0</v>
      </c>
      <c r="O161" s="220">
        <v>-303.0</v>
      </c>
      <c r="P161" s="220">
        <v>333.0</v>
      </c>
      <c r="Q161" s="238">
        <v>46218.0</v>
      </c>
      <c r="R161" s="196" t="s">
        <v>1240</v>
      </c>
      <c r="S161" s="227" t="s">
        <v>1241</v>
      </c>
      <c r="T161" s="220">
        <v>593.0</v>
      </c>
      <c r="U161" s="198"/>
    </row>
    <row r="162" ht="22.5" customHeight="1">
      <c r="A162" s="199"/>
      <c r="B162" s="212" t="s">
        <v>440</v>
      </c>
      <c r="C162" s="213" t="s">
        <v>136</v>
      </c>
      <c r="D162" s="214" t="s">
        <v>908</v>
      </c>
      <c r="E162" s="214" t="s">
        <v>19</v>
      </c>
      <c r="F162" s="228" t="s">
        <v>1145</v>
      </c>
      <c r="G162" s="210"/>
      <c r="H162" s="216">
        <v>15.0</v>
      </c>
      <c r="I162" s="216">
        <v>180.0</v>
      </c>
      <c r="J162" s="216">
        <v>21117.4</v>
      </c>
      <c r="K162" s="216">
        <v>0.0</v>
      </c>
      <c r="L162" s="217">
        <v>46201.0</v>
      </c>
      <c r="M162" s="217">
        <v>46231.0</v>
      </c>
      <c r="N162" s="215">
        <v>1.0</v>
      </c>
      <c r="O162" s="215">
        <v>-300.0</v>
      </c>
      <c r="P162" s="215">
        <v>330.0</v>
      </c>
      <c r="Q162" s="232">
        <v>46205.0</v>
      </c>
      <c r="R162" s="218" t="s">
        <v>1242</v>
      </c>
      <c r="S162" s="225" t="s">
        <v>1243</v>
      </c>
      <c r="T162" s="215">
        <v>594.0</v>
      </c>
      <c r="U162" s="204"/>
    </row>
    <row r="163" ht="22.5" customHeight="1">
      <c r="A163" s="205"/>
      <c r="B163" s="193" t="s">
        <v>151</v>
      </c>
      <c r="C163" s="194" t="s">
        <v>1215</v>
      </c>
      <c r="D163" s="194" t="s">
        <v>1216</v>
      </c>
      <c r="E163" s="194" t="s">
        <v>15</v>
      </c>
      <c r="F163" s="220">
        <v>1.0</v>
      </c>
      <c r="G163" s="221"/>
      <c r="H163" s="222">
        <v>250.0</v>
      </c>
      <c r="I163" s="222">
        <v>250.0</v>
      </c>
      <c r="J163" s="207"/>
      <c r="K163" s="207"/>
      <c r="L163" s="223">
        <v>46198.0</v>
      </c>
      <c r="M163" s="223">
        <v>46228.0</v>
      </c>
      <c r="N163" s="150"/>
      <c r="O163" s="220">
        <v>-303.0</v>
      </c>
      <c r="P163" s="220">
        <v>333.0</v>
      </c>
      <c r="Q163" s="209"/>
      <c r="R163" s="196" t="s">
        <v>1244</v>
      </c>
      <c r="S163" s="45"/>
      <c r="T163" s="220">
        <v>595.0</v>
      </c>
      <c r="U163" s="198"/>
    </row>
    <row r="164" ht="22.5" customHeight="1">
      <c r="A164" s="199"/>
      <c r="B164" s="212" t="s">
        <v>160</v>
      </c>
      <c r="C164" s="213" t="s">
        <v>136</v>
      </c>
      <c r="D164" s="214" t="s">
        <v>913</v>
      </c>
      <c r="E164" s="214" t="s">
        <v>17</v>
      </c>
      <c r="F164" s="215">
        <v>1.0</v>
      </c>
      <c r="G164" s="210"/>
      <c r="H164" s="216">
        <v>2000.0</v>
      </c>
      <c r="I164" s="216">
        <v>2000.0</v>
      </c>
      <c r="J164" s="216">
        <v>2000.0</v>
      </c>
      <c r="K164" s="216">
        <v>2000.0</v>
      </c>
      <c r="L164" s="217">
        <v>46198.0</v>
      </c>
      <c r="M164" s="217">
        <v>46228.0</v>
      </c>
      <c r="N164" s="215">
        <v>0.0</v>
      </c>
      <c r="O164" s="215">
        <v>-303.0</v>
      </c>
      <c r="P164" s="215">
        <v>333.0</v>
      </c>
      <c r="Q164" s="203"/>
      <c r="R164" s="218" t="s">
        <v>1245</v>
      </c>
      <c r="S164" s="225" t="s">
        <v>1246</v>
      </c>
      <c r="T164" s="215">
        <v>596.0</v>
      </c>
      <c r="U164" s="204"/>
    </row>
    <row r="165" ht="22.5" customHeight="1">
      <c r="A165" s="205"/>
      <c r="B165" s="193" t="s">
        <v>396</v>
      </c>
      <c r="C165" s="219" t="s">
        <v>684</v>
      </c>
      <c r="D165" s="194" t="s">
        <v>1247</v>
      </c>
      <c r="E165" s="193" t="s">
        <v>15</v>
      </c>
      <c r="F165" s="220">
        <v>0.0</v>
      </c>
      <c r="G165" s="230">
        <v>0.88</v>
      </c>
      <c r="H165" s="222">
        <v>250.0</v>
      </c>
      <c r="I165" s="222">
        <v>0.0</v>
      </c>
      <c r="J165" s="207"/>
      <c r="K165" s="207"/>
      <c r="L165" s="223">
        <v>46197.0</v>
      </c>
      <c r="M165" s="223">
        <v>46227.0</v>
      </c>
      <c r="N165" s="150"/>
      <c r="O165" s="220">
        <v>-304.0</v>
      </c>
      <c r="P165" s="220">
        <v>334.0</v>
      </c>
      <c r="Q165" s="209"/>
      <c r="R165" s="196" t="s">
        <v>1248</v>
      </c>
      <c r="S165" s="227" t="s">
        <v>1249</v>
      </c>
      <c r="T165" s="220">
        <v>597.0</v>
      </c>
      <c r="U165" s="198"/>
    </row>
    <row r="166" ht="22.5" customHeight="1">
      <c r="A166" s="199"/>
      <c r="B166" s="212" t="s">
        <v>153</v>
      </c>
      <c r="C166" s="213" t="s">
        <v>136</v>
      </c>
      <c r="D166" s="214" t="s">
        <v>1077</v>
      </c>
      <c r="E166" s="214" t="s">
        <v>108</v>
      </c>
      <c r="F166" s="228" t="s">
        <v>1078</v>
      </c>
      <c r="G166" s="210"/>
      <c r="H166" s="216">
        <v>25.0</v>
      </c>
      <c r="I166" s="216">
        <v>676.0</v>
      </c>
      <c r="J166" s="216">
        <v>45356.67</v>
      </c>
      <c r="K166" s="216">
        <v>0.0</v>
      </c>
      <c r="L166" s="217">
        <v>46199.0</v>
      </c>
      <c r="M166" s="217">
        <v>46229.0</v>
      </c>
      <c r="N166" s="215">
        <v>1.0</v>
      </c>
      <c r="O166" s="215">
        <v>-302.0</v>
      </c>
      <c r="P166" s="215">
        <v>332.0</v>
      </c>
      <c r="Q166" s="232">
        <v>46216.0</v>
      </c>
      <c r="R166" s="218" t="s">
        <v>1250</v>
      </c>
      <c r="S166" s="225" t="s">
        <v>1251</v>
      </c>
      <c r="T166" s="215">
        <v>598.0</v>
      </c>
      <c r="U166" s="204"/>
    </row>
    <row r="167" ht="22.5" customHeight="1">
      <c r="A167" s="205"/>
      <c r="B167" s="193" t="s">
        <v>402</v>
      </c>
      <c r="C167" s="226" t="s">
        <v>136</v>
      </c>
      <c r="D167" s="194" t="s">
        <v>884</v>
      </c>
      <c r="E167" s="194" t="s">
        <v>15</v>
      </c>
      <c r="F167" s="220">
        <v>2.0</v>
      </c>
      <c r="G167" s="221"/>
      <c r="H167" s="222">
        <v>200.0</v>
      </c>
      <c r="I167" s="222">
        <v>400.0</v>
      </c>
      <c r="J167" s="222">
        <v>9111.9</v>
      </c>
      <c r="K167" s="222">
        <v>0.0</v>
      </c>
      <c r="L167" s="223">
        <v>46162.0</v>
      </c>
      <c r="M167" s="223">
        <v>46193.0</v>
      </c>
      <c r="N167" s="220">
        <v>1.0</v>
      </c>
      <c r="O167" s="220">
        <v>-338.0</v>
      </c>
      <c r="P167" s="220">
        <v>368.0</v>
      </c>
      <c r="Q167" s="238">
        <v>46171.0</v>
      </c>
      <c r="R167" s="196" t="s">
        <v>1253</v>
      </c>
      <c r="S167" s="227" t="s">
        <v>1254</v>
      </c>
      <c r="T167" s="220">
        <v>572.0</v>
      </c>
      <c r="U167" s="198"/>
    </row>
    <row r="168" ht="22.5" customHeight="1">
      <c r="A168" s="199"/>
      <c r="B168" s="212" t="s">
        <v>309</v>
      </c>
      <c r="C168" s="231" t="s">
        <v>684</v>
      </c>
      <c r="D168" s="214" t="s">
        <v>1160</v>
      </c>
      <c r="E168" s="212" t="s">
        <v>17</v>
      </c>
      <c r="F168" s="215">
        <v>3.0</v>
      </c>
      <c r="G168" s="210"/>
      <c r="H168" s="216">
        <v>3000.0</v>
      </c>
      <c r="I168" s="216">
        <v>9000.0</v>
      </c>
      <c r="J168" s="201"/>
      <c r="K168" s="201"/>
      <c r="L168" s="217">
        <v>46145.0</v>
      </c>
      <c r="M168" s="217">
        <v>46176.0</v>
      </c>
      <c r="N168" s="147"/>
      <c r="O168" s="215">
        <v>-355.0</v>
      </c>
      <c r="P168" s="215">
        <v>385.0</v>
      </c>
      <c r="Q168" s="203"/>
      <c r="R168" s="218" t="s">
        <v>1255</v>
      </c>
      <c r="S168" s="186"/>
      <c r="T168" s="215">
        <v>573.0</v>
      </c>
      <c r="U168" s="204"/>
    </row>
    <row r="169" ht="22.5" customHeight="1">
      <c r="A169" s="205"/>
      <c r="B169" s="193" t="s">
        <v>414</v>
      </c>
      <c r="C169" s="194" t="s">
        <v>1074</v>
      </c>
      <c r="D169" s="194" t="s">
        <v>888</v>
      </c>
      <c r="E169" s="194" t="s">
        <v>17</v>
      </c>
      <c r="F169" s="220">
        <v>1.0</v>
      </c>
      <c r="G169" s="230">
        <v>0.38</v>
      </c>
      <c r="H169" s="222">
        <v>4000.0</v>
      </c>
      <c r="I169" s="222">
        <v>2500.0</v>
      </c>
      <c r="J169" s="222">
        <v>2500.0</v>
      </c>
      <c r="K169" s="222">
        <v>0.0</v>
      </c>
      <c r="L169" s="223">
        <v>46143.0</v>
      </c>
      <c r="M169" s="223">
        <v>46174.0</v>
      </c>
      <c r="N169" s="220">
        <v>1.0</v>
      </c>
      <c r="O169" s="220">
        <v>-357.0</v>
      </c>
      <c r="P169" s="220">
        <v>387.0</v>
      </c>
      <c r="Q169" s="196" t="s">
        <v>1132</v>
      </c>
      <c r="R169" s="196" t="s">
        <v>1256</v>
      </c>
      <c r="S169" s="45"/>
      <c r="T169" s="220">
        <v>574.0</v>
      </c>
      <c r="U169" s="198"/>
    </row>
    <row r="170" ht="22.5" customHeight="1">
      <c r="A170" s="199"/>
      <c r="B170" s="212" t="s">
        <v>1164</v>
      </c>
      <c r="C170" s="229" t="s">
        <v>685</v>
      </c>
      <c r="D170" s="214" t="s">
        <v>1165</v>
      </c>
      <c r="E170" s="214" t="s">
        <v>19</v>
      </c>
      <c r="F170" s="228" t="s">
        <v>1166</v>
      </c>
      <c r="G170" s="210"/>
      <c r="H170" s="216">
        <v>15.0</v>
      </c>
      <c r="I170" s="216">
        <v>120.0</v>
      </c>
      <c r="J170" s="201"/>
      <c r="K170" s="201"/>
      <c r="L170" s="217">
        <v>46160.0</v>
      </c>
      <c r="M170" s="217">
        <v>46191.0</v>
      </c>
      <c r="N170" s="147"/>
      <c r="O170" s="215">
        <v>-340.0</v>
      </c>
      <c r="P170" s="215">
        <v>370.0</v>
      </c>
      <c r="Q170" s="203"/>
      <c r="R170" s="218" t="s">
        <v>1257</v>
      </c>
      <c r="S170" s="186"/>
      <c r="T170" s="215">
        <v>575.0</v>
      </c>
      <c r="U170" s="204"/>
    </row>
    <row r="171" ht="22.5" customHeight="1">
      <c r="A171" s="192" t="s">
        <v>1258</v>
      </c>
      <c r="B171" s="193" t="s">
        <v>301</v>
      </c>
      <c r="C171" s="226" t="s">
        <v>136</v>
      </c>
      <c r="D171" s="194" t="s">
        <v>1199</v>
      </c>
      <c r="E171" s="193" t="s">
        <v>17</v>
      </c>
      <c r="F171" s="220">
        <v>3.0</v>
      </c>
      <c r="G171" s="230">
        <v>0.15</v>
      </c>
      <c r="H171" s="197" t="s">
        <v>1200</v>
      </c>
      <c r="I171" s="222">
        <v>21000.0</v>
      </c>
      <c r="J171" s="222">
        <v>21000.0</v>
      </c>
      <c r="K171" s="222">
        <v>0.0</v>
      </c>
      <c r="L171" s="223">
        <v>46160.0</v>
      </c>
      <c r="M171" s="223">
        <v>46191.0</v>
      </c>
      <c r="N171" s="220">
        <v>1.0</v>
      </c>
      <c r="O171" s="220">
        <v>-340.0</v>
      </c>
      <c r="P171" s="220">
        <v>370.0</v>
      </c>
      <c r="Q171" s="209"/>
      <c r="R171" s="196" t="s">
        <v>1259</v>
      </c>
      <c r="S171" s="227" t="s">
        <v>1260</v>
      </c>
      <c r="T171" s="220">
        <v>576.0</v>
      </c>
      <c r="U171" s="198"/>
    </row>
    <row r="172" ht="22.5" customHeight="1">
      <c r="A172" s="199"/>
      <c r="B172" s="212" t="s">
        <v>147</v>
      </c>
      <c r="C172" s="214" t="s">
        <v>1130</v>
      </c>
      <c r="D172" s="214" t="s">
        <v>1261</v>
      </c>
      <c r="E172" s="212" t="s">
        <v>19</v>
      </c>
      <c r="F172" s="228" t="s">
        <v>1262</v>
      </c>
      <c r="G172" s="147"/>
      <c r="H172" s="216">
        <v>15.0</v>
      </c>
      <c r="I172" s="216">
        <v>60.0</v>
      </c>
      <c r="J172" s="216">
        <v>6749.72</v>
      </c>
      <c r="K172" s="216">
        <v>6749.72</v>
      </c>
      <c r="L172" s="217">
        <v>46143.0</v>
      </c>
      <c r="M172" s="217">
        <v>46174.0</v>
      </c>
      <c r="N172" s="215">
        <v>0.0</v>
      </c>
      <c r="O172" s="215">
        <v>-357.0</v>
      </c>
      <c r="P172" s="215">
        <v>387.0</v>
      </c>
      <c r="Q172" s="203"/>
      <c r="R172" s="218" t="s">
        <v>1263</v>
      </c>
      <c r="S172" s="225" t="s">
        <v>1264</v>
      </c>
      <c r="T172" s="215">
        <v>577.0</v>
      </c>
      <c r="U172" s="204"/>
    </row>
    <row r="173" ht="22.5" customHeight="1">
      <c r="A173" s="192" t="s">
        <v>1265</v>
      </c>
      <c r="B173" s="193" t="s">
        <v>433</v>
      </c>
      <c r="C173" s="226" t="s">
        <v>136</v>
      </c>
      <c r="D173" s="194" t="s">
        <v>1098</v>
      </c>
      <c r="E173" s="194" t="s">
        <v>41</v>
      </c>
      <c r="F173" s="195" t="s">
        <v>1099</v>
      </c>
      <c r="G173" s="221"/>
      <c r="H173" s="222">
        <v>40.0</v>
      </c>
      <c r="I173" s="222">
        <v>160.0</v>
      </c>
      <c r="J173" s="222">
        <v>3156.04</v>
      </c>
      <c r="K173" s="222">
        <v>3156.04</v>
      </c>
      <c r="L173" s="223">
        <v>46146.0</v>
      </c>
      <c r="M173" s="223">
        <v>46177.0</v>
      </c>
      <c r="N173" s="220">
        <v>0.0</v>
      </c>
      <c r="O173" s="220">
        <v>-354.0</v>
      </c>
      <c r="P173" s="220">
        <v>384.0</v>
      </c>
      <c r="Q173" s="209"/>
      <c r="R173" s="196" t="s">
        <v>1266</v>
      </c>
      <c r="S173" s="227" t="s">
        <v>1267</v>
      </c>
      <c r="T173" s="220">
        <v>578.0</v>
      </c>
      <c r="U173" s="198"/>
    </row>
    <row r="174" ht="22.5" customHeight="1">
      <c r="A174" s="199"/>
      <c r="B174" s="212" t="s">
        <v>330</v>
      </c>
      <c r="C174" s="213" t="s">
        <v>136</v>
      </c>
      <c r="D174" s="214" t="s">
        <v>1207</v>
      </c>
      <c r="E174" s="212" t="s">
        <v>17</v>
      </c>
      <c r="F174" s="215">
        <v>4.0</v>
      </c>
      <c r="G174" s="210"/>
      <c r="H174" s="237" t="s">
        <v>1200</v>
      </c>
      <c r="I174" s="216">
        <v>27000.0</v>
      </c>
      <c r="J174" s="216">
        <v>27000.0</v>
      </c>
      <c r="K174" s="216">
        <v>0.0</v>
      </c>
      <c r="L174" s="217">
        <v>46151.0</v>
      </c>
      <c r="M174" s="217">
        <v>46182.0</v>
      </c>
      <c r="N174" s="215">
        <v>1.0</v>
      </c>
      <c r="O174" s="215">
        <v>-349.0</v>
      </c>
      <c r="P174" s="215">
        <v>379.0</v>
      </c>
      <c r="Q174" s="232">
        <v>46176.0</v>
      </c>
      <c r="R174" s="218" t="s">
        <v>1268</v>
      </c>
      <c r="S174" s="225" t="s">
        <v>1269</v>
      </c>
      <c r="T174" s="215">
        <v>579.0</v>
      </c>
      <c r="U174" s="204"/>
    </row>
    <row r="175" ht="22.5" customHeight="1">
      <c r="A175" s="205"/>
      <c r="B175" s="193" t="s">
        <v>152</v>
      </c>
      <c r="C175" s="226" t="s">
        <v>136</v>
      </c>
      <c r="D175" s="194" t="s">
        <v>1209</v>
      </c>
      <c r="E175" s="193" t="s">
        <v>19</v>
      </c>
      <c r="F175" s="195" t="s">
        <v>909</v>
      </c>
      <c r="G175" s="221"/>
      <c r="H175" s="222">
        <v>10.0</v>
      </c>
      <c r="I175" s="222">
        <v>180.0</v>
      </c>
      <c r="J175" s="222">
        <v>20459.12</v>
      </c>
      <c r="K175" s="222">
        <v>0.0</v>
      </c>
      <c r="L175" s="223">
        <v>46158.0</v>
      </c>
      <c r="M175" s="223">
        <v>46189.0</v>
      </c>
      <c r="N175" s="220">
        <v>1.0</v>
      </c>
      <c r="O175" s="220">
        <v>-342.0</v>
      </c>
      <c r="P175" s="220">
        <v>372.0</v>
      </c>
      <c r="Q175" s="238">
        <v>46222.0</v>
      </c>
      <c r="R175" s="196" t="s">
        <v>1270</v>
      </c>
      <c r="S175" s="227" t="s">
        <v>1271</v>
      </c>
      <c r="T175" s="220">
        <v>580.0</v>
      </c>
      <c r="U175" s="198"/>
    </row>
    <row r="176" ht="22.5" customHeight="1">
      <c r="A176" s="199"/>
      <c r="B176" s="212" t="s">
        <v>438</v>
      </c>
      <c r="C176" s="213" t="s">
        <v>136</v>
      </c>
      <c r="D176" s="214" t="s">
        <v>906</v>
      </c>
      <c r="E176" s="214" t="s">
        <v>17</v>
      </c>
      <c r="F176" s="215">
        <v>3.0</v>
      </c>
      <c r="G176" s="224">
        <v>0.25</v>
      </c>
      <c r="H176" s="216">
        <v>8000.0</v>
      </c>
      <c r="I176" s="216">
        <v>18000.0</v>
      </c>
      <c r="J176" s="216">
        <v>18000.0</v>
      </c>
      <c r="K176" s="216">
        <v>0.0</v>
      </c>
      <c r="L176" s="217">
        <v>46167.0</v>
      </c>
      <c r="M176" s="217">
        <v>46198.0</v>
      </c>
      <c r="N176" s="215">
        <v>1.0</v>
      </c>
      <c r="O176" s="215">
        <v>-333.0</v>
      </c>
      <c r="P176" s="215">
        <v>363.0</v>
      </c>
      <c r="Q176" s="232">
        <v>46170.0</v>
      </c>
      <c r="R176" s="218" t="s">
        <v>1272</v>
      </c>
      <c r="S176" s="225" t="s">
        <v>1273</v>
      </c>
      <c r="T176" s="215">
        <v>581.0</v>
      </c>
      <c r="U176" s="204"/>
    </row>
    <row r="177" ht="22.5" customHeight="1">
      <c r="A177" s="205"/>
      <c r="B177" s="193" t="s">
        <v>440</v>
      </c>
      <c r="C177" s="226" t="s">
        <v>136</v>
      </c>
      <c r="D177" s="194" t="s">
        <v>908</v>
      </c>
      <c r="E177" s="194" t="s">
        <v>19</v>
      </c>
      <c r="F177" s="195" t="s">
        <v>1145</v>
      </c>
      <c r="G177" s="221"/>
      <c r="H177" s="222">
        <v>15.0</v>
      </c>
      <c r="I177" s="222">
        <v>180.0</v>
      </c>
      <c r="J177" s="222">
        <v>20696.29</v>
      </c>
      <c r="K177" s="222">
        <v>0.0</v>
      </c>
      <c r="L177" s="223">
        <v>46170.0</v>
      </c>
      <c r="M177" s="223">
        <v>46201.0</v>
      </c>
      <c r="N177" s="220">
        <v>1.0</v>
      </c>
      <c r="O177" s="220">
        <v>-330.0</v>
      </c>
      <c r="P177" s="220">
        <v>360.0</v>
      </c>
      <c r="Q177" s="238">
        <v>46170.0</v>
      </c>
      <c r="R177" s="196" t="s">
        <v>1274</v>
      </c>
      <c r="S177" s="227" t="s">
        <v>1275</v>
      </c>
      <c r="T177" s="220">
        <v>582.0</v>
      </c>
      <c r="U177" s="198"/>
    </row>
    <row r="178" ht="22.5" customHeight="1">
      <c r="A178" s="199"/>
      <c r="B178" s="212" t="s">
        <v>151</v>
      </c>
      <c r="C178" s="214" t="s">
        <v>1276</v>
      </c>
      <c r="D178" s="214" t="s">
        <v>1216</v>
      </c>
      <c r="E178" s="214" t="s">
        <v>15</v>
      </c>
      <c r="F178" s="215">
        <v>1.0</v>
      </c>
      <c r="G178" s="210"/>
      <c r="H178" s="216">
        <v>250.0</v>
      </c>
      <c r="I178" s="216">
        <v>250.0</v>
      </c>
      <c r="J178" s="201"/>
      <c r="K178" s="201"/>
      <c r="L178" s="217">
        <v>46167.0</v>
      </c>
      <c r="M178" s="217">
        <v>46198.0</v>
      </c>
      <c r="N178" s="147"/>
      <c r="O178" s="215">
        <v>-333.0</v>
      </c>
      <c r="P178" s="215">
        <v>363.0</v>
      </c>
      <c r="Q178" s="203"/>
      <c r="R178" s="218" t="s">
        <v>1277</v>
      </c>
      <c r="S178" s="186"/>
      <c r="T178" s="215">
        <v>583.0</v>
      </c>
      <c r="U178" s="204"/>
    </row>
    <row r="179" ht="22.5" customHeight="1">
      <c r="A179" s="205"/>
      <c r="B179" s="193" t="s">
        <v>184</v>
      </c>
      <c r="C179" s="194" t="s">
        <v>695</v>
      </c>
      <c r="D179" s="206"/>
      <c r="E179" s="206"/>
      <c r="F179" s="150"/>
      <c r="G179" s="221"/>
      <c r="H179" s="207"/>
      <c r="I179" s="207"/>
      <c r="J179" s="207"/>
      <c r="K179" s="207"/>
      <c r="L179" s="208"/>
      <c r="M179" s="208"/>
      <c r="N179" s="150"/>
      <c r="O179" s="150"/>
      <c r="P179" s="150"/>
      <c r="Q179" s="209"/>
      <c r="R179" s="45"/>
      <c r="S179" s="45"/>
      <c r="T179" s="150"/>
      <c r="U179" s="198"/>
    </row>
    <row r="180" ht="22.5" customHeight="1">
      <c r="A180" s="199"/>
      <c r="B180" s="212" t="s">
        <v>915</v>
      </c>
      <c r="C180" s="214" t="s">
        <v>695</v>
      </c>
      <c r="D180" s="200"/>
      <c r="E180" s="200"/>
      <c r="F180" s="147"/>
      <c r="G180" s="210"/>
      <c r="H180" s="201"/>
      <c r="I180" s="201"/>
      <c r="J180" s="201"/>
      <c r="K180" s="201"/>
      <c r="L180" s="202"/>
      <c r="M180" s="202"/>
      <c r="N180" s="147"/>
      <c r="O180" s="147"/>
      <c r="P180" s="147"/>
      <c r="Q180" s="203"/>
      <c r="R180" s="186"/>
      <c r="S180" s="186"/>
      <c r="T180" s="147"/>
      <c r="U180" s="204"/>
    </row>
    <row r="181" ht="22.5" customHeight="1">
      <c r="A181" s="192" t="s">
        <v>1279</v>
      </c>
      <c r="B181" s="193" t="s">
        <v>359</v>
      </c>
      <c r="C181" s="219" t="s">
        <v>684</v>
      </c>
      <c r="D181" s="194" t="s">
        <v>1280</v>
      </c>
      <c r="E181" s="193" t="s">
        <v>15</v>
      </c>
      <c r="F181" s="220">
        <v>5.0</v>
      </c>
      <c r="G181" s="230">
        <v>0.34</v>
      </c>
      <c r="H181" s="222">
        <v>100.0</v>
      </c>
      <c r="I181" s="222">
        <v>500.0</v>
      </c>
      <c r="J181" s="207"/>
      <c r="K181" s="207"/>
      <c r="L181" s="223">
        <v>46116.0</v>
      </c>
      <c r="M181" s="223">
        <v>46146.0</v>
      </c>
      <c r="N181" s="150"/>
      <c r="O181" s="220">
        <v>-385.0</v>
      </c>
      <c r="P181" s="220">
        <v>415.0</v>
      </c>
      <c r="Q181" s="209"/>
      <c r="R181" s="196" t="s">
        <v>1281</v>
      </c>
      <c r="S181" s="45"/>
      <c r="T181" s="220">
        <v>550.0</v>
      </c>
      <c r="U181" s="198"/>
    </row>
    <row r="182" ht="22.5" customHeight="1">
      <c r="A182" s="211" t="s">
        <v>1282</v>
      </c>
      <c r="B182" s="212" t="s">
        <v>328</v>
      </c>
      <c r="C182" s="231" t="s">
        <v>684</v>
      </c>
      <c r="D182" s="214" t="s">
        <v>1283</v>
      </c>
      <c r="E182" s="212" t="s">
        <v>19</v>
      </c>
      <c r="F182" s="228" t="s">
        <v>892</v>
      </c>
      <c r="G182" s="210"/>
      <c r="H182" s="216">
        <v>12.0</v>
      </c>
      <c r="I182" s="216">
        <v>48.0</v>
      </c>
      <c r="J182" s="201"/>
      <c r="K182" s="201"/>
      <c r="L182" s="217">
        <v>46117.0</v>
      </c>
      <c r="M182" s="217">
        <v>46147.0</v>
      </c>
      <c r="N182" s="147"/>
      <c r="O182" s="215">
        <v>-384.0</v>
      </c>
      <c r="P182" s="215">
        <v>414.0</v>
      </c>
      <c r="Q182" s="203"/>
      <c r="R182" s="218" t="s">
        <v>1284</v>
      </c>
      <c r="S182" s="186"/>
      <c r="T182" s="215">
        <v>551.0</v>
      </c>
      <c r="U182" s="204"/>
    </row>
    <row r="183" ht="22.5" customHeight="1">
      <c r="A183" s="192" t="s">
        <v>1282</v>
      </c>
      <c r="B183" s="193" t="s">
        <v>211</v>
      </c>
      <c r="C183" s="219" t="s">
        <v>684</v>
      </c>
      <c r="D183" s="194" t="s">
        <v>1285</v>
      </c>
      <c r="E183" s="193" t="s">
        <v>15</v>
      </c>
      <c r="F183" s="220">
        <v>0.0</v>
      </c>
      <c r="G183" s="221"/>
      <c r="H183" s="222">
        <v>150.0</v>
      </c>
      <c r="I183" s="222">
        <v>0.0</v>
      </c>
      <c r="J183" s="207"/>
      <c r="K183" s="207"/>
      <c r="L183" s="223">
        <v>46114.0</v>
      </c>
      <c r="M183" s="223">
        <v>46144.0</v>
      </c>
      <c r="N183" s="150"/>
      <c r="O183" s="220">
        <v>-387.0</v>
      </c>
      <c r="P183" s="220">
        <v>417.0</v>
      </c>
      <c r="Q183" s="209"/>
      <c r="R183" s="196" t="s">
        <v>1286</v>
      </c>
      <c r="S183" s="45"/>
      <c r="T183" s="220">
        <v>552.0</v>
      </c>
      <c r="U183" s="198"/>
    </row>
    <row r="184" ht="22.5" customHeight="1">
      <c r="A184" s="211" t="s">
        <v>1282</v>
      </c>
      <c r="B184" s="212" t="s">
        <v>309</v>
      </c>
      <c r="C184" s="231" t="s">
        <v>684</v>
      </c>
      <c r="D184" s="214" t="s">
        <v>1287</v>
      </c>
      <c r="E184" s="212" t="s">
        <v>17</v>
      </c>
      <c r="F184" s="215">
        <v>5.0</v>
      </c>
      <c r="G184" s="224">
        <v>0.15</v>
      </c>
      <c r="H184" s="216">
        <v>6000.0</v>
      </c>
      <c r="I184" s="216">
        <v>25500.0</v>
      </c>
      <c r="J184" s="201"/>
      <c r="K184" s="201"/>
      <c r="L184" s="217">
        <v>46115.0</v>
      </c>
      <c r="M184" s="217">
        <v>46145.0</v>
      </c>
      <c r="N184" s="147"/>
      <c r="O184" s="215">
        <v>-386.0</v>
      </c>
      <c r="P184" s="215">
        <v>416.0</v>
      </c>
      <c r="Q184" s="203"/>
      <c r="R184" s="218" t="s">
        <v>1288</v>
      </c>
      <c r="S184" s="186"/>
      <c r="T184" s="215">
        <v>553.0</v>
      </c>
      <c r="U184" s="204"/>
    </row>
    <row r="185" ht="22.5" customHeight="1">
      <c r="A185" s="205"/>
      <c r="B185" s="193" t="s">
        <v>301</v>
      </c>
      <c r="C185" s="194" t="s">
        <v>1289</v>
      </c>
      <c r="D185" s="194" t="s">
        <v>1199</v>
      </c>
      <c r="E185" s="193" t="s">
        <v>17</v>
      </c>
      <c r="F185" s="220">
        <v>3.0</v>
      </c>
      <c r="G185" s="230">
        <v>0.15</v>
      </c>
      <c r="H185" s="197" t="s">
        <v>1200</v>
      </c>
      <c r="I185" s="222">
        <v>21000.0</v>
      </c>
      <c r="J185" s="222">
        <v>21000.0</v>
      </c>
      <c r="K185" s="222">
        <v>0.0</v>
      </c>
      <c r="L185" s="223">
        <v>46130.0</v>
      </c>
      <c r="M185" s="223">
        <v>46160.0</v>
      </c>
      <c r="N185" s="220">
        <v>1.0</v>
      </c>
      <c r="O185" s="220">
        <v>-371.0</v>
      </c>
      <c r="P185" s="220">
        <v>401.0</v>
      </c>
      <c r="Q185" s="238">
        <v>46149.0</v>
      </c>
      <c r="R185" s="196" t="s">
        <v>1290</v>
      </c>
      <c r="S185" s="227" t="s">
        <v>1291</v>
      </c>
      <c r="T185" s="220">
        <v>554.0</v>
      </c>
      <c r="U185" s="198"/>
    </row>
    <row r="186" ht="22.5" customHeight="1">
      <c r="A186" s="199"/>
      <c r="B186" s="212" t="s">
        <v>147</v>
      </c>
      <c r="C186" s="214" t="s">
        <v>1130</v>
      </c>
      <c r="D186" s="214" t="s">
        <v>1261</v>
      </c>
      <c r="E186" s="212" t="s">
        <v>19</v>
      </c>
      <c r="F186" s="244">
        <v>46179.0</v>
      </c>
      <c r="G186" s="147"/>
      <c r="H186" s="216">
        <v>15.0</v>
      </c>
      <c r="I186" s="216">
        <v>180.0</v>
      </c>
      <c r="J186" s="216">
        <v>19912.54</v>
      </c>
      <c r="K186" s="216">
        <v>0.0</v>
      </c>
      <c r="L186" s="217">
        <v>46113.0</v>
      </c>
      <c r="M186" s="217">
        <v>46143.0</v>
      </c>
      <c r="N186" s="215">
        <v>1.0</v>
      </c>
      <c r="O186" s="215">
        <v>-388.0</v>
      </c>
      <c r="P186" s="215">
        <v>418.0</v>
      </c>
      <c r="Q186" s="232">
        <v>46144.0</v>
      </c>
      <c r="R186" s="218" t="s">
        <v>1292</v>
      </c>
      <c r="S186" s="225" t="s">
        <v>1293</v>
      </c>
      <c r="T186" s="215">
        <v>555.0</v>
      </c>
      <c r="U186" s="204"/>
    </row>
    <row r="187" ht="22.5" customHeight="1">
      <c r="A187" s="205"/>
      <c r="B187" s="193" t="s">
        <v>349</v>
      </c>
      <c r="C187" s="219" t="s">
        <v>684</v>
      </c>
      <c r="D187" s="194" t="s">
        <v>1294</v>
      </c>
      <c r="E187" s="193" t="s">
        <v>100</v>
      </c>
      <c r="F187" s="220">
        <v>0.0</v>
      </c>
      <c r="G187" s="221"/>
      <c r="H187" s="222">
        <v>12.0</v>
      </c>
      <c r="I187" s="222">
        <v>0.0</v>
      </c>
      <c r="J187" s="207"/>
      <c r="K187" s="207"/>
      <c r="L187" s="223">
        <v>46114.0</v>
      </c>
      <c r="M187" s="223">
        <v>46144.0</v>
      </c>
      <c r="N187" s="150"/>
      <c r="O187" s="220">
        <v>-387.0</v>
      </c>
      <c r="P187" s="220">
        <v>417.0</v>
      </c>
      <c r="Q187" s="209"/>
      <c r="R187" s="196" t="s">
        <v>1295</v>
      </c>
      <c r="S187" s="227" t="s">
        <v>1296</v>
      </c>
      <c r="T187" s="220">
        <v>556.0</v>
      </c>
      <c r="U187" s="198"/>
    </row>
    <row r="188" ht="22.5" customHeight="1">
      <c r="A188" s="199"/>
      <c r="B188" s="212" t="s">
        <v>330</v>
      </c>
      <c r="C188" s="213" t="s">
        <v>136</v>
      </c>
      <c r="D188" s="214" t="s">
        <v>1207</v>
      </c>
      <c r="E188" s="212" t="s">
        <v>17</v>
      </c>
      <c r="F188" s="215">
        <v>4.0</v>
      </c>
      <c r="G188" s="210"/>
      <c r="H188" s="237" t="s">
        <v>1200</v>
      </c>
      <c r="I188" s="216">
        <v>27000.0</v>
      </c>
      <c r="J188" s="216">
        <v>27000.0</v>
      </c>
      <c r="K188" s="216">
        <v>0.0</v>
      </c>
      <c r="L188" s="217">
        <v>46121.0</v>
      </c>
      <c r="M188" s="217">
        <v>46151.0</v>
      </c>
      <c r="N188" s="215">
        <v>1.0</v>
      </c>
      <c r="O188" s="215">
        <v>-380.0</v>
      </c>
      <c r="P188" s="215">
        <v>410.0</v>
      </c>
      <c r="Q188" s="232">
        <v>46142.0</v>
      </c>
      <c r="R188" s="218" t="s">
        <v>1297</v>
      </c>
      <c r="S188" s="225" t="s">
        <v>1298</v>
      </c>
      <c r="T188" s="215">
        <v>557.0</v>
      </c>
      <c r="U188" s="204"/>
    </row>
    <row r="189" ht="22.5" customHeight="1">
      <c r="A189" s="205"/>
      <c r="B189" s="193" t="s">
        <v>153</v>
      </c>
      <c r="C189" s="219" t="s">
        <v>684</v>
      </c>
      <c r="D189" s="194" t="s">
        <v>1299</v>
      </c>
      <c r="E189" s="193" t="s">
        <v>108</v>
      </c>
      <c r="F189" s="220">
        <v>0.0</v>
      </c>
      <c r="G189" s="221"/>
      <c r="H189" s="222">
        <v>25.0</v>
      </c>
      <c r="I189" s="222">
        <v>0.0</v>
      </c>
      <c r="J189" s="207"/>
      <c r="K189" s="207"/>
      <c r="L189" s="223">
        <v>46120.0</v>
      </c>
      <c r="M189" s="223">
        <v>46150.0</v>
      </c>
      <c r="N189" s="150"/>
      <c r="O189" s="220">
        <v>-381.0</v>
      </c>
      <c r="P189" s="220">
        <v>411.0</v>
      </c>
      <c r="Q189" s="209"/>
      <c r="R189" s="196" t="s">
        <v>1300</v>
      </c>
      <c r="S189" s="227" t="s">
        <v>1301</v>
      </c>
      <c r="T189" s="220">
        <v>558.0</v>
      </c>
      <c r="U189" s="198"/>
    </row>
    <row r="190" ht="22.5" customHeight="1">
      <c r="A190" s="211" t="s">
        <v>1302</v>
      </c>
      <c r="B190" s="212" t="s">
        <v>363</v>
      </c>
      <c r="C190" s="229" t="s">
        <v>685</v>
      </c>
      <c r="D190" s="214" t="s">
        <v>1303</v>
      </c>
      <c r="E190" s="212" t="s">
        <v>19</v>
      </c>
      <c r="F190" s="215">
        <v>1.0</v>
      </c>
      <c r="G190" s="210"/>
      <c r="H190" s="216">
        <v>10.0</v>
      </c>
      <c r="I190" s="216">
        <v>10.0</v>
      </c>
      <c r="J190" s="216">
        <v>1130.97</v>
      </c>
      <c r="K190" s="216">
        <v>1130.97</v>
      </c>
      <c r="L190" s="217">
        <v>46134.0</v>
      </c>
      <c r="M190" s="217">
        <v>46164.0</v>
      </c>
      <c r="N190" s="215">
        <v>0.0</v>
      </c>
      <c r="O190" s="215">
        <v>-367.0</v>
      </c>
      <c r="P190" s="215">
        <v>397.0</v>
      </c>
      <c r="Q190" s="203"/>
      <c r="R190" s="218" t="s">
        <v>1304</v>
      </c>
      <c r="S190" s="186"/>
      <c r="T190" s="215">
        <v>559.0</v>
      </c>
      <c r="U190" s="204"/>
    </row>
    <row r="191" ht="22.5" customHeight="1">
      <c r="A191" s="205"/>
      <c r="B191" s="193" t="s">
        <v>365</v>
      </c>
      <c r="C191" s="194" t="s">
        <v>1305</v>
      </c>
      <c r="D191" s="194" t="s">
        <v>56</v>
      </c>
      <c r="E191" s="193" t="s">
        <v>19</v>
      </c>
      <c r="F191" s="220">
        <v>1.0</v>
      </c>
      <c r="G191" s="221"/>
      <c r="H191" s="222">
        <v>75.0</v>
      </c>
      <c r="I191" s="222">
        <v>75.0</v>
      </c>
      <c r="J191" s="207"/>
      <c r="K191" s="207"/>
      <c r="L191" s="223">
        <v>46122.0</v>
      </c>
      <c r="M191" s="223">
        <v>46152.0</v>
      </c>
      <c r="N191" s="150"/>
      <c r="O191" s="220">
        <v>-379.0</v>
      </c>
      <c r="P191" s="220">
        <v>409.0</v>
      </c>
      <c r="Q191" s="209"/>
      <c r="R191" s="196" t="s">
        <v>1306</v>
      </c>
      <c r="S191" s="227" t="s">
        <v>1307</v>
      </c>
      <c r="T191" s="220">
        <v>560.0</v>
      </c>
      <c r="U191" s="198"/>
    </row>
    <row r="192" ht="22.5" customHeight="1">
      <c r="A192" s="199"/>
      <c r="B192" s="212" t="s">
        <v>1308</v>
      </c>
      <c r="C192" s="229" t="s">
        <v>685</v>
      </c>
      <c r="D192" s="214" t="s">
        <v>1309</v>
      </c>
      <c r="E192" s="245" t="s">
        <v>1310</v>
      </c>
      <c r="F192" s="228" t="s">
        <v>1311</v>
      </c>
      <c r="G192" s="210"/>
      <c r="H192" s="216">
        <v>15.0</v>
      </c>
      <c r="I192" s="216">
        <v>45.0</v>
      </c>
      <c r="J192" s="201"/>
      <c r="K192" s="201"/>
      <c r="L192" s="217">
        <v>46115.0</v>
      </c>
      <c r="M192" s="217">
        <v>46145.0</v>
      </c>
      <c r="N192" s="147"/>
      <c r="O192" s="215">
        <v>-386.0</v>
      </c>
      <c r="P192" s="215">
        <v>416.0</v>
      </c>
      <c r="Q192" s="203"/>
      <c r="R192" s="243" t="e">
        <v>#N/A</v>
      </c>
      <c r="S192" s="225" t="s">
        <v>1312</v>
      </c>
      <c r="T192" s="215">
        <v>561.0</v>
      </c>
      <c r="U192" s="204"/>
    </row>
    <row r="193" ht="22.5" customHeight="1">
      <c r="A193" s="205"/>
      <c r="B193" s="193" t="s">
        <v>148</v>
      </c>
      <c r="C193" s="219" t="s">
        <v>684</v>
      </c>
      <c r="D193" s="194" t="s">
        <v>1309</v>
      </c>
      <c r="E193" s="193" t="s">
        <v>19</v>
      </c>
      <c r="F193" s="220">
        <v>0.0</v>
      </c>
      <c r="G193" s="221"/>
      <c r="H193" s="222">
        <v>15.0</v>
      </c>
      <c r="I193" s="222">
        <v>0.0</v>
      </c>
      <c r="J193" s="207"/>
      <c r="K193" s="207"/>
      <c r="L193" s="223">
        <v>46137.0</v>
      </c>
      <c r="M193" s="223">
        <v>46167.0</v>
      </c>
      <c r="N193" s="150"/>
      <c r="O193" s="220">
        <v>-364.0</v>
      </c>
      <c r="P193" s="220">
        <v>394.0</v>
      </c>
      <c r="Q193" s="209"/>
      <c r="R193" s="196" t="s">
        <v>1313</v>
      </c>
      <c r="S193" s="45"/>
      <c r="T193" s="220">
        <v>562.0</v>
      </c>
      <c r="U193" s="198"/>
    </row>
    <row r="194" ht="22.5" customHeight="1">
      <c r="A194" s="211" t="s">
        <v>1314</v>
      </c>
      <c r="B194" s="212" t="s">
        <v>393</v>
      </c>
      <c r="C194" s="229" t="s">
        <v>685</v>
      </c>
      <c r="D194" s="214" t="s">
        <v>77</v>
      </c>
      <c r="E194" s="212" t="s">
        <v>19</v>
      </c>
      <c r="F194" s="215">
        <v>1.0</v>
      </c>
      <c r="G194" s="210"/>
      <c r="H194" s="216">
        <v>15.0</v>
      </c>
      <c r="I194" s="216">
        <v>15.0</v>
      </c>
      <c r="J194" s="201"/>
      <c r="K194" s="201"/>
      <c r="L194" s="202"/>
      <c r="M194" s="202"/>
      <c r="N194" s="147"/>
      <c r="O194" s="147"/>
      <c r="P194" s="147"/>
      <c r="Q194" s="203"/>
      <c r="R194" s="218" t="s">
        <v>1315</v>
      </c>
      <c r="S194" s="186"/>
      <c r="T194" s="215">
        <v>563.0</v>
      </c>
      <c r="U194" s="204"/>
    </row>
    <row r="195" ht="22.5" customHeight="1">
      <c r="A195" s="205"/>
      <c r="B195" s="193" t="s">
        <v>405</v>
      </c>
      <c r="C195" s="219" t="s">
        <v>684</v>
      </c>
      <c r="D195" s="194" t="s">
        <v>1316</v>
      </c>
      <c r="E195" s="193" t="s">
        <v>15</v>
      </c>
      <c r="F195" s="220">
        <v>0.0</v>
      </c>
      <c r="G195" s="221"/>
      <c r="H195" s="222">
        <v>150.0</v>
      </c>
      <c r="I195" s="222">
        <v>0.0</v>
      </c>
      <c r="J195" s="207"/>
      <c r="K195" s="207"/>
      <c r="L195" s="223">
        <v>46132.0</v>
      </c>
      <c r="M195" s="223">
        <v>46162.0</v>
      </c>
      <c r="N195" s="150"/>
      <c r="O195" s="220">
        <v>-369.0</v>
      </c>
      <c r="P195" s="220">
        <v>399.0</v>
      </c>
      <c r="Q195" s="209"/>
      <c r="R195" s="196" t="s">
        <v>1317</v>
      </c>
      <c r="S195" s="227" t="s">
        <v>1318</v>
      </c>
      <c r="T195" s="220">
        <v>564.0</v>
      </c>
      <c r="U195" s="198"/>
    </row>
    <row r="196" ht="22.5" customHeight="1">
      <c r="A196" s="199"/>
      <c r="B196" s="212" t="s">
        <v>402</v>
      </c>
      <c r="C196" s="213" t="s">
        <v>136</v>
      </c>
      <c r="D196" s="214" t="s">
        <v>1319</v>
      </c>
      <c r="E196" s="212" t="s">
        <v>15</v>
      </c>
      <c r="F196" s="215">
        <v>2.0</v>
      </c>
      <c r="G196" s="210"/>
      <c r="H196" s="216">
        <v>200.0</v>
      </c>
      <c r="I196" s="216">
        <v>400.0</v>
      </c>
      <c r="J196" s="216">
        <v>9117.29</v>
      </c>
      <c r="K196" s="216">
        <v>0.0</v>
      </c>
      <c r="L196" s="217">
        <v>46132.0</v>
      </c>
      <c r="M196" s="217">
        <v>46162.0</v>
      </c>
      <c r="N196" s="215">
        <v>1.0</v>
      </c>
      <c r="O196" s="215">
        <v>-369.0</v>
      </c>
      <c r="P196" s="215">
        <v>399.0</v>
      </c>
      <c r="Q196" s="232">
        <v>46141.0</v>
      </c>
      <c r="R196" s="218" t="s">
        <v>1320</v>
      </c>
      <c r="S196" s="225" t="s">
        <v>1321</v>
      </c>
      <c r="T196" s="215">
        <v>565.0</v>
      </c>
      <c r="U196" s="204"/>
    </row>
    <row r="197" ht="22.5" customHeight="1">
      <c r="A197" s="205"/>
      <c r="B197" s="193" t="s">
        <v>411</v>
      </c>
      <c r="C197" s="242" t="s">
        <v>685</v>
      </c>
      <c r="D197" s="194" t="s">
        <v>1322</v>
      </c>
      <c r="E197" s="193" t="s">
        <v>17</v>
      </c>
      <c r="F197" s="220">
        <v>3.0</v>
      </c>
      <c r="G197" s="221"/>
      <c r="H197" s="222">
        <v>4000.0</v>
      </c>
      <c r="I197" s="222">
        <v>12000.0</v>
      </c>
      <c r="J197" s="207"/>
      <c r="K197" s="207"/>
      <c r="L197" s="223">
        <v>46140.0</v>
      </c>
      <c r="M197" s="223">
        <v>46170.0</v>
      </c>
      <c r="N197" s="150"/>
      <c r="O197" s="220">
        <v>-361.0</v>
      </c>
      <c r="P197" s="220">
        <v>391.0</v>
      </c>
      <c r="Q197" s="209"/>
      <c r="R197" s="196" t="s">
        <v>1323</v>
      </c>
      <c r="S197" s="227" t="s">
        <v>1324</v>
      </c>
      <c r="T197" s="220">
        <v>566.0</v>
      </c>
      <c r="U197" s="198"/>
    </row>
    <row r="198" ht="22.5" customHeight="1">
      <c r="A198" s="199"/>
      <c r="B198" s="212" t="s">
        <v>407</v>
      </c>
      <c r="C198" s="229" t="s">
        <v>685</v>
      </c>
      <c r="D198" s="214" t="s">
        <v>1325</v>
      </c>
      <c r="E198" s="212" t="s">
        <v>19</v>
      </c>
      <c r="F198" s="228" t="s">
        <v>1326</v>
      </c>
      <c r="G198" s="210"/>
      <c r="H198" s="216">
        <v>15.0</v>
      </c>
      <c r="I198" s="216">
        <v>300.0</v>
      </c>
      <c r="J198" s="201"/>
      <c r="K198" s="201"/>
      <c r="L198" s="217">
        <v>46142.0</v>
      </c>
      <c r="M198" s="217">
        <v>46172.0</v>
      </c>
      <c r="N198" s="147"/>
      <c r="O198" s="215">
        <v>-359.0</v>
      </c>
      <c r="P198" s="215">
        <v>389.0</v>
      </c>
      <c r="Q198" s="203"/>
      <c r="R198" s="218" t="s">
        <v>1327</v>
      </c>
      <c r="S198" s="225" t="s">
        <v>1328</v>
      </c>
      <c r="T198" s="215">
        <v>567.0</v>
      </c>
      <c r="U198" s="204"/>
    </row>
    <row r="199" ht="22.5" customHeight="1">
      <c r="A199" s="205"/>
      <c r="B199" s="193" t="s">
        <v>396</v>
      </c>
      <c r="C199" s="194" t="s">
        <v>693</v>
      </c>
      <c r="D199" s="194" t="s">
        <v>1247</v>
      </c>
      <c r="E199" s="193" t="s">
        <v>15</v>
      </c>
      <c r="F199" s="220">
        <v>1.0</v>
      </c>
      <c r="G199" s="221"/>
      <c r="H199" s="222">
        <v>250.0</v>
      </c>
      <c r="I199" s="222">
        <v>250.0</v>
      </c>
      <c r="J199" s="207"/>
      <c r="K199" s="207"/>
      <c r="L199" s="208"/>
      <c r="M199" s="208"/>
      <c r="N199" s="150"/>
      <c r="O199" s="150"/>
      <c r="P199" s="150"/>
      <c r="Q199" s="209"/>
      <c r="R199" s="196" t="s">
        <v>1329</v>
      </c>
      <c r="S199" s="45"/>
      <c r="T199" s="220">
        <v>568.0</v>
      </c>
      <c r="U199" s="198"/>
    </row>
    <row r="200" ht="22.5" customHeight="1">
      <c r="A200" s="199"/>
      <c r="B200" s="212" t="s">
        <v>425</v>
      </c>
      <c r="C200" s="214" t="s">
        <v>693</v>
      </c>
      <c r="D200" s="214" t="s">
        <v>1285</v>
      </c>
      <c r="E200" s="212" t="s">
        <v>15</v>
      </c>
      <c r="F200" s="215">
        <v>1.0</v>
      </c>
      <c r="G200" s="210"/>
      <c r="H200" s="216">
        <v>150.0</v>
      </c>
      <c r="I200" s="216">
        <v>150.0</v>
      </c>
      <c r="J200" s="201"/>
      <c r="K200" s="201"/>
      <c r="L200" s="202"/>
      <c r="M200" s="202"/>
      <c r="N200" s="147"/>
      <c r="O200" s="147"/>
      <c r="P200" s="147"/>
      <c r="Q200" s="203"/>
      <c r="R200" s="186"/>
      <c r="S200" s="186"/>
      <c r="T200" s="215">
        <v>569.0</v>
      </c>
      <c r="U200" s="204"/>
    </row>
    <row r="201" ht="22.5" customHeight="1">
      <c r="A201" s="205"/>
      <c r="B201" s="193" t="s">
        <v>345</v>
      </c>
      <c r="C201" s="219" t="s">
        <v>684</v>
      </c>
      <c r="D201" s="194" t="s">
        <v>1287</v>
      </c>
      <c r="E201" s="193" t="s">
        <v>17</v>
      </c>
      <c r="F201" s="220">
        <v>3.0</v>
      </c>
      <c r="G201" s="221"/>
      <c r="H201" s="222">
        <v>5000.0</v>
      </c>
      <c r="I201" s="222">
        <v>15000.0</v>
      </c>
      <c r="J201" s="207"/>
      <c r="K201" s="207"/>
      <c r="L201" s="208"/>
      <c r="M201" s="208"/>
      <c r="N201" s="150"/>
      <c r="O201" s="150"/>
      <c r="P201" s="150"/>
      <c r="Q201" s="209"/>
      <c r="R201" s="196" t="s">
        <v>1330</v>
      </c>
      <c r="S201" s="45"/>
      <c r="T201" s="220">
        <v>570.0</v>
      </c>
      <c r="U201" s="198"/>
    </row>
    <row r="202" ht="22.5" customHeight="1">
      <c r="A202" s="199"/>
      <c r="B202" s="212" t="s">
        <v>414</v>
      </c>
      <c r="C202" s="214" t="s">
        <v>693</v>
      </c>
      <c r="D202" s="214" t="s">
        <v>1331</v>
      </c>
      <c r="E202" s="212" t="s">
        <v>17</v>
      </c>
      <c r="F202" s="215">
        <v>1.0</v>
      </c>
      <c r="G202" s="224">
        <v>0.25</v>
      </c>
      <c r="H202" s="216">
        <v>4000.0</v>
      </c>
      <c r="I202" s="216">
        <v>3000.0</v>
      </c>
      <c r="J202" s="201"/>
      <c r="K202" s="201"/>
      <c r="L202" s="217">
        <v>46140.0</v>
      </c>
      <c r="M202" s="217">
        <v>46170.0</v>
      </c>
      <c r="N202" s="147"/>
      <c r="O202" s="215">
        <v>-361.0</v>
      </c>
      <c r="P202" s="215">
        <v>391.0</v>
      </c>
      <c r="Q202" s="232">
        <v>46158.0</v>
      </c>
      <c r="R202" s="218" t="s">
        <v>1332</v>
      </c>
      <c r="S202" s="225" t="s">
        <v>1333</v>
      </c>
      <c r="T202" s="215">
        <v>571.0</v>
      </c>
      <c r="U202" s="204"/>
    </row>
    <row r="203" ht="22.5" customHeight="1">
      <c r="A203" s="192" t="s">
        <v>1334</v>
      </c>
      <c r="B203" s="193" t="s">
        <v>359</v>
      </c>
      <c r="C203" s="219" t="s">
        <v>684</v>
      </c>
      <c r="D203" s="194" t="s">
        <v>1280</v>
      </c>
      <c r="E203" s="193" t="s">
        <v>15</v>
      </c>
      <c r="F203" s="220">
        <v>5.0</v>
      </c>
      <c r="G203" s="230">
        <v>0.34</v>
      </c>
      <c r="H203" s="222">
        <v>100.0</v>
      </c>
      <c r="I203" s="222">
        <v>500.0</v>
      </c>
      <c r="J203" s="207"/>
      <c r="K203" s="207"/>
      <c r="L203" s="223">
        <v>46085.0</v>
      </c>
      <c r="M203" s="223">
        <v>46116.0</v>
      </c>
      <c r="N203" s="150"/>
      <c r="O203" s="220">
        <v>-415.0</v>
      </c>
      <c r="P203" s="220">
        <v>445.0</v>
      </c>
      <c r="Q203" s="209"/>
      <c r="R203" s="196" t="s">
        <v>1335</v>
      </c>
      <c r="S203" s="45"/>
      <c r="T203" s="220">
        <v>537.0</v>
      </c>
      <c r="U203" s="198"/>
    </row>
    <row r="204" ht="22.5" customHeight="1">
      <c r="A204" s="211" t="s">
        <v>1336</v>
      </c>
      <c r="B204" s="212" t="s">
        <v>328</v>
      </c>
      <c r="C204" s="213" t="s">
        <v>136</v>
      </c>
      <c r="D204" s="214" t="s">
        <v>1283</v>
      </c>
      <c r="E204" s="212" t="s">
        <v>19</v>
      </c>
      <c r="F204" s="228" t="s">
        <v>892</v>
      </c>
      <c r="G204" s="210"/>
      <c r="H204" s="216">
        <v>12.0</v>
      </c>
      <c r="I204" s="216">
        <v>48.0</v>
      </c>
      <c r="J204" s="216">
        <v>5377.04</v>
      </c>
      <c r="K204" s="216">
        <v>5377.04</v>
      </c>
      <c r="L204" s="217">
        <v>46086.0</v>
      </c>
      <c r="M204" s="217">
        <v>46117.0</v>
      </c>
      <c r="N204" s="215">
        <v>0.0</v>
      </c>
      <c r="O204" s="215">
        <v>-414.0</v>
      </c>
      <c r="P204" s="215">
        <v>444.0</v>
      </c>
      <c r="Q204" s="203"/>
      <c r="R204" s="218" t="s">
        <v>1337</v>
      </c>
      <c r="S204" s="225" t="s">
        <v>1338</v>
      </c>
      <c r="T204" s="215">
        <v>538.0</v>
      </c>
      <c r="U204" s="204"/>
    </row>
    <row r="205" ht="22.5" customHeight="1">
      <c r="A205" s="205"/>
      <c r="B205" s="193" t="s">
        <v>211</v>
      </c>
      <c r="C205" s="219" t="s">
        <v>684</v>
      </c>
      <c r="D205" s="194" t="s">
        <v>1339</v>
      </c>
      <c r="E205" s="193" t="s">
        <v>15</v>
      </c>
      <c r="F205" s="220">
        <v>1.0</v>
      </c>
      <c r="G205" s="221"/>
      <c r="H205" s="222">
        <v>150.0</v>
      </c>
      <c r="I205" s="222">
        <v>150.0</v>
      </c>
      <c r="J205" s="207"/>
      <c r="K205" s="207"/>
      <c r="L205" s="223">
        <v>46083.0</v>
      </c>
      <c r="M205" s="223">
        <v>46114.0</v>
      </c>
      <c r="N205" s="150"/>
      <c r="O205" s="220">
        <v>-417.0</v>
      </c>
      <c r="P205" s="220">
        <v>447.0</v>
      </c>
      <c r="Q205" s="209"/>
      <c r="R205" s="196" t="s">
        <v>1340</v>
      </c>
      <c r="S205" s="45"/>
      <c r="T205" s="220">
        <v>539.0</v>
      </c>
      <c r="U205" s="198"/>
    </row>
    <row r="206" ht="22.5" customHeight="1">
      <c r="A206" s="199"/>
      <c r="B206" s="212" t="s">
        <v>309</v>
      </c>
      <c r="C206" s="213" t="s">
        <v>136</v>
      </c>
      <c r="D206" s="214" t="s">
        <v>1341</v>
      </c>
      <c r="E206" s="214" t="s">
        <v>19</v>
      </c>
      <c r="F206" s="228" t="s">
        <v>1048</v>
      </c>
      <c r="G206" s="210"/>
      <c r="H206" s="216">
        <v>15.0</v>
      </c>
      <c r="I206" s="216">
        <v>30.0</v>
      </c>
      <c r="J206" s="216">
        <v>3316.36</v>
      </c>
      <c r="K206" s="216">
        <v>0.0</v>
      </c>
      <c r="L206" s="217">
        <v>46105.0</v>
      </c>
      <c r="M206" s="217">
        <v>46108.0</v>
      </c>
      <c r="N206" s="215">
        <v>1.0</v>
      </c>
      <c r="O206" s="215">
        <v>-423.0</v>
      </c>
      <c r="P206" s="215">
        <v>453.0</v>
      </c>
      <c r="Q206" s="232">
        <v>46121.0</v>
      </c>
      <c r="R206" s="218" t="s">
        <v>1342</v>
      </c>
      <c r="S206" s="225" t="s">
        <v>1343</v>
      </c>
      <c r="T206" s="215">
        <v>540.0</v>
      </c>
      <c r="U206" s="204"/>
    </row>
    <row r="207" ht="22.5" customHeight="1">
      <c r="A207" s="192" t="s">
        <v>1344</v>
      </c>
      <c r="B207" s="193" t="s">
        <v>301</v>
      </c>
      <c r="C207" s="226" t="s">
        <v>136</v>
      </c>
      <c r="D207" s="194" t="s">
        <v>1199</v>
      </c>
      <c r="E207" s="193" t="s">
        <v>17</v>
      </c>
      <c r="F207" s="220">
        <v>3.0</v>
      </c>
      <c r="G207" s="230">
        <v>0.15</v>
      </c>
      <c r="H207" s="197" t="s">
        <v>1200</v>
      </c>
      <c r="I207" s="222">
        <v>21000.0</v>
      </c>
      <c r="J207" s="222">
        <v>21000.0</v>
      </c>
      <c r="K207" s="222">
        <v>0.0</v>
      </c>
      <c r="L207" s="223">
        <v>46099.0</v>
      </c>
      <c r="M207" s="223">
        <v>46130.0</v>
      </c>
      <c r="N207" s="220">
        <v>1.0</v>
      </c>
      <c r="O207" s="220">
        <v>-401.0</v>
      </c>
      <c r="P207" s="220">
        <v>431.0</v>
      </c>
      <c r="Q207" s="238">
        <v>46095.0</v>
      </c>
      <c r="R207" s="196" t="s">
        <v>1345</v>
      </c>
      <c r="S207" s="227" t="s">
        <v>1346</v>
      </c>
      <c r="T207" s="220">
        <v>541.0</v>
      </c>
      <c r="U207" s="198"/>
    </row>
    <row r="208" ht="22.5" customHeight="1">
      <c r="A208" s="211" t="s">
        <v>1347</v>
      </c>
      <c r="B208" s="212" t="s">
        <v>147</v>
      </c>
      <c r="C208" s="214" t="s">
        <v>1130</v>
      </c>
      <c r="D208" s="214" t="s">
        <v>1261</v>
      </c>
      <c r="E208" s="212" t="s">
        <v>19</v>
      </c>
      <c r="F208" s="244">
        <v>46305.0</v>
      </c>
      <c r="G208" s="147"/>
      <c r="H208" s="216">
        <v>15.0</v>
      </c>
      <c r="I208" s="216">
        <v>300.0</v>
      </c>
      <c r="J208" s="216">
        <v>33005.04</v>
      </c>
      <c r="K208" s="216">
        <v>0.0</v>
      </c>
      <c r="L208" s="217">
        <v>46082.0</v>
      </c>
      <c r="M208" s="217">
        <v>46113.0</v>
      </c>
      <c r="N208" s="215">
        <v>1.0</v>
      </c>
      <c r="O208" s="215">
        <v>-418.0</v>
      </c>
      <c r="P208" s="215">
        <v>448.0</v>
      </c>
      <c r="Q208" s="232">
        <v>46096.0</v>
      </c>
      <c r="R208" s="218" t="s">
        <v>1348</v>
      </c>
      <c r="S208" s="225" t="s">
        <v>1349</v>
      </c>
      <c r="T208" s="215">
        <v>542.0</v>
      </c>
      <c r="U208" s="204"/>
    </row>
    <row r="209" ht="22.5" customHeight="1">
      <c r="A209" s="192" t="s">
        <v>1350</v>
      </c>
      <c r="B209" s="193" t="s">
        <v>349</v>
      </c>
      <c r="C209" s="219" t="s">
        <v>684</v>
      </c>
      <c r="D209" s="194" t="s">
        <v>1294</v>
      </c>
      <c r="E209" s="193" t="s">
        <v>100</v>
      </c>
      <c r="F209" s="220">
        <v>0.0</v>
      </c>
      <c r="G209" s="221"/>
      <c r="H209" s="222">
        <v>12.0</v>
      </c>
      <c r="I209" s="222">
        <v>0.0</v>
      </c>
      <c r="J209" s="207"/>
      <c r="K209" s="207"/>
      <c r="L209" s="223">
        <v>46083.0</v>
      </c>
      <c r="M209" s="223">
        <v>46114.0</v>
      </c>
      <c r="N209" s="150"/>
      <c r="O209" s="220">
        <v>-417.0</v>
      </c>
      <c r="P209" s="220">
        <v>447.0</v>
      </c>
      <c r="Q209" s="209"/>
      <c r="R209" s="196" t="s">
        <v>1351</v>
      </c>
      <c r="S209" s="45"/>
      <c r="T209" s="220">
        <v>543.0</v>
      </c>
      <c r="U209" s="198"/>
    </row>
    <row r="210" ht="22.5" customHeight="1">
      <c r="A210" s="199"/>
      <c r="B210" s="212" t="s">
        <v>330</v>
      </c>
      <c r="C210" s="213" t="s">
        <v>136</v>
      </c>
      <c r="D210" s="214" t="s">
        <v>1207</v>
      </c>
      <c r="E210" s="212" t="s">
        <v>17</v>
      </c>
      <c r="F210" s="215">
        <v>4.0</v>
      </c>
      <c r="G210" s="210"/>
      <c r="H210" s="237" t="s">
        <v>1200</v>
      </c>
      <c r="I210" s="216">
        <v>27000.0</v>
      </c>
      <c r="J210" s="216">
        <v>27000.0</v>
      </c>
      <c r="K210" s="216">
        <v>0.0</v>
      </c>
      <c r="L210" s="217">
        <v>46090.0</v>
      </c>
      <c r="M210" s="217">
        <v>46121.0</v>
      </c>
      <c r="N210" s="215">
        <v>1.0</v>
      </c>
      <c r="O210" s="215">
        <v>-410.0</v>
      </c>
      <c r="P210" s="215">
        <v>440.0</v>
      </c>
      <c r="Q210" s="232">
        <v>46121.0</v>
      </c>
      <c r="R210" s="218" t="s">
        <v>1352</v>
      </c>
      <c r="S210" s="225" t="s">
        <v>1353</v>
      </c>
      <c r="T210" s="215">
        <v>544.0</v>
      </c>
      <c r="U210" s="204"/>
    </row>
    <row r="211" ht="22.5" customHeight="1">
      <c r="A211" s="192" t="s">
        <v>107</v>
      </c>
      <c r="B211" s="193" t="s">
        <v>153</v>
      </c>
      <c r="C211" s="219" t="s">
        <v>684</v>
      </c>
      <c r="D211" s="194" t="s">
        <v>1299</v>
      </c>
      <c r="E211" s="193" t="s">
        <v>108</v>
      </c>
      <c r="F211" s="220">
        <v>0.0</v>
      </c>
      <c r="G211" s="221"/>
      <c r="H211" s="222">
        <v>25.0</v>
      </c>
      <c r="I211" s="222">
        <v>0.0</v>
      </c>
      <c r="J211" s="207"/>
      <c r="K211" s="207"/>
      <c r="L211" s="223">
        <v>46089.0</v>
      </c>
      <c r="M211" s="223">
        <v>46120.0</v>
      </c>
      <c r="N211" s="150"/>
      <c r="O211" s="220">
        <v>-411.0</v>
      </c>
      <c r="P211" s="220">
        <v>441.0</v>
      </c>
      <c r="Q211" s="209"/>
      <c r="R211" s="196" t="s">
        <v>1354</v>
      </c>
      <c r="S211" s="45"/>
      <c r="T211" s="220">
        <v>545.0</v>
      </c>
      <c r="U211" s="198"/>
    </row>
    <row r="212" ht="22.5" customHeight="1">
      <c r="A212" s="211" t="s">
        <v>817</v>
      </c>
      <c r="B212" s="212" t="s">
        <v>363</v>
      </c>
      <c r="C212" s="213" t="s">
        <v>136</v>
      </c>
      <c r="D212" s="214" t="s">
        <v>1303</v>
      </c>
      <c r="E212" s="212" t="s">
        <v>19</v>
      </c>
      <c r="F212" s="228" t="s">
        <v>1355</v>
      </c>
      <c r="G212" s="210"/>
      <c r="H212" s="216">
        <v>10.0</v>
      </c>
      <c r="I212" s="216">
        <v>36.7</v>
      </c>
      <c r="J212" s="216">
        <v>4079.48</v>
      </c>
      <c r="K212" s="216">
        <v>0.0</v>
      </c>
      <c r="L212" s="217">
        <v>46103.0</v>
      </c>
      <c r="M212" s="217">
        <v>46134.0</v>
      </c>
      <c r="N212" s="215">
        <v>1.0</v>
      </c>
      <c r="O212" s="215">
        <v>-397.0</v>
      </c>
      <c r="P212" s="215">
        <v>427.0</v>
      </c>
      <c r="Q212" s="232">
        <v>46095.0</v>
      </c>
      <c r="R212" s="218" t="s">
        <v>1356</v>
      </c>
      <c r="S212" s="225" t="s">
        <v>1357</v>
      </c>
      <c r="T212" s="215">
        <v>546.0</v>
      </c>
      <c r="U212" s="204"/>
    </row>
    <row r="213" ht="22.5" customHeight="1">
      <c r="A213" s="192" t="s">
        <v>1358</v>
      </c>
      <c r="B213" s="193" t="s">
        <v>365</v>
      </c>
      <c r="C213" s="219" t="s">
        <v>684</v>
      </c>
      <c r="D213" s="194" t="s">
        <v>56</v>
      </c>
      <c r="E213" s="193" t="s">
        <v>19</v>
      </c>
      <c r="F213" s="220">
        <v>1.0</v>
      </c>
      <c r="G213" s="221"/>
      <c r="H213" s="222">
        <v>75.0</v>
      </c>
      <c r="I213" s="222">
        <v>75.0</v>
      </c>
      <c r="J213" s="207"/>
      <c r="K213" s="207"/>
      <c r="L213" s="223">
        <v>46091.0</v>
      </c>
      <c r="M213" s="223">
        <v>46122.0</v>
      </c>
      <c r="N213" s="150"/>
      <c r="O213" s="220">
        <v>-409.0</v>
      </c>
      <c r="P213" s="220">
        <v>439.0</v>
      </c>
      <c r="Q213" s="209"/>
      <c r="R213" s="196" t="s">
        <v>1359</v>
      </c>
      <c r="S213" s="227" t="s">
        <v>1360</v>
      </c>
      <c r="T213" s="220">
        <v>547.0</v>
      </c>
      <c r="U213" s="198"/>
    </row>
    <row r="214" ht="22.5" customHeight="1">
      <c r="A214" s="199"/>
      <c r="B214" s="212" t="s">
        <v>148</v>
      </c>
      <c r="C214" s="213" t="s">
        <v>136</v>
      </c>
      <c r="D214" s="214" t="s">
        <v>1361</v>
      </c>
      <c r="E214" s="212" t="s">
        <v>19</v>
      </c>
      <c r="F214" s="228" t="s">
        <v>1166</v>
      </c>
      <c r="G214" s="210"/>
      <c r="H214" s="216">
        <v>15.0</v>
      </c>
      <c r="I214" s="216">
        <v>120.0</v>
      </c>
      <c r="J214" s="216">
        <v>13292.78</v>
      </c>
      <c r="K214" s="216">
        <v>0.0</v>
      </c>
      <c r="L214" s="217">
        <v>46106.0</v>
      </c>
      <c r="M214" s="217">
        <v>46137.0</v>
      </c>
      <c r="N214" s="215">
        <v>1.0</v>
      </c>
      <c r="O214" s="215">
        <v>-394.0</v>
      </c>
      <c r="P214" s="215">
        <v>424.0</v>
      </c>
      <c r="Q214" s="232">
        <v>46119.0</v>
      </c>
      <c r="R214" s="218" t="s">
        <v>1362</v>
      </c>
      <c r="S214" s="225" t="s">
        <v>1363</v>
      </c>
      <c r="T214" s="215">
        <v>548.0</v>
      </c>
      <c r="U214" s="204"/>
    </row>
    <row r="215" ht="22.5" customHeight="1">
      <c r="A215" s="205"/>
      <c r="B215" s="193" t="s">
        <v>1308</v>
      </c>
      <c r="C215" s="242" t="s">
        <v>685</v>
      </c>
      <c r="D215" s="194" t="s">
        <v>1309</v>
      </c>
      <c r="E215" s="246" t="s">
        <v>1310</v>
      </c>
      <c r="F215" s="220">
        <v>8.0</v>
      </c>
      <c r="G215" s="221"/>
      <c r="H215" s="222">
        <v>15.0</v>
      </c>
      <c r="I215" s="222">
        <v>120.0</v>
      </c>
      <c r="J215" s="207"/>
      <c r="K215" s="207"/>
      <c r="L215" s="223">
        <v>46084.0</v>
      </c>
      <c r="M215" s="223">
        <v>46115.0</v>
      </c>
      <c r="N215" s="150"/>
      <c r="O215" s="220">
        <v>-416.0</v>
      </c>
      <c r="P215" s="220">
        <v>446.0</v>
      </c>
      <c r="Q215" s="209"/>
      <c r="R215" s="247" t="e">
        <v>#N/A</v>
      </c>
      <c r="S215" s="227" t="s">
        <v>1364</v>
      </c>
      <c r="T215" s="220">
        <v>549.0</v>
      </c>
      <c r="U215" s="198"/>
    </row>
    <row r="216" ht="22.5" customHeight="1">
      <c r="A216" s="211" t="s">
        <v>1334</v>
      </c>
      <c r="B216" s="212" t="s">
        <v>359</v>
      </c>
      <c r="C216" s="231" t="s">
        <v>684</v>
      </c>
      <c r="D216" s="214" t="s">
        <v>1280</v>
      </c>
      <c r="E216" s="212" t="s">
        <v>15</v>
      </c>
      <c r="F216" s="215">
        <v>5.5</v>
      </c>
      <c r="G216" s="224">
        <v>0.34</v>
      </c>
      <c r="H216" s="216">
        <v>100.0</v>
      </c>
      <c r="I216" s="216">
        <v>363.0</v>
      </c>
      <c r="J216" s="201"/>
      <c r="K216" s="201"/>
      <c r="L216" s="217">
        <v>46057.0</v>
      </c>
      <c r="M216" s="217">
        <v>46085.0</v>
      </c>
      <c r="N216" s="147"/>
      <c r="O216" s="215">
        <v>-446.0</v>
      </c>
      <c r="P216" s="215">
        <v>476.0</v>
      </c>
      <c r="Q216" s="203"/>
      <c r="R216" s="218" t="s">
        <v>1365</v>
      </c>
      <c r="S216" s="186"/>
      <c r="T216" s="215">
        <v>525.0</v>
      </c>
      <c r="U216" s="204"/>
    </row>
    <row r="217" ht="22.5" customHeight="1">
      <c r="A217" s="205"/>
      <c r="B217" s="193" t="s">
        <v>328</v>
      </c>
      <c r="C217" s="226" t="s">
        <v>136</v>
      </c>
      <c r="D217" s="194" t="s">
        <v>1283</v>
      </c>
      <c r="E217" s="193" t="s">
        <v>19</v>
      </c>
      <c r="F217" s="220">
        <v>1.0</v>
      </c>
      <c r="G217" s="221"/>
      <c r="H217" s="222">
        <v>12.0</v>
      </c>
      <c r="I217" s="222">
        <v>12.0</v>
      </c>
      <c r="J217" s="222">
        <v>1310.25</v>
      </c>
      <c r="K217" s="222">
        <v>0.0</v>
      </c>
      <c r="L217" s="223">
        <v>46058.0</v>
      </c>
      <c r="M217" s="223">
        <v>46086.0</v>
      </c>
      <c r="N217" s="220">
        <v>1.0</v>
      </c>
      <c r="O217" s="220">
        <v>-445.0</v>
      </c>
      <c r="P217" s="220">
        <v>475.0</v>
      </c>
      <c r="Q217" s="209"/>
      <c r="R217" s="196" t="s">
        <v>1366</v>
      </c>
      <c r="S217" s="227" t="s">
        <v>1367</v>
      </c>
      <c r="T217" s="220">
        <v>526.0</v>
      </c>
      <c r="U217" s="198"/>
    </row>
    <row r="218" ht="22.5" customHeight="1">
      <c r="A218" s="211" t="s">
        <v>1350</v>
      </c>
      <c r="B218" s="212" t="s">
        <v>211</v>
      </c>
      <c r="C218" s="231" t="s">
        <v>684</v>
      </c>
      <c r="D218" s="214" t="s">
        <v>1339</v>
      </c>
      <c r="E218" s="212" t="s">
        <v>15</v>
      </c>
      <c r="F218" s="215">
        <v>1.0</v>
      </c>
      <c r="G218" s="210"/>
      <c r="H218" s="216">
        <v>150.0</v>
      </c>
      <c r="I218" s="216">
        <v>150.0</v>
      </c>
      <c r="J218" s="201"/>
      <c r="K218" s="201"/>
      <c r="L218" s="217">
        <v>46055.0</v>
      </c>
      <c r="M218" s="217">
        <v>46083.0</v>
      </c>
      <c r="N218" s="147"/>
      <c r="O218" s="215">
        <v>-448.0</v>
      </c>
      <c r="P218" s="215">
        <v>478.0</v>
      </c>
      <c r="Q218" s="203"/>
      <c r="R218" s="218" t="s">
        <v>1368</v>
      </c>
      <c r="S218" s="186"/>
      <c r="T218" s="215">
        <v>527.0</v>
      </c>
      <c r="U218" s="204"/>
    </row>
    <row r="219" ht="22.5" customHeight="1">
      <c r="A219" s="192" t="s">
        <v>1350</v>
      </c>
      <c r="B219" s="193" t="s">
        <v>336</v>
      </c>
      <c r="C219" s="242" t="s">
        <v>685</v>
      </c>
      <c r="D219" s="194" t="s">
        <v>1369</v>
      </c>
      <c r="E219" s="193" t="s">
        <v>17</v>
      </c>
      <c r="F219" s="220">
        <v>3.0</v>
      </c>
      <c r="G219" s="230">
        <v>0.66</v>
      </c>
      <c r="H219" s="222">
        <v>1000.0</v>
      </c>
      <c r="I219" s="222">
        <v>1020.0</v>
      </c>
      <c r="J219" s="207"/>
      <c r="K219" s="207"/>
      <c r="L219" s="223">
        <v>46059.0</v>
      </c>
      <c r="M219" s="223">
        <v>46087.0</v>
      </c>
      <c r="N219" s="150"/>
      <c r="O219" s="220">
        <v>-444.0</v>
      </c>
      <c r="P219" s="220">
        <v>474.0</v>
      </c>
      <c r="Q219" s="209"/>
      <c r="R219" s="196" t="s">
        <v>1370</v>
      </c>
      <c r="S219" s="45"/>
      <c r="T219" s="220">
        <v>528.0</v>
      </c>
      <c r="U219" s="198"/>
    </row>
    <row r="220" ht="22.5" customHeight="1">
      <c r="A220" s="199"/>
      <c r="B220" s="212" t="s">
        <v>309</v>
      </c>
      <c r="C220" s="213" t="s">
        <v>136</v>
      </c>
      <c r="D220" s="214" t="s">
        <v>1160</v>
      </c>
      <c r="E220" s="212" t="s">
        <v>17</v>
      </c>
      <c r="F220" s="215">
        <v>3.0</v>
      </c>
      <c r="G220" s="210"/>
      <c r="H220" s="216">
        <v>3000.0</v>
      </c>
      <c r="I220" s="216">
        <v>9000.0</v>
      </c>
      <c r="J220" s="216">
        <v>9000.0</v>
      </c>
      <c r="K220" s="216">
        <v>0.0</v>
      </c>
      <c r="L220" s="217">
        <v>46056.0</v>
      </c>
      <c r="M220" s="217">
        <v>46084.0</v>
      </c>
      <c r="N220" s="215">
        <v>1.0</v>
      </c>
      <c r="O220" s="215">
        <v>-447.0</v>
      </c>
      <c r="P220" s="215">
        <v>477.0</v>
      </c>
      <c r="Q220" s="232">
        <v>46095.0</v>
      </c>
      <c r="R220" s="218" t="s">
        <v>1371</v>
      </c>
      <c r="S220" s="225" t="s">
        <v>1372</v>
      </c>
      <c r="T220" s="215">
        <v>529.0</v>
      </c>
      <c r="U220" s="204"/>
    </row>
    <row r="221" ht="22.5" customHeight="1">
      <c r="A221" s="192" t="s">
        <v>1344</v>
      </c>
      <c r="B221" s="193" t="s">
        <v>301</v>
      </c>
      <c r="C221" s="226" t="s">
        <v>136</v>
      </c>
      <c r="D221" s="194" t="s">
        <v>1199</v>
      </c>
      <c r="E221" s="193" t="s">
        <v>17</v>
      </c>
      <c r="F221" s="220">
        <v>3.0</v>
      </c>
      <c r="G221" s="230">
        <v>0.15</v>
      </c>
      <c r="H221" s="197" t="s">
        <v>1200</v>
      </c>
      <c r="I221" s="222">
        <v>21000.0</v>
      </c>
      <c r="J221" s="222">
        <v>21000.0</v>
      </c>
      <c r="K221" s="222">
        <v>0.0</v>
      </c>
      <c r="L221" s="223">
        <v>46071.0</v>
      </c>
      <c r="M221" s="223">
        <v>46099.0</v>
      </c>
      <c r="N221" s="220">
        <v>1.0</v>
      </c>
      <c r="O221" s="220">
        <v>-432.0</v>
      </c>
      <c r="P221" s="220">
        <v>462.0</v>
      </c>
      <c r="Q221" s="238">
        <v>46092.0</v>
      </c>
      <c r="R221" s="196" t="s">
        <v>1373</v>
      </c>
      <c r="S221" s="227" t="s">
        <v>1374</v>
      </c>
      <c r="T221" s="220">
        <v>530.0</v>
      </c>
      <c r="U221" s="198"/>
    </row>
    <row r="222" ht="22.5" customHeight="1">
      <c r="A222" s="211" t="s">
        <v>1347</v>
      </c>
      <c r="B222" s="212" t="s">
        <v>147</v>
      </c>
      <c r="C222" s="214" t="s">
        <v>1375</v>
      </c>
      <c r="D222" s="214" t="s">
        <v>1261</v>
      </c>
      <c r="E222" s="212" t="s">
        <v>19</v>
      </c>
      <c r="F222" s="228" t="s">
        <v>1376</v>
      </c>
      <c r="G222" s="147"/>
      <c r="H222" s="216">
        <v>15.0</v>
      </c>
      <c r="I222" s="216">
        <v>255.0</v>
      </c>
      <c r="J222" s="216">
        <v>27369.3</v>
      </c>
      <c r="K222" s="216">
        <v>0.0</v>
      </c>
      <c r="L222" s="217">
        <v>46054.0</v>
      </c>
      <c r="M222" s="217">
        <v>46082.0</v>
      </c>
      <c r="N222" s="215">
        <v>1.0</v>
      </c>
      <c r="O222" s="215">
        <v>-449.0</v>
      </c>
      <c r="P222" s="215">
        <v>479.0</v>
      </c>
      <c r="Q222" s="232">
        <v>46091.0</v>
      </c>
      <c r="R222" s="218" t="s">
        <v>1377</v>
      </c>
      <c r="S222" s="225" t="s">
        <v>1378</v>
      </c>
      <c r="T222" s="215">
        <v>531.0</v>
      </c>
      <c r="U222" s="204"/>
    </row>
    <row r="223" ht="22.5" customHeight="1">
      <c r="A223" s="192" t="s">
        <v>1350</v>
      </c>
      <c r="B223" s="193" t="s">
        <v>349</v>
      </c>
      <c r="C223" s="219" t="s">
        <v>684</v>
      </c>
      <c r="D223" s="194" t="s">
        <v>1294</v>
      </c>
      <c r="E223" s="193" t="s">
        <v>100</v>
      </c>
      <c r="F223" s="220">
        <v>0.0</v>
      </c>
      <c r="G223" s="221"/>
      <c r="H223" s="222">
        <v>12.0</v>
      </c>
      <c r="I223" s="222">
        <v>0.0</v>
      </c>
      <c r="J223" s="207"/>
      <c r="K223" s="207"/>
      <c r="L223" s="223">
        <v>46055.0</v>
      </c>
      <c r="M223" s="223">
        <v>46083.0</v>
      </c>
      <c r="N223" s="150"/>
      <c r="O223" s="220">
        <v>-448.0</v>
      </c>
      <c r="P223" s="220">
        <v>478.0</v>
      </c>
      <c r="Q223" s="209"/>
      <c r="R223" s="196" t="s">
        <v>1379</v>
      </c>
      <c r="S223" s="45"/>
      <c r="T223" s="220">
        <v>532.0</v>
      </c>
      <c r="U223" s="198"/>
    </row>
    <row r="224" ht="22.5" customHeight="1">
      <c r="A224" s="199"/>
      <c r="B224" s="212" t="s">
        <v>330</v>
      </c>
      <c r="C224" s="213" t="s">
        <v>136</v>
      </c>
      <c r="D224" s="214" t="s">
        <v>1207</v>
      </c>
      <c r="E224" s="212" t="s">
        <v>17</v>
      </c>
      <c r="F224" s="215">
        <v>4.0</v>
      </c>
      <c r="G224" s="210"/>
      <c r="H224" s="237" t="s">
        <v>1200</v>
      </c>
      <c r="I224" s="216">
        <v>27000.0</v>
      </c>
      <c r="J224" s="216">
        <v>27000.0</v>
      </c>
      <c r="K224" s="216">
        <v>0.0</v>
      </c>
      <c r="L224" s="217">
        <v>46062.0</v>
      </c>
      <c r="M224" s="217">
        <v>46090.0</v>
      </c>
      <c r="N224" s="215">
        <v>1.0</v>
      </c>
      <c r="O224" s="215">
        <v>-441.0</v>
      </c>
      <c r="P224" s="215">
        <v>471.0</v>
      </c>
      <c r="Q224" s="232">
        <v>46098.0</v>
      </c>
      <c r="R224" s="218" t="s">
        <v>1380</v>
      </c>
      <c r="S224" s="225" t="s">
        <v>1381</v>
      </c>
      <c r="T224" s="215">
        <v>533.0</v>
      </c>
      <c r="U224" s="204"/>
    </row>
    <row r="225" ht="22.5" customHeight="1">
      <c r="A225" s="192" t="s">
        <v>107</v>
      </c>
      <c r="B225" s="193" t="s">
        <v>153</v>
      </c>
      <c r="C225" s="219" t="s">
        <v>684</v>
      </c>
      <c r="D225" s="194" t="s">
        <v>1299</v>
      </c>
      <c r="E225" s="193" t="s">
        <v>108</v>
      </c>
      <c r="F225" s="220">
        <v>0.0</v>
      </c>
      <c r="G225" s="221"/>
      <c r="H225" s="222">
        <v>25.0</v>
      </c>
      <c r="I225" s="222">
        <v>0.0</v>
      </c>
      <c r="J225" s="207"/>
      <c r="K225" s="207"/>
      <c r="L225" s="223">
        <v>46061.0</v>
      </c>
      <c r="M225" s="223">
        <v>46089.0</v>
      </c>
      <c r="N225" s="150"/>
      <c r="O225" s="220">
        <v>-442.0</v>
      </c>
      <c r="P225" s="220">
        <v>472.0</v>
      </c>
      <c r="Q225" s="209"/>
      <c r="R225" s="196" t="s">
        <v>1382</v>
      </c>
      <c r="S225" s="45"/>
      <c r="T225" s="220">
        <v>534.0</v>
      </c>
      <c r="U225" s="198"/>
    </row>
    <row r="226" ht="22.5" customHeight="1">
      <c r="A226" s="211" t="s">
        <v>817</v>
      </c>
      <c r="B226" s="212" t="s">
        <v>363</v>
      </c>
      <c r="C226" s="213" t="s">
        <v>136</v>
      </c>
      <c r="D226" s="214" t="s">
        <v>1303</v>
      </c>
      <c r="E226" s="212" t="s">
        <v>19</v>
      </c>
      <c r="F226" s="228" t="s">
        <v>1383</v>
      </c>
      <c r="G226" s="210"/>
      <c r="H226" s="216">
        <v>10.0</v>
      </c>
      <c r="I226" s="216">
        <v>71.7</v>
      </c>
      <c r="J226" s="216">
        <v>7835.73</v>
      </c>
      <c r="K226" s="216">
        <v>0.0</v>
      </c>
      <c r="L226" s="217">
        <v>46075.0</v>
      </c>
      <c r="M226" s="217">
        <v>46103.0</v>
      </c>
      <c r="N226" s="215">
        <v>1.0</v>
      </c>
      <c r="O226" s="215">
        <v>-428.0</v>
      </c>
      <c r="P226" s="215">
        <v>458.0</v>
      </c>
      <c r="Q226" s="232">
        <v>46095.0</v>
      </c>
      <c r="R226" s="218" t="s">
        <v>1384</v>
      </c>
      <c r="S226" s="225" t="s">
        <v>1385</v>
      </c>
      <c r="T226" s="215">
        <v>535.0</v>
      </c>
      <c r="U226" s="204"/>
    </row>
    <row r="227" ht="22.5" customHeight="1">
      <c r="A227" s="192" t="s">
        <v>1386</v>
      </c>
      <c r="B227" s="193" t="s">
        <v>365</v>
      </c>
      <c r="C227" s="226" t="s">
        <v>136</v>
      </c>
      <c r="D227" s="194" t="s">
        <v>56</v>
      </c>
      <c r="E227" s="193" t="s">
        <v>19</v>
      </c>
      <c r="F227" s="220">
        <v>1.0</v>
      </c>
      <c r="G227" s="221"/>
      <c r="H227" s="222">
        <v>75.0</v>
      </c>
      <c r="I227" s="222">
        <v>75.0</v>
      </c>
      <c r="J227" s="207"/>
      <c r="K227" s="207"/>
      <c r="L227" s="223">
        <v>46063.0</v>
      </c>
      <c r="M227" s="223">
        <v>46091.0</v>
      </c>
      <c r="N227" s="150"/>
      <c r="O227" s="220">
        <v>-440.0</v>
      </c>
      <c r="P227" s="220">
        <v>470.0</v>
      </c>
      <c r="Q227" s="209"/>
      <c r="R227" s="45"/>
      <c r="S227" s="227" t="s">
        <v>1387</v>
      </c>
      <c r="T227" s="220">
        <v>536.0</v>
      </c>
      <c r="U227" s="198"/>
    </row>
    <row r="228" ht="22.5" customHeight="1">
      <c r="A228" s="211" t="s">
        <v>1388</v>
      </c>
      <c r="B228" s="212" t="s">
        <v>1389</v>
      </c>
      <c r="C228" s="213" t="s">
        <v>136</v>
      </c>
      <c r="D228" s="214" t="s">
        <v>1390</v>
      </c>
      <c r="E228" s="214" t="s">
        <v>17</v>
      </c>
      <c r="F228" s="228" t="s">
        <v>1391</v>
      </c>
      <c r="G228" s="248"/>
      <c r="H228" s="216">
        <v>3000.0</v>
      </c>
      <c r="I228" s="216">
        <v>375.0</v>
      </c>
      <c r="J228" s="216">
        <v>375.0</v>
      </c>
      <c r="K228" s="216">
        <v>375.0</v>
      </c>
      <c r="L228" s="217">
        <v>46033.0</v>
      </c>
      <c r="M228" s="217">
        <v>46064.0</v>
      </c>
      <c r="N228" s="215">
        <v>0.0</v>
      </c>
      <c r="O228" s="215">
        <v>-467.0</v>
      </c>
      <c r="P228" s="215">
        <v>497.0</v>
      </c>
      <c r="Q228" s="203"/>
      <c r="R228" s="218" t="s">
        <v>1392</v>
      </c>
      <c r="S228" s="225" t="s">
        <v>1393</v>
      </c>
      <c r="T228" s="215">
        <v>507.0</v>
      </c>
      <c r="U228" s="204"/>
    </row>
    <row r="229" ht="22.5" customHeight="1">
      <c r="A229" s="192" t="s">
        <v>1334</v>
      </c>
      <c r="B229" s="193" t="s">
        <v>359</v>
      </c>
      <c r="C229" s="226" t="s">
        <v>136</v>
      </c>
      <c r="D229" s="194" t="s">
        <v>1394</v>
      </c>
      <c r="E229" s="193" t="s">
        <v>15</v>
      </c>
      <c r="F229" s="220">
        <v>5.0</v>
      </c>
      <c r="G229" s="230">
        <v>0.3</v>
      </c>
      <c r="H229" s="222">
        <v>100.0</v>
      </c>
      <c r="I229" s="222">
        <v>500.0</v>
      </c>
      <c r="J229" s="222">
        <v>11000.0</v>
      </c>
      <c r="K229" s="222">
        <v>11000.0</v>
      </c>
      <c r="L229" s="223">
        <v>46026.0</v>
      </c>
      <c r="M229" s="223">
        <v>46057.0</v>
      </c>
      <c r="N229" s="220">
        <v>0.0</v>
      </c>
      <c r="O229" s="220">
        <v>-474.0</v>
      </c>
      <c r="P229" s="220">
        <v>504.0</v>
      </c>
      <c r="Q229" s="209"/>
      <c r="R229" s="196" t="s">
        <v>1395</v>
      </c>
      <c r="S229" s="227" t="s">
        <v>1396</v>
      </c>
      <c r="T229" s="220">
        <v>508.0</v>
      </c>
      <c r="U229" s="198"/>
    </row>
    <row r="230" ht="22.5" customHeight="1">
      <c r="A230" s="199"/>
      <c r="B230" s="212" t="s">
        <v>328</v>
      </c>
      <c r="C230" s="213" t="s">
        <v>136</v>
      </c>
      <c r="D230" s="214" t="s">
        <v>1283</v>
      </c>
      <c r="E230" s="212" t="s">
        <v>19</v>
      </c>
      <c r="F230" s="215">
        <v>3.0</v>
      </c>
      <c r="G230" s="210"/>
      <c r="H230" s="216">
        <v>12.0</v>
      </c>
      <c r="I230" s="216">
        <v>36.0</v>
      </c>
      <c r="J230" s="216">
        <v>3835.38</v>
      </c>
      <c r="K230" s="216">
        <v>0.0</v>
      </c>
      <c r="L230" s="217">
        <v>46027.0</v>
      </c>
      <c r="M230" s="217">
        <v>46058.0</v>
      </c>
      <c r="N230" s="215">
        <v>1.0</v>
      </c>
      <c r="O230" s="215">
        <v>-473.0</v>
      </c>
      <c r="P230" s="215">
        <v>503.0</v>
      </c>
      <c r="Q230" s="203"/>
      <c r="R230" s="218" t="s">
        <v>1397</v>
      </c>
      <c r="S230" s="225" t="s">
        <v>1398</v>
      </c>
      <c r="T230" s="215">
        <v>509.0</v>
      </c>
      <c r="U230" s="204"/>
    </row>
    <row r="231" ht="22.5" customHeight="1">
      <c r="A231" s="205"/>
      <c r="B231" s="193" t="s">
        <v>211</v>
      </c>
      <c r="C231" s="226" t="s">
        <v>136</v>
      </c>
      <c r="D231" s="194" t="s">
        <v>1339</v>
      </c>
      <c r="E231" s="193" t="s">
        <v>15</v>
      </c>
      <c r="F231" s="220">
        <v>1.0</v>
      </c>
      <c r="G231" s="221"/>
      <c r="H231" s="222">
        <v>150.0</v>
      </c>
      <c r="I231" s="222">
        <v>150.0</v>
      </c>
      <c r="J231" s="222">
        <v>3354.0</v>
      </c>
      <c r="K231" s="222">
        <v>3354.0</v>
      </c>
      <c r="L231" s="223">
        <v>46024.0</v>
      </c>
      <c r="M231" s="223">
        <v>46055.0</v>
      </c>
      <c r="N231" s="220">
        <v>0.0</v>
      </c>
      <c r="O231" s="220">
        <v>-476.0</v>
      </c>
      <c r="P231" s="220">
        <v>506.0</v>
      </c>
      <c r="Q231" s="209"/>
      <c r="R231" s="196" t="s">
        <v>1399</v>
      </c>
      <c r="S231" s="227" t="s">
        <v>1400</v>
      </c>
      <c r="T231" s="220">
        <v>510.0</v>
      </c>
      <c r="U231" s="198"/>
    </row>
    <row r="232" ht="22.5" customHeight="1">
      <c r="A232" s="211" t="s">
        <v>1401</v>
      </c>
      <c r="B232" s="212" t="s">
        <v>371</v>
      </c>
      <c r="C232" s="200"/>
      <c r="D232" s="214" t="s">
        <v>1402</v>
      </c>
      <c r="E232" s="212" t="s">
        <v>19</v>
      </c>
      <c r="F232" s="215">
        <v>0.0</v>
      </c>
      <c r="G232" s="147"/>
      <c r="H232" s="216">
        <v>15.0</v>
      </c>
      <c r="I232" s="216">
        <v>240.0</v>
      </c>
      <c r="J232" s="201"/>
      <c r="K232" s="201"/>
      <c r="L232" s="217">
        <v>46041.0</v>
      </c>
      <c r="M232" s="217">
        <v>46072.0</v>
      </c>
      <c r="N232" s="147"/>
      <c r="O232" s="215">
        <v>-459.0</v>
      </c>
      <c r="P232" s="215">
        <v>489.0</v>
      </c>
      <c r="Q232" s="203"/>
      <c r="R232" s="218" t="s">
        <v>1403</v>
      </c>
      <c r="S232" s="186"/>
      <c r="T232" s="215">
        <v>511.0</v>
      </c>
      <c r="U232" s="204"/>
    </row>
    <row r="233" ht="22.5" customHeight="1">
      <c r="A233" s="205"/>
      <c r="B233" s="193" t="s">
        <v>336</v>
      </c>
      <c r="C233" s="226" t="s">
        <v>136</v>
      </c>
      <c r="D233" s="194" t="s">
        <v>1369</v>
      </c>
      <c r="E233" s="193" t="s">
        <v>17</v>
      </c>
      <c r="F233" s="220">
        <v>3.0</v>
      </c>
      <c r="G233" s="221"/>
      <c r="H233" s="222">
        <v>1000.0</v>
      </c>
      <c r="I233" s="222">
        <v>3000.0</v>
      </c>
      <c r="J233" s="222">
        <v>3000.0</v>
      </c>
      <c r="K233" s="222">
        <v>3000.0</v>
      </c>
      <c r="L233" s="223">
        <v>46028.0</v>
      </c>
      <c r="M233" s="223">
        <v>46059.0</v>
      </c>
      <c r="N233" s="220">
        <v>0.0</v>
      </c>
      <c r="O233" s="220">
        <v>-472.0</v>
      </c>
      <c r="P233" s="220">
        <v>502.0</v>
      </c>
      <c r="Q233" s="209"/>
      <c r="R233" s="196" t="s">
        <v>1404</v>
      </c>
      <c r="S233" s="227" t="s">
        <v>1405</v>
      </c>
      <c r="T233" s="220">
        <v>512.0</v>
      </c>
      <c r="U233" s="198"/>
    </row>
    <row r="234" ht="22.5" customHeight="1">
      <c r="A234" s="199"/>
      <c r="B234" s="212" t="s">
        <v>355</v>
      </c>
      <c r="C234" s="213" t="s">
        <v>136</v>
      </c>
      <c r="D234" s="214" t="s">
        <v>1369</v>
      </c>
      <c r="E234" s="212" t="s">
        <v>17</v>
      </c>
      <c r="F234" s="215">
        <v>3.0</v>
      </c>
      <c r="G234" s="210"/>
      <c r="H234" s="216">
        <v>1000.0</v>
      </c>
      <c r="I234" s="216">
        <v>3000.0</v>
      </c>
      <c r="J234" s="216">
        <v>3000.0</v>
      </c>
      <c r="K234" s="216">
        <v>3000.0</v>
      </c>
      <c r="L234" s="217">
        <v>46046.0</v>
      </c>
      <c r="M234" s="217">
        <v>46077.0</v>
      </c>
      <c r="N234" s="215">
        <v>0.0</v>
      </c>
      <c r="O234" s="215">
        <v>-454.0</v>
      </c>
      <c r="P234" s="215">
        <v>484.0</v>
      </c>
      <c r="Q234" s="203"/>
      <c r="R234" s="218" t="s">
        <v>1406</v>
      </c>
      <c r="S234" s="225" t="s">
        <v>1407</v>
      </c>
      <c r="T234" s="215">
        <v>513.0</v>
      </c>
      <c r="U234" s="204"/>
    </row>
    <row r="235" ht="22.5" customHeight="1">
      <c r="A235" s="192" t="s">
        <v>1408</v>
      </c>
      <c r="B235" s="193" t="s">
        <v>313</v>
      </c>
      <c r="C235" s="206"/>
      <c r="D235" s="194" t="s">
        <v>1409</v>
      </c>
      <c r="E235" s="193" t="s">
        <v>17</v>
      </c>
      <c r="F235" s="220">
        <v>2.0</v>
      </c>
      <c r="G235" s="221"/>
      <c r="H235" s="222">
        <v>8000.0</v>
      </c>
      <c r="I235" s="222">
        <v>16000.0</v>
      </c>
      <c r="J235" s="207"/>
      <c r="K235" s="207"/>
      <c r="L235" s="223">
        <v>46030.0</v>
      </c>
      <c r="M235" s="223">
        <v>46061.0</v>
      </c>
      <c r="N235" s="150"/>
      <c r="O235" s="220">
        <v>-470.0</v>
      </c>
      <c r="P235" s="220">
        <v>500.0</v>
      </c>
      <c r="Q235" s="209"/>
      <c r="R235" s="196" t="s">
        <v>1410</v>
      </c>
      <c r="S235" s="45"/>
      <c r="T235" s="220">
        <v>514.0</v>
      </c>
      <c r="U235" s="198"/>
    </row>
    <row r="236" ht="22.5" customHeight="1">
      <c r="A236" s="199"/>
      <c r="B236" s="212" t="s">
        <v>309</v>
      </c>
      <c r="C236" s="213" t="s">
        <v>136</v>
      </c>
      <c r="D236" s="214" t="s">
        <v>1160</v>
      </c>
      <c r="E236" s="212" t="s">
        <v>17</v>
      </c>
      <c r="F236" s="215">
        <v>3.0</v>
      </c>
      <c r="G236" s="210"/>
      <c r="H236" s="216">
        <v>3000.0</v>
      </c>
      <c r="I236" s="216">
        <v>9000.0</v>
      </c>
      <c r="J236" s="216">
        <v>9000.0</v>
      </c>
      <c r="K236" s="216">
        <v>0.0</v>
      </c>
      <c r="L236" s="217">
        <v>46025.0</v>
      </c>
      <c r="M236" s="217">
        <v>46056.0</v>
      </c>
      <c r="N236" s="215">
        <v>1.0</v>
      </c>
      <c r="O236" s="215">
        <v>-475.0</v>
      </c>
      <c r="P236" s="215">
        <v>505.0</v>
      </c>
      <c r="Q236" s="203"/>
      <c r="R236" s="218" t="s">
        <v>1411</v>
      </c>
      <c r="S236" s="225" t="s">
        <v>1412</v>
      </c>
      <c r="T236" s="215">
        <v>515.0</v>
      </c>
      <c r="U236" s="204"/>
    </row>
    <row r="237" ht="22.5" customHeight="1">
      <c r="A237" s="192" t="s">
        <v>1344</v>
      </c>
      <c r="B237" s="193" t="s">
        <v>301</v>
      </c>
      <c r="C237" s="226" t="s">
        <v>136</v>
      </c>
      <c r="D237" s="194" t="s">
        <v>1199</v>
      </c>
      <c r="E237" s="193" t="s">
        <v>17</v>
      </c>
      <c r="F237" s="220">
        <v>4.0</v>
      </c>
      <c r="G237" s="221"/>
      <c r="H237" s="222">
        <v>6000.0</v>
      </c>
      <c r="I237" s="222">
        <v>24000.0</v>
      </c>
      <c r="J237" s="222">
        <v>24000.0</v>
      </c>
      <c r="K237" s="222">
        <v>0.0</v>
      </c>
      <c r="L237" s="223">
        <v>46040.0</v>
      </c>
      <c r="M237" s="223">
        <v>46071.0</v>
      </c>
      <c r="N237" s="220">
        <v>1.0</v>
      </c>
      <c r="O237" s="220">
        <v>-460.0</v>
      </c>
      <c r="P237" s="220">
        <v>490.0</v>
      </c>
      <c r="Q237" s="209"/>
      <c r="R237" s="196" t="s">
        <v>1413</v>
      </c>
      <c r="S237" s="227" t="s">
        <v>1414</v>
      </c>
      <c r="T237" s="220">
        <v>516.0</v>
      </c>
      <c r="U237" s="198"/>
    </row>
    <row r="238" ht="22.5" customHeight="1">
      <c r="A238" s="211" t="s">
        <v>1415</v>
      </c>
      <c r="B238" s="212" t="s">
        <v>305</v>
      </c>
      <c r="C238" s="213" t="s">
        <v>136</v>
      </c>
      <c r="D238" s="214" t="s">
        <v>1416</v>
      </c>
      <c r="E238" s="212" t="s">
        <v>17</v>
      </c>
      <c r="F238" s="215">
        <v>3.0</v>
      </c>
      <c r="G238" s="210"/>
      <c r="H238" s="216">
        <v>5000.0</v>
      </c>
      <c r="I238" s="216">
        <v>15000.0</v>
      </c>
      <c r="J238" s="216">
        <v>7500.0</v>
      </c>
      <c r="K238" s="216">
        <v>0.0</v>
      </c>
      <c r="L238" s="217">
        <v>46029.0</v>
      </c>
      <c r="M238" s="217">
        <v>46060.0</v>
      </c>
      <c r="N238" s="215">
        <v>1.0</v>
      </c>
      <c r="O238" s="215">
        <v>-471.0</v>
      </c>
      <c r="P238" s="215">
        <v>501.0</v>
      </c>
      <c r="Q238" s="203"/>
      <c r="R238" s="218" t="s">
        <v>1417</v>
      </c>
      <c r="S238" s="225" t="s">
        <v>1418</v>
      </c>
      <c r="T238" s="215">
        <v>517.0</v>
      </c>
      <c r="U238" s="204"/>
    </row>
    <row r="239" ht="22.5" customHeight="1">
      <c r="A239" s="192" t="s">
        <v>1419</v>
      </c>
      <c r="B239" s="193" t="s">
        <v>349</v>
      </c>
      <c r="C239" s="206"/>
      <c r="D239" s="194" t="s">
        <v>1294</v>
      </c>
      <c r="E239" s="193" t="s">
        <v>100</v>
      </c>
      <c r="F239" s="220">
        <v>8.0</v>
      </c>
      <c r="G239" s="221"/>
      <c r="H239" s="222">
        <v>12.0</v>
      </c>
      <c r="I239" s="222">
        <v>96.0</v>
      </c>
      <c r="J239" s="207"/>
      <c r="K239" s="207"/>
      <c r="L239" s="223">
        <v>46024.0</v>
      </c>
      <c r="M239" s="223">
        <v>46055.0</v>
      </c>
      <c r="N239" s="150"/>
      <c r="O239" s="220">
        <v>-476.0</v>
      </c>
      <c r="P239" s="220">
        <v>506.0</v>
      </c>
      <c r="Q239" s="209"/>
      <c r="R239" s="196" t="s">
        <v>1420</v>
      </c>
      <c r="S239" s="45"/>
      <c r="T239" s="220">
        <v>518.0</v>
      </c>
      <c r="U239" s="198"/>
    </row>
    <row r="240" ht="22.5" customHeight="1">
      <c r="A240" s="199"/>
      <c r="B240" s="212" t="s">
        <v>330</v>
      </c>
      <c r="C240" s="213" t="s">
        <v>136</v>
      </c>
      <c r="D240" s="214" t="s">
        <v>1207</v>
      </c>
      <c r="E240" s="212" t="s">
        <v>17</v>
      </c>
      <c r="F240" s="215">
        <v>4.0</v>
      </c>
      <c r="G240" s="210"/>
      <c r="H240" s="237" t="s">
        <v>1200</v>
      </c>
      <c r="I240" s="216">
        <v>27000.0</v>
      </c>
      <c r="J240" s="216">
        <v>27000.0</v>
      </c>
      <c r="K240" s="216">
        <v>0.0</v>
      </c>
      <c r="L240" s="217">
        <v>46031.0</v>
      </c>
      <c r="M240" s="217">
        <v>46062.0</v>
      </c>
      <c r="N240" s="215">
        <v>1.0</v>
      </c>
      <c r="O240" s="215">
        <v>-469.0</v>
      </c>
      <c r="P240" s="215">
        <v>499.0</v>
      </c>
      <c r="Q240" s="203"/>
      <c r="R240" s="218" t="s">
        <v>1421</v>
      </c>
      <c r="S240" s="225" t="s">
        <v>1422</v>
      </c>
      <c r="T240" s="215">
        <v>519.0</v>
      </c>
      <c r="U240" s="204"/>
    </row>
    <row r="241" ht="22.5" customHeight="1">
      <c r="A241" s="192" t="s">
        <v>1423</v>
      </c>
      <c r="B241" s="193" t="s">
        <v>345</v>
      </c>
      <c r="C241" s="226" t="s">
        <v>136</v>
      </c>
      <c r="D241" s="194" t="s">
        <v>1160</v>
      </c>
      <c r="E241" s="193" t="s">
        <v>17</v>
      </c>
      <c r="F241" s="220">
        <v>3.0</v>
      </c>
      <c r="G241" s="221"/>
      <c r="H241" s="222">
        <v>3000.0</v>
      </c>
      <c r="I241" s="222">
        <v>9000.0</v>
      </c>
      <c r="J241" s="222">
        <v>9000.0</v>
      </c>
      <c r="K241" s="222">
        <v>9000.0</v>
      </c>
      <c r="L241" s="223">
        <v>46042.0</v>
      </c>
      <c r="M241" s="223">
        <v>46073.0</v>
      </c>
      <c r="N241" s="220">
        <v>0.0</v>
      </c>
      <c r="O241" s="220">
        <v>-458.0</v>
      </c>
      <c r="P241" s="220">
        <v>488.0</v>
      </c>
      <c r="Q241" s="209"/>
      <c r="R241" s="196" t="s">
        <v>1424</v>
      </c>
      <c r="S241" s="227" t="s">
        <v>1425</v>
      </c>
      <c r="T241" s="220">
        <v>520.0</v>
      </c>
      <c r="U241" s="198"/>
    </row>
    <row r="242" ht="22.5" customHeight="1">
      <c r="A242" s="199"/>
      <c r="B242" s="212" t="s">
        <v>334</v>
      </c>
      <c r="C242" s="213" t="s">
        <v>136</v>
      </c>
      <c r="D242" s="214" t="s">
        <v>1426</v>
      </c>
      <c r="E242" s="212" t="s">
        <v>15</v>
      </c>
      <c r="F242" s="215">
        <v>1.0</v>
      </c>
      <c r="G242" s="210"/>
      <c r="H242" s="216">
        <v>150.0</v>
      </c>
      <c r="I242" s="216">
        <v>150.0</v>
      </c>
      <c r="J242" s="216">
        <v>3423.31</v>
      </c>
      <c r="K242" s="216">
        <v>3423.31</v>
      </c>
      <c r="L242" s="217">
        <v>46027.0</v>
      </c>
      <c r="M242" s="217">
        <v>46058.0</v>
      </c>
      <c r="N242" s="215">
        <v>0.0</v>
      </c>
      <c r="O242" s="215">
        <v>-473.0</v>
      </c>
      <c r="P242" s="215">
        <v>503.0</v>
      </c>
      <c r="Q242" s="203"/>
      <c r="R242" s="218" t="s">
        <v>1427</v>
      </c>
      <c r="S242" s="225" t="s">
        <v>1428</v>
      </c>
      <c r="T242" s="215">
        <v>521.0</v>
      </c>
      <c r="U242" s="204"/>
    </row>
    <row r="243" ht="22.5" customHeight="1">
      <c r="A243" s="192" t="s">
        <v>1429</v>
      </c>
      <c r="B243" s="193" t="s">
        <v>153</v>
      </c>
      <c r="C243" s="226" t="s">
        <v>136</v>
      </c>
      <c r="D243" s="194" t="s">
        <v>1299</v>
      </c>
      <c r="E243" s="193" t="s">
        <v>108</v>
      </c>
      <c r="F243" s="220">
        <v>1.0</v>
      </c>
      <c r="G243" s="221"/>
      <c r="H243" s="222">
        <v>25.0</v>
      </c>
      <c r="I243" s="222">
        <v>25.0</v>
      </c>
      <c r="J243" s="222">
        <v>1568.37</v>
      </c>
      <c r="K243" s="222">
        <v>0.0</v>
      </c>
      <c r="L243" s="223">
        <v>46030.0</v>
      </c>
      <c r="M243" s="223">
        <v>46061.0</v>
      </c>
      <c r="N243" s="220">
        <v>1.0</v>
      </c>
      <c r="O243" s="220">
        <v>-470.0</v>
      </c>
      <c r="P243" s="220">
        <v>500.0</v>
      </c>
      <c r="Q243" s="238">
        <v>46192.0</v>
      </c>
      <c r="R243" s="196" t="s">
        <v>1430</v>
      </c>
      <c r="S243" s="227" t="s">
        <v>1431</v>
      </c>
      <c r="T243" s="220">
        <v>522.0</v>
      </c>
      <c r="U243" s="198"/>
    </row>
    <row r="244" ht="22.5" customHeight="1">
      <c r="A244" s="211" t="s">
        <v>1432</v>
      </c>
      <c r="B244" s="212" t="s">
        <v>363</v>
      </c>
      <c r="C244" s="213" t="s">
        <v>136</v>
      </c>
      <c r="D244" s="214" t="s">
        <v>1303</v>
      </c>
      <c r="E244" s="212" t="s">
        <v>19</v>
      </c>
      <c r="F244" s="215">
        <v>8.58</v>
      </c>
      <c r="G244" s="210"/>
      <c r="H244" s="216">
        <v>10.0</v>
      </c>
      <c r="I244" s="216">
        <v>85.8</v>
      </c>
      <c r="J244" s="216">
        <v>9133.71</v>
      </c>
      <c r="K244" s="216">
        <v>0.0</v>
      </c>
      <c r="L244" s="217">
        <v>46044.0</v>
      </c>
      <c r="M244" s="217">
        <v>46075.0</v>
      </c>
      <c r="N244" s="215">
        <v>1.0</v>
      </c>
      <c r="O244" s="215">
        <v>-456.0</v>
      </c>
      <c r="P244" s="215">
        <v>486.0</v>
      </c>
      <c r="Q244" s="232">
        <v>46095.0</v>
      </c>
      <c r="R244" s="218" t="s">
        <v>1433</v>
      </c>
      <c r="S244" s="225" t="s">
        <v>1434</v>
      </c>
      <c r="T244" s="215">
        <v>523.0</v>
      </c>
      <c r="U244" s="204"/>
    </row>
    <row r="245" ht="22.5" customHeight="1">
      <c r="A245" s="192" t="s">
        <v>1358</v>
      </c>
      <c r="B245" s="193" t="s">
        <v>365</v>
      </c>
      <c r="C245" s="226" t="s">
        <v>136</v>
      </c>
      <c r="D245" s="194" t="s">
        <v>56</v>
      </c>
      <c r="E245" s="193" t="s">
        <v>19</v>
      </c>
      <c r="F245" s="220">
        <v>1.0</v>
      </c>
      <c r="G245" s="221"/>
      <c r="H245" s="222">
        <v>75.0</v>
      </c>
      <c r="I245" s="222">
        <v>75.0</v>
      </c>
      <c r="J245" s="207"/>
      <c r="K245" s="207"/>
      <c r="L245" s="223">
        <v>46032.0</v>
      </c>
      <c r="M245" s="223">
        <v>46063.0</v>
      </c>
      <c r="N245" s="150"/>
      <c r="O245" s="220">
        <v>-468.0</v>
      </c>
      <c r="P245" s="220">
        <v>498.0</v>
      </c>
      <c r="Q245" s="209"/>
      <c r="R245" s="196" t="s">
        <v>1435</v>
      </c>
      <c r="S245" s="227" t="s">
        <v>1436</v>
      </c>
      <c r="T245" s="220">
        <v>524.0</v>
      </c>
      <c r="U245" s="198"/>
    </row>
    <row r="246" ht="22.5" customHeight="1">
      <c r="A246" s="211" t="s">
        <v>1334</v>
      </c>
      <c r="B246" s="212" t="s">
        <v>359</v>
      </c>
      <c r="C246" s="213" t="s">
        <v>136</v>
      </c>
      <c r="D246" s="214" t="s">
        <v>1394</v>
      </c>
      <c r="E246" s="212" t="s">
        <v>15</v>
      </c>
      <c r="F246" s="215">
        <v>5.0</v>
      </c>
      <c r="G246" s="147"/>
      <c r="H246" s="216">
        <v>100.0</v>
      </c>
      <c r="I246" s="216">
        <v>500.0</v>
      </c>
      <c r="J246" s="216">
        <v>11257.45</v>
      </c>
      <c r="K246" s="216">
        <v>11000.0</v>
      </c>
      <c r="L246" s="217">
        <v>46360.0</v>
      </c>
      <c r="M246" s="217">
        <v>46026.0</v>
      </c>
      <c r="N246" s="215">
        <v>0.0</v>
      </c>
      <c r="O246" s="215">
        <v>-505.0</v>
      </c>
      <c r="P246" s="215">
        <v>535.0</v>
      </c>
      <c r="Q246" s="203"/>
      <c r="R246" s="218" t="s">
        <v>1437</v>
      </c>
      <c r="S246" s="225" t="s">
        <v>1438</v>
      </c>
      <c r="T246" s="215">
        <v>489.0</v>
      </c>
      <c r="U246" s="204"/>
    </row>
    <row r="247" ht="22.5" customHeight="1">
      <c r="A247" s="205"/>
      <c r="B247" s="193" t="s">
        <v>328</v>
      </c>
      <c r="C247" s="226" t="s">
        <v>136</v>
      </c>
      <c r="D247" s="194" t="s">
        <v>1283</v>
      </c>
      <c r="E247" s="193" t="s">
        <v>19</v>
      </c>
      <c r="F247" s="195" t="s">
        <v>1311</v>
      </c>
      <c r="G247" s="221"/>
      <c r="H247" s="222">
        <v>12.0</v>
      </c>
      <c r="I247" s="222">
        <v>36.0</v>
      </c>
      <c r="J247" s="222">
        <v>3890.02</v>
      </c>
      <c r="K247" s="222">
        <v>0.0</v>
      </c>
      <c r="L247" s="223">
        <v>46361.0</v>
      </c>
      <c r="M247" s="223">
        <v>46027.0</v>
      </c>
      <c r="N247" s="220">
        <v>1.0</v>
      </c>
      <c r="O247" s="220">
        <v>-504.0</v>
      </c>
      <c r="P247" s="220">
        <v>534.0</v>
      </c>
      <c r="Q247" s="209"/>
      <c r="R247" s="196" t="s">
        <v>1439</v>
      </c>
      <c r="S247" s="227" t="s">
        <v>1440</v>
      </c>
      <c r="T247" s="220">
        <v>490.0</v>
      </c>
      <c r="U247" s="198"/>
    </row>
    <row r="248" ht="22.5" customHeight="1">
      <c r="A248" s="211" t="s">
        <v>1419</v>
      </c>
      <c r="B248" s="212" t="s">
        <v>211</v>
      </c>
      <c r="C248" s="213" t="s">
        <v>136</v>
      </c>
      <c r="D248" s="214" t="s">
        <v>1339</v>
      </c>
      <c r="E248" s="212" t="s">
        <v>15</v>
      </c>
      <c r="F248" s="215">
        <v>1.0</v>
      </c>
      <c r="G248" s="210"/>
      <c r="H248" s="216">
        <v>150.0</v>
      </c>
      <c r="I248" s="216">
        <v>150.0</v>
      </c>
      <c r="J248" s="216">
        <v>3378.77</v>
      </c>
      <c r="K248" s="216">
        <v>3378.77</v>
      </c>
      <c r="L248" s="217">
        <v>46358.0</v>
      </c>
      <c r="M248" s="217">
        <v>46024.0</v>
      </c>
      <c r="N248" s="215">
        <v>0.0</v>
      </c>
      <c r="O248" s="215">
        <v>-507.0</v>
      </c>
      <c r="P248" s="215">
        <v>537.0</v>
      </c>
      <c r="Q248" s="203"/>
      <c r="R248" s="218" t="s">
        <v>1441</v>
      </c>
      <c r="S248" s="225" t="s">
        <v>1442</v>
      </c>
      <c r="T248" s="215">
        <v>491.0</v>
      </c>
      <c r="U248" s="204"/>
    </row>
    <row r="249" ht="22.5" customHeight="1">
      <c r="A249" s="192" t="s">
        <v>1443</v>
      </c>
      <c r="B249" s="193" t="s">
        <v>371</v>
      </c>
      <c r="C249" s="226" t="s">
        <v>136</v>
      </c>
      <c r="D249" s="194" t="s">
        <v>1402</v>
      </c>
      <c r="E249" s="193" t="s">
        <v>19</v>
      </c>
      <c r="F249" s="195" t="s">
        <v>1444</v>
      </c>
      <c r="G249" s="150"/>
      <c r="H249" s="222">
        <v>15.0</v>
      </c>
      <c r="I249" s="222">
        <v>47.55</v>
      </c>
      <c r="J249" s="222">
        <v>5069.04</v>
      </c>
      <c r="K249" s="222">
        <v>5069.04</v>
      </c>
      <c r="L249" s="223">
        <v>46375.0</v>
      </c>
      <c r="M249" s="223">
        <v>46041.0</v>
      </c>
      <c r="N249" s="220">
        <v>0.0</v>
      </c>
      <c r="O249" s="220">
        <v>-490.0</v>
      </c>
      <c r="P249" s="220">
        <v>520.0</v>
      </c>
      <c r="Q249" s="209"/>
      <c r="R249" s="196" t="s">
        <v>1445</v>
      </c>
      <c r="S249" s="227" t="s">
        <v>1446</v>
      </c>
      <c r="T249" s="220">
        <v>492.0</v>
      </c>
      <c r="U249" s="198"/>
    </row>
    <row r="250" ht="22.5" customHeight="1">
      <c r="A250" s="211" t="s">
        <v>1447</v>
      </c>
      <c r="B250" s="212" t="s">
        <v>336</v>
      </c>
      <c r="C250" s="213" t="s">
        <v>136</v>
      </c>
      <c r="D250" s="214" t="s">
        <v>1369</v>
      </c>
      <c r="E250" s="212" t="s">
        <v>17</v>
      </c>
      <c r="F250" s="215">
        <v>3.0</v>
      </c>
      <c r="G250" s="210"/>
      <c r="H250" s="216">
        <v>1000.0</v>
      </c>
      <c r="I250" s="216">
        <v>3000.0</v>
      </c>
      <c r="J250" s="216">
        <v>3000.0</v>
      </c>
      <c r="K250" s="216">
        <v>3000.0</v>
      </c>
      <c r="L250" s="217">
        <v>46362.0</v>
      </c>
      <c r="M250" s="217">
        <v>46028.0</v>
      </c>
      <c r="N250" s="215">
        <v>0.0</v>
      </c>
      <c r="O250" s="215">
        <v>-503.0</v>
      </c>
      <c r="P250" s="215">
        <v>533.0</v>
      </c>
      <c r="Q250" s="203"/>
      <c r="R250" s="218" t="s">
        <v>1448</v>
      </c>
      <c r="S250" s="225" t="s">
        <v>1449</v>
      </c>
      <c r="T250" s="215">
        <v>493.0</v>
      </c>
      <c r="U250" s="204"/>
    </row>
    <row r="251" ht="22.5" customHeight="1">
      <c r="A251" s="192" t="s">
        <v>1450</v>
      </c>
      <c r="B251" s="193" t="s">
        <v>355</v>
      </c>
      <c r="C251" s="226" t="s">
        <v>136</v>
      </c>
      <c r="D251" s="194" t="s">
        <v>1369</v>
      </c>
      <c r="E251" s="193" t="s">
        <v>17</v>
      </c>
      <c r="F251" s="220">
        <v>3.0</v>
      </c>
      <c r="G251" s="150"/>
      <c r="H251" s="222">
        <v>1000.0</v>
      </c>
      <c r="I251" s="222">
        <v>3000.0</v>
      </c>
      <c r="J251" s="222">
        <v>3000.0</v>
      </c>
      <c r="K251" s="222">
        <v>3000.0</v>
      </c>
      <c r="L251" s="223">
        <v>46380.0</v>
      </c>
      <c r="M251" s="223">
        <v>46046.0</v>
      </c>
      <c r="N251" s="220">
        <v>0.0</v>
      </c>
      <c r="O251" s="220">
        <v>-485.0</v>
      </c>
      <c r="P251" s="220">
        <v>515.0</v>
      </c>
      <c r="Q251" s="209"/>
      <c r="R251" s="196" t="s">
        <v>1451</v>
      </c>
      <c r="S251" s="227" t="s">
        <v>1452</v>
      </c>
      <c r="T251" s="220">
        <v>494.0</v>
      </c>
      <c r="U251" s="198"/>
    </row>
    <row r="252" ht="22.5" customHeight="1">
      <c r="A252" s="211" t="s">
        <v>1453</v>
      </c>
      <c r="B252" s="212" t="s">
        <v>309</v>
      </c>
      <c r="C252" s="213" t="s">
        <v>136</v>
      </c>
      <c r="D252" s="214" t="s">
        <v>1160</v>
      </c>
      <c r="E252" s="212" t="s">
        <v>17</v>
      </c>
      <c r="F252" s="215">
        <v>3.0</v>
      </c>
      <c r="G252" s="210"/>
      <c r="H252" s="216">
        <v>3000.0</v>
      </c>
      <c r="I252" s="216">
        <v>9000.0</v>
      </c>
      <c r="J252" s="216">
        <v>9000.0</v>
      </c>
      <c r="K252" s="216">
        <v>0.0</v>
      </c>
      <c r="L252" s="217">
        <v>46359.0</v>
      </c>
      <c r="M252" s="217">
        <v>46025.0</v>
      </c>
      <c r="N252" s="215">
        <v>1.0</v>
      </c>
      <c r="O252" s="215">
        <v>-506.0</v>
      </c>
      <c r="P252" s="215">
        <v>536.0</v>
      </c>
      <c r="Q252" s="203"/>
      <c r="R252" s="218" t="s">
        <v>1454</v>
      </c>
      <c r="S252" s="225" t="s">
        <v>1455</v>
      </c>
      <c r="T252" s="215">
        <v>495.0</v>
      </c>
      <c r="U252" s="204"/>
    </row>
    <row r="253" ht="22.5" customHeight="1">
      <c r="A253" s="192" t="s">
        <v>1344</v>
      </c>
      <c r="B253" s="193" t="s">
        <v>301</v>
      </c>
      <c r="C253" s="226" t="s">
        <v>136</v>
      </c>
      <c r="D253" s="194" t="s">
        <v>1199</v>
      </c>
      <c r="E253" s="193" t="s">
        <v>17</v>
      </c>
      <c r="F253" s="220">
        <v>4.0</v>
      </c>
      <c r="G253" s="221"/>
      <c r="H253" s="222">
        <v>6000.0</v>
      </c>
      <c r="I253" s="222">
        <v>24000.0</v>
      </c>
      <c r="J253" s="222">
        <v>24000.0</v>
      </c>
      <c r="K253" s="222">
        <v>0.0</v>
      </c>
      <c r="L253" s="223">
        <v>46374.0</v>
      </c>
      <c r="M253" s="223">
        <v>46040.0</v>
      </c>
      <c r="N253" s="220">
        <v>1.0</v>
      </c>
      <c r="O253" s="220">
        <v>-491.0</v>
      </c>
      <c r="P253" s="220">
        <v>521.0</v>
      </c>
      <c r="Q253" s="209"/>
      <c r="R253" s="196" t="s">
        <v>1456</v>
      </c>
      <c r="S253" s="227" t="s">
        <v>1457</v>
      </c>
      <c r="T253" s="220">
        <v>496.0</v>
      </c>
      <c r="U253" s="198"/>
    </row>
    <row r="254" ht="22.5" customHeight="1">
      <c r="A254" s="211" t="s">
        <v>1458</v>
      </c>
      <c r="B254" s="212" t="s">
        <v>369</v>
      </c>
      <c r="C254" s="213" t="s">
        <v>136</v>
      </c>
      <c r="D254" s="214" t="s">
        <v>1459</v>
      </c>
      <c r="E254" s="212" t="s">
        <v>19</v>
      </c>
      <c r="F254" s="228" t="s">
        <v>1460</v>
      </c>
      <c r="G254" s="147"/>
      <c r="H254" s="216">
        <v>10.0</v>
      </c>
      <c r="I254" s="216">
        <v>35.0</v>
      </c>
      <c r="J254" s="216">
        <v>3745.93</v>
      </c>
      <c r="K254" s="216">
        <v>3745.93</v>
      </c>
      <c r="L254" s="217">
        <v>46370.0</v>
      </c>
      <c r="M254" s="217">
        <v>46036.0</v>
      </c>
      <c r="N254" s="215">
        <v>0.0</v>
      </c>
      <c r="O254" s="215">
        <v>-495.0</v>
      </c>
      <c r="P254" s="215">
        <v>525.0</v>
      </c>
      <c r="Q254" s="203"/>
      <c r="R254" s="218" t="s">
        <v>1461</v>
      </c>
      <c r="S254" s="225" t="s">
        <v>1462</v>
      </c>
      <c r="T254" s="215">
        <v>497.0</v>
      </c>
      <c r="U254" s="204"/>
    </row>
    <row r="255" ht="22.5" customHeight="1">
      <c r="A255" s="205"/>
      <c r="B255" s="193" t="s">
        <v>349</v>
      </c>
      <c r="C255" s="226" t="s">
        <v>136</v>
      </c>
      <c r="D255" s="194" t="s">
        <v>1294</v>
      </c>
      <c r="E255" s="193" t="s">
        <v>100</v>
      </c>
      <c r="F255" s="220">
        <v>8.0</v>
      </c>
      <c r="G255" s="221"/>
      <c r="H255" s="222">
        <v>12.0</v>
      </c>
      <c r="I255" s="222">
        <v>96.0</v>
      </c>
      <c r="J255" s="222">
        <v>8134.76</v>
      </c>
      <c r="K255" s="222">
        <v>8134.76</v>
      </c>
      <c r="L255" s="223">
        <v>46358.0</v>
      </c>
      <c r="M255" s="223">
        <v>46024.0</v>
      </c>
      <c r="N255" s="220">
        <v>0.0</v>
      </c>
      <c r="O255" s="220">
        <v>-507.0</v>
      </c>
      <c r="P255" s="220">
        <v>537.0</v>
      </c>
      <c r="Q255" s="209"/>
      <c r="R255" s="196" t="s">
        <v>1463</v>
      </c>
      <c r="S255" s="227" t="s">
        <v>1464</v>
      </c>
      <c r="T255" s="220">
        <v>498.0</v>
      </c>
      <c r="U255" s="198"/>
    </row>
    <row r="256" ht="22.5" customHeight="1">
      <c r="A256" s="199"/>
      <c r="B256" s="212" t="s">
        <v>330</v>
      </c>
      <c r="C256" s="213" t="s">
        <v>136</v>
      </c>
      <c r="D256" s="214" t="s">
        <v>1207</v>
      </c>
      <c r="E256" s="212" t="s">
        <v>17</v>
      </c>
      <c r="F256" s="215">
        <v>5.0</v>
      </c>
      <c r="G256" s="210"/>
      <c r="H256" s="237" t="s">
        <v>1200</v>
      </c>
      <c r="I256" s="216">
        <v>27000.0</v>
      </c>
      <c r="J256" s="216">
        <v>27000.0</v>
      </c>
      <c r="K256" s="216">
        <v>0.0</v>
      </c>
      <c r="L256" s="217">
        <v>46365.0</v>
      </c>
      <c r="M256" s="217">
        <v>46031.0</v>
      </c>
      <c r="N256" s="215">
        <v>1.0</v>
      </c>
      <c r="O256" s="215">
        <v>-500.0</v>
      </c>
      <c r="P256" s="215">
        <v>530.0</v>
      </c>
      <c r="Q256" s="203"/>
      <c r="R256" s="218" t="s">
        <v>1465</v>
      </c>
      <c r="S256" s="225" t="s">
        <v>1466</v>
      </c>
      <c r="T256" s="215">
        <v>499.0</v>
      </c>
      <c r="U256" s="204"/>
    </row>
    <row r="257" ht="22.5" customHeight="1">
      <c r="A257" s="192" t="s">
        <v>1423</v>
      </c>
      <c r="B257" s="193" t="s">
        <v>345</v>
      </c>
      <c r="C257" s="226" t="s">
        <v>136</v>
      </c>
      <c r="D257" s="194" t="s">
        <v>1160</v>
      </c>
      <c r="E257" s="193" t="s">
        <v>17</v>
      </c>
      <c r="F257" s="220">
        <v>3.0</v>
      </c>
      <c r="G257" s="221"/>
      <c r="H257" s="222">
        <v>3000.0</v>
      </c>
      <c r="I257" s="222">
        <v>9000.0</v>
      </c>
      <c r="J257" s="222">
        <v>9000.0</v>
      </c>
      <c r="K257" s="222">
        <v>9000.0</v>
      </c>
      <c r="L257" s="223">
        <v>46376.0</v>
      </c>
      <c r="M257" s="223">
        <v>46042.0</v>
      </c>
      <c r="N257" s="220">
        <v>0.0</v>
      </c>
      <c r="O257" s="220">
        <v>-489.0</v>
      </c>
      <c r="P257" s="220">
        <v>519.0</v>
      </c>
      <c r="Q257" s="209"/>
      <c r="R257" s="196" t="s">
        <v>1467</v>
      </c>
      <c r="S257" s="227" t="s">
        <v>1468</v>
      </c>
      <c r="T257" s="220">
        <v>500.0</v>
      </c>
      <c r="U257" s="198"/>
    </row>
    <row r="258" ht="22.5" customHeight="1">
      <c r="A258" s="199"/>
      <c r="B258" s="212" t="s">
        <v>338</v>
      </c>
      <c r="C258" s="231" t="s">
        <v>684</v>
      </c>
      <c r="D258" s="214" t="s">
        <v>1469</v>
      </c>
      <c r="E258" s="212" t="s">
        <v>108</v>
      </c>
      <c r="F258" s="215">
        <v>10.25</v>
      </c>
      <c r="G258" s="210"/>
      <c r="H258" s="216">
        <v>30.0</v>
      </c>
      <c r="I258" s="216">
        <v>307.5</v>
      </c>
      <c r="J258" s="201"/>
      <c r="K258" s="201"/>
      <c r="L258" s="217">
        <v>46365.0</v>
      </c>
      <c r="M258" s="217">
        <v>46031.0</v>
      </c>
      <c r="N258" s="147"/>
      <c r="O258" s="215">
        <v>-500.0</v>
      </c>
      <c r="P258" s="215">
        <v>530.0</v>
      </c>
      <c r="Q258" s="203"/>
      <c r="R258" s="218" t="s">
        <v>1470</v>
      </c>
      <c r="S258" s="186"/>
      <c r="T258" s="215">
        <v>501.0</v>
      </c>
      <c r="U258" s="204"/>
    </row>
    <row r="259" ht="22.5" customHeight="1">
      <c r="A259" s="192" t="s">
        <v>1471</v>
      </c>
      <c r="B259" s="193" t="s">
        <v>332</v>
      </c>
      <c r="C259" s="242" t="s">
        <v>685</v>
      </c>
      <c r="D259" s="194" t="s">
        <v>1472</v>
      </c>
      <c r="E259" s="193" t="s">
        <v>15</v>
      </c>
      <c r="F259" s="220">
        <v>1.0</v>
      </c>
      <c r="G259" s="221"/>
      <c r="H259" s="222">
        <v>150.0</v>
      </c>
      <c r="I259" s="222">
        <v>150.0</v>
      </c>
      <c r="J259" s="207"/>
      <c r="K259" s="207"/>
      <c r="L259" s="223">
        <v>46376.0</v>
      </c>
      <c r="M259" s="223">
        <v>46042.0</v>
      </c>
      <c r="N259" s="150"/>
      <c r="O259" s="220">
        <v>-489.0</v>
      </c>
      <c r="P259" s="220">
        <v>519.0</v>
      </c>
      <c r="Q259" s="209"/>
      <c r="R259" s="196" t="s">
        <v>1473</v>
      </c>
      <c r="S259" s="45"/>
      <c r="T259" s="220">
        <v>502.0</v>
      </c>
      <c r="U259" s="198"/>
    </row>
    <row r="260" ht="22.5" customHeight="1">
      <c r="A260" s="199"/>
      <c r="B260" s="212" t="s">
        <v>334</v>
      </c>
      <c r="C260" s="213" t="s">
        <v>136</v>
      </c>
      <c r="D260" s="214" t="s">
        <v>1426</v>
      </c>
      <c r="E260" s="212" t="s">
        <v>15</v>
      </c>
      <c r="F260" s="215">
        <v>1.0</v>
      </c>
      <c r="G260" s="210"/>
      <c r="H260" s="216">
        <v>150.0</v>
      </c>
      <c r="I260" s="216">
        <v>150.0</v>
      </c>
      <c r="J260" s="216">
        <v>3300.0</v>
      </c>
      <c r="K260" s="216">
        <v>3300.0</v>
      </c>
      <c r="L260" s="217">
        <v>46361.0</v>
      </c>
      <c r="M260" s="217">
        <v>46027.0</v>
      </c>
      <c r="N260" s="215">
        <v>0.0</v>
      </c>
      <c r="O260" s="215">
        <v>-504.0</v>
      </c>
      <c r="P260" s="215">
        <v>534.0</v>
      </c>
      <c r="Q260" s="203"/>
      <c r="R260" s="218" t="s">
        <v>1474</v>
      </c>
      <c r="S260" s="225" t="s">
        <v>1475</v>
      </c>
      <c r="T260" s="215">
        <v>503.0</v>
      </c>
      <c r="U260" s="204"/>
    </row>
    <row r="261" ht="22.5" customHeight="1">
      <c r="A261" s="192" t="s">
        <v>107</v>
      </c>
      <c r="B261" s="193" t="s">
        <v>153</v>
      </c>
      <c r="C261" s="226" t="s">
        <v>136</v>
      </c>
      <c r="D261" s="194" t="s">
        <v>1299</v>
      </c>
      <c r="E261" s="193" t="s">
        <v>108</v>
      </c>
      <c r="F261" s="195" t="s">
        <v>1311</v>
      </c>
      <c r="G261" s="221"/>
      <c r="H261" s="222">
        <v>25.0</v>
      </c>
      <c r="I261" s="222">
        <v>75.0</v>
      </c>
      <c r="J261" s="222">
        <v>4698.21</v>
      </c>
      <c r="K261" s="222">
        <v>0.0</v>
      </c>
      <c r="L261" s="223">
        <v>46379.0</v>
      </c>
      <c r="M261" s="223">
        <v>46045.0</v>
      </c>
      <c r="N261" s="220">
        <v>1.0</v>
      </c>
      <c r="O261" s="220">
        <v>-486.0</v>
      </c>
      <c r="P261" s="220">
        <v>516.0</v>
      </c>
      <c r="Q261" s="238">
        <v>46192.0</v>
      </c>
      <c r="R261" s="196" t="s">
        <v>1476</v>
      </c>
      <c r="S261" s="227" t="s">
        <v>1477</v>
      </c>
      <c r="T261" s="220">
        <v>504.0</v>
      </c>
      <c r="U261" s="198"/>
    </row>
    <row r="262" ht="22.5" customHeight="1">
      <c r="A262" s="211" t="s">
        <v>1478</v>
      </c>
      <c r="B262" s="212" t="s">
        <v>363</v>
      </c>
      <c r="C262" s="213" t="s">
        <v>136</v>
      </c>
      <c r="D262" s="214" t="s">
        <v>1303</v>
      </c>
      <c r="E262" s="212" t="s">
        <v>19</v>
      </c>
      <c r="F262" s="228" t="s">
        <v>1311</v>
      </c>
      <c r="G262" s="147"/>
      <c r="H262" s="216">
        <v>10.0</v>
      </c>
      <c r="I262" s="216">
        <v>30.0</v>
      </c>
      <c r="J262" s="216">
        <v>3202.18</v>
      </c>
      <c r="K262" s="216">
        <v>0.0</v>
      </c>
      <c r="L262" s="217">
        <v>46378.0</v>
      </c>
      <c r="M262" s="217">
        <v>46044.0</v>
      </c>
      <c r="N262" s="215">
        <v>1.0</v>
      </c>
      <c r="O262" s="215">
        <v>-487.0</v>
      </c>
      <c r="P262" s="215">
        <v>517.0</v>
      </c>
      <c r="Q262" s="232">
        <v>46095.0</v>
      </c>
      <c r="R262" s="218" t="s">
        <v>1479</v>
      </c>
      <c r="S262" s="225" t="s">
        <v>1480</v>
      </c>
      <c r="T262" s="215">
        <v>505.0</v>
      </c>
      <c r="U262" s="204"/>
    </row>
    <row r="263" ht="22.5" customHeight="1">
      <c r="A263" s="192" t="s">
        <v>1358</v>
      </c>
      <c r="B263" s="193" t="s">
        <v>365</v>
      </c>
      <c r="C263" s="226" t="s">
        <v>136</v>
      </c>
      <c r="D263" s="194" t="s">
        <v>56</v>
      </c>
      <c r="E263" s="193" t="s">
        <v>19</v>
      </c>
      <c r="F263" s="220">
        <v>1.0</v>
      </c>
      <c r="G263" s="150"/>
      <c r="H263" s="222">
        <v>75.0</v>
      </c>
      <c r="I263" s="222">
        <v>75.0</v>
      </c>
      <c r="J263" s="222">
        <v>8135.41</v>
      </c>
      <c r="K263" s="222">
        <v>8135.41</v>
      </c>
      <c r="L263" s="223">
        <v>46366.0</v>
      </c>
      <c r="M263" s="223">
        <v>46032.0</v>
      </c>
      <c r="N263" s="220">
        <v>0.0</v>
      </c>
      <c r="O263" s="220">
        <v>-499.0</v>
      </c>
      <c r="P263" s="220">
        <v>529.0</v>
      </c>
      <c r="Q263" s="209"/>
      <c r="R263" s="196" t="s">
        <v>1481</v>
      </c>
      <c r="S263" s="227" t="s">
        <v>1482</v>
      </c>
      <c r="T263" s="220">
        <v>506.0</v>
      </c>
      <c r="U263" s="198"/>
    </row>
    <row r="264" ht="22.5" customHeight="1">
      <c r="A264" s="211" t="s">
        <v>1483</v>
      </c>
      <c r="B264" s="212" t="s">
        <v>359</v>
      </c>
      <c r="C264" s="213" t="s">
        <v>136</v>
      </c>
      <c r="D264" s="214" t="s">
        <v>1394</v>
      </c>
      <c r="E264" s="212" t="s">
        <v>15</v>
      </c>
      <c r="F264" s="215">
        <v>5.0</v>
      </c>
      <c r="G264" s="147"/>
      <c r="H264" s="216">
        <v>100.0</v>
      </c>
      <c r="I264" s="216">
        <v>500.0</v>
      </c>
      <c r="J264" s="216">
        <v>11000.0</v>
      </c>
      <c r="K264" s="216">
        <v>11000.0</v>
      </c>
      <c r="L264" s="217">
        <v>46330.0</v>
      </c>
      <c r="M264" s="217">
        <v>46360.0</v>
      </c>
      <c r="N264" s="215">
        <v>0.0</v>
      </c>
      <c r="O264" s="215">
        <v>-536.0</v>
      </c>
      <c r="P264" s="215">
        <v>566.0</v>
      </c>
      <c r="Q264" s="203"/>
      <c r="R264" s="218" t="s">
        <v>1484</v>
      </c>
      <c r="S264" s="225" t="s">
        <v>1485</v>
      </c>
      <c r="T264" s="215">
        <v>470.0</v>
      </c>
      <c r="U264" s="204"/>
    </row>
    <row r="265" ht="22.5" customHeight="1">
      <c r="A265" s="205"/>
      <c r="B265" s="193" t="s">
        <v>328</v>
      </c>
      <c r="C265" s="226" t="s">
        <v>136</v>
      </c>
      <c r="D265" s="194" t="s">
        <v>1283</v>
      </c>
      <c r="E265" s="193" t="s">
        <v>19</v>
      </c>
      <c r="F265" s="220">
        <v>3.0</v>
      </c>
      <c r="G265" s="221"/>
      <c r="H265" s="222">
        <v>12.0</v>
      </c>
      <c r="I265" s="222">
        <v>36.0</v>
      </c>
      <c r="J265" s="222">
        <v>3948.33</v>
      </c>
      <c r="K265" s="222">
        <v>0.0</v>
      </c>
      <c r="L265" s="223">
        <v>46331.0</v>
      </c>
      <c r="M265" s="223">
        <v>46361.0</v>
      </c>
      <c r="N265" s="220">
        <v>1.0</v>
      </c>
      <c r="O265" s="220">
        <v>-535.0</v>
      </c>
      <c r="P265" s="220">
        <v>565.0</v>
      </c>
      <c r="Q265" s="209"/>
      <c r="R265" s="196" t="s">
        <v>1486</v>
      </c>
      <c r="S265" s="227" t="s">
        <v>1487</v>
      </c>
      <c r="T265" s="220">
        <v>471.0</v>
      </c>
      <c r="U265" s="198"/>
    </row>
    <row r="266" ht="22.5" customHeight="1">
      <c r="A266" s="199"/>
      <c r="B266" s="212" t="s">
        <v>211</v>
      </c>
      <c r="C266" s="213" t="s">
        <v>136</v>
      </c>
      <c r="D266" s="214" t="s">
        <v>1339</v>
      </c>
      <c r="E266" s="212" t="s">
        <v>15</v>
      </c>
      <c r="F266" s="215">
        <v>1.0</v>
      </c>
      <c r="G266" s="210"/>
      <c r="H266" s="216">
        <v>150.0</v>
      </c>
      <c r="I266" s="216">
        <v>150.0</v>
      </c>
      <c r="J266" s="216">
        <v>3354.0</v>
      </c>
      <c r="K266" s="216">
        <v>3354.0</v>
      </c>
      <c r="L266" s="217">
        <v>46328.0</v>
      </c>
      <c r="M266" s="217">
        <v>46358.0</v>
      </c>
      <c r="N266" s="215">
        <v>0.0</v>
      </c>
      <c r="O266" s="215">
        <v>-538.0</v>
      </c>
      <c r="P266" s="215">
        <v>568.0</v>
      </c>
      <c r="Q266" s="203"/>
      <c r="R266" s="218" t="s">
        <v>1488</v>
      </c>
      <c r="S266" s="225" t="s">
        <v>1489</v>
      </c>
      <c r="T266" s="215">
        <v>472.0</v>
      </c>
      <c r="U266" s="204"/>
    </row>
    <row r="267" ht="22.5" customHeight="1">
      <c r="A267" s="192" t="s">
        <v>1483</v>
      </c>
      <c r="B267" s="193" t="s">
        <v>361</v>
      </c>
      <c r="C267" s="226" t="s">
        <v>136</v>
      </c>
      <c r="D267" s="194" t="s">
        <v>1490</v>
      </c>
      <c r="E267" s="194" t="s">
        <v>17</v>
      </c>
      <c r="F267" s="220">
        <v>3.0</v>
      </c>
      <c r="G267" s="150"/>
      <c r="H267" s="222">
        <v>2500.0</v>
      </c>
      <c r="I267" s="222">
        <v>7500.0</v>
      </c>
      <c r="J267" s="222">
        <v>7500.0</v>
      </c>
      <c r="K267" s="222">
        <v>7500.0</v>
      </c>
      <c r="L267" s="223">
        <v>46330.0</v>
      </c>
      <c r="M267" s="223">
        <v>46360.0</v>
      </c>
      <c r="N267" s="220">
        <v>0.0</v>
      </c>
      <c r="O267" s="220">
        <v>-536.0</v>
      </c>
      <c r="P267" s="220">
        <v>566.0</v>
      </c>
      <c r="Q267" s="209"/>
      <c r="R267" s="196" t="s">
        <v>1491</v>
      </c>
      <c r="S267" s="227" t="s">
        <v>1492</v>
      </c>
      <c r="T267" s="220">
        <v>473.0</v>
      </c>
      <c r="U267" s="198"/>
    </row>
    <row r="268" ht="22.5" customHeight="1">
      <c r="A268" s="211" t="s">
        <v>1447</v>
      </c>
      <c r="B268" s="212" t="s">
        <v>336</v>
      </c>
      <c r="C268" s="213" t="s">
        <v>136</v>
      </c>
      <c r="D268" s="214" t="s">
        <v>1369</v>
      </c>
      <c r="E268" s="212" t="s">
        <v>17</v>
      </c>
      <c r="F268" s="215">
        <v>3.0</v>
      </c>
      <c r="G268" s="210"/>
      <c r="H268" s="216">
        <v>1000.0</v>
      </c>
      <c r="I268" s="216">
        <v>3000.0</v>
      </c>
      <c r="J268" s="216">
        <v>3000.0</v>
      </c>
      <c r="K268" s="201"/>
      <c r="L268" s="217">
        <v>46332.0</v>
      </c>
      <c r="M268" s="217">
        <v>46362.0</v>
      </c>
      <c r="N268" s="147"/>
      <c r="O268" s="215">
        <v>-534.0</v>
      </c>
      <c r="P268" s="215">
        <v>564.0</v>
      </c>
      <c r="Q268" s="203"/>
      <c r="R268" s="218" t="s">
        <v>1493</v>
      </c>
      <c r="S268" s="225" t="s">
        <v>1494</v>
      </c>
      <c r="T268" s="215">
        <v>474.0</v>
      </c>
      <c r="U268" s="204"/>
    </row>
    <row r="269" ht="22.5" customHeight="1">
      <c r="A269" s="192" t="s">
        <v>1495</v>
      </c>
      <c r="B269" s="193" t="s">
        <v>355</v>
      </c>
      <c r="C269" s="226" t="s">
        <v>136</v>
      </c>
      <c r="D269" s="194" t="s">
        <v>1369</v>
      </c>
      <c r="E269" s="193" t="s">
        <v>17</v>
      </c>
      <c r="F269" s="220">
        <v>3.0</v>
      </c>
      <c r="G269" s="150"/>
      <c r="H269" s="222">
        <v>1000.0</v>
      </c>
      <c r="I269" s="222">
        <v>3000.0</v>
      </c>
      <c r="J269" s="222">
        <v>3000.0</v>
      </c>
      <c r="K269" s="207"/>
      <c r="L269" s="223">
        <v>46350.0</v>
      </c>
      <c r="M269" s="223">
        <v>46380.0</v>
      </c>
      <c r="N269" s="150"/>
      <c r="O269" s="220">
        <v>-516.0</v>
      </c>
      <c r="P269" s="220">
        <v>546.0</v>
      </c>
      <c r="Q269" s="209"/>
      <c r="R269" s="196" t="s">
        <v>1496</v>
      </c>
      <c r="S269" s="227" t="s">
        <v>1497</v>
      </c>
      <c r="T269" s="220">
        <v>475.0</v>
      </c>
      <c r="U269" s="198"/>
    </row>
    <row r="270" ht="22.5" customHeight="1">
      <c r="A270" s="211" t="s">
        <v>1453</v>
      </c>
      <c r="B270" s="212" t="s">
        <v>309</v>
      </c>
      <c r="C270" s="213" t="s">
        <v>136</v>
      </c>
      <c r="D270" s="214" t="s">
        <v>1160</v>
      </c>
      <c r="E270" s="212" t="s">
        <v>17</v>
      </c>
      <c r="F270" s="215">
        <v>3.0</v>
      </c>
      <c r="G270" s="210"/>
      <c r="H270" s="216">
        <v>3000.0</v>
      </c>
      <c r="I270" s="216">
        <v>9000.0</v>
      </c>
      <c r="J270" s="216">
        <v>9000.0</v>
      </c>
      <c r="K270" s="216">
        <v>0.0</v>
      </c>
      <c r="L270" s="217">
        <v>46329.0</v>
      </c>
      <c r="M270" s="217">
        <v>46359.0</v>
      </c>
      <c r="N270" s="215">
        <v>1.0</v>
      </c>
      <c r="O270" s="215">
        <v>-537.0</v>
      </c>
      <c r="P270" s="215">
        <v>567.0</v>
      </c>
      <c r="Q270" s="203"/>
      <c r="R270" s="218" t="s">
        <v>1498</v>
      </c>
      <c r="S270" s="225" t="s">
        <v>1499</v>
      </c>
      <c r="T270" s="215">
        <v>476.0</v>
      </c>
      <c r="U270" s="204"/>
    </row>
    <row r="271" ht="22.5" customHeight="1">
      <c r="A271" s="192" t="s">
        <v>1483</v>
      </c>
      <c r="B271" s="193" t="s">
        <v>357</v>
      </c>
      <c r="C271" s="226" t="s">
        <v>136</v>
      </c>
      <c r="D271" s="194" t="s">
        <v>1500</v>
      </c>
      <c r="E271" s="193" t="s">
        <v>15</v>
      </c>
      <c r="F271" s="220">
        <v>4.0</v>
      </c>
      <c r="G271" s="150"/>
      <c r="H271" s="222">
        <v>125.0</v>
      </c>
      <c r="I271" s="222">
        <v>500.0</v>
      </c>
      <c r="J271" s="222">
        <v>11000.0</v>
      </c>
      <c r="K271" s="222">
        <v>11000.0</v>
      </c>
      <c r="L271" s="223">
        <v>46328.0</v>
      </c>
      <c r="M271" s="223">
        <v>46358.0</v>
      </c>
      <c r="N271" s="220">
        <v>0.0</v>
      </c>
      <c r="O271" s="220">
        <v>-538.0</v>
      </c>
      <c r="P271" s="220">
        <v>568.0</v>
      </c>
      <c r="Q271" s="209"/>
      <c r="R271" s="196" t="s">
        <v>1501</v>
      </c>
      <c r="S271" s="227" t="s">
        <v>1502</v>
      </c>
      <c r="T271" s="220">
        <v>477.0</v>
      </c>
      <c r="U271" s="198"/>
    </row>
    <row r="272" ht="22.5" customHeight="1">
      <c r="A272" s="211" t="s">
        <v>1503</v>
      </c>
      <c r="B272" s="212" t="s">
        <v>301</v>
      </c>
      <c r="C272" s="213" t="s">
        <v>136</v>
      </c>
      <c r="D272" s="214" t="s">
        <v>1199</v>
      </c>
      <c r="E272" s="212" t="s">
        <v>17</v>
      </c>
      <c r="F272" s="215">
        <v>3.0</v>
      </c>
      <c r="G272" s="210"/>
      <c r="H272" s="216">
        <v>6000.0</v>
      </c>
      <c r="I272" s="216">
        <v>18000.0</v>
      </c>
      <c r="J272" s="216">
        <v>18000.0</v>
      </c>
      <c r="K272" s="216">
        <v>0.0</v>
      </c>
      <c r="L272" s="217">
        <v>46344.0</v>
      </c>
      <c r="M272" s="217">
        <v>46374.0</v>
      </c>
      <c r="N272" s="215">
        <v>1.0</v>
      </c>
      <c r="O272" s="215">
        <v>-522.0</v>
      </c>
      <c r="P272" s="215">
        <v>552.0</v>
      </c>
      <c r="Q272" s="203"/>
      <c r="R272" s="218" t="s">
        <v>1504</v>
      </c>
      <c r="S272" s="225" t="s">
        <v>1505</v>
      </c>
      <c r="T272" s="215">
        <v>478.0</v>
      </c>
      <c r="U272" s="204"/>
    </row>
    <row r="273" ht="22.5" customHeight="1">
      <c r="A273" s="192" t="s">
        <v>1506</v>
      </c>
      <c r="B273" s="193" t="s">
        <v>367</v>
      </c>
      <c r="C273" s="226" t="s">
        <v>136</v>
      </c>
      <c r="D273" s="194" t="s">
        <v>1280</v>
      </c>
      <c r="E273" s="193" t="s">
        <v>15</v>
      </c>
      <c r="F273" s="220">
        <v>4.0</v>
      </c>
      <c r="G273" s="150"/>
      <c r="H273" s="222">
        <v>149.0</v>
      </c>
      <c r="I273" s="222">
        <v>529.0</v>
      </c>
      <c r="J273" s="222">
        <v>11922.0</v>
      </c>
      <c r="K273" s="222">
        <v>0.0</v>
      </c>
      <c r="L273" s="223">
        <v>46352.0</v>
      </c>
      <c r="M273" s="223">
        <v>46382.0</v>
      </c>
      <c r="N273" s="220">
        <v>1.0</v>
      </c>
      <c r="O273" s="220">
        <v>-514.0</v>
      </c>
      <c r="P273" s="220">
        <v>544.0</v>
      </c>
      <c r="Q273" s="209"/>
      <c r="R273" s="196" t="s">
        <v>1507</v>
      </c>
      <c r="S273" s="227" t="s">
        <v>1508</v>
      </c>
      <c r="T273" s="220">
        <v>479.0</v>
      </c>
      <c r="U273" s="198"/>
    </row>
    <row r="274" ht="22.5" customHeight="1">
      <c r="A274" s="199"/>
      <c r="B274" s="212" t="s">
        <v>349</v>
      </c>
      <c r="C274" s="213" t="s">
        <v>136</v>
      </c>
      <c r="D274" s="214" t="s">
        <v>1294</v>
      </c>
      <c r="E274" s="212" t="s">
        <v>100</v>
      </c>
      <c r="F274" s="215">
        <v>8.0</v>
      </c>
      <c r="G274" s="210"/>
      <c r="H274" s="216">
        <v>12.0</v>
      </c>
      <c r="I274" s="216">
        <v>96.0</v>
      </c>
      <c r="J274" s="216">
        <v>8054.4</v>
      </c>
      <c r="K274" s="216">
        <v>8054.4</v>
      </c>
      <c r="L274" s="217">
        <v>46328.0</v>
      </c>
      <c r="M274" s="217">
        <v>46358.0</v>
      </c>
      <c r="N274" s="215">
        <v>0.0</v>
      </c>
      <c r="O274" s="215">
        <v>-538.0</v>
      </c>
      <c r="P274" s="215">
        <v>568.0</v>
      </c>
      <c r="Q274" s="203"/>
      <c r="R274" s="218" t="s">
        <v>1509</v>
      </c>
      <c r="S274" s="225" t="s">
        <v>1510</v>
      </c>
      <c r="T274" s="215">
        <v>480.0</v>
      </c>
      <c r="U274" s="204"/>
    </row>
    <row r="275" ht="22.5" customHeight="1">
      <c r="A275" s="205"/>
      <c r="B275" s="193" t="s">
        <v>330</v>
      </c>
      <c r="C275" s="226" t="s">
        <v>136</v>
      </c>
      <c r="D275" s="194" t="s">
        <v>1207</v>
      </c>
      <c r="E275" s="193" t="s">
        <v>17</v>
      </c>
      <c r="F275" s="220">
        <v>5.0</v>
      </c>
      <c r="G275" s="221"/>
      <c r="H275" s="197" t="s">
        <v>1200</v>
      </c>
      <c r="I275" s="222">
        <v>27000.0</v>
      </c>
      <c r="J275" s="222">
        <v>15000.0</v>
      </c>
      <c r="K275" s="222">
        <v>0.0</v>
      </c>
      <c r="L275" s="223">
        <v>46335.0</v>
      </c>
      <c r="M275" s="223">
        <v>46365.0</v>
      </c>
      <c r="N275" s="220">
        <v>1.0</v>
      </c>
      <c r="O275" s="220">
        <v>-531.0</v>
      </c>
      <c r="P275" s="220">
        <v>561.0</v>
      </c>
      <c r="Q275" s="209"/>
      <c r="R275" s="196" t="s">
        <v>1511</v>
      </c>
      <c r="S275" s="227" t="s">
        <v>1512</v>
      </c>
      <c r="T275" s="220">
        <v>481.0</v>
      </c>
      <c r="U275" s="198"/>
    </row>
    <row r="276" ht="22.5" customHeight="1">
      <c r="A276" s="211" t="s">
        <v>1423</v>
      </c>
      <c r="B276" s="212" t="s">
        <v>345</v>
      </c>
      <c r="C276" s="213" t="s">
        <v>136</v>
      </c>
      <c r="D276" s="214" t="s">
        <v>1160</v>
      </c>
      <c r="E276" s="212" t="s">
        <v>17</v>
      </c>
      <c r="F276" s="215">
        <v>3.0</v>
      </c>
      <c r="G276" s="210"/>
      <c r="H276" s="216">
        <v>3000.0</v>
      </c>
      <c r="I276" s="216">
        <v>9000.0</v>
      </c>
      <c r="J276" s="216">
        <v>9000.0</v>
      </c>
      <c r="K276" s="216">
        <v>9000.0</v>
      </c>
      <c r="L276" s="217">
        <v>46346.0</v>
      </c>
      <c r="M276" s="217">
        <v>46376.0</v>
      </c>
      <c r="N276" s="215">
        <v>0.0</v>
      </c>
      <c r="O276" s="215">
        <v>-520.0</v>
      </c>
      <c r="P276" s="215">
        <v>550.0</v>
      </c>
      <c r="Q276" s="203"/>
      <c r="R276" s="218" t="s">
        <v>1513</v>
      </c>
      <c r="S276" s="225" t="s">
        <v>1514</v>
      </c>
      <c r="T276" s="215">
        <v>482.0</v>
      </c>
      <c r="U276" s="204"/>
    </row>
    <row r="277" ht="22.5" customHeight="1">
      <c r="A277" s="205"/>
      <c r="B277" s="193" t="s">
        <v>338</v>
      </c>
      <c r="C277" s="206"/>
      <c r="D277" s="194" t="s">
        <v>1469</v>
      </c>
      <c r="E277" s="193" t="s">
        <v>108</v>
      </c>
      <c r="F277" s="220">
        <v>10.25</v>
      </c>
      <c r="G277" s="221"/>
      <c r="H277" s="222">
        <v>30.0</v>
      </c>
      <c r="I277" s="222">
        <v>307.5</v>
      </c>
      <c r="J277" s="207"/>
      <c r="K277" s="207"/>
      <c r="L277" s="223">
        <v>46335.0</v>
      </c>
      <c r="M277" s="223">
        <v>46365.0</v>
      </c>
      <c r="N277" s="150"/>
      <c r="O277" s="220">
        <v>-531.0</v>
      </c>
      <c r="P277" s="220">
        <v>561.0</v>
      </c>
      <c r="Q277" s="209"/>
      <c r="R277" s="196" t="s">
        <v>1515</v>
      </c>
      <c r="S277" s="45"/>
      <c r="T277" s="220">
        <v>483.0</v>
      </c>
      <c r="U277" s="198"/>
    </row>
    <row r="278" ht="22.5" customHeight="1">
      <c r="A278" s="199"/>
      <c r="B278" s="212" t="s">
        <v>332</v>
      </c>
      <c r="C278" s="213" t="s">
        <v>136</v>
      </c>
      <c r="D278" s="214" t="s">
        <v>1472</v>
      </c>
      <c r="E278" s="212" t="s">
        <v>15</v>
      </c>
      <c r="F278" s="215">
        <v>1.0</v>
      </c>
      <c r="G278" s="210"/>
      <c r="H278" s="216">
        <v>150.0</v>
      </c>
      <c r="I278" s="216">
        <v>150.0</v>
      </c>
      <c r="J278" s="216">
        <v>3300.0</v>
      </c>
      <c r="K278" s="216">
        <v>3300.0</v>
      </c>
      <c r="L278" s="217">
        <v>46346.0</v>
      </c>
      <c r="M278" s="217">
        <v>46376.0</v>
      </c>
      <c r="N278" s="215">
        <v>0.0</v>
      </c>
      <c r="O278" s="215">
        <v>-520.0</v>
      </c>
      <c r="P278" s="215">
        <v>550.0</v>
      </c>
      <c r="Q278" s="203"/>
      <c r="R278" s="218" t="s">
        <v>1516</v>
      </c>
      <c r="S278" s="225" t="s">
        <v>1517</v>
      </c>
      <c r="T278" s="215">
        <v>484.0</v>
      </c>
      <c r="U278" s="204"/>
    </row>
    <row r="279" ht="22.5" customHeight="1">
      <c r="A279" s="205"/>
      <c r="B279" s="193" t="s">
        <v>334</v>
      </c>
      <c r="C279" s="226" t="s">
        <v>136</v>
      </c>
      <c r="D279" s="194" t="s">
        <v>1426</v>
      </c>
      <c r="E279" s="193" t="s">
        <v>15</v>
      </c>
      <c r="F279" s="220">
        <v>1.0</v>
      </c>
      <c r="G279" s="221"/>
      <c r="H279" s="222">
        <v>150.0</v>
      </c>
      <c r="I279" s="222">
        <v>150.0</v>
      </c>
      <c r="J279" s="222">
        <v>3300.0</v>
      </c>
      <c r="K279" s="222">
        <v>3300.0</v>
      </c>
      <c r="L279" s="223">
        <v>46331.0</v>
      </c>
      <c r="M279" s="223">
        <v>46361.0</v>
      </c>
      <c r="N279" s="220">
        <v>0.0</v>
      </c>
      <c r="O279" s="220">
        <v>-535.0</v>
      </c>
      <c r="P279" s="220">
        <v>565.0</v>
      </c>
      <c r="Q279" s="209"/>
      <c r="R279" s="196" t="s">
        <v>1518</v>
      </c>
      <c r="S279" s="227" t="s">
        <v>1519</v>
      </c>
      <c r="T279" s="220">
        <v>485.0</v>
      </c>
      <c r="U279" s="198"/>
    </row>
    <row r="280" ht="22.5" customHeight="1">
      <c r="A280" s="211" t="s">
        <v>1520</v>
      </c>
      <c r="B280" s="212" t="s">
        <v>153</v>
      </c>
      <c r="C280" s="213" t="s">
        <v>136</v>
      </c>
      <c r="D280" s="214" t="s">
        <v>1303</v>
      </c>
      <c r="E280" s="212" t="s">
        <v>108</v>
      </c>
      <c r="F280" s="215">
        <v>2.0</v>
      </c>
      <c r="G280" s="210"/>
      <c r="H280" s="216">
        <v>25.0</v>
      </c>
      <c r="I280" s="216">
        <v>50.0</v>
      </c>
      <c r="J280" s="216">
        <v>3129.84</v>
      </c>
      <c r="K280" s="216">
        <v>0.0</v>
      </c>
      <c r="L280" s="217">
        <v>46349.0</v>
      </c>
      <c r="M280" s="217">
        <v>46379.0</v>
      </c>
      <c r="N280" s="215">
        <v>1.0</v>
      </c>
      <c r="O280" s="215">
        <v>-517.0</v>
      </c>
      <c r="P280" s="215">
        <v>547.0</v>
      </c>
      <c r="Q280" s="232">
        <v>46192.0</v>
      </c>
      <c r="R280" s="218" t="s">
        <v>1521</v>
      </c>
      <c r="S280" s="225" t="s">
        <v>1522</v>
      </c>
      <c r="T280" s="215">
        <v>486.0</v>
      </c>
      <c r="U280" s="204"/>
    </row>
    <row r="281" ht="22.5" customHeight="1">
      <c r="A281" s="192" t="s">
        <v>1478</v>
      </c>
      <c r="B281" s="193" t="s">
        <v>363</v>
      </c>
      <c r="C281" s="226" t="s">
        <v>136</v>
      </c>
      <c r="D281" s="194" t="s">
        <v>1303</v>
      </c>
      <c r="E281" s="193" t="s">
        <v>19</v>
      </c>
      <c r="F281" s="220">
        <v>5.0</v>
      </c>
      <c r="G281" s="150"/>
      <c r="H281" s="222">
        <v>10.0</v>
      </c>
      <c r="I281" s="222">
        <v>50.0</v>
      </c>
      <c r="J281" s="222">
        <v>5289.93</v>
      </c>
      <c r="K281" s="207"/>
      <c r="L281" s="223">
        <v>46348.0</v>
      </c>
      <c r="M281" s="223">
        <v>46378.0</v>
      </c>
      <c r="N281" s="150"/>
      <c r="O281" s="220">
        <v>-518.0</v>
      </c>
      <c r="P281" s="220">
        <v>548.0</v>
      </c>
      <c r="Q281" s="209"/>
      <c r="R281" s="196" t="s">
        <v>1523</v>
      </c>
      <c r="S281" s="227" t="s">
        <v>1524</v>
      </c>
      <c r="T281" s="220">
        <v>487.0</v>
      </c>
      <c r="U281" s="198"/>
    </row>
    <row r="282" ht="22.5" customHeight="1">
      <c r="A282" s="211" t="s">
        <v>1358</v>
      </c>
      <c r="B282" s="212" t="s">
        <v>365</v>
      </c>
      <c r="C282" s="213" t="s">
        <v>136</v>
      </c>
      <c r="D282" s="214" t="s">
        <v>56</v>
      </c>
      <c r="E282" s="212" t="s">
        <v>19</v>
      </c>
      <c r="F282" s="215">
        <v>1.0</v>
      </c>
      <c r="G282" s="147"/>
      <c r="H282" s="216">
        <v>75.0</v>
      </c>
      <c r="I282" s="216">
        <v>75.0</v>
      </c>
      <c r="J282" s="216">
        <v>7500.0</v>
      </c>
      <c r="K282" s="216">
        <v>7500.0</v>
      </c>
      <c r="L282" s="217">
        <v>46336.0</v>
      </c>
      <c r="M282" s="217">
        <v>46366.0</v>
      </c>
      <c r="N282" s="215">
        <v>0.0</v>
      </c>
      <c r="O282" s="215">
        <v>-530.0</v>
      </c>
      <c r="P282" s="215">
        <v>560.0</v>
      </c>
      <c r="Q282" s="203"/>
      <c r="R282" s="218" t="s">
        <v>1525</v>
      </c>
      <c r="S282" s="225" t="s">
        <v>1526</v>
      </c>
      <c r="T282" s="215">
        <v>488.0</v>
      </c>
      <c r="U282" s="204"/>
    </row>
    <row r="283" ht="22.5" customHeight="1">
      <c r="A283" s="192" t="s">
        <v>1483</v>
      </c>
      <c r="B283" s="193" t="s">
        <v>359</v>
      </c>
      <c r="C283" s="226" t="s">
        <v>136</v>
      </c>
      <c r="D283" s="194" t="s">
        <v>1394</v>
      </c>
      <c r="E283" s="193" t="s">
        <v>15</v>
      </c>
      <c r="F283" s="220">
        <v>4.0</v>
      </c>
      <c r="G283" s="150"/>
      <c r="H283" s="222">
        <v>100.0</v>
      </c>
      <c r="I283" s="222">
        <v>400.0</v>
      </c>
      <c r="J283" s="222">
        <v>8800.0</v>
      </c>
      <c r="K283" s="222">
        <v>0.0</v>
      </c>
      <c r="L283" s="223">
        <v>46299.0</v>
      </c>
      <c r="M283" s="223">
        <v>46330.0</v>
      </c>
      <c r="N283" s="220">
        <v>1.0</v>
      </c>
      <c r="O283" s="220">
        <v>-566.0</v>
      </c>
      <c r="P283" s="220">
        <v>596.0</v>
      </c>
      <c r="Q283" s="209"/>
      <c r="R283" s="196" t="s">
        <v>1527</v>
      </c>
      <c r="S283" s="227" t="s">
        <v>1528</v>
      </c>
      <c r="T283" s="220">
        <v>453.0</v>
      </c>
      <c r="U283" s="198"/>
    </row>
    <row r="284" ht="22.5" customHeight="1">
      <c r="A284" s="199"/>
      <c r="B284" s="212" t="s">
        <v>328</v>
      </c>
      <c r="C284" s="213" t="s">
        <v>136</v>
      </c>
      <c r="D284" s="214" t="s">
        <v>1283</v>
      </c>
      <c r="E284" s="212" t="s">
        <v>19</v>
      </c>
      <c r="F284" s="215">
        <v>3.0</v>
      </c>
      <c r="G284" s="210"/>
      <c r="H284" s="216">
        <v>12.0</v>
      </c>
      <c r="I284" s="216">
        <v>36.0</v>
      </c>
      <c r="J284" s="216">
        <v>3971.67</v>
      </c>
      <c r="K284" s="216">
        <v>0.0</v>
      </c>
      <c r="L284" s="217">
        <v>46300.0</v>
      </c>
      <c r="M284" s="217">
        <v>46331.0</v>
      </c>
      <c r="N284" s="215">
        <v>1.0</v>
      </c>
      <c r="O284" s="215">
        <v>-565.0</v>
      </c>
      <c r="P284" s="215">
        <v>595.0</v>
      </c>
      <c r="Q284" s="203"/>
      <c r="R284" s="218" t="s">
        <v>1529</v>
      </c>
      <c r="S284" s="225" t="s">
        <v>1530</v>
      </c>
      <c r="T284" s="215">
        <v>454.0</v>
      </c>
      <c r="U284" s="204"/>
    </row>
    <row r="285" ht="22.5" customHeight="1">
      <c r="A285" s="205"/>
      <c r="B285" s="193" t="s">
        <v>211</v>
      </c>
      <c r="C285" s="226" t="s">
        <v>136</v>
      </c>
      <c r="D285" s="194" t="s">
        <v>1339</v>
      </c>
      <c r="E285" s="193" t="s">
        <v>15</v>
      </c>
      <c r="F285" s="220">
        <v>1.0</v>
      </c>
      <c r="G285" s="221"/>
      <c r="H285" s="222">
        <v>150.0</v>
      </c>
      <c r="I285" s="222">
        <v>150.0</v>
      </c>
      <c r="J285" s="222">
        <v>3354.0</v>
      </c>
      <c r="K285" s="222">
        <v>3354.0</v>
      </c>
      <c r="L285" s="223">
        <v>46297.0</v>
      </c>
      <c r="M285" s="223">
        <v>46328.0</v>
      </c>
      <c r="N285" s="220">
        <v>0.0</v>
      </c>
      <c r="O285" s="220">
        <v>-568.0</v>
      </c>
      <c r="P285" s="220">
        <v>598.0</v>
      </c>
      <c r="Q285" s="209"/>
      <c r="R285" s="196" t="s">
        <v>1531</v>
      </c>
      <c r="S285" s="227" t="s">
        <v>1532</v>
      </c>
      <c r="T285" s="220">
        <v>455.0</v>
      </c>
      <c r="U285" s="198"/>
    </row>
    <row r="286" ht="22.5" customHeight="1">
      <c r="A286" s="211" t="s">
        <v>1483</v>
      </c>
      <c r="B286" s="212" t="s">
        <v>361</v>
      </c>
      <c r="C286" s="213" t="s">
        <v>136</v>
      </c>
      <c r="D286" s="214" t="s">
        <v>1490</v>
      </c>
      <c r="E286" s="214" t="s">
        <v>17</v>
      </c>
      <c r="F286" s="215">
        <v>3.0</v>
      </c>
      <c r="G286" s="147"/>
      <c r="H286" s="216">
        <v>2500.0</v>
      </c>
      <c r="I286" s="216">
        <v>7500.0</v>
      </c>
      <c r="J286" s="216">
        <v>7500.0</v>
      </c>
      <c r="K286" s="216">
        <v>7500.0</v>
      </c>
      <c r="L286" s="217">
        <v>46299.0</v>
      </c>
      <c r="M286" s="217">
        <v>46330.0</v>
      </c>
      <c r="N286" s="215">
        <v>0.0</v>
      </c>
      <c r="O286" s="215">
        <v>-566.0</v>
      </c>
      <c r="P286" s="215">
        <v>596.0</v>
      </c>
      <c r="Q286" s="203"/>
      <c r="R286" s="218" t="s">
        <v>1533</v>
      </c>
      <c r="S286" s="225" t="s">
        <v>1534</v>
      </c>
      <c r="T286" s="215">
        <v>456.0</v>
      </c>
      <c r="U286" s="204"/>
    </row>
    <row r="287" ht="22.5" customHeight="1">
      <c r="A287" s="192" t="s">
        <v>1447</v>
      </c>
      <c r="B287" s="193" t="s">
        <v>336</v>
      </c>
      <c r="C287" s="226" t="s">
        <v>136</v>
      </c>
      <c r="D287" s="194" t="s">
        <v>1369</v>
      </c>
      <c r="E287" s="193" t="s">
        <v>17</v>
      </c>
      <c r="F287" s="220">
        <v>3.0</v>
      </c>
      <c r="G287" s="221"/>
      <c r="H287" s="222">
        <v>1000.0</v>
      </c>
      <c r="I287" s="222">
        <v>3000.0</v>
      </c>
      <c r="J287" s="222">
        <v>3000.0</v>
      </c>
      <c r="K287" s="222">
        <v>0.0</v>
      </c>
      <c r="L287" s="223">
        <v>46301.0</v>
      </c>
      <c r="M287" s="223">
        <v>46332.0</v>
      </c>
      <c r="N287" s="220">
        <v>1.0</v>
      </c>
      <c r="O287" s="220">
        <v>-564.0</v>
      </c>
      <c r="P287" s="220">
        <v>594.0</v>
      </c>
      <c r="Q287" s="209"/>
      <c r="R287" s="196" t="s">
        <v>1535</v>
      </c>
      <c r="S287" s="227" t="s">
        <v>1536</v>
      </c>
      <c r="T287" s="220">
        <v>457.0</v>
      </c>
      <c r="U287" s="198"/>
    </row>
    <row r="288" ht="22.5" customHeight="1">
      <c r="A288" s="211" t="s">
        <v>1495</v>
      </c>
      <c r="B288" s="212" t="s">
        <v>355</v>
      </c>
      <c r="C288" s="213" t="s">
        <v>136</v>
      </c>
      <c r="D288" s="214" t="s">
        <v>1369</v>
      </c>
      <c r="E288" s="212" t="s">
        <v>17</v>
      </c>
      <c r="F288" s="215">
        <v>3.0</v>
      </c>
      <c r="G288" s="147"/>
      <c r="H288" s="216">
        <v>1000.0</v>
      </c>
      <c r="I288" s="216">
        <v>3000.0</v>
      </c>
      <c r="J288" s="216">
        <v>3000.0</v>
      </c>
      <c r="K288" s="216">
        <v>0.0</v>
      </c>
      <c r="L288" s="217">
        <v>46319.0</v>
      </c>
      <c r="M288" s="217">
        <v>46350.0</v>
      </c>
      <c r="N288" s="215">
        <v>1.0</v>
      </c>
      <c r="O288" s="215">
        <v>-546.0</v>
      </c>
      <c r="P288" s="215">
        <v>576.0</v>
      </c>
      <c r="Q288" s="203"/>
      <c r="R288" s="218" t="s">
        <v>1537</v>
      </c>
      <c r="S288" s="225" t="s">
        <v>1538</v>
      </c>
      <c r="T288" s="215">
        <v>458.0</v>
      </c>
      <c r="U288" s="204"/>
    </row>
    <row r="289" ht="22.5" customHeight="1">
      <c r="A289" s="192" t="s">
        <v>1453</v>
      </c>
      <c r="B289" s="193" t="s">
        <v>309</v>
      </c>
      <c r="C289" s="226" t="s">
        <v>136</v>
      </c>
      <c r="D289" s="194" t="s">
        <v>1160</v>
      </c>
      <c r="E289" s="193" t="s">
        <v>17</v>
      </c>
      <c r="F289" s="220">
        <v>3.0</v>
      </c>
      <c r="G289" s="221"/>
      <c r="H289" s="222">
        <v>3000.0</v>
      </c>
      <c r="I289" s="222">
        <v>9000.0</v>
      </c>
      <c r="J289" s="222">
        <v>9000.0</v>
      </c>
      <c r="K289" s="207"/>
      <c r="L289" s="223">
        <v>46298.0</v>
      </c>
      <c r="M289" s="223">
        <v>46329.0</v>
      </c>
      <c r="N289" s="150"/>
      <c r="O289" s="220">
        <v>-567.0</v>
      </c>
      <c r="P289" s="220">
        <v>597.0</v>
      </c>
      <c r="Q289" s="209"/>
      <c r="R289" s="196" t="s">
        <v>1539</v>
      </c>
      <c r="S289" s="227" t="s">
        <v>1540</v>
      </c>
      <c r="T289" s="220">
        <v>459.0</v>
      </c>
      <c r="U289" s="198"/>
    </row>
    <row r="290" ht="22.5" customHeight="1">
      <c r="A290" s="211" t="s">
        <v>1483</v>
      </c>
      <c r="B290" s="212" t="s">
        <v>357</v>
      </c>
      <c r="C290" s="213" t="s">
        <v>136</v>
      </c>
      <c r="D290" s="214" t="s">
        <v>1500</v>
      </c>
      <c r="E290" s="212" t="s">
        <v>15</v>
      </c>
      <c r="F290" s="215">
        <v>4.0</v>
      </c>
      <c r="G290" s="147"/>
      <c r="H290" s="216">
        <v>125.0</v>
      </c>
      <c r="I290" s="216">
        <v>500.0</v>
      </c>
      <c r="J290" s="216">
        <v>11000.0</v>
      </c>
      <c r="K290" s="216">
        <v>11000.0</v>
      </c>
      <c r="L290" s="217">
        <v>46297.0</v>
      </c>
      <c r="M290" s="217">
        <v>46328.0</v>
      </c>
      <c r="N290" s="215">
        <v>0.0</v>
      </c>
      <c r="O290" s="215">
        <v>-568.0</v>
      </c>
      <c r="P290" s="215">
        <v>598.0</v>
      </c>
      <c r="Q290" s="203"/>
      <c r="R290" s="218" t="s">
        <v>1541</v>
      </c>
      <c r="S290" s="225" t="s">
        <v>1542</v>
      </c>
      <c r="T290" s="215">
        <v>460.0</v>
      </c>
      <c r="U290" s="204"/>
    </row>
    <row r="291" ht="22.5" customHeight="1">
      <c r="A291" s="192" t="s">
        <v>1543</v>
      </c>
      <c r="B291" s="193" t="s">
        <v>301</v>
      </c>
      <c r="C291" s="226" t="s">
        <v>136</v>
      </c>
      <c r="D291" s="194" t="s">
        <v>1199</v>
      </c>
      <c r="E291" s="193" t="s">
        <v>17</v>
      </c>
      <c r="F291" s="220">
        <v>3.0</v>
      </c>
      <c r="G291" s="221"/>
      <c r="H291" s="222">
        <v>6000.0</v>
      </c>
      <c r="I291" s="222">
        <v>18000.0</v>
      </c>
      <c r="J291" s="222">
        <v>18000.0</v>
      </c>
      <c r="K291" s="207"/>
      <c r="L291" s="223">
        <v>46313.0</v>
      </c>
      <c r="M291" s="223">
        <v>46344.0</v>
      </c>
      <c r="N291" s="150"/>
      <c r="O291" s="220">
        <v>-552.0</v>
      </c>
      <c r="P291" s="220">
        <v>582.0</v>
      </c>
      <c r="Q291" s="209"/>
      <c r="R291" s="196" t="s">
        <v>1544</v>
      </c>
      <c r="S291" s="227" t="s">
        <v>1545</v>
      </c>
      <c r="T291" s="220">
        <v>461.0</v>
      </c>
      <c r="U291" s="198"/>
    </row>
    <row r="292" ht="22.5" customHeight="1">
      <c r="A292" s="211" t="s">
        <v>1546</v>
      </c>
      <c r="B292" s="212" t="s">
        <v>291</v>
      </c>
      <c r="C292" s="213" t="s">
        <v>136</v>
      </c>
      <c r="D292" s="214" t="s">
        <v>1547</v>
      </c>
      <c r="E292" s="212" t="s">
        <v>17</v>
      </c>
      <c r="F292" s="215">
        <v>2.0</v>
      </c>
      <c r="G292" s="210"/>
      <c r="H292" s="216">
        <v>8000.0</v>
      </c>
      <c r="I292" s="216">
        <v>16000.0</v>
      </c>
      <c r="J292" s="216">
        <v>16000.0</v>
      </c>
      <c r="K292" s="216">
        <v>0.0</v>
      </c>
      <c r="L292" s="217">
        <v>46306.0</v>
      </c>
      <c r="M292" s="217">
        <v>46337.0</v>
      </c>
      <c r="N292" s="215">
        <v>1.0</v>
      </c>
      <c r="O292" s="215">
        <v>-559.0</v>
      </c>
      <c r="P292" s="215">
        <v>589.0</v>
      </c>
      <c r="Q292" s="203"/>
      <c r="R292" s="218" t="s">
        <v>1548</v>
      </c>
      <c r="S292" s="225" t="s">
        <v>1549</v>
      </c>
      <c r="T292" s="215">
        <v>462.0</v>
      </c>
      <c r="U292" s="204"/>
    </row>
    <row r="293" ht="22.5" customHeight="1">
      <c r="A293" s="205"/>
      <c r="B293" s="193" t="s">
        <v>349</v>
      </c>
      <c r="C293" s="226" t="s">
        <v>136</v>
      </c>
      <c r="D293" s="194" t="s">
        <v>1294</v>
      </c>
      <c r="E293" s="193" t="s">
        <v>100</v>
      </c>
      <c r="F293" s="220">
        <v>8.0</v>
      </c>
      <c r="G293" s="221"/>
      <c r="H293" s="222">
        <v>12.0</v>
      </c>
      <c r="I293" s="222">
        <v>96.0</v>
      </c>
      <c r="J293" s="222">
        <v>8054.4</v>
      </c>
      <c r="K293" s="222">
        <v>8054.4</v>
      </c>
      <c r="L293" s="223">
        <v>46297.0</v>
      </c>
      <c r="M293" s="223">
        <v>46328.0</v>
      </c>
      <c r="N293" s="220">
        <v>0.0</v>
      </c>
      <c r="O293" s="220">
        <v>-568.0</v>
      </c>
      <c r="P293" s="220">
        <v>598.0</v>
      </c>
      <c r="Q293" s="209"/>
      <c r="R293" s="196" t="s">
        <v>1550</v>
      </c>
      <c r="S293" s="227" t="s">
        <v>1551</v>
      </c>
      <c r="T293" s="220">
        <v>463.0</v>
      </c>
      <c r="U293" s="198"/>
    </row>
    <row r="294" ht="22.5" customHeight="1">
      <c r="A294" s="199"/>
      <c r="B294" s="212" t="s">
        <v>330</v>
      </c>
      <c r="C294" s="213" t="s">
        <v>136</v>
      </c>
      <c r="D294" s="214" t="s">
        <v>1552</v>
      </c>
      <c r="E294" s="212" t="s">
        <v>17</v>
      </c>
      <c r="F294" s="215">
        <v>2.0</v>
      </c>
      <c r="G294" s="210"/>
      <c r="H294" s="237" t="s">
        <v>1200</v>
      </c>
      <c r="I294" s="216">
        <v>15000.0</v>
      </c>
      <c r="J294" s="216">
        <v>15000.0</v>
      </c>
      <c r="K294" s="216">
        <v>0.0</v>
      </c>
      <c r="L294" s="217">
        <v>46304.0</v>
      </c>
      <c r="M294" s="217">
        <v>46335.0</v>
      </c>
      <c r="N294" s="215">
        <v>1.0</v>
      </c>
      <c r="O294" s="215">
        <v>-561.0</v>
      </c>
      <c r="P294" s="215">
        <v>591.0</v>
      </c>
      <c r="Q294" s="203"/>
      <c r="R294" s="218" t="s">
        <v>1553</v>
      </c>
      <c r="S294" s="225" t="s">
        <v>1554</v>
      </c>
      <c r="T294" s="215">
        <v>464.0</v>
      </c>
      <c r="U294" s="204"/>
    </row>
    <row r="295" ht="22.5" customHeight="1">
      <c r="A295" s="192" t="s">
        <v>1423</v>
      </c>
      <c r="B295" s="193" t="s">
        <v>345</v>
      </c>
      <c r="C295" s="226" t="s">
        <v>136</v>
      </c>
      <c r="D295" s="194" t="s">
        <v>1160</v>
      </c>
      <c r="E295" s="193" t="s">
        <v>17</v>
      </c>
      <c r="F295" s="220">
        <v>3.0</v>
      </c>
      <c r="G295" s="221"/>
      <c r="H295" s="222">
        <v>3000.0</v>
      </c>
      <c r="I295" s="222">
        <v>9000.0</v>
      </c>
      <c r="J295" s="222">
        <v>9000.0</v>
      </c>
      <c r="K295" s="207"/>
      <c r="L295" s="223">
        <v>46315.0</v>
      </c>
      <c r="M295" s="223">
        <v>46346.0</v>
      </c>
      <c r="N295" s="150"/>
      <c r="O295" s="220">
        <v>-550.0</v>
      </c>
      <c r="P295" s="220">
        <v>580.0</v>
      </c>
      <c r="Q295" s="209"/>
      <c r="R295" s="196" t="s">
        <v>1555</v>
      </c>
      <c r="S295" s="227" t="s">
        <v>1556</v>
      </c>
      <c r="T295" s="220">
        <v>465.0</v>
      </c>
      <c r="U295" s="198"/>
    </row>
    <row r="296" ht="22.5" customHeight="1">
      <c r="A296" s="199"/>
      <c r="B296" s="212" t="s">
        <v>338</v>
      </c>
      <c r="C296" s="200"/>
      <c r="D296" s="214" t="s">
        <v>1469</v>
      </c>
      <c r="E296" s="212" t="s">
        <v>108</v>
      </c>
      <c r="F296" s="215">
        <v>10.25</v>
      </c>
      <c r="G296" s="210"/>
      <c r="H296" s="216">
        <v>30.0</v>
      </c>
      <c r="I296" s="216">
        <v>307.5</v>
      </c>
      <c r="J296" s="201"/>
      <c r="K296" s="201"/>
      <c r="L296" s="217">
        <v>46304.0</v>
      </c>
      <c r="M296" s="217">
        <v>46335.0</v>
      </c>
      <c r="N296" s="147"/>
      <c r="O296" s="215">
        <v>-561.0</v>
      </c>
      <c r="P296" s="215">
        <v>591.0</v>
      </c>
      <c r="Q296" s="203"/>
      <c r="R296" s="218" t="s">
        <v>1557</v>
      </c>
      <c r="S296" s="186"/>
      <c r="T296" s="215">
        <v>466.0</v>
      </c>
      <c r="U296" s="204"/>
    </row>
    <row r="297" ht="22.5" customHeight="1">
      <c r="A297" s="205"/>
      <c r="B297" s="193" t="s">
        <v>332</v>
      </c>
      <c r="C297" s="226" t="s">
        <v>136</v>
      </c>
      <c r="D297" s="194" t="s">
        <v>1472</v>
      </c>
      <c r="E297" s="193" t="s">
        <v>15</v>
      </c>
      <c r="F297" s="220">
        <v>1.0</v>
      </c>
      <c r="G297" s="221"/>
      <c r="H297" s="222">
        <v>150.0</v>
      </c>
      <c r="I297" s="222">
        <v>150.0</v>
      </c>
      <c r="J297" s="222">
        <v>3300.0</v>
      </c>
      <c r="K297" s="222">
        <v>3300.0</v>
      </c>
      <c r="L297" s="223">
        <v>46315.0</v>
      </c>
      <c r="M297" s="223">
        <v>46346.0</v>
      </c>
      <c r="N297" s="220">
        <v>0.0</v>
      </c>
      <c r="O297" s="220">
        <v>-550.0</v>
      </c>
      <c r="P297" s="220">
        <v>580.0</v>
      </c>
      <c r="Q297" s="209"/>
      <c r="R297" s="196" t="s">
        <v>1558</v>
      </c>
      <c r="S297" s="227" t="s">
        <v>1559</v>
      </c>
      <c r="T297" s="220">
        <v>467.0</v>
      </c>
      <c r="U297" s="198"/>
    </row>
    <row r="298" ht="22.5" customHeight="1">
      <c r="A298" s="199"/>
      <c r="B298" s="212" t="s">
        <v>334</v>
      </c>
      <c r="C298" s="213" t="s">
        <v>136</v>
      </c>
      <c r="D298" s="214" t="s">
        <v>1426</v>
      </c>
      <c r="E298" s="212" t="s">
        <v>15</v>
      </c>
      <c r="F298" s="215">
        <v>1.0</v>
      </c>
      <c r="G298" s="210"/>
      <c r="H298" s="216">
        <v>150.0</v>
      </c>
      <c r="I298" s="216">
        <v>150.0</v>
      </c>
      <c r="J298" s="216">
        <v>3300.0</v>
      </c>
      <c r="K298" s="216">
        <v>3300.0</v>
      </c>
      <c r="L298" s="217">
        <v>46300.0</v>
      </c>
      <c r="M298" s="217">
        <v>46331.0</v>
      </c>
      <c r="N298" s="215">
        <v>0.0</v>
      </c>
      <c r="O298" s="215">
        <v>-565.0</v>
      </c>
      <c r="P298" s="215">
        <v>595.0</v>
      </c>
      <c r="Q298" s="203"/>
      <c r="R298" s="218" t="s">
        <v>1560</v>
      </c>
      <c r="S298" s="225" t="s">
        <v>1561</v>
      </c>
      <c r="T298" s="215">
        <v>468.0</v>
      </c>
      <c r="U298" s="204"/>
    </row>
    <row r="299" ht="22.5" customHeight="1">
      <c r="A299" s="192" t="s">
        <v>1478</v>
      </c>
      <c r="B299" s="193" t="s">
        <v>363</v>
      </c>
      <c r="C299" s="226" t="s">
        <v>136</v>
      </c>
      <c r="D299" s="194" t="s">
        <v>1303</v>
      </c>
      <c r="E299" s="193" t="s">
        <v>19</v>
      </c>
      <c r="F299" s="220">
        <v>1.0</v>
      </c>
      <c r="G299" s="150"/>
      <c r="H299" s="222">
        <v>10.0</v>
      </c>
      <c r="I299" s="222">
        <v>10.0</v>
      </c>
      <c r="J299" s="222">
        <v>12000.0</v>
      </c>
      <c r="K299" s="222">
        <v>0.0</v>
      </c>
      <c r="L299" s="223">
        <v>46317.0</v>
      </c>
      <c r="M299" s="223">
        <v>46348.0</v>
      </c>
      <c r="N299" s="220">
        <v>1.0</v>
      </c>
      <c r="O299" s="220">
        <v>-548.0</v>
      </c>
      <c r="P299" s="220">
        <v>578.0</v>
      </c>
      <c r="Q299" s="209"/>
      <c r="R299" s="196" t="s">
        <v>1562</v>
      </c>
      <c r="S299" s="227" t="s">
        <v>1563</v>
      </c>
      <c r="T299" s="220">
        <v>469.0</v>
      </c>
      <c r="U299" s="198"/>
    </row>
    <row r="300" ht="22.5" customHeight="1">
      <c r="A300" s="199"/>
      <c r="B300" s="212" t="s">
        <v>328</v>
      </c>
      <c r="C300" s="213" t="s">
        <v>136</v>
      </c>
      <c r="D300" s="214" t="s">
        <v>1283</v>
      </c>
      <c r="E300" s="212" t="s">
        <v>19</v>
      </c>
      <c r="F300" s="215">
        <v>4.0</v>
      </c>
      <c r="G300" s="210"/>
      <c r="H300" s="216">
        <v>10.0</v>
      </c>
      <c r="I300" s="216">
        <v>40.0</v>
      </c>
      <c r="J300" s="216">
        <v>4426.75</v>
      </c>
      <c r="K300" s="216">
        <v>0.0</v>
      </c>
      <c r="L300" s="217">
        <v>46270.0</v>
      </c>
      <c r="M300" s="217">
        <v>46300.0</v>
      </c>
      <c r="N300" s="215">
        <v>1.0</v>
      </c>
      <c r="O300" s="215">
        <v>-596.0</v>
      </c>
      <c r="P300" s="215">
        <v>626.0</v>
      </c>
      <c r="Q300" s="203"/>
      <c r="R300" s="218" t="s">
        <v>1564</v>
      </c>
      <c r="S300" s="225" t="s">
        <v>1565</v>
      </c>
      <c r="T300" s="215">
        <v>437.0</v>
      </c>
      <c r="U300" s="204"/>
    </row>
    <row r="301" ht="22.5" customHeight="1">
      <c r="A301" s="205"/>
      <c r="B301" s="193" t="s">
        <v>211</v>
      </c>
      <c r="C301" s="226" t="s">
        <v>136</v>
      </c>
      <c r="D301" s="194" t="s">
        <v>1339</v>
      </c>
      <c r="E301" s="193" t="s">
        <v>15</v>
      </c>
      <c r="F301" s="220">
        <v>1.0</v>
      </c>
      <c r="G301" s="221"/>
      <c r="H301" s="222">
        <v>150.0</v>
      </c>
      <c r="I301" s="222">
        <v>150.0</v>
      </c>
      <c r="J301" s="222">
        <v>3354.0</v>
      </c>
      <c r="K301" s="222">
        <v>3354.0</v>
      </c>
      <c r="L301" s="223">
        <v>46267.0</v>
      </c>
      <c r="M301" s="223">
        <v>46297.0</v>
      </c>
      <c r="N301" s="220">
        <v>0.0</v>
      </c>
      <c r="O301" s="220">
        <v>-599.0</v>
      </c>
      <c r="P301" s="220">
        <v>629.0</v>
      </c>
      <c r="Q301" s="209"/>
      <c r="R301" s="196" t="s">
        <v>1566</v>
      </c>
      <c r="S301" s="227" t="s">
        <v>1567</v>
      </c>
      <c r="T301" s="220">
        <v>438.0</v>
      </c>
      <c r="U301" s="198"/>
    </row>
    <row r="302" ht="22.5" customHeight="1">
      <c r="A302" s="211" t="s">
        <v>1447</v>
      </c>
      <c r="B302" s="212" t="s">
        <v>336</v>
      </c>
      <c r="C302" s="213" t="s">
        <v>136</v>
      </c>
      <c r="D302" s="214" t="s">
        <v>1369</v>
      </c>
      <c r="E302" s="212" t="s">
        <v>17</v>
      </c>
      <c r="F302" s="215">
        <v>3.0</v>
      </c>
      <c r="G302" s="210"/>
      <c r="H302" s="216">
        <v>1000.0</v>
      </c>
      <c r="I302" s="216">
        <v>3000.0</v>
      </c>
      <c r="J302" s="216">
        <v>3000.0</v>
      </c>
      <c r="K302" s="216">
        <v>0.0</v>
      </c>
      <c r="L302" s="217">
        <v>46271.0</v>
      </c>
      <c r="M302" s="217">
        <v>46301.0</v>
      </c>
      <c r="N302" s="215">
        <v>1.0</v>
      </c>
      <c r="O302" s="215">
        <v>-595.0</v>
      </c>
      <c r="P302" s="215">
        <v>625.0</v>
      </c>
      <c r="Q302" s="203"/>
      <c r="R302" s="218" t="s">
        <v>1568</v>
      </c>
      <c r="S302" s="225" t="s">
        <v>1569</v>
      </c>
      <c r="T302" s="215">
        <v>439.0</v>
      </c>
      <c r="U302" s="204"/>
    </row>
    <row r="303" ht="22.5" customHeight="1">
      <c r="A303" s="192" t="s">
        <v>1495</v>
      </c>
      <c r="B303" s="193" t="s">
        <v>355</v>
      </c>
      <c r="C303" s="226" t="s">
        <v>136</v>
      </c>
      <c r="D303" s="194" t="s">
        <v>1369</v>
      </c>
      <c r="E303" s="193" t="s">
        <v>17</v>
      </c>
      <c r="F303" s="220">
        <v>3.0</v>
      </c>
      <c r="G303" s="150"/>
      <c r="H303" s="222">
        <v>1000.0</v>
      </c>
      <c r="I303" s="222">
        <v>3000.0</v>
      </c>
      <c r="J303" s="222">
        <v>3000.0</v>
      </c>
      <c r="K303" s="222">
        <v>0.0</v>
      </c>
      <c r="L303" s="223">
        <v>46289.0</v>
      </c>
      <c r="M303" s="223">
        <v>46319.0</v>
      </c>
      <c r="N303" s="220">
        <v>1.0</v>
      </c>
      <c r="O303" s="220">
        <v>-577.0</v>
      </c>
      <c r="P303" s="220">
        <v>607.0</v>
      </c>
      <c r="Q303" s="209"/>
      <c r="R303" s="196" t="s">
        <v>1570</v>
      </c>
      <c r="S303" s="227" t="s">
        <v>1571</v>
      </c>
      <c r="T303" s="220">
        <v>440.0</v>
      </c>
      <c r="U303" s="198"/>
    </row>
    <row r="304" ht="22.5" customHeight="1">
      <c r="A304" s="211" t="s">
        <v>1572</v>
      </c>
      <c r="B304" s="212" t="s">
        <v>313</v>
      </c>
      <c r="C304" s="231" t="s">
        <v>684</v>
      </c>
      <c r="D304" s="214" t="s">
        <v>1573</v>
      </c>
      <c r="E304" s="212" t="s">
        <v>17</v>
      </c>
      <c r="F304" s="215">
        <v>1.0</v>
      </c>
      <c r="G304" s="210"/>
      <c r="H304" s="216">
        <v>8000.0</v>
      </c>
      <c r="I304" s="216">
        <v>8000.0</v>
      </c>
      <c r="J304" s="216">
        <v>8000.0</v>
      </c>
      <c r="K304" s="216">
        <v>0.0</v>
      </c>
      <c r="L304" s="217">
        <v>46280.0</v>
      </c>
      <c r="M304" s="217">
        <v>46310.0</v>
      </c>
      <c r="N304" s="215">
        <v>1.0</v>
      </c>
      <c r="O304" s="215">
        <v>-586.0</v>
      </c>
      <c r="P304" s="215">
        <v>616.0</v>
      </c>
      <c r="Q304" s="203"/>
      <c r="R304" s="218" t="s">
        <v>1574</v>
      </c>
      <c r="S304" s="186"/>
      <c r="T304" s="215">
        <v>441.0</v>
      </c>
      <c r="U304" s="204"/>
    </row>
    <row r="305" ht="22.5" customHeight="1">
      <c r="A305" s="192" t="s">
        <v>1453</v>
      </c>
      <c r="B305" s="193" t="s">
        <v>309</v>
      </c>
      <c r="C305" s="226" t="s">
        <v>136</v>
      </c>
      <c r="D305" s="194" t="s">
        <v>1160</v>
      </c>
      <c r="E305" s="193" t="s">
        <v>17</v>
      </c>
      <c r="F305" s="220">
        <v>3.0</v>
      </c>
      <c r="G305" s="221"/>
      <c r="H305" s="222">
        <v>3000.0</v>
      </c>
      <c r="I305" s="222">
        <v>9000.0</v>
      </c>
      <c r="J305" s="222">
        <v>9000.0</v>
      </c>
      <c r="K305" s="222">
        <v>0.0</v>
      </c>
      <c r="L305" s="223">
        <v>46268.0</v>
      </c>
      <c r="M305" s="223">
        <v>46298.0</v>
      </c>
      <c r="N305" s="220">
        <v>1.0</v>
      </c>
      <c r="O305" s="220">
        <v>-598.0</v>
      </c>
      <c r="P305" s="220">
        <v>628.0</v>
      </c>
      <c r="Q305" s="209"/>
      <c r="R305" s="196" t="s">
        <v>1575</v>
      </c>
      <c r="S305" s="227" t="s">
        <v>1576</v>
      </c>
      <c r="T305" s="220">
        <v>442.0</v>
      </c>
      <c r="U305" s="198"/>
    </row>
    <row r="306" ht="22.5" customHeight="1">
      <c r="A306" s="211" t="s">
        <v>1483</v>
      </c>
      <c r="B306" s="212" t="s">
        <v>357</v>
      </c>
      <c r="C306" s="213" t="s">
        <v>136</v>
      </c>
      <c r="D306" s="214" t="s">
        <v>1500</v>
      </c>
      <c r="E306" s="212" t="s">
        <v>15</v>
      </c>
      <c r="F306" s="215">
        <v>4.0</v>
      </c>
      <c r="G306" s="147"/>
      <c r="H306" s="216">
        <v>125.0</v>
      </c>
      <c r="I306" s="216">
        <v>500.0</v>
      </c>
      <c r="J306" s="216">
        <v>11000.0</v>
      </c>
      <c r="K306" s="216">
        <v>0.0</v>
      </c>
      <c r="L306" s="217">
        <v>46267.0</v>
      </c>
      <c r="M306" s="217">
        <v>46297.0</v>
      </c>
      <c r="N306" s="215">
        <v>1.0</v>
      </c>
      <c r="O306" s="215">
        <v>-599.0</v>
      </c>
      <c r="P306" s="215">
        <v>629.0</v>
      </c>
      <c r="Q306" s="203"/>
      <c r="R306" s="218" t="s">
        <v>1577</v>
      </c>
      <c r="S306" s="225" t="s">
        <v>1578</v>
      </c>
      <c r="T306" s="215">
        <v>443.0</v>
      </c>
      <c r="U306" s="204"/>
    </row>
    <row r="307" ht="22.5" customHeight="1">
      <c r="A307" s="192" t="s">
        <v>1543</v>
      </c>
      <c r="B307" s="193" t="s">
        <v>301</v>
      </c>
      <c r="C307" s="226" t="s">
        <v>136</v>
      </c>
      <c r="D307" s="194" t="s">
        <v>1199</v>
      </c>
      <c r="E307" s="193" t="s">
        <v>17</v>
      </c>
      <c r="F307" s="220">
        <v>3.0</v>
      </c>
      <c r="G307" s="221"/>
      <c r="H307" s="222">
        <v>6000.0</v>
      </c>
      <c r="I307" s="222">
        <v>18000.0</v>
      </c>
      <c r="J307" s="222">
        <v>18000.0</v>
      </c>
      <c r="K307" s="222">
        <v>0.0</v>
      </c>
      <c r="L307" s="223">
        <v>46283.0</v>
      </c>
      <c r="M307" s="223">
        <v>46313.0</v>
      </c>
      <c r="N307" s="220">
        <v>1.0</v>
      </c>
      <c r="O307" s="220">
        <v>-583.0</v>
      </c>
      <c r="P307" s="220">
        <v>613.0</v>
      </c>
      <c r="Q307" s="209"/>
      <c r="R307" s="196" t="s">
        <v>1579</v>
      </c>
      <c r="S307" s="227" t="s">
        <v>1580</v>
      </c>
      <c r="T307" s="220">
        <v>444.0</v>
      </c>
      <c r="U307" s="198"/>
    </row>
    <row r="308" ht="22.5" customHeight="1">
      <c r="A308" s="211" t="s">
        <v>1581</v>
      </c>
      <c r="B308" s="212" t="s">
        <v>249</v>
      </c>
      <c r="C308" s="213" t="s">
        <v>136</v>
      </c>
      <c r="D308" s="214" t="s">
        <v>1582</v>
      </c>
      <c r="E308" s="212" t="s">
        <v>15</v>
      </c>
      <c r="F308" s="215">
        <v>2.0</v>
      </c>
      <c r="G308" s="210"/>
      <c r="H308" s="216">
        <v>250.0</v>
      </c>
      <c r="I308" s="216">
        <v>500.0</v>
      </c>
      <c r="J308" s="216">
        <v>11180.0</v>
      </c>
      <c r="K308" s="216">
        <v>11180.0</v>
      </c>
      <c r="L308" s="217">
        <v>46277.0</v>
      </c>
      <c r="M308" s="217">
        <v>46307.0</v>
      </c>
      <c r="N308" s="215">
        <v>0.0</v>
      </c>
      <c r="O308" s="215">
        <v>-589.0</v>
      </c>
      <c r="P308" s="215">
        <v>619.0</v>
      </c>
      <c r="Q308" s="203"/>
      <c r="R308" s="218" t="s">
        <v>1583</v>
      </c>
      <c r="S308" s="225" t="s">
        <v>1584</v>
      </c>
      <c r="T308" s="215">
        <v>445.0</v>
      </c>
      <c r="U308" s="204"/>
    </row>
    <row r="309" ht="22.5" customHeight="1">
      <c r="A309" s="192" t="s">
        <v>1585</v>
      </c>
      <c r="B309" s="193" t="s">
        <v>291</v>
      </c>
      <c r="C309" s="226" t="s">
        <v>136</v>
      </c>
      <c r="D309" s="194" t="s">
        <v>1547</v>
      </c>
      <c r="E309" s="193" t="s">
        <v>17</v>
      </c>
      <c r="F309" s="220">
        <v>2.0</v>
      </c>
      <c r="G309" s="221"/>
      <c r="H309" s="222">
        <v>8000.0</v>
      </c>
      <c r="I309" s="222">
        <v>16000.0</v>
      </c>
      <c r="J309" s="222">
        <v>16000.0</v>
      </c>
      <c r="K309" s="222">
        <v>0.0</v>
      </c>
      <c r="L309" s="223">
        <v>46276.0</v>
      </c>
      <c r="M309" s="223">
        <v>46306.0</v>
      </c>
      <c r="N309" s="220">
        <v>1.0</v>
      </c>
      <c r="O309" s="220">
        <v>-590.0</v>
      </c>
      <c r="P309" s="220">
        <v>620.0</v>
      </c>
      <c r="Q309" s="209"/>
      <c r="R309" s="196" t="s">
        <v>1586</v>
      </c>
      <c r="S309" s="227" t="s">
        <v>1587</v>
      </c>
      <c r="T309" s="220">
        <v>446.0</v>
      </c>
      <c r="U309" s="198"/>
    </row>
    <row r="310" ht="22.5" customHeight="1">
      <c r="A310" s="211" t="s">
        <v>1588</v>
      </c>
      <c r="B310" s="212" t="s">
        <v>349</v>
      </c>
      <c r="C310" s="213" t="s">
        <v>136</v>
      </c>
      <c r="D310" s="214" t="s">
        <v>1294</v>
      </c>
      <c r="E310" s="212" t="s">
        <v>100</v>
      </c>
      <c r="F310" s="215">
        <v>8.0</v>
      </c>
      <c r="G310" s="147"/>
      <c r="H310" s="216">
        <v>12.0</v>
      </c>
      <c r="I310" s="216">
        <v>96.0</v>
      </c>
      <c r="J310" s="216">
        <v>8054.4</v>
      </c>
      <c r="K310" s="216">
        <v>8054.4</v>
      </c>
      <c r="L310" s="217">
        <v>46267.0</v>
      </c>
      <c r="M310" s="217">
        <v>46297.0</v>
      </c>
      <c r="N310" s="215">
        <v>0.0</v>
      </c>
      <c r="O310" s="215">
        <v>-599.0</v>
      </c>
      <c r="P310" s="215">
        <v>629.0</v>
      </c>
      <c r="Q310" s="203"/>
      <c r="R310" s="218" t="s">
        <v>1589</v>
      </c>
      <c r="S310" s="225" t="s">
        <v>1590</v>
      </c>
      <c r="T310" s="215">
        <v>447.0</v>
      </c>
      <c r="U310" s="204"/>
    </row>
    <row r="311" ht="22.5" customHeight="1">
      <c r="A311" s="192" t="s">
        <v>1591</v>
      </c>
      <c r="B311" s="193" t="s">
        <v>330</v>
      </c>
      <c r="C311" s="226" t="s">
        <v>136</v>
      </c>
      <c r="D311" s="194" t="s">
        <v>1552</v>
      </c>
      <c r="E311" s="193" t="s">
        <v>17</v>
      </c>
      <c r="F311" s="220">
        <v>2.0</v>
      </c>
      <c r="G311" s="221"/>
      <c r="H311" s="197" t="s">
        <v>1200</v>
      </c>
      <c r="I311" s="222">
        <v>15000.0</v>
      </c>
      <c r="J311" s="222">
        <v>15000.0</v>
      </c>
      <c r="K311" s="222">
        <v>0.0</v>
      </c>
      <c r="L311" s="223">
        <v>46274.0</v>
      </c>
      <c r="M311" s="223">
        <v>46304.0</v>
      </c>
      <c r="N311" s="220">
        <v>1.0</v>
      </c>
      <c r="O311" s="220">
        <v>-592.0</v>
      </c>
      <c r="P311" s="220">
        <v>622.0</v>
      </c>
      <c r="Q311" s="209"/>
      <c r="R311" s="196" t="s">
        <v>1592</v>
      </c>
      <c r="S311" s="227" t="s">
        <v>1593</v>
      </c>
      <c r="T311" s="220">
        <v>448.0</v>
      </c>
      <c r="U311" s="198"/>
    </row>
    <row r="312" ht="22.5" customHeight="1">
      <c r="A312" s="211" t="s">
        <v>1423</v>
      </c>
      <c r="B312" s="212" t="s">
        <v>345</v>
      </c>
      <c r="C312" s="213" t="s">
        <v>136</v>
      </c>
      <c r="D312" s="214" t="s">
        <v>1160</v>
      </c>
      <c r="E312" s="212" t="s">
        <v>17</v>
      </c>
      <c r="F312" s="215">
        <v>3.0</v>
      </c>
      <c r="G312" s="210"/>
      <c r="H312" s="216">
        <v>3000.0</v>
      </c>
      <c r="I312" s="216">
        <v>9000.0</v>
      </c>
      <c r="J312" s="216">
        <v>9000.0</v>
      </c>
      <c r="K312" s="216">
        <v>0.0</v>
      </c>
      <c r="L312" s="217">
        <v>46285.0</v>
      </c>
      <c r="M312" s="217">
        <v>46315.0</v>
      </c>
      <c r="N312" s="215">
        <v>1.0</v>
      </c>
      <c r="O312" s="215">
        <v>-581.0</v>
      </c>
      <c r="P312" s="215">
        <v>611.0</v>
      </c>
      <c r="Q312" s="203"/>
      <c r="R312" s="218" t="s">
        <v>1594</v>
      </c>
      <c r="S312" s="225" t="s">
        <v>1595</v>
      </c>
      <c r="T312" s="215">
        <v>449.0</v>
      </c>
      <c r="U312" s="204"/>
    </row>
    <row r="313" ht="22.5" customHeight="1">
      <c r="A313" s="205"/>
      <c r="B313" s="193" t="s">
        <v>338</v>
      </c>
      <c r="C313" s="226" t="s">
        <v>136</v>
      </c>
      <c r="D313" s="194" t="s">
        <v>1469</v>
      </c>
      <c r="E313" s="193" t="s">
        <v>108</v>
      </c>
      <c r="F313" s="220">
        <v>10.25</v>
      </c>
      <c r="G313" s="221"/>
      <c r="H313" s="222">
        <v>30.0</v>
      </c>
      <c r="I313" s="222">
        <v>307.5</v>
      </c>
      <c r="J313" s="222">
        <v>0.0</v>
      </c>
      <c r="K313" s="222">
        <v>0.0</v>
      </c>
      <c r="L313" s="223">
        <v>46274.0</v>
      </c>
      <c r="M313" s="223">
        <v>46304.0</v>
      </c>
      <c r="N313" s="220">
        <v>1.0</v>
      </c>
      <c r="O313" s="220">
        <v>-592.0</v>
      </c>
      <c r="P313" s="220">
        <v>622.0</v>
      </c>
      <c r="Q313" s="209"/>
      <c r="R313" s="196" t="s">
        <v>1596</v>
      </c>
      <c r="S313" s="227" t="s">
        <v>1597</v>
      </c>
      <c r="T313" s="220">
        <v>450.0</v>
      </c>
      <c r="U313" s="198"/>
    </row>
    <row r="314" ht="22.5" customHeight="1">
      <c r="A314" s="199"/>
      <c r="B314" s="212" t="s">
        <v>332</v>
      </c>
      <c r="C314" s="213" t="s">
        <v>136</v>
      </c>
      <c r="D314" s="214" t="s">
        <v>1472</v>
      </c>
      <c r="E314" s="212" t="s">
        <v>15</v>
      </c>
      <c r="F314" s="215">
        <v>1.0</v>
      </c>
      <c r="G314" s="210"/>
      <c r="H314" s="216">
        <v>150.0</v>
      </c>
      <c r="I314" s="216">
        <v>150.0</v>
      </c>
      <c r="J314" s="216">
        <v>3300.0</v>
      </c>
      <c r="K314" s="216">
        <v>3300.0</v>
      </c>
      <c r="L314" s="217">
        <v>46285.0</v>
      </c>
      <c r="M314" s="217">
        <v>46315.0</v>
      </c>
      <c r="N314" s="215">
        <v>0.0</v>
      </c>
      <c r="O314" s="215">
        <v>-581.0</v>
      </c>
      <c r="P314" s="215">
        <v>611.0</v>
      </c>
      <c r="Q314" s="203"/>
      <c r="R314" s="218" t="s">
        <v>1598</v>
      </c>
      <c r="S314" s="225" t="s">
        <v>1599</v>
      </c>
      <c r="T314" s="215">
        <v>451.0</v>
      </c>
      <c r="U314" s="204"/>
    </row>
    <row r="315" ht="22.5" customHeight="1">
      <c r="A315" s="205"/>
      <c r="B315" s="193" t="s">
        <v>334</v>
      </c>
      <c r="C315" s="226" t="s">
        <v>136</v>
      </c>
      <c r="D315" s="194" t="s">
        <v>1426</v>
      </c>
      <c r="E315" s="193" t="s">
        <v>15</v>
      </c>
      <c r="F315" s="220">
        <v>1.0</v>
      </c>
      <c r="G315" s="221"/>
      <c r="H315" s="222">
        <v>150.0</v>
      </c>
      <c r="I315" s="222">
        <v>150.0</v>
      </c>
      <c r="J315" s="222">
        <v>3300.0</v>
      </c>
      <c r="K315" s="222">
        <v>3300.0</v>
      </c>
      <c r="L315" s="223">
        <v>46270.0</v>
      </c>
      <c r="M315" s="223">
        <v>46300.0</v>
      </c>
      <c r="N315" s="220">
        <v>0.0</v>
      </c>
      <c r="O315" s="220">
        <v>-596.0</v>
      </c>
      <c r="P315" s="220">
        <v>626.0</v>
      </c>
      <c r="Q315" s="209"/>
      <c r="R315" s="196" t="s">
        <v>1600</v>
      </c>
      <c r="S315" s="227" t="s">
        <v>1601</v>
      </c>
      <c r="T315" s="220">
        <v>452.0</v>
      </c>
      <c r="U315" s="198"/>
    </row>
    <row r="316" ht="22.5" customHeight="1">
      <c r="A316" s="211" t="s">
        <v>1602</v>
      </c>
      <c r="B316" s="212" t="s">
        <v>328</v>
      </c>
      <c r="C316" s="213" t="s">
        <v>136</v>
      </c>
      <c r="D316" s="214" t="s">
        <v>1283</v>
      </c>
      <c r="E316" s="212" t="s">
        <v>19</v>
      </c>
      <c r="F316" s="215">
        <v>1.0</v>
      </c>
      <c r="G316" s="210"/>
      <c r="H316" s="216">
        <v>10.0</v>
      </c>
      <c r="I316" s="216">
        <v>10.0</v>
      </c>
      <c r="J316" s="216">
        <v>1074.19</v>
      </c>
      <c r="K316" s="201"/>
      <c r="L316" s="217">
        <v>46239.0</v>
      </c>
      <c r="M316" s="217">
        <v>46270.0</v>
      </c>
      <c r="N316" s="147"/>
      <c r="O316" s="215">
        <v>-626.0</v>
      </c>
      <c r="P316" s="215">
        <v>656.0</v>
      </c>
      <c r="Q316" s="203"/>
      <c r="R316" s="218" t="s">
        <v>1603</v>
      </c>
      <c r="S316" s="186"/>
      <c r="T316" s="215">
        <v>424.0</v>
      </c>
      <c r="U316" s="204"/>
    </row>
    <row r="317" ht="22.5" customHeight="1">
      <c r="A317" s="192" t="s">
        <v>1604</v>
      </c>
      <c r="B317" s="193" t="s">
        <v>211</v>
      </c>
      <c r="C317" s="226" t="s">
        <v>136</v>
      </c>
      <c r="D317" s="194" t="s">
        <v>1339</v>
      </c>
      <c r="E317" s="193" t="s">
        <v>15</v>
      </c>
      <c r="F317" s="220">
        <v>1.0</v>
      </c>
      <c r="G317" s="221"/>
      <c r="H317" s="222">
        <v>150.0</v>
      </c>
      <c r="I317" s="222">
        <v>150.0</v>
      </c>
      <c r="J317" s="222">
        <v>3354.0</v>
      </c>
      <c r="K317" s="222">
        <v>3354.0</v>
      </c>
      <c r="L317" s="223">
        <v>46236.0</v>
      </c>
      <c r="M317" s="223">
        <v>46267.0</v>
      </c>
      <c r="N317" s="220">
        <v>0.0</v>
      </c>
      <c r="O317" s="220">
        <v>-629.0</v>
      </c>
      <c r="P317" s="220">
        <v>659.0</v>
      </c>
      <c r="Q317" s="209"/>
      <c r="R317" s="196" t="s">
        <v>1605</v>
      </c>
      <c r="S317" s="45"/>
      <c r="T317" s="220">
        <v>425.0</v>
      </c>
      <c r="U317" s="198"/>
    </row>
    <row r="318" ht="22.5" customHeight="1">
      <c r="A318" s="211" t="s">
        <v>1606</v>
      </c>
      <c r="B318" s="212" t="s">
        <v>336</v>
      </c>
      <c r="C318" s="213" t="s">
        <v>136</v>
      </c>
      <c r="D318" s="214" t="s">
        <v>1369</v>
      </c>
      <c r="E318" s="212" t="s">
        <v>17</v>
      </c>
      <c r="F318" s="215">
        <v>3.0</v>
      </c>
      <c r="G318" s="210"/>
      <c r="H318" s="216">
        <v>1000.0</v>
      </c>
      <c r="I318" s="216">
        <v>3000.0</v>
      </c>
      <c r="J318" s="216">
        <v>3000.0</v>
      </c>
      <c r="K318" s="216">
        <v>0.0</v>
      </c>
      <c r="L318" s="217">
        <v>46240.0</v>
      </c>
      <c r="M318" s="217">
        <v>46271.0</v>
      </c>
      <c r="N318" s="215">
        <v>1.0</v>
      </c>
      <c r="O318" s="215">
        <v>-625.0</v>
      </c>
      <c r="P318" s="215">
        <v>655.0</v>
      </c>
      <c r="Q318" s="203"/>
      <c r="R318" s="218" t="s">
        <v>1607</v>
      </c>
      <c r="S318" s="186"/>
      <c r="T318" s="215">
        <v>426.0</v>
      </c>
      <c r="U318" s="204"/>
    </row>
    <row r="319" ht="22.5" customHeight="1">
      <c r="A319" s="192" t="s">
        <v>1608</v>
      </c>
      <c r="B319" s="193" t="s">
        <v>355</v>
      </c>
      <c r="C319" s="226" t="s">
        <v>136</v>
      </c>
      <c r="D319" s="194" t="s">
        <v>1369</v>
      </c>
      <c r="E319" s="193" t="s">
        <v>17</v>
      </c>
      <c r="F319" s="220">
        <v>3.0</v>
      </c>
      <c r="G319" s="221"/>
      <c r="H319" s="222">
        <v>1000.0</v>
      </c>
      <c r="I319" s="222">
        <v>3000.0</v>
      </c>
      <c r="J319" s="222">
        <v>3000.0</v>
      </c>
      <c r="K319" s="222">
        <v>0.0</v>
      </c>
      <c r="L319" s="223">
        <v>46258.0</v>
      </c>
      <c r="M319" s="223">
        <v>46289.0</v>
      </c>
      <c r="N319" s="220">
        <v>1.0</v>
      </c>
      <c r="O319" s="220">
        <v>-607.0</v>
      </c>
      <c r="P319" s="220">
        <v>637.0</v>
      </c>
      <c r="Q319" s="209"/>
      <c r="R319" s="196" t="s">
        <v>1609</v>
      </c>
      <c r="S319" s="45"/>
      <c r="T319" s="220">
        <v>427.0</v>
      </c>
      <c r="U319" s="198"/>
    </row>
    <row r="320" ht="22.5" customHeight="1">
      <c r="A320" s="211" t="s">
        <v>1610</v>
      </c>
      <c r="B320" s="212" t="s">
        <v>353</v>
      </c>
      <c r="C320" s="213" t="s">
        <v>136</v>
      </c>
      <c r="D320" s="214" t="s">
        <v>1472</v>
      </c>
      <c r="E320" s="212" t="s">
        <v>15</v>
      </c>
      <c r="F320" s="228" t="s">
        <v>1166</v>
      </c>
      <c r="G320" s="210"/>
      <c r="H320" s="216">
        <v>10.0</v>
      </c>
      <c r="I320" s="216">
        <v>80.0</v>
      </c>
      <c r="J320" s="216">
        <v>8583.2</v>
      </c>
      <c r="K320" s="216">
        <v>8583.2</v>
      </c>
      <c r="L320" s="217">
        <v>46235.0</v>
      </c>
      <c r="M320" s="217">
        <v>46266.0</v>
      </c>
      <c r="N320" s="215">
        <v>0.0</v>
      </c>
      <c r="O320" s="215">
        <v>-630.0</v>
      </c>
      <c r="P320" s="215">
        <v>660.0</v>
      </c>
      <c r="Q320" s="203"/>
      <c r="R320" s="218" t="s">
        <v>1611</v>
      </c>
      <c r="S320" s="186"/>
      <c r="T320" s="215">
        <v>428.0</v>
      </c>
      <c r="U320" s="204"/>
    </row>
    <row r="321" ht="22.5" customHeight="1">
      <c r="A321" s="192" t="s">
        <v>1453</v>
      </c>
      <c r="B321" s="193" t="s">
        <v>309</v>
      </c>
      <c r="C321" s="226" t="s">
        <v>136</v>
      </c>
      <c r="D321" s="194" t="s">
        <v>1160</v>
      </c>
      <c r="E321" s="193" t="s">
        <v>17</v>
      </c>
      <c r="F321" s="220">
        <v>3.0</v>
      </c>
      <c r="G321" s="221"/>
      <c r="H321" s="222">
        <v>3000.0</v>
      </c>
      <c r="I321" s="222">
        <v>9000.0</v>
      </c>
      <c r="J321" s="222">
        <v>9000.0</v>
      </c>
      <c r="K321" s="222">
        <v>0.0</v>
      </c>
      <c r="L321" s="223">
        <v>46237.0</v>
      </c>
      <c r="M321" s="223">
        <v>46268.0</v>
      </c>
      <c r="N321" s="220">
        <v>1.0</v>
      </c>
      <c r="O321" s="220">
        <v>-628.0</v>
      </c>
      <c r="P321" s="220">
        <v>658.0</v>
      </c>
      <c r="Q321" s="209"/>
      <c r="R321" s="196" t="s">
        <v>1612</v>
      </c>
      <c r="S321" s="45"/>
      <c r="T321" s="220">
        <v>429.0</v>
      </c>
      <c r="U321" s="198"/>
    </row>
    <row r="322" ht="22.5" customHeight="1">
      <c r="A322" s="211" t="s">
        <v>1344</v>
      </c>
      <c r="B322" s="212" t="s">
        <v>301</v>
      </c>
      <c r="C322" s="213" t="s">
        <v>136</v>
      </c>
      <c r="D322" s="214" t="s">
        <v>1199</v>
      </c>
      <c r="E322" s="212" t="s">
        <v>17</v>
      </c>
      <c r="F322" s="215">
        <v>4.0</v>
      </c>
      <c r="G322" s="210"/>
      <c r="H322" s="216">
        <v>6000.0</v>
      </c>
      <c r="I322" s="216">
        <v>24000.0</v>
      </c>
      <c r="J322" s="216">
        <v>24000.0</v>
      </c>
      <c r="K322" s="216">
        <v>0.0</v>
      </c>
      <c r="L322" s="217">
        <v>46252.0</v>
      </c>
      <c r="M322" s="217">
        <v>46283.0</v>
      </c>
      <c r="N322" s="215">
        <v>1.0</v>
      </c>
      <c r="O322" s="215">
        <v>-613.0</v>
      </c>
      <c r="P322" s="215">
        <v>643.0</v>
      </c>
      <c r="Q322" s="203"/>
      <c r="R322" s="218" t="s">
        <v>1613</v>
      </c>
      <c r="S322" s="186"/>
      <c r="T322" s="215">
        <v>430.0</v>
      </c>
      <c r="U322" s="204"/>
    </row>
    <row r="323" ht="22.5" customHeight="1">
      <c r="A323" s="192" t="s">
        <v>1614</v>
      </c>
      <c r="B323" s="193" t="s">
        <v>349</v>
      </c>
      <c r="C323" s="226" t="s">
        <v>136</v>
      </c>
      <c r="D323" s="194" t="s">
        <v>1294</v>
      </c>
      <c r="E323" s="193" t="s">
        <v>100</v>
      </c>
      <c r="F323" s="220">
        <v>8.0</v>
      </c>
      <c r="G323" s="221"/>
      <c r="H323" s="222">
        <v>12.0</v>
      </c>
      <c r="I323" s="222">
        <v>96.0</v>
      </c>
      <c r="J323" s="222">
        <v>8054.4</v>
      </c>
      <c r="K323" s="222">
        <v>8054.4</v>
      </c>
      <c r="L323" s="223">
        <v>46236.0</v>
      </c>
      <c r="M323" s="223">
        <v>46267.0</v>
      </c>
      <c r="N323" s="220">
        <v>0.0</v>
      </c>
      <c r="O323" s="220">
        <v>-629.0</v>
      </c>
      <c r="P323" s="220">
        <v>659.0</v>
      </c>
      <c r="Q323" s="209"/>
      <c r="R323" s="196" t="s">
        <v>1615</v>
      </c>
      <c r="S323" s="45"/>
      <c r="T323" s="220">
        <v>431.0</v>
      </c>
      <c r="U323" s="198"/>
    </row>
    <row r="324" ht="22.5" customHeight="1">
      <c r="A324" s="199"/>
      <c r="B324" s="212" t="s">
        <v>330</v>
      </c>
      <c r="C324" s="213" t="s">
        <v>136</v>
      </c>
      <c r="D324" s="214" t="s">
        <v>1552</v>
      </c>
      <c r="E324" s="212" t="s">
        <v>17</v>
      </c>
      <c r="F324" s="215">
        <v>2.0</v>
      </c>
      <c r="G324" s="210"/>
      <c r="H324" s="237" t="s">
        <v>1200</v>
      </c>
      <c r="I324" s="216">
        <v>15000.0</v>
      </c>
      <c r="J324" s="216">
        <v>15000.0</v>
      </c>
      <c r="K324" s="216">
        <v>0.0</v>
      </c>
      <c r="L324" s="217">
        <v>46243.0</v>
      </c>
      <c r="M324" s="217">
        <v>46274.0</v>
      </c>
      <c r="N324" s="215">
        <v>1.0</v>
      </c>
      <c r="O324" s="215">
        <v>-622.0</v>
      </c>
      <c r="P324" s="215">
        <v>652.0</v>
      </c>
      <c r="Q324" s="203"/>
      <c r="R324" s="218" t="s">
        <v>1616</v>
      </c>
      <c r="S324" s="186"/>
      <c r="T324" s="215">
        <v>432.0</v>
      </c>
      <c r="U324" s="204"/>
    </row>
    <row r="325" ht="22.5" customHeight="1">
      <c r="A325" s="192" t="s">
        <v>1617</v>
      </c>
      <c r="B325" s="193" t="s">
        <v>345</v>
      </c>
      <c r="C325" s="226" t="s">
        <v>136</v>
      </c>
      <c r="D325" s="194" t="s">
        <v>1160</v>
      </c>
      <c r="E325" s="193" t="s">
        <v>17</v>
      </c>
      <c r="F325" s="220">
        <v>3.0</v>
      </c>
      <c r="G325" s="221"/>
      <c r="H325" s="222">
        <v>3000.0</v>
      </c>
      <c r="I325" s="222">
        <v>9000.0</v>
      </c>
      <c r="J325" s="222">
        <v>9000.0</v>
      </c>
      <c r="K325" s="222">
        <v>0.0</v>
      </c>
      <c r="L325" s="223">
        <v>46254.0</v>
      </c>
      <c r="M325" s="223">
        <v>46285.0</v>
      </c>
      <c r="N325" s="220">
        <v>1.0</v>
      </c>
      <c r="O325" s="220">
        <v>-611.0</v>
      </c>
      <c r="P325" s="220">
        <v>641.0</v>
      </c>
      <c r="Q325" s="209"/>
      <c r="R325" s="196" t="s">
        <v>1618</v>
      </c>
      <c r="S325" s="45"/>
      <c r="T325" s="220">
        <v>433.0</v>
      </c>
      <c r="U325" s="198"/>
    </row>
    <row r="326" ht="22.5" customHeight="1">
      <c r="A326" s="211" t="s">
        <v>1619</v>
      </c>
      <c r="B326" s="212" t="s">
        <v>338</v>
      </c>
      <c r="C326" s="213" t="s">
        <v>136</v>
      </c>
      <c r="D326" s="214" t="s">
        <v>1469</v>
      </c>
      <c r="E326" s="212" t="s">
        <v>108</v>
      </c>
      <c r="F326" s="215">
        <v>10.25</v>
      </c>
      <c r="G326" s="210"/>
      <c r="H326" s="216">
        <v>30.0</v>
      </c>
      <c r="I326" s="216">
        <v>307.5</v>
      </c>
      <c r="J326" s="216">
        <v>19372.5</v>
      </c>
      <c r="K326" s="216">
        <v>0.0</v>
      </c>
      <c r="L326" s="217">
        <v>46243.0</v>
      </c>
      <c r="M326" s="217">
        <v>46274.0</v>
      </c>
      <c r="N326" s="215">
        <v>1.0</v>
      </c>
      <c r="O326" s="215">
        <v>-622.0</v>
      </c>
      <c r="P326" s="215">
        <v>652.0</v>
      </c>
      <c r="Q326" s="203"/>
      <c r="R326" s="218" t="s">
        <v>1620</v>
      </c>
      <c r="S326" s="186"/>
      <c r="T326" s="215">
        <v>434.0</v>
      </c>
      <c r="U326" s="204"/>
    </row>
    <row r="327" ht="22.5" customHeight="1">
      <c r="A327" s="192" t="s">
        <v>1621</v>
      </c>
      <c r="B327" s="193" t="s">
        <v>332</v>
      </c>
      <c r="C327" s="226" t="s">
        <v>136</v>
      </c>
      <c r="D327" s="194" t="s">
        <v>1472</v>
      </c>
      <c r="E327" s="193" t="s">
        <v>15</v>
      </c>
      <c r="F327" s="220">
        <v>1.0</v>
      </c>
      <c r="G327" s="221"/>
      <c r="H327" s="222">
        <v>150.0</v>
      </c>
      <c r="I327" s="222">
        <v>150.0</v>
      </c>
      <c r="J327" s="222">
        <v>3300.0</v>
      </c>
      <c r="K327" s="222">
        <v>0.0</v>
      </c>
      <c r="L327" s="223">
        <v>46254.0</v>
      </c>
      <c r="M327" s="223">
        <v>46285.0</v>
      </c>
      <c r="N327" s="220">
        <v>1.0</v>
      </c>
      <c r="O327" s="220">
        <v>-611.0</v>
      </c>
      <c r="P327" s="220">
        <v>641.0</v>
      </c>
      <c r="Q327" s="209"/>
      <c r="R327" s="196" t="s">
        <v>1622</v>
      </c>
      <c r="S327" s="45"/>
      <c r="T327" s="220">
        <v>435.0</v>
      </c>
      <c r="U327" s="198"/>
    </row>
    <row r="328" ht="22.5" customHeight="1">
      <c r="A328" s="211" t="s">
        <v>1623</v>
      </c>
      <c r="B328" s="212" t="s">
        <v>334</v>
      </c>
      <c r="C328" s="213" t="s">
        <v>136</v>
      </c>
      <c r="D328" s="214" t="s">
        <v>1426</v>
      </c>
      <c r="E328" s="212" t="s">
        <v>15</v>
      </c>
      <c r="F328" s="215">
        <v>1.0</v>
      </c>
      <c r="G328" s="210"/>
      <c r="H328" s="216">
        <v>150.0</v>
      </c>
      <c r="I328" s="216">
        <v>150.0</v>
      </c>
      <c r="J328" s="216">
        <v>3300.0</v>
      </c>
      <c r="K328" s="216">
        <v>0.0</v>
      </c>
      <c r="L328" s="217">
        <v>46239.0</v>
      </c>
      <c r="M328" s="217">
        <v>46270.0</v>
      </c>
      <c r="N328" s="215">
        <v>1.0</v>
      </c>
      <c r="O328" s="215">
        <v>-626.0</v>
      </c>
      <c r="P328" s="215">
        <v>656.0</v>
      </c>
      <c r="Q328" s="203"/>
      <c r="R328" s="218" t="s">
        <v>1624</v>
      </c>
      <c r="S328" s="186"/>
      <c r="T328" s="215">
        <v>436.0</v>
      </c>
      <c r="U328" s="204"/>
    </row>
    <row r="329" ht="22.5" customHeight="1">
      <c r="A329" s="192" t="s">
        <v>1625</v>
      </c>
      <c r="B329" s="193" t="s">
        <v>211</v>
      </c>
      <c r="C329" s="226" t="s">
        <v>136</v>
      </c>
      <c r="D329" s="194" t="s">
        <v>1339</v>
      </c>
      <c r="E329" s="193" t="s">
        <v>15</v>
      </c>
      <c r="F329" s="220">
        <v>1.0</v>
      </c>
      <c r="G329" s="221"/>
      <c r="H329" s="222">
        <v>150.0</v>
      </c>
      <c r="I329" s="222">
        <v>150.0</v>
      </c>
      <c r="J329" s="222">
        <v>3333.67</v>
      </c>
      <c r="K329" s="222">
        <v>3354.0</v>
      </c>
      <c r="L329" s="223">
        <v>46205.0</v>
      </c>
      <c r="M329" s="223">
        <v>46236.0</v>
      </c>
      <c r="N329" s="220">
        <v>0.0</v>
      </c>
      <c r="O329" s="220">
        <v>-660.0</v>
      </c>
      <c r="P329" s="220">
        <v>690.0</v>
      </c>
      <c r="Q329" s="209"/>
      <c r="R329" s="196" t="s">
        <v>1626</v>
      </c>
      <c r="S329" s="45"/>
      <c r="T329" s="220">
        <v>410.0</v>
      </c>
      <c r="U329" s="198"/>
    </row>
    <row r="330" ht="22.5" customHeight="1">
      <c r="A330" s="211" t="s">
        <v>1606</v>
      </c>
      <c r="B330" s="212" t="s">
        <v>336</v>
      </c>
      <c r="C330" s="213" t="s">
        <v>136</v>
      </c>
      <c r="D330" s="214" t="s">
        <v>1369</v>
      </c>
      <c r="E330" s="212" t="s">
        <v>17</v>
      </c>
      <c r="F330" s="215">
        <v>3.0</v>
      </c>
      <c r="G330" s="210"/>
      <c r="H330" s="216">
        <v>1000.0</v>
      </c>
      <c r="I330" s="216">
        <v>3000.0</v>
      </c>
      <c r="J330" s="216">
        <v>3000.0</v>
      </c>
      <c r="K330" s="216">
        <v>0.0</v>
      </c>
      <c r="L330" s="217">
        <v>46209.0</v>
      </c>
      <c r="M330" s="217">
        <v>46240.0</v>
      </c>
      <c r="N330" s="215">
        <v>1.0</v>
      </c>
      <c r="O330" s="215">
        <v>-656.0</v>
      </c>
      <c r="P330" s="215">
        <v>686.0</v>
      </c>
      <c r="Q330" s="232">
        <v>46255.0</v>
      </c>
      <c r="R330" s="218" t="s">
        <v>1627</v>
      </c>
      <c r="S330" s="186"/>
      <c r="T330" s="215">
        <v>411.0</v>
      </c>
      <c r="U330" s="204"/>
    </row>
    <row r="331" ht="22.5" customHeight="1">
      <c r="A331" s="192" t="s">
        <v>1628</v>
      </c>
      <c r="B331" s="193" t="s">
        <v>355</v>
      </c>
      <c r="C331" s="226" t="s">
        <v>136</v>
      </c>
      <c r="D331" s="194" t="s">
        <v>1369</v>
      </c>
      <c r="E331" s="193" t="s">
        <v>17</v>
      </c>
      <c r="F331" s="220">
        <v>3.0</v>
      </c>
      <c r="G331" s="150"/>
      <c r="H331" s="222">
        <v>1000.0</v>
      </c>
      <c r="I331" s="222">
        <v>3000.0</v>
      </c>
      <c r="J331" s="222">
        <v>3000.0</v>
      </c>
      <c r="K331" s="222">
        <v>0.0</v>
      </c>
      <c r="L331" s="223">
        <v>46227.0</v>
      </c>
      <c r="M331" s="223">
        <v>46258.0</v>
      </c>
      <c r="N331" s="220">
        <v>1.0</v>
      </c>
      <c r="O331" s="220">
        <v>-638.0</v>
      </c>
      <c r="P331" s="220">
        <v>668.0</v>
      </c>
      <c r="Q331" s="209"/>
      <c r="R331" s="196" t="s">
        <v>1629</v>
      </c>
      <c r="S331" s="45"/>
      <c r="T331" s="220">
        <v>412.0</v>
      </c>
      <c r="U331" s="198"/>
    </row>
    <row r="332" ht="22.5" customHeight="1">
      <c r="A332" s="211" t="s">
        <v>1630</v>
      </c>
      <c r="B332" s="212" t="s">
        <v>219</v>
      </c>
      <c r="C332" s="213" t="s">
        <v>136</v>
      </c>
      <c r="D332" s="214" t="s">
        <v>1573</v>
      </c>
      <c r="E332" s="212" t="s">
        <v>15</v>
      </c>
      <c r="F332" s="215">
        <v>8.0</v>
      </c>
      <c r="G332" s="210"/>
      <c r="H332" s="216">
        <v>10.0</v>
      </c>
      <c r="I332" s="216">
        <v>80.0</v>
      </c>
      <c r="J332" s="216">
        <v>8561.6</v>
      </c>
      <c r="K332" s="216">
        <v>0.0</v>
      </c>
      <c r="L332" s="217">
        <v>46219.0</v>
      </c>
      <c r="M332" s="217">
        <v>46250.0</v>
      </c>
      <c r="N332" s="215">
        <v>1.0</v>
      </c>
      <c r="O332" s="215">
        <v>-646.0</v>
      </c>
      <c r="P332" s="215">
        <v>676.0</v>
      </c>
      <c r="Q332" s="203"/>
      <c r="R332" s="218" t="s">
        <v>1631</v>
      </c>
      <c r="S332" s="186"/>
      <c r="T332" s="215">
        <v>413.0</v>
      </c>
      <c r="U332" s="204"/>
    </row>
    <row r="333" ht="22.5" customHeight="1">
      <c r="A333" s="205"/>
      <c r="B333" s="193" t="s">
        <v>353</v>
      </c>
      <c r="C333" s="226" t="s">
        <v>136</v>
      </c>
      <c r="D333" s="194" t="s">
        <v>1472</v>
      </c>
      <c r="E333" s="193" t="s">
        <v>15</v>
      </c>
      <c r="F333" s="195" t="s">
        <v>1166</v>
      </c>
      <c r="G333" s="150"/>
      <c r="H333" s="222">
        <v>10.0</v>
      </c>
      <c r="I333" s="222">
        <v>80.0</v>
      </c>
      <c r="J333" s="222">
        <v>8583.2</v>
      </c>
      <c r="K333" s="222">
        <v>0.0</v>
      </c>
      <c r="L333" s="223">
        <v>46204.0</v>
      </c>
      <c r="M333" s="223">
        <v>46235.0</v>
      </c>
      <c r="N333" s="220">
        <v>1.0</v>
      </c>
      <c r="O333" s="220">
        <v>-661.0</v>
      </c>
      <c r="P333" s="220">
        <v>691.0</v>
      </c>
      <c r="Q333" s="209"/>
      <c r="R333" s="196" t="s">
        <v>1632</v>
      </c>
      <c r="S333" s="45"/>
      <c r="T333" s="220">
        <v>414.0</v>
      </c>
      <c r="U333" s="198"/>
    </row>
    <row r="334" ht="22.5" customHeight="1">
      <c r="A334" s="211" t="s">
        <v>1453</v>
      </c>
      <c r="B334" s="212" t="s">
        <v>309</v>
      </c>
      <c r="C334" s="213" t="s">
        <v>136</v>
      </c>
      <c r="D334" s="214" t="s">
        <v>1160</v>
      </c>
      <c r="E334" s="212" t="s">
        <v>17</v>
      </c>
      <c r="F334" s="215">
        <v>3.0</v>
      </c>
      <c r="G334" s="210"/>
      <c r="H334" s="216">
        <v>3000.0</v>
      </c>
      <c r="I334" s="216">
        <v>9000.0</v>
      </c>
      <c r="J334" s="216">
        <v>9000.0</v>
      </c>
      <c r="K334" s="216">
        <v>0.0</v>
      </c>
      <c r="L334" s="217">
        <v>46206.0</v>
      </c>
      <c r="M334" s="217">
        <v>46237.0</v>
      </c>
      <c r="N334" s="215">
        <v>1.0</v>
      </c>
      <c r="O334" s="215">
        <v>-659.0</v>
      </c>
      <c r="P334" s="215">
        <v>689.0</v>
      </c>
      <c r="Q334" s="203"/>
      <c r="R334" s="218" t="s">
        <v>1633</v>
      </c>
      <c r="S334" s="186"/>
      <c r="T334" s="215">
        <v>415.0</v>
      </c>
      <c r="U334" s="204"/>
    </row>
    <row r="335" ht="22.5" customHeight="1">
      <c r="A335" s="192" t="s">
        <v>1634</v>
      </c>
      <c r="B335" s="193" t="s">
        <v>301</v>
      </c>
      <c r="C335" s="226" t="s">
        <v>136</v>
      </c>
      <c r="D335" s="194" t="s">
        <v>1199</v>
      </c>
      <c r="E335" s="193" t="s">
        <v>17</v>
      </c>
      <c r="F335" s="220">
        <v>4.0</v>
      </c>
      <c r="G335" s="221"/>
      <c r="H335" s="222">
        <v>6000.0</v>
      </c>
      <c r="I335" s="222">
        <v>24000.0</v>
      </c>
      <c r="J335" s="222">
        <v>24000.0</v>
      </c>
      <c r="K335" s="222">
        <v>0.0</v>
      </c>
      <c r="L335" s="223">
        <v>46207.0</v>
      </c>
      <c r="M335" s="223">
        <v>46238.0</v>
      </c>
      <c r="N335" s="220">
        <v>1.0</v>
      </c>
      <c r="O335" s="220">
        <v>-658.0</v>
      </c>
      <c r="P335" s="220">
        <v>688.0</v>
      </c>
      <c r="Q335" s="209"/>
      <c r="R335" s="196" t="s">
        <v>1635</v>
      </c>
      <c r="S335" s="45"/>
      <c r="T335" s="220">
        <v>416.0</v>
      </c>
      <c r="U335" s="198"/>
    </row>
    <row r="336" ht="22.5" customHeight="1">
      <c r="A336" s="211" t="s">
        <v>1636</v>
      </c>
      <c r="B336" s="212" t="s">
        <v>249</v>
      </c>
      <c r="C336" s="213" t="s">
        <v>136</v>
      </c>
      <c r="D336" s="214" t="s">
        <v>1637</v>
      </c>
      <c r="E336" s="212" t="s">
        <v>15</v>
      </c>
      <c r="F336" s="215">
        <v>2.0</v>
      </c>
      <c r="G336" s="210"/>
      <c r="H336" s="216">
        <v>250.0</v>
      </c>
      <c r="I336" s="216">
        <v>500.0</v>
      </c>
      <c r="J336" s="216">
        <v>11180.0</v>
      </c>
      <c r="K336" s="216">
        <v>0.0</v>
      </c>
      <c r="L336" s="217">
        <v>46229.0</v>
      </c>
      <c r="M336" s="217">
        <v>46260.0</v>
      </c>
      <c r="N336" s="215">
        <v>1.0</v>
      </c>
      <c r="O336" s="215">
        <v>-636.0</v>
      </c>
      <c r="P336" s="215">
        <v>666.0</v>
      </c>
      <c r="Q336" s="203"/>
      <c r="R336" s="218" t="s">
        <v>1638</v>
      </c>
      <c r="S336" s="186"/>
      <c r="T336" s="215">
        <v>417.0</v>
      </c>
      <c r="U336" s="204"/>
    </row>
    <row r="337" ht="22.5" customHeight="1">
      <c r="A337" s="192" t="s">
        <v>1614</v>
      </c>
      <c r="B337" s="193" t="s">
        <v>349</v>
      </c>
      <c r="C337" s="226" t="s">
        <v>136</v>
      </c>
      <c r="D337" s="194" t="s">
        <v>1294</v>
      </c>
      <c r="E337" s="193" t="s">
        <v>100</v>
      </c>
      <c r="F337" s="220">
        <v>8.0</v>
      </c>
      <c r="G337" s="150"/>
      <c r="H337" s="222">
        <v>12.0</v>
      </c>
      <c r="I337" s="222">
        <v>96.0</v>
      </c>
      <c r="J337" s="222">
        <v>8054.4</v>
      </c>
      <c r="K337" s="222">
        <v>2081.0</v>
      </c>
      <c r="L337" s="223">
        <v>46205.0</v>
      </c>
      <c r="M337" s="223">
        <v>46236.0</v>
      </c>
      <c r="N337" s="220">
        <v>0.0</v>
      </c>
      <c r="O337" s="220">
        <v>-660.0</v>
      </c>
      <c r="P337" s="220">
        <v>690.0</v>
      </c>
      <c r="Q337" s="209"/>
      <c r="R337" s="196" t="s">
        <v>1639</v>
      </c>
      <c r="S337" s="45"/>
      <c r="T337" s="220">
        <v>418.0</v>
      </c>
      <c r="U337" s="198"/>
    </row>
    <row r="338" ht="22.5" customHeight="1">
      <c r="A338" s="199"/>
      <c r="B338" s="212" t="s">
        <v>330</v>
      </c>
      <c r="C338" s="213" t="s">
        <v>136</v>
      </c>
      <c r="D338" s="214" t="s">
        <v>1552</v>
      </c>
      <c r="E338" s="212" t="s">
        <v>17</v>
      </c>
      <c r="F338" s="215">
        <v>2.0</v>
      </c>
      <c r="G338" s="210"/>
      <c r="H338" s="237" t="s">
        <v>1200</v>
      </c>
      <c r="I338" s="216">
        <v>15000.0</v>
      </c>
      <c r="J338" s="216">
        <v>15000.0</v>
      </c>
      <c r="K338" s="216">
        <v>0.0</v>
      </c>
      <c r="L338" s="217">
        <v>46212.0</v>
      </c>
      <c r="M338" s="217">
        <v>46243.0</v>
      </c>
      <c r="N338" s="215">
        <v>1.0</v>
      </c>
      <c r="O338" s="215">
        <v>-653.0</v>
      </c>
      <c r="P338" s="215">
        <v>683.0</v>
      </c>
      <c r="Q338" s="203"/>
      <c r="R338" s="218" t="s">
        <v>1640</v>
      </c>
      <c r="S338" s="186"/>
      <c r="T338" s="215">
        <v>419.0</v>
      </c>
      <c r="U338" s="204"/>
    </row>
    <row r="339" ht="22.5" customHeight="1">
      <c r="A339" s="192" t="s">
        <v>1617</v>
      </c>
      <c r="B339" s="193" t="s">
        <v>345</v>
      </c>
      <c r="C339" s="226" t="s">
        <v>136</v>
      </c>
      <c r="D339" s="194" t="s">
        <v>1160</v>
      </c>
      <c r="E339" s="193" t="s">
        <v>17</v>
      </c>
      <c r="F339" s="220">
        <v>3.0</v>
      </c>
      <c r="G339" s="150"/>
      <c r="H339" s="222">
        <v>3000.0</v>
      </c>
      <c r="I339" s="222">
        <v>9000.0</v>
      </c>
      <c r="J339" s="222">
        <v>9000.0</v>
      </c>
      <c r="K339" s="222">
        <v>0.0</v>
      </c>
      <c r="L339" s="223">
        <v>46223.0</v>
      </c>
      <c r="M339" s="223">
        <v>46254.0</v>
      </c>
      <c r="N339" s="220">
        <v>1.0</v>
      </c>
      <c r="O339" s="220">
        <v>-642.0</v>
      </c>
      <c r="P339" s="220">
        <v>672.0</v>
      </c>
      <c r="Q339" s="209"/>
      <c r="R339" s="196" t="s">
        <v>1641</v>
      </c>
      <c r="S339" s="45"/>
      <c r="T339" s="220">
        <v>420.0</v>
      </c>
      <c r="U339" s="198"/>
    </row>
    <row r="340" ht="22.5" customHeight="1">
      <c r="A340" s="211" t="s">
        <v>1642</v>
      </c>
      <c r="B340" s="212" t="s">
        <v>338</v>
      </c>
      <c r="C340" s="213" t="s">
        <v>136</v>
      </c>
      <c r="D340" s="214" t="s">
        <v>1469</v>
      </c>
      <c r="E340" s="212" t="s">
        <v>108</v>
      </c>
      <c r="F340" s="215">
        <v>10.25</v>
      </c>
      <c r="G340" s="147"/>
      <c r="H340" s="216">
        <v>30.0</v>
      </c>
      <c r="I340" s="216">
        <v>307.5</v>
      </c>
      <c r="J340" s="216">
        <v>0.0</v>
      </c>
      <c r="K340" s="216">
        <v>0.0</v>
      </c>
      <c r="L340" s="217">
        <v>46212.0</v>
      </c>
      <c r="M340" s="217">
        <v>46243.0</v>
      </c>
      <c r="N340" s="215">
        <v>1.0</v>
      </c>
      <c r="O340" s="215">
        <v>-653.0</v>
      </c>
      <c r="P340" s="215">
        <v>683.0</v>
      </c>
      <c r="Q340" s="203"/>
      <c r="R340" s="218" t="s">
        <v>1643</v>
      </c>
      <c r="S340" s="186"/>
      <c r="T340" s="215">
        <v>421.0</v>
      </c>
      <c r="U340" s="204"/>
    </row>
    <row r="341" ht="22.5" customHeight="1">
      <c r="A341" s="192">
        <v>0.1667</v>
      </c>
      <c r="B341" s="193" t="s">
        <v>332</v>
      </c>
      <c r="C341" s="226" t="s">
        <v>136</v>
      </c>
      <c r="D341" s="194" t="s">
        <v>1472</v>
      </c>
      <c r="E341" s="193" t="s">
        <v>15</v>
      </c>
      <c r="F341" s="220">
        <v>1.0</v>
      </c>
      <c r="G341" s="221"/>
      <c r="H341" s="222">
        <v>150.0</v>
      </c>
      <c r="I341" s="222">
        <v>150.0</v>
      </c>
      <c r="J341" s="222">
        <v>3300.0</v>
      </c>
      <c r="K341" s="222">
        <v>3300.0</v>
      </c>
      <c r="L341" s="223">
        <v>46223.0</v>
      </c>
      <c r="M341" s="223">
        <v>46254.0</v>
      </c>
      <c r="N341" s="220">
        <v>0.0</v>
      </c>
      <c r="O341" s="220">
        <v>-642.0</v>
      </c>
      <c r="P341" s="220">
        <v>672.0</v>
      </c>
      <c r="Q341" s="209"/>
      <c r="R341" s="196" t="s">
        <v>1644</v>
      </c>
      <c r="S341" s="45"/>
      <c r="T341" s="220">
        <v>422.0</v>
      </c>
      <c r="U341" s="198"/>
    </row>
    <row r="342" ht="22.5" customHeight="1">
      <c r="A342" s="211" t="s">
        <v>1645</v>
      </c>
      <c r="B342" s="212" t="s">
        <v>334</v>
      </c>
      <c r="C342" s="213" t="s">
        <v>136</v>
      </c>
      <c r="D342" s="214" t="s">
        <v>1426</v>
      </c>
      <c r="E342" s="212" t="s">
        <v>15</v>
      </c>
      <c r="F342" s="215">
        <v>1.0</v>
      </c>
      <c r="G342" s="210"/>
      <c r="H342" s="216">
        <v>150.0</v>
      </c>
      <c r="I342" s="216">
        <v>150.0</v>
      </c>
      <c r="J342" s="216">
        <v>3300.0</v>
      </c>
      <c r="K342" s="216">
        <v>3300.0</v>
      </c>
      <c r="L342" s="217">
        <v>46208.0</v>
      </c>
      <c r="M342" s="217">
        <v>46239.0</v>
      </c>
      <c r="N342" s="215">
        <v>0.0</v>
      </c>
      <c r="O342" s="215">
        <v>-657.0</v>
      </c>
      <c r="P342" s="215">
        <v>687.0</v>
      </c>
      <c r="Q342" s="203"/>
      <c r="R342" s="218" t="s">
        <v>1646</v>
      </c>
      <c r="S342" s="186"/>
      <c r="T342" s="215">
        <v>423.0</v>
      </c>
      <c r="U342" s="204"/>
    </row>
    <row r="343" ht="22.5" customHeight="1">
      <c r="A343" s="192" t="s">
        <v>1647</v>
      </c>
      <c r="B343" s="193" t="s">
        <v>328</v>
      </c>
      <c r="C343" s="226" t="s">
        <v>136</v>
      </c>
      <c r="D343" s="194" t="s">
        <v>1283</v>
      </c>
      <c r="E343" s="193" t="s">
        <v>19</v>
      </c>
      <c r="F343" s="220">
        <v>0.0</v>
      </c>
      <c r="G343" s="221"/>
      <c r="H343" s="222">
        <v>10.0</v>
      </c>
      <c r="I343" s="222">
        <v>0.0</v>
      </c>
      <c r="J343" s="222">
        <v>0.0</v>
      </c>
      <c r="K343" s="222">
        <v>0.0</v>
      </c>
      <c r="L343" s="223">
        <v>46178.0</v>
      </c>
      <c r="M343" s="223">
        <v>46208.0</v>
      </c>
      <c r="N343" s="220">
        <v>1.0</v>
      </c>
      <c r="O343" s="220">
        <v>-688.0</v>
      </c>
      <c r="P343" s="220">
        <v>718.0</v>
      </c>
      <c r="Q343" s="209"/>
      <c r="R343" s="196" t="s">
        <v>1648</v>
      </c>
      <c r="S343" s="45"/>
      <c r="T343" s="220">
        <v>397.0</v>
      </c>
      <c r="U343" s="198"/>
    </row>
    <row r="344" ht="22.5" customHeight="1">
      <c r="A344" s="211" t="s">
        <v>1649</v>
      </c>
      <c r="B344" s="212" t="s">
        <v>211</v>
      </c>
      <c r="C344" s="213" t="s">
        <v>136</v>
      </c>
      <c r="D344" s="214" t="s">
        <v>1650</v>
      </c>
      <c r="E344" s="212" t="s">
        <v>15</v>
      </c>
      <c r="F344" s="215">
        <v>4.0</v>
      </c>
      <c r="G344" s="210"/>
      <c r="H344" s="216">
        <v>150.0</v>
      </c>
      <c r="I344" s="216">
        <v>600.0</v>
      </c>
      <c r="J344" s="216">
        <v>13416.0</v>
      </c>
      <c r="K344" s="216">
        <v>13416.0</v>
      </c>
      <c r="L344" s="217">
        <v>46175.0</v>
      </c>
      <c r="M344" s="217">
        <v>46205.0</v>
      </c>
      <c r="N344" s="215">
        <v>0.0</v>
      </c>
      <c r="O344" s="215">
        <v>-691.0</v>
      </c>
      <c r="P344" s="215">
        <v>721.0</v>
      </c>
      <c r="Q344" s="203"/>
      <c r="R344" s="218" t="s">
        <v>1651</v>
      </c>
      <c r="S344" s="186"/>
      <c r="T344" s="215">
        <v>398.0</v>
      </c>
      <c r="U344" s="204"/>
    </row>
    <row r="345" ht="22.5" customHeight="1">
      <c r="A345" s="192" t="s">
        <v>1606</v>
      </c>
      <c r="B345" s="193" t="s">
        <v>336</v>
      </c>
      <c r="C345" s="226" t="s">
        <v>136</v>
      </c>
      <c r="D345" s="194" t="s">
        <v>1369</v>
      </c>
      <c r="E345" s="193" t="s">
        <v>17</v>
      </c>
      <c r="F345" s="220">
        <v>3.0</v>
      </c>
      <c r="G345" s="221"/>
      <c r="H345" s="222">
        <v>1000.0</v>
      </c>
      <c r="I345" s="222">
        <v>3000.0</v>
      </c>
      <c r="J345" s="222">
        <v>2499.9</v>
      </c>
      <c r="K345" s="222">
        <v>0.0</v>
      </c>
      <c r="L345" s="223">
        <v>46179.0</v>
      </c>
      <c r="M345" s="223">
        <v>46209.0</v>
      </c>
      <c r="N345" s="220">
        <v>1.0</v>
      </c>
      <c r="O345" s="220">
        <v>-687.0</v>
      </c>
      <c r="P345" s="220">
        <v>717.0</v>
      </c>
      <c r="Q345" s="209"/>
      <c r="R345" s="196" t="s">
        <v>1652</v>
      </c>
      <c r="S345" s="45"/>
      <c r="T345" s="220">
        <v>399.0</v>
      </c>
      <c r="U345" s="198"/>
    </row>
    <row r="346" ht="22.5" customHeight="1">
      <c r="A346" s="199"/>
      <c r="B346" s="212" t="s">
        <v>313</v>
      </c>
      <c r="C346" s="213" t="s">
        <v>136</v>
      </c>
      <c r="D346" s="214" t="s">
        <v>1653</v>
      </c>
      <c r="E346" s="212" t="s">
        <v>17</v>
      </c>
      <c r="F346" s="228" t="s">
        <v>1654</v>
      </c>
      <c r="G346" s="210"/>
      <c r="H346" s="216">
        <v>700.0</v>
      </c>
      <c r="I346" s="216">
        <v>3500.0</v>
      </c>
      <c r="J346" s="216">
        <v>3500.0</v>
      </c>
      <c r="K346" s="216">
        <v>0.0</v>
      </c>
      <c r="L346" s="217">
        <v>46181.0</v>
      </c>
      <c r="M346" s="217">
        <v>46211.0</v>
      </c>
      <c r="N346" s="215">
        <v>1.0</v>
      </c>
      <c r="O346" s="215">
        <v>-685.0</v>
      </c>
      <c r="P346" s="215">
        <v>715.0</v>
      </c>
      <c r="Q346" s="203"/>
      <c r="R346" s="218" t="s">
        <v>1655</v>
      </c>
      <c r="S346" s="186"/>
      <c r="T346" s="215">
        <v>400.0</v>
      </c>
      <c r="U346" s="204"/>
    </row>
    <row r="347" ht="22.5" customHeight="1">
      <c r="A347" s="192" t="s">
        <v>1656</v>
      </c>
      <c r="B347" s="193" t="s">
        <v>309</v>
      </c>
      <c r="C347" s="226" t="s">
        <v>136</v>
      </c>
      <c r="D347" s="194" t="s">
        <v>1160</v>
      </c>
      <c r="E347" s="193" t="s">
        <v>17</v>
      </c>
      <c r="F347" s="220">
        <v>3.0</v>
      </c>
      <c r="G347" s="221"/>
      <c r="H347" s="222">
        <v>2500.0</v>
      </c>
      <c r="I347" s="222">
        <v>7500.0</v>
      </c>
      <c r="J347" s="222">
        <v>7500.0</v>
      </c>
      <c r="K347" s="222">
        <v>0.0</v>
      </c>
      <c r="L347" s="223">
        <v>46176.0</v>
      </c>
      <c r="M347" s="223">
        <v>46206.0</v>
      </c>
      <c r="N347" s="220">
        <v>1.0</v>
      </c>
      <c r="O347" s="220">
        <v>-690.0</v>
      </c>
      <c r="P347" s="220">
        <v>720.0</v>
      </c>
      <c r="Q347" s="209"/>
      <c r="R347" s="196" t="s">
        <v>1657</v>
      </c>
      <c r="S347" s="45"/>
      <c r="T347" s="220">
        <v>401.0</v>
      </c>
      <c r="U347" s="198"/>
    </row>
    <row r="348" ht="22.5" customHeight="1">
      <c r="A348" s="211" t="s">
        <v>1658</v>
      </c>
      <c r="B348" s="212" t="s">
        <v>351</v>
      </c>
      <c r="C348" s="213" t="s">
        <v>136</v>
      </c>
      <c r="D348" s="214" t="s">
        <v>1659</v>
      </c>
      <c r="E348" s="212" t="s">
        <v>22</v>
      </c>
      <c r="F348" s="215">
        <v>3.0</v>
      </c>
      <c r="G348" s="215">
        <v>20.0</v>
      </c>
      <c r="H348" s="216">
        <v>15000.0</v>
      </c>
      <c r="I348" s="216">
        <v>36000.0</v>
      </c>
      <c r="J348" s="216">
        <v>10843.37</v>
      </c>
      <c r="K348" s="216">
        <v>0.0</v>
      </c>
      <c r="L348" s="217">
        <v>46175.0</v>
      </c>
      <c r="M348" s="202"/>
      <c r="N348" s="215">
        <v>1.0</v>
      </c>
      <c r="O348" s="147"/>
      <c r="P348" s="215">
        <v>30.0</v>
      </c>
      <c r="Q348" s="203"/>
      <c r="R348" s="218" t="s">
        <v>1660</v>
      </c>
      <c r="S348" s="186"/>
      <c r="T348" s="215">
        <v>402.0</v>
      </c>
      <c r="U348" s="204"/>
    </row>
    <row r="349" ht="22.5" customHeight="1">
      <c r="A349" s="192" t="s">
        <v>1661</v>
      </c>
      <c r="B349" s="193" t="s">
        <v>301</v>
      </c>
      <c r="C349" s="226" t="s">
        <v>136</v>
      </c>
      <c r="D349" s="194" t="s">
        <v>1199</v>
      </c>
      <c r="E349" s="193" t="s">
        <v>17</v>
      </c>
      <c r="F349" s="220">
        <v>3.0</v>
      </c>
      <c r="G349" s="221"/>
      <c r="H349" s="222">
        <v>5000.0</v>
      </c>
      <c r="I349" s="222">
        <v>15000.0</v>
      </c>
      <c r="J349" s="222">
        <v>15000.0</v>
      </c>
      <c r="K349" s="222">
        <v>0.0</v>
      </c>
      <c r="L349" s="223">
        <v>46191.0</v>
      </c>
      <c r="M349" s="223">
        <v>46221.0</v>
      </c>
      <c r="N349" s="220">
        <v>1.0</v>
      </c>
      <c r="O349" s="220">
        <v>-675.0</v>
      </c>
      <c r="P349" s="220">
        <v>705.0</v>
      </c>
      <c r="Q349" s="209"/>
      <c r="R349" s="196" t="s">
        <v>1662</v>
      </c>
      <c r="S349" s="45"/>
      <c r="T349" s="220">
        <v>403.0</v>
      </c>
      <c r="U349" s="198"/>
    </row>
    <row r="350" ht="22.5" customHeight="1">
      <c r="A350" s="211" t="s">
        <v>1663</v>
      </c>
      <c r="B350" s="212" t="s">
        <v>349</v>
      </c>
      <c r="C350" s="213" t="s">
        <v>136</v>
      </c>
      <c r="D350" s="214" t="s">
        <v>1294</v>
      </c>
      <c r="E350" s="212" t="s">
        <v>100</v>
      </c>
      <c r="F350" s="215">
        <v>13.25</v>
      </c>
      <c r="G350" s="210"/>
      <c r="H350" s="216">
        <v>12.0</v>
      </c>
      <c r="I350" s="216">
        <v>159.0</v>
      </c>
      <c r="J350" s="216">
        <v>13340.1</v>
      </c>
      <c r="K350" s="216">
        <v>12081.6</v>
      </c>
      <c r="L350" s="217">
        <v>46175.0</v>
      </c>
      <c r="M350" s="217">
        <v>46205.0</v>
      </c>
      <c r="N350" s="215">
        <v>0.0</v>
      </c>
      <c r="O350" s="215">
        <v>-691.0</v>
      </c>
      <c r="P350" s="215">
        <v>721.0</v>
      </c>
      <c r="Q350" s="203"/>
      <c r="R350" s="218" t="s">
        <v>1664</v>
      </c>
      <c r="S350" s="186"/>
      <c r="T350" s="215">
        <v>404.0</v>
      </c>
      <c r="U350" s="204"/>
    </row>
    <row r="351" ht="22.5" customHeight="1">
      <c r="A351" s="205"/>
      <c r="B351" s="193" t="s">
        <v>330</v>
      </c>
      <c r="C351" s="226" t="s">
        <v>136</v>
      </c>
      <c r="D351" s="194" t="s">
        <v>1552</v>
      </c>
      <c r="E351" s="193" t="s">
        <v>17</v>
      </c>
      <c r="F351" s="220">
        <v>2.0</v>
      </c>
      <c r="G351" s="221"/>
      <c r="H351" s="197" t="s">
        <v>1200</v>
      </c>
      <c r="I351" s="222">
        <v>15000.0</v>
      </c>
      <c r="J351" s="222">
        <v>15000.0</v>
      </c>
      <c r="K351" s="222">
        <v>0.0</v>
      </c>
      <c r="L351" s="223">
        <v>46182.0</v>
      </c>
      <c r="M351" s="223">
        <v>46212.0</v>
      </c>
      <c r="N351" s="220">
        <v>1.0</v>
      </c>
      <c r="O351" s="220">
        <v>-684.0</v>
      </c>
      <c r="P351" s="220">
        <v>714.0</v>
      </c>
      <c r="Q351" s="209"/>
      <c r="R351" s="196" t="s">
        <v>1665</v>
      </c>
      <c r="S351" s="45"/>
      <c r="T351" s="220">
        <v>405.0</v>
      </c>
      <c r="U351" s="198"/>
    </row>
    <row r="352" ht="22.5" customHeight="1">
      <c r="A352" s="211" t="s">
        <v>1423</v>
      </c>
      <c r="B352" s="212" t="s">
        <v>345</v>
      </c>
      <c r="C352" s="213" t="s">
        <v>136</v>
      </c>
      <c r="D352" s="214" t="s">
        <v>1160</v>
      </c>
      <c r="E352" s="212" t="s">
        <v>17</v>
      </c>
      <c r="F352" s="215">
        <v>3.0</v>
      </c>
      <c r="G352" s="210"/>
      <c r="H352" s="216">
        <v>3000.0</v>
      </c>
      <c r="I352" s="216">
        <v>9000.0</v>
      </c>
      <c r="J352" s="216">
        <v>9000.0</v>
      </c>
      <c r="K352" s="216">
        <v>0.0</v>
      </c>
      <c r="L352" s="217">
        <v>46193.0</v>
      </c>
      <c r="M352" s="217">
        <v>46223.0</v>
      </c>
      <c r="N352" s="215">
        <v>1.0</v>
      </c>
      <c r="O352" s="215">
        <v>-673.0</v>
      </c>
      <c r="P352" s="215">
        <v>703.0</v>
      </c>
      <c r="Q352" s="203"/>
      <c r="R352" s="218" t="s">
        <v>1666</v>
      </c>
      <c r="S352" s="186"/>
      <c r="T352" s="215">
        <v>406.0</v>
      </c>
      <c r="U352" s="204"/>
    </row>
    <row r="353" ht="22.5" customHeight="1">
      <c r="A353" s="205"/>
      <c r="B353" s="193" t="s">
        <v>338</v>
      </c>
      <c r="C353" s="226" t="s">
        <v>136</v>
      </c>
      <c r="D353" s="194" t="s">
        <v>1469</v>
      </c>
      <c r="E353" s="193" t="s">
        <v>108</v>
      </c>
      <c r="F353" s="220">
        <v>10.25</v>
      </c>
      <c r="G353" s="9"/>
      <c r="H353" s="222">
        <v>30.0</v>
      </c>
      <c r="I353" s="222">
        <v>307.5</v>
      </c>
      <c r="J353" s="222">
        <v>0.0</v>
      </c>
      <c r="K353" s="222">
        <v>0.0</v>
      </c>
      <c r="L353" s="223">
        <v>46182.0</v>
      </c>
      <c r="M353" s="223">
        <v>46212.0</v>
      </c>
      <c r="N353" s="220">
        <v>1.0</v>
      </c>
      <c r="O353" s="220">
        <v>-684.0</v>
      </c>
      <c r="P353" s="220">
        <v>714.0</v>
      </c>
      <c r="Q353" s="209"/>
      <c r="R353" s="196" t="s">
        <v>1667</v>
      </c>
      <c r="S353" s="45"/>
      <c r="T353" s="220">
        <v>407.0</v>
      </c>
      <c r="U353" s="198"/>
    </row>
    <row r="354" ht="22.5" customHeight="1">
      <c r="A354" s="211">
        <v>0.1667</v>
      </c>
      <c r="B354" s="212" t="s">
        <v>332</v>
      </c>
      <c r="C354" s="213" t="s">
        <v>136</v>
      </c>
      <c r="D354" s="214" t="s">
        <v>1472</v>
      </c>
      <c r="E354" s="212" t="s">
        <v>15</v>
      </c>
      <c r="F354" s="215">
        <v>1.0</v>
      </c>
      <c r="G354" s="210"/>
      <c r="H354" s="216">
        <v>150.0</v>
      </c>
      <c r="I354" s="216">
        <v>150.0</v>
      </c>
      <c r="J354" s="216">
        <v>3300.0</v>
      </c>
      <c r="K354" s="201"/>
      <c r="L354" s="217">
        <v>46193.0</v>
      </c>
      <c r="M354" s="217">
        <v>46223.0</v>
      </c>
      <c r="N354" s="147"/>
      <c r="O354" s="215">
        <v>-673.0</v>
      </c>
      <c r="P354" s="215">
        <v>703.0</v>
      </c>
      <c r="Q354" s="203"/>
      <c r="R354" s="218" t="s">
        <v>1668</v>
      </c>
      <c r="S354" s="186"/>
      <c r="T354" s="215">
        <v>408.0</v>
      </c>
      <c r="U354" s="204"/>
    </row>
    <row r="355" ht="22.5" customHeight="1">
      <c r="A355" s="205"/>
      <c r="B355" s="193" t="s">
        <v>334</v>
      </c>
      <c r="C355" s="226" t="s">
        <v>136</v>
      </c>
      <c r="D355" s="194" t="s">
        <v>1426</v>
      </c>
      <c r="E355" s="193" t="s">
        <v>15</v>
      </c>
      <c r="F355" s="220">
        <v>1.0</v>
      </c>
      <c r="G355" s="221"/>
      <c r="H355" s="222">
        <v>150.0</v>
      </c>
      <c r="I355" s="222">
        <v>150.0</v>
      </c>
      <c r="J355" s="222">
        <v>3300.0</v>
      </c>
      <c r="K355" s="207"/>
      <c r="L355" s="223">
        <v>46178.0</v>
      </c>
      <c r="M355" s="223">
        <v>46208.0</v>
      </c>
      <c r="N355" s="150"/>
      <c r="O355" s="220">
        <v>-688.0</v>
      </c>
      <c r="P355" s="220">
        <v>718.0</v>
      </c>
      <c r="Q355" s="209"/>
      <c r="R355" s="196" t="s">
        <v>1669</v>
      </c>
      <c r="S355" s="45"/>
      <c r="T355" s="220">
        <v>409.0</v>
      </c>
      <c r="U355" s="198"/>
    </row>
    <row r="356" ht="22.5" customHeight="1">
      <c r="A356" s="199"/>
      <c r="B356" s="212" t="s">
        <v>328</v>
      </c>
      <c r="C356" s="213" t="s">
        <v>136</v>
      </c>
      <c r="D356" s="214" t="s">
        <v>1283</v>
      </c>
      <c r="E356" s="212" t="s">
        <v>19</v>
      </c>
      <c r="F356" s="215">
        <v>0.0</v>
      </c>
      <c r="G356" s="210"/>
      <c r="H356" s="216">
        <v>10.0</v>
      </c>
      <c r="I356" s="216">
        <v>0.0</v>
      </c>
      <c r="J356" s="216">
        <v>0.0</v>
      </c>
      <c r="K356" s="216">
        <v>0.0</v>
      </c>
      <c r="L356" s="217">
        <v>46147.0</v>
      </c>
      <c r="M356" s="217">
        <v>46178.0</v>
      </c>
      <c r="N356" s="215">
        <v>1.0</v>
      </c>
      <c r="O356" s="215">
        <v>-718.0</v>
      </c>
      <c r="P356" s="215">
        <v>748.0</v>
      </c>
      <c r="Q356" s="203"/>
      <c r="R356" s="218" t="s">
        <v>1670</v>
      </c>
      <c r="S356" s="186"/>
      <c r="T356" s="215">
        <v>381.0</v>
      </c>
      <c r="U356" s="204"/>
    </row>
    <row r="357" ht="22.5" customHeight="1">
      <c r="A357" s="192" t="s">
        <v>1671</v>
      </c>
      <c r="B357" s="193" t="s">
        <v>211</v>
      </c>
      <c r="C357" s="226" t="s">
        <v>136</v>
      </c>
      <c r="D357" s="194" t="s">
        <v>1650</v>
      </c>
      <c r="E357" s="193" t="s">
        <v>15</v>
      </c>
      <c r="F357" s="220">
        <v>4.0</v>
      </c>
      <c r="G357" s="221"/>
      <c r="H357" s="222">
        <v>150.0</v>
      </c>
      <c r="I357" s="222">
        <v>600.0</v>
      </c>
      <c r="J357" s="222">
        <v>12600.0</v>
      </c>
      <c r="K357" s="222">
        <v>4725.0</v>
      </c>
      <c r="L357" s="223">
        <v>46144.0</v>
      </c>
      <c r="M357" s="223">
        <v>46175.0</v>
      </c>
      <c r="N357" s="220">
        <v>0.0</v>
      </c>
      <c r="O357" s="220">
        <v>-721.0</v>
      </c>
      <c r="P357" s="220">
        <v>751.0</v>
      </c>
      <c r="Q357" s="238">
        <v>46293.0</v>
      </c>
      <c r="R357" s="196" t="s">
        <v>1672</v>
      </c>
      <c r="S357" s="45"/>
      <c r="T357" s="220">
        <v>382.0</v>
      </c>
      <c r="U357" s="198"/>
    </row>
    <row r="358" ht="22.5" customHeight="1">
      <c r="A358" s="211" t="s">
        <v>1673</v>
      </c>
      <c r="B358" s="212" t="s">
        <v>336</v>
      </c>
      <c r="C358" s="213" t="s">
        <v>136</v>
      </c>
      <c r="D358" s="214" t="s">
        <v>1369</v>
      </c>
      <c r="E358" s="212" t="s">
        <v>17</v>
      </c>
      <c r="F358" s="215">
        <v>3.0</v>
      </c>
      <c r="G358" s="210"/>
      <c r="H358" s="216">
        <v>1000.0</v>
      </c>
      <c r="I358" s="216">
        <v>3000.0</v>
      </c>
      <c r="J358" s="216">
        <v>2499.9</v>
      </c>
      <c r="K358" s="216">
        <v>0.0</v>
      </c>
      <c r="L358" s="217">
        <v>46148.0</v>
      </c>
      <c r="M358" s="217">
        <v>46179.0</v>
      </c>
      <c r="N358" s="215">
        <v>1.0</v>
      </c>
      <c r="O358" s="215">
        <v>-717.0</v>
      </c>
      <c r="P358" s="215">
        <v>747.0</v>
      </c>
      <c r="Q358" s="203"/>
      <c r="R358" s="218" t="s">
        <v>1674</v>
      </c>
      <c r="S358" s="186"/>
      <c r="T358" s="215">
        <v>383.0</v>
      </c>
      <c r="U358" s="204"/>
    </row>
    <row r="359" ht="22.5" customHeight="1">
      <c r="A359" s="205"/>
      <c r="B359" s="193" t="s">
        <v>313</v>
      </c>
      <c r="C359" s="226" t="s">
        <v>136</v>
      </c>
      <c r="D359" s="194" t="s">
        <v>1653</v>
      </c>
      <c r="E359" s="193" t="s">
        <v>17</v>
      </c>
      <c r="F359" s="195" t="s">
        <v>1311</v>
      </c>
      <c r="G359" s="221"/>
      <c r="H359" s="222">
        <v>700.0</v>
      </c>
      <c r="I359" s="222">
        <v>2100.0</v>
      </c>
      <c r="J359" s="222">
        <v>2100.0</v>
      </c>
      <c r="K359" s="222">
        <v>0.0</v>
      </c>
      <c r="L359" s="223">
        <v>46150.0</v>
      </c>
      <c r="M359" s="223">
        <v>46181.0</v>
      </c>
      <c r="N359" s="220">
        <v>1.0</v>
      </c>
      <c r="O359" s="220">
        <v>-715.0</v>
      </c>
      <c r="P359" s="220">
        <v>745.0</v>
      </c>
      <c r="Q359" s="209"/>
      <c r="R359" s="196" t="s">
        <v>1675</v>
      </c>
      <c r="S359" s="45"/>
      <c r="T359" s="220">
        <v>384.0</v>
      </c>
      <c r="U359" s="198"/>
    </row>
    <row r="360" ht="22.5" customHeight="1">
      <c r="A360" s="199"/>
      <c r="B360" s="212" t="s">
        <v>309</v>
      </c>
      <c r="C360" s="213" t="s">
        <v>136</v>
      </c>
      <c r="D360" s="214" t="s">
        <v>1676</v>
      </c>
      <c r="E360" s="212" t="s">
        <v>17</v>
      </c>
      <c r="F360" s="215">
        <v>2.0</v>
      </c>
      <c r="G360" s="210"/>
      <c r="H360" s="216">
        <v>2500.0</v>
      </c>
      <c r="I360" s="216">
        <v>5000.0</v>
      </c>
      <c r="J360" s="216">
        <v>5000.0</v>
      </c>
      <c r="K360" s="216">
        <v>0.0</v>
      </c>
      <c r="L360" s="217">
        <v>46145.0</v>
      </c>
      <c r="M360" s="217">
        <v>46176.0</v>
      </c>
      <c r="N360" s="215">
        <v>1.0</v>
      </c>
      <c r="O360" s="215">
        <v>-720.0</v>
      </c>
      <c r="P360" s="215">
        <v>750.0</v>
      </c>
      <c r="Q360" s="203"/>
      <c r="R360" s="218" t="s">
        <v>1677</v>
      </c>
      <c r="S360" s="186"/>
      <c r="T360" s="215">
        <v>385.0</v>
      </c>
      <c r="U360" s="204"/>
    </row>
    <row r="361" ht="22.5" customHeight="1">
      <c r="A361" s="192" t="s">
        <v>1661</v>
      </c>
      <c r="B361" s="193" t="s">
        <v>301</v>
      </c>
      <c r="C361" s="226" t="s">
        <v>136</v>
      </c>
      <c r="D361" s="194" t="s">
        <v>1678</v>
      </c>
      <c r="E361" s="193" t="s">
        <v>17</v>
      </c>
      <c r="F361" s="220">
        <v>3.0</v>
      </c>
      <c r="G361" s="230">
        <v>0.17</v>
      </c>
      <c r="H361" s="222">
        <v>6000.0</v>
      </c>
      <c r="I361" s="222">
        <v>15000.0</v>
      </c>
      <c r="J361" s="222">
        <v>15000.0</v>
      </c>
      <c r="K361" s="222">
        <v>0.0</v>
      </c>
      <c r="L361" s="223">
        <v>46160.0</v>
      </c>
      <c r="M361" s="223">
        <v>46191.0</v>
      </c>
      <c r="N361" s="220">
        <v>1.0</v>
      </c>
      <c r="O361" s="220">
        <v>-705.0</v>
      </c>
      <c r="P361" s="220">
        <v>735.0</v>
      </c>
      <c r="Q361" s="209"/>
      <c r="R361" s="196" t="s">
        <v>1679</v>
      </c>
      <c r="S361" s="45"/>
      <c r="T361" s="220">
        <v>386.0</v>
      </c>
      <c r="U361" s="198"/>
    </row>
    <row r="362" ht="22.5" customHeight="1">
      <c r="A362" s="211" t="s">
        <v>1680</v>
      </c>
      <c r="B362" s="212" t="s">
        <v>249</v>
      </c>
      <c r="C362" s="213" t="s">
        <v>136</v>
      </c>
      <c r="D362" s="214" t="s">
        <v>1637</v>
      </c>
      <c r="E362" s="212" t="s">
        <v>15</v>
      </c>
      <c r="F362" s="215">
        <v>2.0</v>
      </c>
      <c r="G362" s="210"/>
      <c r="H362" s="216">
        <v>18.75</v>
      </c>
      <c r="I362" s="216">
        <v>37.5</v>
      </c>
      <c r="J362" s="216">
        <v>825.0</v>
      </c>
      <c r="K362" s="216">
        <v>0.0</v>
      </c>
      <c r="L362" s="217">
        <v>46153.0</v>
      </c>
      <c r="M362" s="217">
        <v>46184.0</v>
      </c>
      <c r="N362" s="215">
        <v>1.0</v>
      </c>
      <c r="O362" s="215">
        <v>-712.0</v>
      </c>
      <c r="P362" s="215">
        <v>742.0</v>
      </c>
      <c r="Q362" s="203"/>
      <c r="R362" s="218" t="s">
        <v>1681</v>
      </c>
      <c r="S362" s="186"/>
      <c r="T362" s="215">
        <v>387.0</v>
      </c>
      <c r="U362" s="204"/>
    </row>
    <row r="363" ht="22.5" customHeight="1">
      <c r="A363" s="192" t="s">
        <v>684</v>
      </c>
      <c r="B363" s="193" t="s">
        <v>291</v>
      </c>
      <c r="C363" s="206"/>
      <c r="D363" s="206"/>
      <c r="E363" s="206"/>
      <c r="F363" s="220">
        <v>5.0</v>
      </c>
      <c r="G363" s="221"/>
      <c r="H363" s="197" t="s">
        <v>1682</v>
      </c>
      <c r="I363" s="222">
        <v>21000.0</v>
      </c>
      <c r="J363" s="207"/>
      <c r="K363" s="207"/>
      <c r="L363" s="223">
        <v>46145.0</v>
      </c>
      <c r="M363" s="223">
        <v>46176.0</v>
      </c>
      <c r="N363" s="150"/>
      <c r="O363" s="220">
        <v>-720.0</v>
      </c>
      <c r="P363" s="220">
        <v>750.0</v>
      </c>
      <c r="Q363" s="209"/>
      <c r="R363" s="196" t="s">
        <v>1683</v>
      </c>
      <c r="S363" s="45"/>
      <c r="T363" s="220">
        <v>388.0</v>
      </c>
      <c r="U363" s="198"/>
    </row>
    <row r="364" ht="22.5" customHeight="1">
      <c r="A364" s="211" t="s">
        <v>1684</v>
      </c>
      <c r="B364" s="212" t="s">
        <v>347</v>
      </c>
      <c r="C364" s="213" t="s">
        <v>136</v>
      </c>
      <c r="D364" s="214" t="s">
        <v>48</v>
      </c>
      <c r="E364" s="212" t="s">
        <v>17</v>
      </c>
      <c r="F364" s="228" t="s">
        <v>1166</v>
      </c>
      <c r="G364" s="210"/>
      <c r="H364" s="216">
        <v>1000.0</v>
      </c>
      <c r="I364" s="216">
        <v>8000.0</v>
      </c>
      <c r="J364" s="216">
        <v>8000.0</v>
      </c>
      <c r="K364" s="216">
        <v>0.0</v>
      </c>
      <c r="L364" s="217">
        <v>46151.0</v>
      </c>
      <c r="M364" s="217">
        <v>46182.0</v>
      </c>
      <c r="N364" s="215">
        <v>1.0</v>
      </c>
      <c r="O364" s="215">
        <v>-714.0</v>
      </c>
      <c r="P364" s="215">
        <v>744.0</v>
      </c>
      <c r="Q364" s="203"/>
      <c r="R364" s="218" t="s">
        <v>1685</v>
      </c>
      <c r="S364" s="186"/>
      <c r="T364" s="215">
        <v>389.0</v>
      </c>
      <c r="U364" s="204"/>
    </row>
    <row r="365" ht="22.5" customHeight="1">
      <c r="A365" s="205"/>
      <c r="B365" s="193" t="s">
        <v>330</v>
      </c>
      <c r="C365" s="226" t="s">
        <v>136</v>
      </c>
      <c r="D365" s="194" t="s">
        <v>1552</v>
      </c>
      <c r="E365" s="193" t="s">
        <v>17</v>
      </c>
      <c r="F365" s="220">
        <v>2.0</v>
      </c>
      <c r="G365" s="221"/>
      <c r="H365" s="197" t="s">
        <v>1200</v>
      </c>
      <c r="I365" s="222">
        <v>15000.0</v>
      </c>
      <c r="J365" s="222">
        <v>15000.0</v>
      </c>
      <c r="K365" s="222">
        <v>0.0</v>
      </c>
      <c r="L365" s="223">
        <v>46151.0</v>
      </c>
      <c r="M365" s="223">
        <v>46182.0</v>
      </c>
      <c r="N365" s="220">
        <v>1.0</v>
      </c>
      <c r="O365" s="220">
        <v>-714.0</v>
      </c>
      <c r="P365" s="220">
        <v>744.0</v>
      </c>
      <c r="Q365" s="209"/>
      <c r="R365" s="196" t="s">
        <v>1686</v>
      </c>
      <c r="S365" s="45"/>
      <c r="T365" s="220">
        <v>390.0</v>
      </c>
      <c r="U365" s="198"/>
    </row>
    <row r="366" ht="22.5" customHeight="1">
      <c r="A366" s="211" t="s">
        <v>1687</v>
      </c>
      <c r="B366" s="212" t="s">
        <v>345</v>
      </c>
      <c r="C366" s="213" t="s">
        <v>136</v>
      </c>
      <c r="D366" s="214" t="s">
        <v>1160</v>
      </c>
      <c r="E366" s="212" t="s">
        <v>17</v>
      </c>
      <c r="F366" s="215">
        <v>3.0</v>
      </c>
      <c r="G366" s="210"/>
      <c r="H366" s="216">
        <v>3000.0</v>
      </c>
      <c r="I366" s="216">
        <v>9000.0</v>
      </c>
      <c r="J366" s="216">
        <v>9000.0</v>
      </c>
      <c r="K366" s="216">
        <v>0.0</v>
      </c>
      <c r="L366" s="217">
        <v>46162.0</v>
      </c>
      <c r="M366" s="217">
        <v>46193.0</v>
      </c>
      <c r="N366" s="215">
        <v>1.0</v>
      </c>
      <c r="O366" s="215">
        <v>-703.0</v>
      </c>
      <c r="P366" s="215">
        <v>733.0</v>
      </c>
      <c r="Q366" s="203"/>
      <c r="R366" s="218" t="s">
        <v>1688</v>
      </c>
      <c r="S366" s="186"/>
      <c r="T366" s="215">
        <v>391.0</v>
      </c>
      <c r="U366" s="204"/>
    </row>
    <row r="367" ht="22.5" customHeight="1">
      <c r="A367" s="192" t="s">
        <v>1619</v>
      </c>
      <c r="B367" s="193" t="s">
        <v>338</v>
      </c>
      <c r="C367" s="226" t="s">
        <v>136</v>
      </c>
      <c r="D367" s="194" t="s">
        <v>1469</v>
      </c>
      <c r="E367" s="193" t="s">
        <v>108</v>
      </c>
      <c r="F367" s="220">
        <v>10.25</v>
      </c>
      <c r="G367" s="221"/>
      <c r="H367" s="222">
        <v>30.0</v>
      </c>
      <c r="I367" s="222">
        <v>307.5</v>
      </c>
      <c r="J367" s="222">
        <v>0.0</v>
      </c>
      <c r="K367" s="222">
        <v>0.0</v>
      </c>
      <c r="L367" s="223">
        <v>46151.0</v>
      </c>
      <c r="M367" s="223">
        <v>46182.0</v>
      </c>
      <c r="N367" s="220">
        <v>1.0</v>
      </c>
      <c r="O367" s="220">
        <v>-714.0</v>
      </c>
      <c r="P367" s="220">
        <v>744.0</v>
      </c>
      <c r="Q367" s="209"/>
      <c r="R367" s="196" t="s">
        <v>1689</v>
      </c>
      <c r="S367" s="45"/>
      <c r="T367" s="220">
        <v>392.0</v>
      </c>
      <c r="U367" s="198"/>
    </row>
    <row r="368" ht="22.5" customHeight="1">
      <c r="A368" s="211">
        <v>0.1667</v>
      </c>
      <c r="B368" s="212" t="s">
        <v>332</v>
      </c>
      <c r="C368" s="213" t="s">
        <v>136</v>
      </c>
      <c r="D368" s="214" t="s">
        <v>1472</v>
      </c>
      <c r="E368" s="212" t="s">
        <v>15</v>
      </c>
      <c r="F368" s="215">
        <v>1.0</v>
      </c>
      <c r="G368" s="210"/>
      <c r="H368" s="216">
        <v>150.0</v>
      </c>
      <c r="I368" s="216">
        <v>150.0</v>
      </c>
      <c r="J368" s="216">
        <v>3300.0</v>
      </c>
      <c r="K368" s="201"/>
      <c r="L368" s="217">
        <v>46162.0</v>
      </c>
      <c r="M368" s="217">
        <v>46193.0</v>
      </c>
      <c r="N368" s="147"/>
      <c r="O368" s="215">
        <v>-703.0</v>
      </c>
      <c r="P368" s="215">
        <v>733.0</v>
      </c>
      <c r="Q368" s="203"/>
      <c r="R368" s="218" t="s">
        <v>1690</v>
      </c>
      <c r="S368" s="186"/>
      <c r="T368" s="215">
        <v>393.0</v>
      </c>
      <c r="U368" s="204"/>
    </row>
    <row r="369" ht="22.5" customHeight="1">
      <c r="A369" s="192" t="s">
        <v>1691</v>
      </c>
      <c r="B369" s="193" t="s">
        <v>343</v>
      </c>
      <c r="C369" s="226" t="s">
        <v>136</v>
      </c>
      <c r="D369" s="194" t="s">
        <v>1692</v>
      </c>
      <c r="E369" s="193" t="s">
        <v>15</v>
      </c>
      <c r="F369" s="220">
        <v>2.0</v>
      </c>
      <c r="G369" s="230">
        <v>0.17</v>
      </c>
      <c r="H369" s="222">
        <v>130.0</v>
      </c>
      <c r="I369" s="222">
        <v>360.0</v>
      </c>
      <c r="J369" s="222">
        <v>7200.0</v>
      </c>
      <c r="K369" s="222">
        <v>7200.0</v>
      </c>
      <c r="L369" s="223">
        <v>46162.0</v>
      </c>
      <c r="M369" s="223">
        <v>46193.0</v>
      </c>
      <c r="N369" s="220">
        <v>0.0</v>
      </c>
      <c r="O369" s="220">
        <v>-703.0</v>
      </c>
      <c r="P369" s="220">
        <v>733.0</v>
      </c>
      <c r="Q369" s="209"/>
      <c r="R369" s="196" t="s">
        <v>1693</v>
      </c>
      <c r="S369" s="45"/>
      <c r="T369" s="220">
        <v>394.0</v>
      </c>
      <c r="U369" s="198"/>
    </row>
    <row r="370" ht="22.5" customHeight="1">
      <c r="A370" s="211" t="s">
        <v>1694</v>
      </c>
      <c r="B370" s="212" t="s">
        <v>322</v>
      </c>
      <c r="C370" s="213" t="s">
        <v>136</v>
      </c>
      <c r="D370" s="214" t="s">
        <v>1695</v>
      </c>
      <c r="E370" s="212" t="s">
        <v>15</v>
      </c>
      <c r="F370" s="215">
        <v>3.0</v>
      </c>
      <c r="G370" s="210"/>
      <c r="H370" s="216">
        <v>100.0</v>
      </c>
      <c r="I370" s="216">
        <v>300.0</v>
      </c>
      <c r="J370" s="216">
        <v>6600.0</v>
      </c>
      <c r="K370" s="216">
        <v>0.0</v>
      </c>
      <c r="L370" s="217">
        <v>46161.0</v>
      </c>
      <c r="M370" s="217">
        <v>46192.0</v>
      </c>
      <c r="N370" s="215">
        <v>1.0</v>
      </c>
      <c r="O370" s="215">
        <v>-704.0</v>
      </c>
      <c r="P370" s="215">
        <v>734.0</v>
      </c>
      <c r="Q370" s="203"/>
      <c r="R370" s="218" t="s">
        <v>1696</v>
      </c>
      <c r="S370" s="186"/>
      <c r="T370" s="215">
        <v>395.0</v>
      </c>
      <c r="U370" s="204"/>
    </row>
    <row r="371" ht="22.5" customHeight="1">
      <c r="A371" s="205"/>
      <c r="B371" s="193" t="s">
        <v>334</v>
      </c>
      <c r="C371" s="226" t="s">
        <v>136</v>
      </c>
      <c r="D371" s="194" t="s">
        <v>1426</v>
      </c>
      <c r="E371" s="193" t="s">
        <v>15</v>
      </c>
      <c r="F371" s="220">
        <v>1.0</v>
      </c>
      <c r="G371" s="221"/>
      <c r="H371" s="222">
        <v>150.0</v>
      </c>
      <c r="I371" s="222">
        <v>150.0</v>
      </c>
      <c r="J371" s="222">
        <v>3300.0</v>
      </c>
      <c r="K371" s="222">
        <v>0.0</v>
      </c>
      <c r="L371" s="223">
        <v>46147.0</v>
      </c>
      <c r="M371" s="223">
        <v>46178.0</v>
      </c>
      <c r="N371" s="220">
        <v>1.0</v>
      </c>
      <c r="O371" s="220">
        <v>-718.0</v>
      </c>
      <c r="P371" s="220">
        <v>748.0</v>
      </c>
      <c r="Q371" s="209"/>
      <c r="R371" s="196" t="s">
        <v>1697</v>
      </c>
      <c r="S371" s="45"/>
      <c r="T371" s="220">
        <v>396.0</v>
      </c>
      <c r="U371" s="198"/>
    </row>
    <row r="372" ht="22.5" customHeight="1">
      <c r="A372" s="199"/>
      <c r="B372" s="212" t="s">
        <v>328</v>
      </c>
      <c r="C372" s="213" t="s">
        <v>136</v>
      </c>
      <c r="D372" s="214" t="s">
        <v>1283</v>
      </c>
      <c r="E372" s="212" t="s">
        <v>19</v>
      </c>
      <c r="F372" s="215">
        <v>0.0</v>
      </c>
      <c r="G372" s="210"/>
      <c r="H372" s="216">
        <v>10.0</v>
      </c>
      <c r="I372" s="216">
        <v>0.0</v>
      </c>
      <c r="J372" s="216">
        <v>0.0</v>
      </c>
      <c r="K372" s="216">
        <v>0.0</v>
      </c>
      <c r="L372" s="217">
        <v>46117.0</v>
      </c>
      <c r="M372" s="217">
        <v>46147.0</v>
      </c>
      <c r="N372" s="215">
        <v>1.0</v>
      </c>
      <c r="O372" s="215">
        <v>-749.0</v>
      </c>
      <c r="P372" s="215">
        <v>779.0</v>
      </c>
      <c r="Q372" s="203"/>
      <c r="R372" s="218" t="s">
        <v>1698</v>
      </c>
      <c r="S372" s="186"/>
      <c r="T372" s="215">
        <v>365.0</v>
      </c>
      <c r="U372" s="204"/>
    </row>
    <row r="373" ht="22.5" customHeight="1">
      <c r="A373" s="192" t="s">
        <v>1699</v>
      </c>
      <c r="B373" s="193" t="s">
        <v>340</v>
      </c>
      <c r="C373" s="226" t="s">
        <v>136</v>
      </c>
      <c r="D373" s="194" t="s">
        <v>1700</v>
      </c>
      <c r="E373" s="193" t="s">
        <v>16</v>
      </c>
      <c r="F373" s="220">
        <v>10.16</v>
      </c>
      <c r="G373" s="150"/>
      <c r="H373" s="222">
        <v>35.0</v>
      </c>
      <c r="I373" s="222">
        <v>355.6</v>
      </c>
      <c r="J373" s="222">
        <v>7951.22</v>
      </c>
      <c r="K373" s="222">
        <v>0.0</v>
      </c>
      <c r="L373" s="223">
        <v>46121.0</v>
      </c>
      <c r="M373" s="223">
        <v>46151.0</v>
      </c>
      <c r="N373" s="220">
        <v>1.0</v>
      </c>
      <c r="O373" s="220">
        <v>-745.0</v>
      </c>
      <c r="P373" s="220">
        <v>775.0</v>
      </c>
      <c r="Q373" s="209"/>
      <c r="R373" s="196" t="s">
        <v>1701</v>
      </c>
      <c r="S373" s="45"/>
      <c r="T373" s="220">
        <v>366.0</v>
      </c>
      <c r="U373" s="198"/>
    </row>
    <row r="374" ht="22.5" customHeight="1">
      <c r="A374" s="211" t="s">
        <v>1673</v>
      </c>
      <c r="B374" s="212" t="s">
        <v>336</v>
      </c>
      <c r="C374" s="213" t="s">
        <v>136</v>
      </c>
      <c r="D374" s="214" t="s">
        <v>1369</v>
      </c>
      <c r="E374" s="212" t="s">
        <v>17</v>
      </c>
      <c r="F374" s="215">
        <v>3.0</v>
      </c>
      <c r="G374" s="210"/>
      <c r="H374" s="216">
        <v>1000.0</v>
      </c>
      <c r="I374" s="216">
        <v>3000.0</v>
      </c>
      <c r="J374" s="216">
        <v>2499.9</v>
      </c>
      <c r="K374" s="216">
        <v>0.0</v>
      </c>
      <c r="L374" s="217">
        <v>46118.0</v>
      </c>
      <c r="M374" s="217">
        <v>46148.0</v>
      </c>
      <c r="N374" s="215">
        <v>1.0</v>
      </c>
      <c r="O374" s="215">
        <v>-748.0</v>
      </c>
      <c r="P374" s="215">
        <v>778.0</v>
      </c>
      <c r="Q374" s="203"/>
      <c r="R374" s="218" t="s">
        <v>1702</v>
      </c>
      <c r="S374" s="186"/>
      <c r="T374" s="215">
        <v>367.0</v>
      </c>
      <c r="U374" s="204"/>
    </row>
    <row r="375" ht="22.5" customHeight="1">
      <c r="A375" s="192" t="s">
        <v>1703</v>
      </c>
      <c r="B375" s="193" t="s">
        <v>255</v>
      </c>
      <c r="C375" s="226" t="s">
        <v>136</v>
      </c>
      <c r="D375" s="194" t="s">
        <v>1704</v>
      </c>
      <c r="E375" s="193" t="s">
        <v>15</v>
      </c>
      <c r="F375" s="220">
        <v>1.0</v>
      </c>
      <c r="G375" s="221"/>
      <c r="H375" s="222">
        <v>6000.0</v>
      </c>
      <c r="I375" s="222">
        <v>6000.0</v>
      </c>
      <c r="J375" s="222">
        <v>6000.0</v>
      </c>
      <c r="K375" s="222">
        <v>0.0</v>
      </c>
      <c r="L375" s="223">
        <v>46133.0</v>
      </c>
      <c r="M375" s="223">
        <v>46163.0</v>
      </c>
      <c r="N375" s="220">
        <v>1.0</v>
      </c>
      <c r="O375" s="220">
        <v>-733.0</v>
      </c>
      <c r="P375" s="220">
        <v>763.0</v>
      </c>
      <c r="Q375" s="209"/>
      <c r="R375" s="196" t="s">
        <v>1705</v>
      </c>
      <c r="S375" s="45"/>
      <c r="T375" s="220">
        <v>368.0</v>
      </c>
      <c r="U375" s="198"/>
    </row>
    <row r="376" ht="22.5" customHeight="1">
      <c r="A376" s="199"/>
      <c r="B376" s="212" t="s">
        <v>309</v>
      </c>
      <c r="C376" s="213" t="s">
        <v>136</v>
      </c>
      <c r="D376" s="214" t="s">
        <v>1676</v>
      </c>
      <c r="E376" s="212" t="s">
        <v>17</v>
      </c>
      <c r="F376" s="215">
        <v>2.0</v>
      </c>
      <c r="G376" s="210"/>
      <c r="H376" s="216">
        <v>2500.0</v>
      </c>
      <c r="I376" s="216">
        <v>5000.0</v>
      </c>
      <c r="J376" s="216">
        <v>5000.0</v>
      </c>
      <c r="K376" s="216">
        <v>0.0</v>
      </c>
      <c r="L376" s="217">
        <v>46115.0</v>
      </c>
      <c r="M376" s="217">
        <v>46145.0</v>
      </c>
      <c r="N376" s="215">
        <v>1.0</v>
      </c>
      <c r="O376" s="215">
        <v>-751.0</v>
      </c>
      <c r="P376" s="215">
        <v>781.0</v>
      </c>
      <c r="Q376" s="203"/>
      <c r="R376" s="218" t="s">
        <v>1706</v>
      </c>
      <c r="S376" s="186"/>
      <c r="T376" s="215">
        <v>369.0</v>
      </c>
      <c r="U376" s="204"/>
    </row>
    <row r="377" ht="22.5" customHeight="1">
      <c r="A377" s="192" t="s">
        <v>1707</v>
      </c>
      <c r="B377" s="193" t="s">
        <v>301</v>
      </c>
      <c r="C377" s="226" t="s">
        <v>136</v>
      </c>
      <c r="D377" s="194" t="s">
        <v>1708</v>
      </c>
      <c r="E377" s="193" t="s">
        <v>17</v>
      </c>
      <c r="F377" s="220">
        <v>2.0</v>
      </c>
      <c r="G377" s="221"/>
      <c r="H377" s="222">
        <v>6000.0</v>
      </c>
      <c r="I377" s="222">
        <v>10000.0</v>
      </c>
      <c r="J377" s="222">
        <v>10000.0</v>
      </c>
      <c r="K377" s="222">
        <v>0.0</v>
      </c>
      <c r="L377" s="223">
        <v>46130.0</v>
      </c>
      <c r="M377" s="223">
        <v>46160.0</v>
      </c>
      <c r="N377" s="220">
        <v>1.0</v>
      </c>
      <c r="O377" s="220">
        <v>-736.0</v>
      </c>
      <c r="P377" s="220">
        <v>766.0</v>
      </c>
      <c r="Q377" s="209"/>
      <c r="R377" s="196" t="s">
        <v>1709</v>
      </c>
      <c r="S377" s="45"/>
      <c r="T377" s="220">
        <v>370.0</v>
      </c>
      <c r="U377" s="198"/>
    </row>
    <row r="378" ht="22.5" customHeight="1">
      <c r="A378" s="211" t="s">
        <v>1710</v>
      </c>
      <c r="B378" s="212" t="s">
        <v>243</v>
      </c>
      <c r="C378" s="231" t="s">
        <v>684</v>
      </c>
      <c r="D378" s="214" t="s">
        <v>1711</v>
      </c>
      <c r="E378" s="212" t="s">
        <v>15</v>
      </c>
      <c r="F378" s="215">
        <v>1.0</v>
      </c>
      <c r="G378" s="210"/>
      <c r="H378" s="216">
        <v>300.0</v>
      </c>
      <c r="I378" s="216">
        <v>300.0</v>
      </c>
      <c r="J378" s="201"/>
      <c r="K378" s="201"/>
      <c r="L378" s="217">
        <v>46121.0</v>
      </c>
      <c r="M378" s="217">
        <v>46151.0</v>
      </c>
      <c r="N378" s="147"/>
      <c r="O378" s="215">
        <v>-745.0</v>
      </c>
      <c r="P378" s="215">
        <v>775.0</v>
      </c>
      <c r="Q378" s="203"/>
      <c r="R378" s="218" t="s">
        <v>1712</v>
      </c>
      <c r="S378" s="186"/>
      <c r="T378" s="215">
        <v>371.0</v>
      </c>
      <c r="U378" s="204"/>
    </row>
    <row r="379" ht="22.5" customHeight="1">
      <c r="A379" s="192" t="s">
        <v>1713</v>
      </c>
      <c r="B379" s="193" t="s">
        <v>305</v>
      </c>
      <c r="C379" s="226" t="s">
        <v>136</v>
      </c>
      <c r="D379" s="194" t="s">
        <v>1714</v>
      </c>
      <c r="E379" s="193" t="s">
        <v>17</v>
      </c>
      <c r="F379" s="220">
        <v>1.0</v>
      </c>
      <c r="G379" s="221"/>
      <c r="H379" s="222">
        <v>5000.0</v>
      </c>
      <c r="I379" s="222">
        <v>5000.0</v>
      </c>
      <c r="J379" s="222">
        <v>5000.0</v>
      </c>
      <c r="K379" s="222">
        <v>3750.0</v>
      </c>
      <c r="L379" s="223">
        <v>46132.0</v>
      </c>
      <c r="M379" s="223">
        <v>46162.0</v>
      </c>
      <c r="N379" s="220">
        <v>0.0</v>
      </c>
      <c r="O379" s="220">
        <v>-734.0</v>
      </c>
      <c r="P379" s="220">
        <v>764.0</v>
      </c>
      <c r="Q379" s="209"/>
      <c r="R379" s="196" t="s">
        <v>1715</v>
      </c>
      <c r="S379" s="45"/>
      <c r="T379" s="220">
        <v>372.0</v>
      </c>
      <c r="U379" s="198"/>
    </row>
    <row r="380" ht="22.5" customHeight="1">
      <c r="A380" s="211" t="s">
        <v>1716</v>
      </c>
      <c r="B380" s="212" t="s">
        <v>249</v>
      </c>
      <c r="C380" s="213" t="s">
        <v>136</v>
      </c>
      <c r="D380" s="214" t="s">
        <v>1717</v>
      </c>
      <c r="E380" s="212" t="s">
        <v>15</v>
      </c>
      <c r="F380" s="215">
        <v>3.0</v>
      </c>
      <c r="G380" s="210"/>
      <c r="H380" s="216">
        <v>100.0</v>
      </c>
      <c r="I380" s="216">
        <v>300.0</v>
      </c>
      <c r="J380" s="216">
        <v>6000.0</v>
      </c>
      <c r="K380" s="216">
        <v>0.0</v>
      </c>
      <c r="L380" s="217">
        <v>46123.0</v>
      </c>
      <c r="M380" s="217">
        <v>46153.0</v>
      </c>
      <c r="N380" s="215">
        <v>1.0</v>
      </c>
      <c r="O380" s="215">
        <v>-743.0</v>
      </c>
      <c r="P380" s="215">
        <v>773.0</v>
      </c>
      <c r="Q380" s="203"/>
      <c r="R380" s="218" t="s">
        <v>1718</v>
      </c>
      <c r="S380" s="186"/>
      <c r="T380" s="215">
        <v>373.0</v>
      </c>
      <c r="U380" s="204"/>
    </row>
    <row r="381" ht="22.5" customHeight="1">
      <c r="A381" s="192" t="s">
        <v>1719</v>
      </c>
      <c r="B381" s="193" t="s">
        <v>291</v>
      </c>
      <c r="C381" s="226" t="s">
        <v>136</v>
      </c>
      <c r="D381" s="206"/>
      <c r="E381" s="206"/>
      <c r="F381" s="220">
        <v>2.0</v>
      </c>
      <c r="G381" s="221"/>
      <c r="H381" s="197" t="s">
        <v>1720</v>
      </c>
      <c r="I381" s="222">
        <v>13875.0</v>
      </c>
      <c r="J381" s="222">
        <v>13875.0</v>
      </c>
      <c r="K381" s="222">
        <v>0.0</v>
      </c>
      <c r="L381" s="223">
        <v>46129.0</v>
      </c>
      <c r="M381" s="223">
        <v>46159.0</v>
      </c>
      <c r="N381" s="220">
        <v>1.0</v>
      </c>
      <c r="O381" s="220">
        <v>-737.0</v>
      </c>
      <c r="P381" s="220">
        <v>767.0</v>
      </c>
      <c r="Q381" s="209"/>
      <c r="R381" s="196" t="s">
        <v>1721</v>
      </c>
      <c r="S381" s="45"/>
      <c r="T381" s="220">
        <v>374.0</v>
      </c>
      <c r="U381" s="198"/>
    </row>
    <row r="382" ht="22.5" customHeight="1">
      <c r="A382" s="211" t="s">
        <v>1722</v>
      </c>
      <c r="B382" s="212" t="s">
        <v>330</v>
      </c>
      <c r="C382" s="213" t="s">
        <v>136</v>
      </c>
      <c r="D382" s="214" t="s">
        <v>1552</v>
      </c>
      <c r="E382" s="212" t="s">
        <v>17</v>
      </c>
      <c r="F382" s="215">
        <v>2.0</v>
      </c>
      <c r="G382" s="210"/>
      <c r="H382" s="237" t="s">
        <v>1200</v>
      </c>
      <c r="I382" s="216">
        <v>15000.0</v>
      </c>
      <c r="J382" s="216">
        <v>15000.0</v>
      </c>
      <c r="K382" s="216">
        <v>0.0</v>
      </c>
      <c r="L382" s="217">
        <v>46121.0</v>
      </c>
      <c r="M382" s="217">
        <v>46151.0</v>
      </c>
      <c r="N382" s="215">
        <v>1.0</v>
      </c>
      <c r="O382" s="215">
        <v>-745.0</v>
      </c>
      <c r="P382" s="215">
        <v>775.0</v>
      </c>
      <c r="Q382" s="203"/>
      <c r="R382" s="218" t="s">
        <v>1723</v>
      </c>
      <c r="S382" s="186"/>
      <c r="T382" s="215">
        <v>375.0</v>
      </c>
      <c r="U382" s="204"/>
    </row>
    <row r="383" ht="22.5" customHeight="1">
      <c r="A383" s="192" t="s">
        <v>1619</v>
      </c>
      <c r="B383" s="193" t="s">
        <v>338</v>
      </c>
      <c r="C383" s="226" t="s">
        <v>136</v>
      </c>
      <c r="D383" s="194" t="s">
        <v>1469</v>
      </c>
      <c r="E383" s="193" t="s">
        <v>108</v>
      </c>
      <c r="F383" s="220">
        <v>10.25</v>
      </c>
      <c r="G383" s="221"/>
      <c r="H383" s="222">
        <v>30.0</v>
      </c>
      <c r="I383" s="222">
        <v>307.5</v>
      </c>
      <c r="J383" s="222">
        <v>0.0</v>
      </c>
      <c r="K383" s="222">
        <v>0.0</v>
      </c>
      <c r="L383" s="223">
        <v>46121.0</v>
      </c>
      <c r="M383" s="223">
        <v>46151.0</v>
      </c>
      <c r="N383" s="220">
        <v>1.0</v>
      </c>
      <c r="O383" s="220">
        <v>-745.0</v>
      </c>
      <c r="P383" s="220">
        <v>775.0</v>
      </c>
      <c r="Q383" s="238">
        <v>46255.0</v>
      </c>
      <c r="R383" s="196" t="s">
        <v>1724</v>
      </c>
      <c r="S383" s="45"/>
      <c r="T383" s="220">
        <v>376.0</v>
      </c>
      <c r="U383" s="198"/>
    </row>
    <row r="384" ht="22.5" customHeight="1">
      <c r="A384" s="211">
        <v>0.1667</v>
      </c>
      <c r="B384" s="212" t="s">
        <v>332</v>
      </c>
      <c r="C384" s="213" t="s">
        <v>136</v>
      </c>
      <c r="D384" s="214" t="s">
        <v>1472</v>
      </c>
      <c r="E384" s="212" t="s">
        <v>15</v>
      </c>
      <c r="F384" s="215">
        <v>1.0</v>
      </c>
      <c r="G384" s="210"/>
      <c r="H384" s="216">
        <v>150.0</v>
      </c>
      <c r="I384" s="216">
        <v>150.0</v>
      </c>
      <c r="J384" s="216">
        <v>3300.0</v>
      </c>
      <c r="K384" s="216">
        <v>0.0</v>
      </c>
      <c r="L384" s="217">
        <v>46132.0</v>
      </c>
      <c r="M384" s="217">
        <v>46162.0</v>
      </c>
      <c r="N384" s="215">
        <v>1.0</v>
      </c>
      <c r="O384" s="215">
        <v>-734.0</v>
      </c>
      <c r="P384" s="215">
        <v>764.0</v>
      </c>
      <c r="Q384" s="203"/>
      <c r="R384" s="218" t="s">
        <v>1725</v>
      </c>
      <c r="S384" s="186"/>
      <c r="T384" s="215">
        <v>377.0</v>
      </c>
      <c r="U384" s="204"/>
    </row>
    <row r="385" ht="22.5" customHeight="1">
      <c r="A385" s="192" t="s">
        <v>1694</v>
      </c>
      <c r="B385" s="193" t="s">
        <v>322</v>
      </c>
      <c r="C385" s="226" t="s">
        <v>136</v>
      </c>
      <c r="D385" s="194" t="s">
        <v>1695</v>
      </c>
      <c r="E385" s="193" t="s">
        <v>15</v>
      </c>
      <c r="F385" s="220">
        <v>3.0</v>
      </c>
      <c r="G385" s="221"/>
      <c r="H385" s="222">
        <v>100.0</v>
      </c>
      <c r="I385" s="222">
        <v>300.0</v>
      </c>
      <c r="J385" s="222">
        <v>6600.0</v>
      </c>
      <c r="K385" s="222">
        <v>0.0</v>
      </c>
      <c r="L385" s="223">
        <v>46131.0</v>
      </c>
      <c r="M385" s="223">
        <v>46161.0</v>
      </c>
      <c r="N385" s="220">
        <v>1.0</v>
      </c>
      <c r="O385" s="220">
        <v>-735.0</v>
      </c>
      <c r="P385" s="220">
        <v>765.0</v>
      </c>
      <c r="Q385" s="209"/>
      <c r="R385" s="196" t="s">
        <v>1726</v>
      </c>
      <c r="S385" s="45"/>
      <c r="T385" s="220">
        <v>378.0</v>
      </c>
      <c r="U385" s="198"/>
    </row>
    <row r="386" ht="22.5" customHeight="1">
      <c r="A386" s="199"/>
      <c r="B386" s="212" t="s">
        <v>334</v>
      </c>
      <c r="C386" s="213" t="s">
        <v>136</v>
      </c>
      <c r="D386" s="214" t="s">
        <v>1426</v>
      </c>
      <c r="E386" s="212" t="s">
        <v>15</v>
      </c>
      <c r="F386" s="215">
        <v>1.0</v>
      </c>
      <c r="G386" s="210"/>
      <c r="H386" s="216">
        <v>150.0</v>
      </c>
      <c r="I386" s="216">
        <v>150.0</v>
      </c>
      <c r="J386" s="216">
        <v>3300.0</v>
      </c>
      <c r="K386" s="216">
        <v>0.0</v>
      </c>
      <c r="L386" s="217">
        <v>46117.0</v>
      </c>
      <c r="M386" s="217">
        <v>46147.0</v>
      </c>
      <c r="N386" s="215">
        <v>1.0</v>
      </c>
      <c r="O386" s="215">
        <v>-749.0</v>
      </c>
      <c r="P386" s="215">
        <v>779.0</v>
      </c>
      <c r="Q386" s="203"/>
      <c r="R386" s="218" t="s">
        <v>1727</v>
      </c>
      <c r="S386" s="186"/>
      <c r="T386" s="215">
        <v>379.0</v>
      </c>
      <c r="U386" s="204"/>
    </row>
    <row r="387" ht="22.5" customHeight="1">
      <c r="A387" s="192" t="s">
        <v>1619</v>
      </c>
      <c r="B387" s="193" t="s">
        <v>153</v>
      </c>
      <c r="C387" s="226" t="s">
        <v>136</v>
      </c>
      <c r="D387" s="194" t="s">
        <v>1653</v>
      </c>
      <c r="E387" s="193" t="s">
        <v>108</v>
      </c>
      <c r="F387" s="220">
        <v>47.3</v>
      </c>
      <c r="G387" s="150"/>
      <c r="H387" s="222">
        <v>20.0</v>
      </c>
      <c r="I387" s="222">
        <v>946.0</v>
      </c>
      <c r="J387" s="222">
        <v>59938.56</v>
      </c>
      <c r="K387" s="222">
        <v>0.0</v>
      </c>
      <c r="L387" s="223">
        <v>46121.0</v>
      </c>
      <c r="M387" s="223">
        <v>46151.0</v>
      </c>
      <c r="N387" s="220">
        <v>1.0</v>
      </c>
      <c r="O387" s="220">
        <v>-745.0</v>
      </c>
      <c r="P387" s="220">
        <v>775.0</v>
      </c>
      <c r="Q387" s="209"/>
      <c r="R387" s="196" t="s">
        <v>1728</v>
      </c>
      <c r="S387" s="45"/>
      <c r="T387" s="220">
        <v>380.0</v>
      </c>
      <c r="U387" s="198"/>
    </row>
    <row r="388" ht="22.5" customHeight="1">
      <c r="A388" s="211" t="s">
        <v>1729</v>
      </c>
      <c r="B388" s="212" t="s">
        <v>328</v>
      </c>
      <c r="C388" s="213" t="s">
        <v>136</v>
      </c>
      <c r="D388" s="214" t="s">
        <v>1283</v>
      </c>
      <c r="E388" s="212" t="s">
        <v>19</v>
      </c>
      <c r="F388" s="215">
        <v>4.0</v>
      </c>
      <c r="G388" s="210"/>
      <c r="H388" s="216">
        <v>10.0</v>
      </c>
      <c r="I388" s="216">
        <v>40.0</v>
      </c>
      <c r="J388" s="216">
        <v>4212.37</v>
      </c>
      <c r="K388" s="216">
        <v>0.0</v>
      </c>
      <c r="L388" s="217">
        <v>46086.0</v>
      </c>
      <c r="M388" s="217">
        <v>46117.0</v>
      </c>
      <c r="N388" s="215">
        <v>1.0</v>
      </c>
      <c r="O388" s="215">
        <v>-779.0</v>
      </c>
      <c r="P388" s="215">
        <v>809.0</v>
      </c>
      <c r="Q388" s="203"/>
      <c r="R388" s="218" t="s">
        <v>1730</v>
      </c>
      <c r="S388" s="186"/>
      <c r="T388" s="215">
        <v>352.0</v>
      </c>
      <c r="U388" s="204"/>
    </row>
    <row r="389" ht="22.5" customHeight="1">
      <c r="A389" s="192" t="s">
        <v>1731</v>
      </c>
      <c r="B389" s="193" t="s">
        <v>336</v>
      </c>
      <c r="C389" s="226" t="s">
        <v>136</v>
      </c>
      <c r="D389" s="194" t="s">
        <v>1369</v>
      </c>
      <c r="E389" s="193" t="s">
        <v>17</v>
      </c>
      <c r="F389" s="220">
        <v>3.0</v>
      </c>
      <c r="G389" s="221"/>
      <c r="H389" s="222">
        <v>1000.0</v>
      </c>
      <c r="I389" s="222">
        <v>3000.0</v>
      </c>
      <c r="J389" s="222">
        <v>2499.9</v>
      </c>
      <c r="K389" s="222">
        <v>2499.9</v>
      </c>
      <c r="L389" s="223">
        <v>46087.0</v>
      </c>
      <c r="M389" s="223">
        <v>46118.0</v>
      </c>
      <c r="N389" s="220">
        <v>0.0</v>
      </c>
      <c r="O389" s="220">
        <v>-778.0</v>
      </c>
      <c r="P389" s="220">
        <v>808.0</v>
      </c>
      <c r="Q389" s="209"/>
      <c r="R389" s="196" t="s">
        <v>1732</v>
      </c>
      <c r="S389" s="45"/>
      <c r="T389" s="220">
        <v>353.0</v>
      </c>
      <c r="U389" s="198"/>
    </row>
    <row r="390" ht="22.5" customHeight="1">
      <c r="A390" s="211" t="s">
        <v>1703</v>
      </c>
      <c r="B390" s="212" t="s">
        <v>255</v>
      </c>
      <c r="C390" s="213" t="s">
        <v>136</v>
      </c>
      <c r="D390" s="214" t="s">
        <v>1704</v>
      </c>
      <c r="E390" s="212" t="s">
        <v>15</v>
      </c>
      <c r="F390" s="215">
        <v>1.0</v>
      </c>
      <c r="G390" s="210"/>
      <c r="H390" s="216">
        <v>6000.0</v>
      </c>
      <c r="I390" s="216">
        <v>6000.0</v>
      </c>
      <c r="J390" s="216">
        <v>6000.0</v>
      </c>
      <c r="K390" s="216">
        <v>0.0</v>
      </c>
      <c r="L390" s="217">
        <v>46102.0</v>
      </c>
      <c r="M390" s="217">
        <v>46133.0</v>
      </c>
      <c r="N390" s="215">
        <v>1.0</v>
      </c>
      <c r="O390" s="215">
        <v>-763.0</v>
      </c>
      <c r="P390" s="215">
        <v>793.0</v>
      </c>
      <c r="Q390" s="203"/>
      <c r="R390" s="218" t="s">
        <v>1733</v>
      </c>
      <c r="S390" s="186"/>
      <c r="T390" s="215">
        <v>354.0</v>
      </c>
      <c r="U390" s="204"/>
    </row>
    <row r="391" ht="22.5" customHeight="1">
      <c r="A391" s="205"/>
      <c r="B391" s="193" t="s">
        <v>309</v>
      </c>
      <c r="C391" s="226" t="s">
        <v>136</v>
      </c>
      <c r="D391" s="194" t="s">
        <v>1676</v>
      </c>
      <c r="E391" s="193" t="s">
        <v>17</v>
      </c>
      <c r="F391" s="220">
        <v>2.0</v>
      </c>
      <c r="G391" s="221"/>
      <c r="H391" s="222">
        <v>2500.0</v>
      </c>
      <c r="I391" s="222">
        <v>5000.0</v>
      </c>
      <c r="J391" s="222">
        <v>5000.0</v>
      </c>
      <c r="K391" s="222">
        <v>0.0</v>
      </c>
      <c r="L391" s="223">
        <v>46084.0</v>
      </c>
      <c r="M391" s="223">
        <v>46115.0</v>
      </c>
      <c r="N391" s="220">
        <v>1.0</v>
      </c>
      <c r="O391" s="220">
        <v>-781.0</v>
      </c>
      <c r="P391" s="220">
        <v>811.0</v>
      </c>
      <c r="Q391" s="209"/>
      <c r="R391" s="196" t="s">
        <v>1734</v>
      </c>
      <c r="S391" s="45"/>
      <c r="T391" s="220">
        <v>355.0</v>
      </c>
      <c r="U391" s="198"/>
    </row>
    <row r="392" ht="22.5" customHeight="1">
      <c r="A392" s="211" t="s">
        <v>1661</v>
      </c>
      <c r="B392" s="212" t="s">
        <v>301</v>
      </c>
      <c r="C392" s="213" t="s">
        <v>136</v>
      </c>
      <c r="D392" s="214" t="s">
        <v>1708</v>
      </c>
      <c r="E392" s="212" t="s">
        <v>17</v>
      </c>
      <c r="F392" s="215">
        <v>2.0</v>
      </c>
      <c r="G392" s="210"/>
      <c r="H392" s="216">
        <v>6000.0</v>
      </c>
      <c r="I392" s="216">
        <v>10000.0</v>
      </c>
      <c r="J392" s="216">
        <v>10000.0</v>
      </c>
      <c r="K392" s="216">
        <v>0.0</v>
      </c>
      <c r="L392" s="217">
        <v>46099.0</v>
      </c>
      <c r="M392" s="217">
        <v>46130.0</v>
      </c>
      <c r="N392" s="215">
        <v>1.0</v>
      </c>
      <c r="O392" s="215">
        <v>-766.0</v>
      </c>
      <c r="P392" s="215">
        <v>796.0</v>
      </c>
      <c r="Q392" s="203"/>
      <c r="R392" s="218" t="s">
        <v>1735</v>
      </c>
      <c r="S392" s="186"/>
      <c r="T392" s="215">
        <v>356.0</v>
      </c>
      <c r="U392" s="204"/>
    </row>
    <row r="393" ht="22.5" customHeight="1">
      <c r="A393" s="192" t="s">
        <v>1710</v>
      </c>
      <c r="B393" s="193" t="s">
        <v>243</v>
      </c>
      <c r="C393" s="206"/>
      <c r="D393" s="194" t="s">
        <v>1711</v>
      </c>
      <c r="E393" s="206"/>
      <c r="F393" s="220">
        <v>1.0</v>
      </c>
      <c r="G393" s="221"/>
      <c r="H393" s="222">
        <v>300.0</v>
      </c>
      <c r="I393" s="222">
        <v>300.0</v>
      </c>
      <c r="J393" s="207"/>
      <c r="K393" s="207"/>
      <c r="L393" s="223">
        <v>46090.0</v>
      </c>
      <c r="M393" s="223">
        <v>46121.0</v>
      </c>
      <c r="N393" s="150"/>
      <c r="O393" s="220">
        <v>-775.0</v>
      </c>
      <c r="P393" s="220">
        <v>805.0</v>
      </c>
      <c r="Q393" s="209"/>
      <c r="R393" s="196" t="s">
        <v>1736</v>
      </c>
      <c r="S393" s="45"/>
      <c r="T393" s="220">
        <v>357.0</v>
      </c>
      <c r="U393" s="198"/>
    </row>
    <row r="394" ht="22.5" customHeight="1">
      <c r="A394" s="199"/>
      <c r="B394" s="212" t="s">
        <v>305</v>
      </c>
      <c r="C394" s="213" t="s">
        <v>136</v>
      </c>
      <c r="D394" s="214" t="s">
        <v>1714</v>
      </c>
      <c r="E394" s="212" t="s">
        <v>17</v>
      </c>
      <c r="F394" s="215">
        <v>1.0</v>
      </c>
      <c r="G394" s="210"/>
      <c r="H394" s="216">
        <v>5000.0</v>
      </c>
      <c r="I394" s="216">
        <v>5000.0</v>
      </c>
      <c r="J394" s="216">
        <v>5000.0</v>
      </c>
      <c r="K394" s="216">
        <v>0.0</v>
      </c>
      <c r="L394" s="217">
        <v>46086.0</v>
      </c>
      <c r="M394" s="217">
        <v>46117.0</v>
      </c>
      <c r="N394" s="215">
        <v>1.0</v>
      </c>
      <c r="O394" s="215">
        <v>-779.0</v>
      </c>
      <c r="P394" s="215">
        <v>809.0</v>
      </c>
      <c r="Q394" s="203"/>
      <c r="R394" s="218" t="s">
        <v>1737</v>
      </c>
      <c r="S394" s="186"/>
      <c r="T394" s="215">
        <v>358.0</v>
      </c>
      <c r="U394" s="204"/>
    </row>
    <row r="395" ht="22.5" customHeight="1">
      <c r="A395" s="192" t="s">
        <v>1738</v>
      </c>
      <c r="B395" s="193" t="s">
        <v>263</v>
      </c>
      <c r="C395" s="226" t="s">
        <v>136</v>
      </c>
      <c r="D395" s="194" t="s">
        <v>1739</v>
      </c>
      <c r="E395" s="193" t="s">
        <v>15</v>
      </c>
      <c r="F395" s="220">
        <v>3.0</v>
      </c>
      <c r="G395" s="230">
        <v>0.33</v>
      </c>
      <c r="H395" s="222">
        <v>100.0</v>
      </c>
      <c r="I395" s="222">
        <v>300.0</v>
      </c>
      <c r="J395" s="222">
        <v>6000.0</v>
      </c>
      <c r="K395" s="222">
        <v>8000.0</v>
      </c>
      <c r="L395" s="223">
        <v>46089.0</v>
      </c>
      <c r="M395" s="223">
        <v>46120.0</v>
      </c>
      <c r="N395" s="220">
        <v>0.0</v>
      </c>
      <c r="O395" s="220">
        <v>-776.0</v>
      </c>
      <c r="P395" s="220">
        <v>806.0</v>
      </c>
      <c r="Q395" s="209"/>
      <c r="R395" s="196" t="s">
        <v>1740</v>
      </c>
      <c r="S395" s="45"/>
      <c r="T395" s="220">
        <v>359.0</v>
      </c>
      <c r="U395" s="198"/>
    </row>
    <row r="396" ht="22.5" customHeight="1">
      <c r="A396" s="211" t="s">
        <v>1741</v>
      </c>
      <c r="B396" s="212" t="s">
        <v>249</v>
      </c>
      <c r="C396" s="213" t="s">
        <v>136</v>
      </c>
      <c r="D396" s="214" t="s">
        <v>1717</v>
      </c>
      <c r="E396" s="212" t="s">
        <v>15</v>
      </c>
      <c r="F396" s="215">
        <v>3.0</v>
      </c>
      <c r="G396" s="224">
        <v>0.33</v>
      </c>
      <c r="H396" s="216">
        <v>100.0</v>
      </c>
      <c r="I396" s="216">
        <v>300.0</v>
      </c>
      <c r="J396" s="216">
        <v>6000.0</v>
      </c>
      <c r="K396" s="216">
        <v>0.0</v>
      </c>
      <c r="L396" s="217">
        <v>46092.0</v>
      </c>
      <c r="M396" s="217">
        <v>46123.0</v>
      </c>
      <c r="N396" s="215">
        <v>1.0</v>
      </c>
      <c r="O396" s="215">
        <v>-773.0</v>
      </c>
      <c r="P396" s="215">
        <v>803.0</v>
      </c>
      <c r="Q396" s="203"/>
      <c r="R396" s="218" t="s">
        <v>1742</v>
      </c>
      <c r="S396" s="186"/>
      <c r="T396" s="215">
        <v>360.0</v>
      </c>
      <c r="U396" s="204"/>
    </row>
    <row r="397" ht="22.5" customHeight="1">
      <c r="A397" s="205"/>
      <c r="B397" s="193" t="s">
        <v>330</v>
      </c>
      <c r="C397" s="226" t="s">
        <v>136</v>
      </c>
      <c r="D397" s="194" t="s">
        <v>1552</v>
      </c>
      <c r="E397" s="193" t="s">
        <v>17</v>
      </c>
      <c r="F397" s="220">
        <v>2.0</v>
      </c>
      <c r="G397" s="221"/>
      <c r="H397" s="197" t="s">
        <v>1200</v>
      </c>
      <c r="I397" s="222">
        <v>15000.0</v>
      </c>
      <c r="J397" s="222">
        <v>15000.0</v>
      </c>
      <c r="K397" s="222">
        <v>0.0</v>
      </c>
      <c r="L397" s="223">
        <v>46090.0</v>
      </c>
      <c r="M397" s="223">
        <v>46121.0</v>
      </c>
      <c r="N397" s="220">
        <v>1.0</v>
      </c>
      <c r="O397" s="220">
        <v>-775.0</v>
      </c>
      <c r="P397" s="220">
        <v>805.0</v>
      </c>
      <c r="Q397" s="209"/>
      <c r="R397" s="196" t="s">
        <v>1743</v>
      </c>
      <c r="S397" s="45"/>
      <c r="T397" s="220">
        <v>361.0</v>
      </c>
      <c r="U397" s="198"/>
    </row>
    <row r="398" ht="22.5" customHeight="1">
      <c r="A398" s="211">
        <v>0.1667</v>
      </c>
      <c r="B398" s="212" t="s">
        <v>332</v>
      </c>
      <c r="C398" s="213" t="s">
        <v>136</v>
      </c>
      <c r="D398" s="214" t="s">
        <v>1472</v>
      </c>
      <c r="E398" s="212" t="s">
        <v>15</v>
      </c>
      <c r="F398" s="215">
        <v>1.0</v>
      </c>
      <c r="G398" s="210"/>
      <c r="H398" s="216">
        <v>150.0</v>
      </c>
      <c r="I398" s="216">
        <v>150.0</v>
      </c>
      <c r="J398" s="216">
        <v>3300.0</v>
      </c>
      <c r="K398" s="216">
        <v>0.0</v>
      </c>
      <c r="L398" s="217">
        <v>46101.0</v>
      </c>
      <c r="M398" s="217">
        <v>46132.0</v>
      </c>
      <c r="N398" s="215">
        <v>1.0</v>
      </c>
      <c r="O398" s="215">
        <v>-764.0</v>
      </c>
      <c r="P398" s="215">
        <v>794.0</v>
      </c>
      <c r="Q398" s="203"/>
      <c r="R398" s="218" t="s">
        <v>1744</v>
      </c>
      <c r="S398" s="186"/>
      <c r="T398" s="215">
        <v>362.0</v>
      </c>
      <c r="U398" s="204"/>
    </row>
    <row r="399" ht="22.5" customHeight="1">
      <c r="A399" s="192" t="s">
        <v>1694</v>
      </c>
      <c r="B399" s="193" t="s">
        <v>322</v>
      </c>
      <c r="C399" s="226" t="s">
        <v>136</v>
      </c>
      <c r="D399" s="194" t="s">
        <v>1695</v>
      </c>
      <c r="E399" s="193" t="s">
        <v>15</v>
      </c>
      <c r="F399" s="220">
        <v>3.0</v>
      </c>
      <c r="G399" s="221"/>
      <c r="H399" s="222">
        <v>100.0</v>
      </c>
      <c r="I399" s="222">
        <v>300.0</v>
      </c>
      <c r="J399" s="222">
        <v>6600.0</v>
      </c>
      <c r="K399" s="222">
        <v>0.0</v>
      </c>
      <c r="L399" s="223">
        <v>46100.0</v>
      </c>
      <c r="M399" s="223">
        <v>46131.0</v>
      </c>
      <c r="N399" s="220">
        <v>1.0</v>
      </c>
      <c r="O399" s="220">
        <v>-765.0</v>
      </c>
      <c r="P399" s="220">
        <v>795.0</v>
      </c>
      <c r="Q399" s="209"/>
      <c r="R399" s="196" t="s">
        <v>1745</v>
      </c>
      <c r="S399" s="45"/>
      <c r="T399" s="220">
        <v>363.0</v>
      </c>
      <c r="U399" s="198"/>
    </row>
    <row r="400" ht="22.5" customHeight="1">
      <c r="A400" s="199"/>
      <c r="B400" s="212" t="s">
        <v>334</v>
      </c>
      <c r="C400" s="213" t="s">
        <v>136</v>
      </c>
      <c r="D400" s="214" t="s">
        <v>1426</v>
      </c>
      <c r="E400" s="212" t="s">
        <v>15</v>
      </c>
      <c r="F400" s="215">
        <v>1.0</v>
      </c>
      <c r="G400" s="210"/>
      <c r="H400" s="216">
        <v>150.0</v>
      </c>
      <c r="I400" s="216">
        <v>150.0</v>
      </c>
      <c r="J400" s="216">
        <v>3300.0</v>
      </c>
      <c r="K400" s="216">
        <v>0.0</v>
      </c>
      <c r="L400" s="217">
        <v>46086.0</v>
      </c>
      <c r="M400" s="217">
        <v>46117.0</v>
      </c>
      <c r="N400" s="215">
        <v>1.0</v>
      </c>
      <c r="O400" s="215">
        <v>-779.0</v>
      </c>
      <c r="P400" s="215">
        <v>809.0</v>
      </c>
      <c r="Q400" s="203"/>
      <c r="R400" s="218" t="s">
        <v>1746</v>
      </c>
      <c r="S400" s="186"/>
      <c r="T400" s="215">
        <v>364.0</v>
      </c>
      <c r="U400" s="204"/>
    </row>
    <row r="401" ht="22.5" customHeight="1">
      <c r="A401" s="192">
        <v>1.0</v>
      </c>
      <c r="B401" s="193" t="s">
        <v>328</v>
      </c>
      <c r="C401" s="226" t="s">
        <v>136</v>
      </c>
      <c r="D401" s="194" t="s">
        <v>1283</v>
      </c>
      <c r="E401" s="193" t="s">
        <v>19</v>
      </c>
      <c r="F401" s="220">
        <v>1.5</v>
      </c>
      <c r="G401" s="150"/>
      <c r="H401" s="222">
        <v>10.0</v>
      </c>
      <c r="I401" s="222">
        <v>15.0</v>
      </c>
      <c r="J401" s="222">
        <v>1578.75</v>
      </c>
      <c r="K401" s="222">
        <v>0.0</v>
      </c>
      <c r="L401" s="223">
        <v>46073.0</v>
      </c>
      <c r="M401" s="223">
        <v>46101.0</v>
      </c>
      <c r="N401" s="220">
        <v>1.0</v>
      </c>
      <c r="O401" s="220">
        <v>-795.0</v>
      </c>
      <c r="P401" s="220">
        <v>825.0</v>
      </c>
      <c r="Q401" s="209"/>
      <c r="R401" s="196" t="s">
        <v>1747</v>
      </c>
      <c r="S401" s="45"/>
      <c r="T401" s="220">
        <v>334.0</v>
      </c>
      <c r="U401" s="198"/>
    </row>
    <row r="402" ht="22.5" customHeight="1">
      <c r="A402" s="211" t="s">
        <v>1748</v>
      </c>
      <c r="B402" s="212" t="s">
        <v>211</v>
      </c>
      <c r="C402" s="213" t="s">
        <v>136</v>
      </c>
      <c r="D402" s="214" t="s">
        <v>1650</v>
      </c>
      <c r="E402" s="212" t="s">
        <v>15</v>
      </c>
      <c r="F402" s="215">
        <v>4.0</v>
      </c>
      <c r="G402" s="210"/>
      <c r="H402" s="216">
        <v>150.0</v>
      </c>
      <c r="I402" s="216">
        <v>600.0</v>
      </c>
      <c r="J402" s="216">
        <v>13200.0</v>
      </c>
      <c r="K402" s="216">
        <v>0.0</v>
      </c>
      <c r="L402" s="217">
        <v>46068.0</v>
      </c>
      <c r="M402" s="217">
        <v>46096.0</v>
      </c>
      <c r="N402" s="215">
        <v>1.0</v>
      </c>
      <c r="O402" s="215">
        <v>-800.0</v>
      </c>
      <c r="P402" s="215">
        <v>830.0</v>
      </c>
      <c r="Q402" s="203"/>
      <c r="R402" s="218" t="s">
        <v>1749</v>
      </c>
      <c r="S402" s="186"/>
      <c r="T402" s="215">
        <v>335.0</v>
      </c>
      <c r="U402" s="204"/>
    </row>
    <row r="403" ht="22.5" customHeight="1">
      <c r="A403" s="192" t="s">
        <v>684</v>
      </c>
      <c r="B403" s="193" t="s">
        <v>293</v>
      </c>
      <c r="C403" s="219" t="s">
        <v>684</v>
      </c>
      <c r="D403" s="194" t="s">
        <v>1750</v>
      </c>
      <c r="E403" s="193" t="s">
        <v>17</v>
      </c>
      <c r="F403" s="220">
        <v>2.0</v>
      </c>
      <c r="G403" s="221"/>
      <c r="H403" s="197" t="s">
        <v>1751</v>
      </c>
      <c r="I403" s="222">
        <v>10000.0</v>
      </c>
      <c r="J403" s="207"/>
      <c r="K403" s="207"/>
      <c r="L403" s="223">
        <v>46056.0</v>
      </c>
      <c r="M403" s="223">
        <v>46084.0</v>
      </c>
      <c r="N403" s="150"/>
      <c r="O403" s="220">
        <v>-812.0</v>
      </c>
      <c r="P403" s="220">
        <v>842.0</v>
      </c>
      <c r="Q403" s="209"/>
      <c r="R403" s="196" t="s">
        <v>1752</v>
      </c>
      <c r="S403" s="45"/>
      <c r="T403" s="220">
        <v>336.0</v>
      </c>
      <c r="U403" s="198"/>
    </row>
    <row r="404" ht="22.5" customHeight="1">
      <c r="A404" s="199"/>
      <c r="B404" s="212" t="s">
        <v>313</v>
      </c>
      <c r="C404" s="213" t="s">
        <v>136</v>
      </c>
      <c r="D404" s="214" t="s">
        <v>1753</v>
      </c>
      <c r="E404" s="212" t="s">
        <v>17</v>
      </c>
      <c r="F404" s="215">
        <v>4.0</v>
      </c>
      <c r="G404" s="224">
        <v>0.17</v>
      </c>
      <c r="H404" s="216">
        <v>2500.0</v>
      </c>
      <c r="I404" s="216">
        <v>10000.0</v>
      </c>
      <c r="J404" s="216">
        <v>10000.0</v>
      </c>
      <c r="K404" s="216">
        <v>0.0</v>
      </c>
      <c r="L404" s="217">
        <v>46061.0</v>
      </c>
      <c r="M404" s="217">
        <v>46089.0</v>
      </c>
      <c r="N404" s="215">
        <v>1.0</v>
      </c>
      <c r="O404" s="215">
        <v>-807.0</v>
      </c>
      <c r="P404" s="215">
        <v>837.0</v>
      </c>
      <c r="Q404" s="203"/>
      <c r="R404" s="218" t="s">
        <v>1754</v>
      </c>
      <c r="S404" s="186"/>
      <c r="T404" s="215">
        <v>337.0</v>
      </c>
      <c r="U404" s="204"/>
    </row>
    <row r="405" ht="22.5" customHeight="1">
      <c r="A405" s="192" t="s">
        <v>1703</v>
      </c>
      <c r="B405" s="193" t="s">
        <v>255</v>
      </c>
      <c r="C405" s="226" t="s">
        <v>136</v>
      </c>
      <c r="D405" s="194" t="s">
        <v>1704</v>
      </c>
      <c r="E405" s="193" t="s">
        <v>15</v>
      </c>
      <c r="F405" s="220">
        <v>1.0</v>
      </c>
      <c r="G405" s="221"/>
      <c r="H405" s="222">
        <v>6000.0</v>
      </c>
      <c r="I405" s="222">
        <v>6000.0</v>
      </c>
      <c r="J405" s="222">
        <v>6000.0</v>
      </c>
      <c r="K405" s="222">
        <v>0.0</v>
      </c>
      <c r="L405" s="223">
        <v>46074.0</v>
      </c>
      <c r="M405" s="223">
        <v>46102.0</v>
      </c>
      <c r="N405" s="220">
        <v>1.0</v>
      </c>
      <c r="O405" s="220">
        <v>-794.0</v>
      </c>
      <c r="P405" s="220">
        <v>824.0</v>
      </c>
      <c r="Q405" s="209"/>
      <c r="R405" s="196" t="s">
        <v>1755</v>
      </c>
      <c r="S405" s="45"/>
      <c r="T405" s="220">
        <v>338.0</v>
      </c>
      <c r="U405" s="198"/>
    </row>
    <row r="406" ht="22.5" customHeight="1">
      <c r="A406" s="199"/>
      <c r="B406" s="212" t="s">
        <v>309</v>
      </c>
      <c r="C406" s="213" t="s">
        <v>136</v>
      </c>
      <c r="D406" s="214" t="s">
        <v>1676</v>
      </c>
      <c r="E406" s="212" t="s">
        <v>17</v>
      </c>
      <c r="F406" s="215">
        <v>2.0</v>
      </c>
      <c r="G406" s="210"/>
      <c r="H406" s="216">
        <v>2500.0</v>
      </c>
      <c r="I406" s="216">
        <v>5000.0</v>
      </c>
      <c r="J406" s="216">
        <v>5000.0</v>
      </c>
      <c r="K406" s="216">
        <v>0.0</v>
      </c>
      <c r="L406" s="217">
        <v>46056.0</v>
      </c>
      <c r="M406" s="217">
        <v>46084.0</v>
      </c>
      <c r="N406" s="215">
        <v>1.0</v>
      </c>
      <c r="O406" s="215">
        <v>-812.0</v>
      </c>
      <c r="P406" s="215">
        <v>842.0</v>
      </c>
      <c r="Q406" s="203"/>
      <c r="R406" s="218" t="s">
        <v>1756</v>
      </c>
      <c r="S406" s="186"/>
      <c r="T406" s="215">
        <v>339.0</v>
      </c>
      <c r="U406" s="204"/>
    </row>
    <row r="407" ht="22.5" customHeight="1">
      <c r="A407" s="192" t="s">
        <v>1757</v>
      </c>
      <c r="B407" s="193" t="s">
        <v>301</v>
      </c>
      <c r="C407" s="226" t="s">
        <v>136</v>
      </c>
      <c r="D407" s="194" t="s">
        <v>1708</v>
      </c>
      <c r="E407" s="193" t="s">
        <v>17</v>
      </c>
      <c r="F407" s="220">
        <v>2.0</v>
      </c>
      <c r="G407" s="221"/>
      <c r="H407" s="222">
        <v>6000.0</v>
      </c>
      <c r="I407" s="222">
        <v>10000.0</v>
      </c>
      <c r="J407" s="222">
        <v>10000.0</v>
      </c>
      <c r="K407" s="222">
        <v>0.0</v>
      </c>
      <c r="L407" s="223">
        <v>46071.0</v>
      </c>
      <c r="M407" s="223">
        <v>46099.0</v>
      </c>
      <c r="N407" s="220">
        <v>1.0</v>
      </c>
      <c r="O407" s="220">
        <v>-797.0</v>
      </c>
      <c r="P407" s="220">
        <v>827.0</v>
      </c>
      <c r="Q407" s="209"/>
      <c r="R407" s="196" t="s">
        <v>1758</v>
      </c>
      <c r="S407" s="45"/>
      <c r="T407" s="220">
        <v>340.0</v>
      </c>
      <c r="U407" s="198"/>
    </row>
    <row r="408" ht="22.5" customHeight="1">
      <c r="A408" s="211" t="s">
        <v>1710</v>
      </c>
      <c r="B408" s="212" t="s">
        <v>243</v>
      </c>
      <c r="C408" s="213" t="s">
        <v>136</v>
      </c>
      <c r="D408" s="214" t="s">
        <v>1711</v>
      </c>
      <c r="E408" s="212" t="s">
        <v>15</v>
      </c>
      <c r="F408" s="215">
        <v>1.0</v>
      </c>
      <c r="G408" s="147"/>
      <c r="H408" s="216">
        <v>300.0</v>
      </c>
      <c r="I408" s="216">
        <v>300.0</v>
      </c>
      <c r="J408" s="216">
        <v>6600.0</v>
      </c>
      <c r="K408" s="216">
        <v>6600.0</v>
      </c>
      <c r="L408" s="217">
        <v>46064.0</v>
      </c>
      <c r="M408" s="217">
        <v>46092.0</v>
      </c>
      <c r="N408" s="215">
        <v>0.0</v>
      </c>
      <c r="O408" s="215">
        <v>-804.0</v>
      </c>
      <c r="P408" s="215">
        <v>834.0</v>
      </c>
      <c r="Q408" s="203"/>
      <c r="R408" s="218" t="s">
        <v>1759</v>
      </c>
      <c r="S408" s="186"/>
      <c r="T408" s="215">
        <v>341.0</v>
      </c>
      <c r="U408" s="204"/>
    </row>
    <row r="409" ht="22.5" customHeight="1">
      <c r="A409" s="205"/>
      <c r="B409" s="193" t="s">
        <v>271</v>
      </c>
      <c r="C409" s="219" t="s">
        <v>684</v>
      </c>
      <c r="D409" s="194" t="s">
        <v>1760</v>
      </c>
      <c r="E409" s="193" t="s">
        <v>15</v>
      </c>
      <c r="F409" s="220">
        <v>5.0</v>
      </c>
      <c r="G409" s="221"/>
      <c r="H409" s="222">
        <v>100.0</v>
      </c>
      <c r="I409" s="222">
        <v>500.0</v>
      </c>
      <c r="J409" s="207"/>
      <c r="K409" s="207"/>
      <c r="L409" s="223">
        <v>46074.0</v>
      </c>
      <c r="M409" s="223">
        <v>46102.0</v>
      </c>
      <c r="N409" s="150"/>
      <c r="O409" s="220">
        <v>-794.0</v>
      </c>
      <c r="P409" s="220">
        <v>824.0</v>
      </c>
      <c r="Q409" s="209"/>
      <c r="R409" s="196" t="s">
        <v>1761</v>
      </c>
      <c r="S409" s="45"/>
      <c r="T409" s="220">
        <v>342.0</v>
      </c>
      <c r="U409" s="198"/>
    </row>
    <row r="410" ht="22.5" customHeight="1">
      <c r="A410" s="199"/>
      <c r="B410" s="212" t="s">
        <v>305</v>
      </c>
      <c r="C410" s="213" t="s">
        <v>136</v>
      </c>
      <c r="D410" s="214" t="s">
        <v>1762</v>
      </c>
      <c r="E410" s="212" t="s">
        <v>17</v>
      </c>
      <c r="F410" s="215">
        <v>3.0</v>
      </c>
      <c r="G410" s="210"/>
      <c r="H410" s="216">
        <v>2500.0</v>
      </c>
      <c r="I410" s="216">
        <v>7500.0</v>
      </c>
      <c r="J410" s="216">
        <v>7500.0</v>
      </c>
      <c r="K410" s="216">
        <v>0.0</v>
      </c>
      <c r="L410" s="217">
        <v>46058.0</v>
      </c>
      <c r="M410" s="217">
        <v>46086.0</v>
      </c>
      <c r="N410" s="215">
        <v>1.0</v>
      </c>
      <c r="O410" s="215">
        <v>-810.0</v>
      </c>
      <c r="P410" s="215">
        <v>840.0</v>
      </c>
      <c r="Q410" s="203"/>
      <c r="R410" s="218" t="s">
        <v>1763</v>
      </c>
      <c r="S410" s="186"/>
      <c r="T410" s="215">
        <v>343.0</v>
      </c>
      <c r="U410" s="204"/>
    </row>
    <row r="411" ht="22.5" customHeight="1">
      <c r="A411" s="205"/>
      <c r="B411" s="193" t="s">
        <v>263</v>
      </c>
      <c r="C411" s="226" t="s">
        <v>136</v>
      </c>
      <c r="D411" s="194" t="s">
        <v>1739</v>
      </c>
      <c r="E411" s="193" t="s">
        <v>15</v>
      </c>
      <c r="F411" s="220">
        <v>3.0</v>
      </c>
      <c r="G411" s="230">
        <v>0.33</v>
      </c>
      <c r="H411" s="222">
        <v>100.0</v>
      </c>
      <c r="I411" s="222">
        <v>300.0</v>
      </c>
      <c r="J411" s="222">
        <v>6000.0</v>
      </c>
      <c r="K411" s="222">
        <v>6000.0</v>
      </c>
      <c r="L411" s="223">
        <v>46061.0</v>
      </c>
      <c r="M411" s="223">
        <v>46089.0</v>
      </c>
      <c r="N411" s="220">
        <v>0.0</v>
      </c>
      <c r="O411" s="220">
        <v>-807.0</v>
      </c>
      <c r="P411" s="220">
        <v>837.0</v>
      </c>
      <c r="Q411" s="209"/>
      <c r="R411" s="196" t="s">
        <v>1764</v>
      </c>
      <c r="S411" s="45"/>
      <c r="T411" s="220">
        <v>344.0</v>
      </c>
      <c r="U411" s="198"/>
    </row>
    <row r="412" ht="22.5" customHeight="1">
      <c r="A412" s="211" t="s">
        <v>1765</v>
      </c>
      <c r="B412" s="212" t="s">
        <v>249</v>
      </c>
      <c r="C412" s="213" t="s">
        <v>136</v>
      </c>
      <c r="D412" s="214" t="s">
        <v>1717</v>
      </c>
      <c r="E412" s="212" t="s">
        <v>15</v>
      </c>
      <c r="F412" s="215">
        <v>3.0</v>
      </c>
      <c r="G412" s="224">
        <v>0.33</v>
      </c>
      <c r="H412" s="216">
        <v>100.0</v>
      </c>
      <c r="I412" s="216">
        <v>300.0</v>
      </c>
      <c r="J412" s="216">
        <v>6000.0</v>
      </c>
      <c r="K412" s="216">
        <v>0.0</v>
      </c>
      <c r="L412" s="217">
        <v>46064.0</v>
      </c>
      <c r="M412" s="217">
        <v>46092.0</v>
      </c>
      <c r="N412" s="215">
        <v>1.0</v>
      </c>
      <c r="O412" s="215">
        <v>-804.0</v>
      </c>
      <c r="P412" s="215">
        <v>834.0</v>
      </c>
      <c r="Q412" s="203"/>
      <c r="R412" s="218" t="s">
        <v>1766</v>
      </c>
      <c r="S412" s="186"/>
      <c r="T412" s="215">
        <v>345.0</v>
      </c>
      <c r="U412" s="204"/>
    </row>
    <row r="413" ht="22.5" customHeight="1">
      <c r="A413" s="192">
        <v>0.1667</v>
      </c>
      <c r="B413" s="193" t="s">
        <v>215</v>
      </c>
      <c r="C413" s="219" t="s">
        <v>684</v>
      </c>
      <c r="D413" s="194" t="s">
        <v>1760</v>
      </c>
      <c r="E413" s="193" t="s">
        <v>15</v>
      </c>
      <c r="F413" s="220">
        <v>5.0</v>
      </c>
      <c r="G413" s="221"/>
      <c r="H413" s="222">
        <v>120.0</v>
      </c>
      <c r="I413" s="222">
        <v>500.0</v>
      </c>
      <c r="J413" s="207"/>
      <c r="K413" s="207"/>
      <c r="L413" s="223">
        <v>46062.0</v>
      </c>
      <c r="M413" s="223">
        <v>46090.0</v>
      </c>
      <c r="N413" s="150"/>
      <c r="O413" s="220">
        <v>-806.0</v>
      </c>
      <c r="P413" s="220">
        <v>836.0</v>
      </c>
      <c r="Q413" s="209"/>
      <c r="R413" s="196" t="s">
        <v>1767</v>
      </c>
      <c r="S413" s="45"/>
      <c r="T413" s="220">
        <v>346.0</v>
      </c>
      <c r="U413" s="198"/>
    </row>
    <row r="414" ht="22.5" customHeight="1">
      <c r="A414" s="211" t="s">
        <v>1768</v>
      </c>
      <c r="B414" s="212" t="s">
        <v>291</v>
      </c>
      <c r="C414" s="213" t="s">
        <v>136</v>
      </c>
      <c r="D414" s="214" t="s">
        <v>1769</v>
      </c>
      <c r="E414" s="212" t="s">
        <v>17</v>
      </c>
      <c r="F414" s="215">
        <v>5.0</v>
      </c>
      <c r="G414" s="210"/>
      <c r="H414" s="237" t="s">
        <v>1682</v>
      </c>
      <c r="I414" s="216">
        <v>21000.0</v>
      </c>
      <c r="J414" s="216">
        <v>16500.0</v>
      </c>
      <c r="K414" s="216">
        <v>0.0</v>
      </c>
      <c r="L414" s="217">
        <v>46056.0</v>
      </c>
      <c r="M414" s="217">
        <v>46084.0</v>
      </c>
      <c r="N414" s="215">
        <v>1.0</v>
      </c>
      <c r="O414" s="215">
        <v>-812.0</v>
      </c>
      <c r="P414" s="215">
        <v>842.0</v>
      </c>
      <c r="Q414" s="203"/>
      <c r="R414" s="218" t="s">
        <v>1770</v>
      </c>
      <c r="S414" s="186"/>
      <c r="T414" s="215">
        <v>347.0</v>
      </c>
      <c r="U414" s="204"/>
    </row>
    <row r="415" ht="22.5" customHeight="1">
      <c r="A415" s="192">
        <v>0.1667</v>
      </c>
      <c r="B415" s="193" t="s">
        <v>330</v>
      </c>
      <c r="C415" s="226" t="s">
        <v>136</v>
      </c>
      <c r="D415" s="194" t="s">
        <v>1552</v>
      </c>
      <c r="E415" s="193" t="s">
        <v>17</v>
      </c>
      <c r="F415" s="220">
        <v>2.0</v>
      </c>
      <c r="G415" s="221"/>
      <c r="H415" s="197" t="s">
        <v>1200</v>
      </c>
      <c r="I415" s="222">
        <v>12500.0</v>
      </c>
      <c r="J415" s="222">
        <v>12500.0</v>
      </c>
      <c r="K415" s="222">
        <v>0.0</v>
      </c>
      <c r="L415" s="223">
        <v>46062.0</v>
      </c>
      <c r="M415" s="223">
        <v>46090.0</v>
      </c>
      <c r="N415" s="220">
        <v>1.0</v>
      </c>
      <c r="O415" s="220">
        <v>-806.0</v>
      </c>
      <c r="P415" s="220">
        <v>836.0</v>
      </c>
      <c r="Q415" s="209"/>
      <c r="R415" s="196" t="s">
        <v>1771</v>
      </c>
      <c r="S415" s="45"/>
      <c r="T415" s="220">
        <v>348.0</v>
      </c>
      <c r="U415" s="198"/>
    </row>
    <row r="416" ht="22.5" customHeight="1">
      <c r="A416" s="211">
        <v>0.1667</v>
      </c>
      <c r="B416" s="212" t="s">
        <v>332</v>
      </c>
      <c r="C416" s="213" t="s">
        <v>136</v>
      </c>
      <c r="D416" s="214" t="s">
        <v>1472</v>
      </c>
      <c r="E416" s="212" t="s">
        <v>15</v>
      </c>
      <c r="F416" s="215">
        <v>1.0</v>
      </c>
      <c r="G416" s="210"/>
      <c r="H416" s="216">
        <v>150.0</v>
      </c>
      <c r="I416" s="216">
        <v>150.0</v>
      </c>
      <c r="J416" s="216">
        <v>3300.0</v>
      </c>
      <c r="K416" s="216">
        <v>3300.0</v>
      </c>
      <c r="L416" s="217">
        <v>46073.0</v>
      </c>
      <c r="M416" s="217">
        <v>46101.0</v>
      </c>
      <c r="N416" s="215">
        <v>0.0</v>
      </c>
      <c r="O416" s="215">
        <v>-795.0</v>
      </c>
      <c r="P416" s="215">
        <v>825.0</v>
      </c>
      <c r="Q416" s="203"/>
      <c r="R416" s="218" t="s">
        <v>1772</v>
      </c>
      <c r="S416" s="186"/>
      <c r="T416" s="215">
        <v>349.0</v>
      </c>
      <c r="U416" s="204"/>
    </row>
    <row r="417" ht="22.5" customHeight="1">
      <c r="A417" s="192" t="s">
        <v>1773</v>
      </c>
      <c r="B417" s="193" t="s">
        <v>317</v>
      </c>
      <c r="C417" s="206"/>
      <c r="D417" s="194" t="s">
        <v>930</v>
      </c>
      <c r="E417" s="206"/>
      <c r="F417" s="220">
        <v>1.0</v>
      </c>
      <c r="G417" s="221"/>
      <c r="H417" s="222">
        <v>150.0</v>
      </c>
      <c r="I417" s="222">
        <v>150.0</v>
      </c>
      <c r="J417" s="207"/>
      <c r="K417" s="207"/>
      <c r="L417" s="223">
        <v>46385.0</v>
      </c>
      <c r="M417" s="223">
        <v>46051.0</v>
      </c>
      <c r="N417" s="150"/>
      <c r="O417" s="220">
        <v>-480.0</v>
      </c>
      <c r="P417" s="220">
        <v>510.0</v>
      </c>
      <c r="Q417" s="209"/>
      <c r="R417" s="196" t="s">
        <v>1774</v>
      </c>
      <c r="S417" s="45"/>
      <c r="T417" s="220">
        <v>350.0</v>
      </c>
      <c r="U417" s="198"/>
    </row>
    <row r="418" ht="22.5" customHeight="1">
      <c r="A418" s="211" t="s">
        <v>1775</v>
      </c>
      <c r="B418" s="212" t="s">
        <v>322</v>
      </c>
      <c r="C418" s="213" t="s">
        <v>136</v>
      </c>
      <c r="D418" s="214" t="s">
        <v>1695</v>
      </c>
      <c r="E418" s="212" t="s">
        <v>15</v>
      </c>
      <c r="F418" s="215">
        <v>3.0</v>
      </c>
      <c r="G418" s="210"/>
      <c r="H418" s="216">
        <v>100.0</v>
      </c>
      <c r="I418" s="216">
        <v>300.0</v>
      </c>
      <c r="J418" s="216">
        <v>6600.0</v>
      </c>
      <c r="K418" s="216">
        <v>0.0</v>
      </c>
      <c r="L418" s="217">
        <v>46060.0</v>
      </c>
      <c r="M418" s="217">
        <v>46088.0</v>
      </c>
      <c r="N418" s="215">
        <v>1.0</v>
      </c>
      <c r="O418" s="215">
        <v>-443.0</v>
      </c>
      <c r="P418" s="215">
        <v>473.0</v>
      </c>
      <c r="Q418" s="203"/>
      <c r="R418" s="218" t="s">
        <v>1776</v>
      </c>
      <c r="S418" s="186"/>
      <c r="T418" s="215">
        <v>351.0</v>
      </c>
      <c r="U418" s="204"/>
    </row>
    <row r="419" ht="22.5" customHeight="1">
      <c r="A419" s="192" t="s">
        <v>1777</v>
      </c>
      <c r="B419" s="193" t="s">
        <v>328</v>
      </c>
      <c r="C419" s="226" t="s">
        <v>136</v>
      </c>
      <c r="D419" s="194" t="s">
        <v>1283</v>
      </c>
      <c r="E419" s="193" t="s">
        <v>19</v>
      </c>
      <c r="F419" s="220">
        <v>4.5</v>
      </c>
      <c r="G419" s="150"/>
      <c r="H419" s="222">
        <v>10.0</v>
      </c>
      <c r="I419" s="222">
        <v>45.0</v>
      </c>
      <c r="J419" s="222">
        <v>4736.25</v>
      </c>
      <c r="K419" s="222">
        <v>0.0</v>
      </c>
      <c r="L419" s="223">
        <v>46042.0</v>
      </c>
      <c r="M419" s="223">
        <v>46073.0</v>
      </c>
      <c r="N419" s="220">
        <v>1.0</v>
      </c>
      <c r="O419" s="220">
        <v>-824.0</v>
      </c>
      <c r="P419" s="220">
        <v>854.0</v>
      </c>
      <c r="Q419" s="209"/>
      <c r="R419" s="196" t="s">
        <v>1778</v>
      </c>
      <c r="S419" s="45"/>
      <c r="T419" s="220">
        <v>316.0</v>
      </c>
      <c r="U419" s="198"/>
    </row>
    <row r="420" ht="22.5" customHeight="1">
      <c r="A420" s="211" t="s">
        <v>1779</v>
      </c>
      <c r="B420" s="212" t="s">
        <v>211</v>
      </c>
      <c r="C420" s="213" t="s">
        <v>136</v>
      </c>
      <c r="D420" s="214" t="s">
        <v>1650</v>
      </c>
      <c r="E420" s="212" t="s">
        <v>15</v>
      </c>
      <c r="F420" s="215">
        <v>4.0</v>
      </c>
      <c r="G420" s="147"/>
      <c r="H420" s="216">
        <v>150.0</v>
      </c>
      <c r="I420" s="216">
        <v>600.0</v>
      </c>
      <c r="J420" s="216">
        <v>13200.0</v>
      </c>
      <c r="K420" s="216">
        <v>700.0</v>
      </c>
      <c r="L420" s="217">
        <v>46037.0</v>
      </c>
      <c r="M420" s="217">
        <v>46068.0</v>
      </c>
      <c r="N420" s="215">
        <v>0.0</v>
      </c>
      <c r="O420" s="215">
        <v>-829.0</v>
      </c>
      <c r="P420" s="215">
        <v>859.0</v>
      </c>
      <c r="Q420" s="203"/>
      <c r="R420" s="218" t="s">
        <v>1780</v>
      </c>
      <c r="S420" s="186"/>
      <c r="T420" s="215">
        <v>317.0</v>
      </c>
      <c r="U420" s="204"/>
    </row>
    <row r="421" ht="22.5" customHeight="1">
      <c r="A421" s="192" t="s">
        <v>684</v>
      </c>
      <c r="B421" s="193" t="s">
        <v>293</v>
      </c>
      <c r="C421" s="219" t="s">
        <v>684</v>
      </c>
      <c r="D421" s="194" t="s">
        <v>1750</v>
      </c>
      <c r="E421" s="193" t="s">
        <v>17</v>
      </c>
      <c r="F421" s="220">
        <v>2.0</v>
      </c>
      <c r="G421" s="221"/>
      <c r="H421" s="197" t="s">
        <v>1751</v>
      </c>
      <c r="I421" s="222">
        <v>10000.0</v>
      </c>
      <c r="J421" s="207"/>
      <c r="K421" s="207"/>
      <c r="L421" s="223">
        <v>46025.0</v>
      </c>
      <c r="M421" s="223">
        <v>46056.0</v>
      </c>
      <c r="N421" s="150"/>
      <c r="O421" s="220">
        <v>-841.0</v>
      </c>
      <c r="P421" s="220">
        <v>871.0</v>
      </c>
      <c r="Q421" s="209"/>
      <c r="R421" s="196" t="s">
        <v>1781</v>
      </c>
      <c r="S421" s="45"/>
      <c r="T421" s="220">
        <v>318.0</v>
      </c>
      <c r="U421" s="198"/>
    </row>
    <row r="422" ht="22.5" customHeight="1">
      <c r="A422" s="211">
        <v>0.5</v>
      </c>
      <c r="B422" s="212" t="s">
        <v>326</v>
      </c>
      <c r="C422" s="213" t="s">
        <v>136</v>
      </c>
      <c r="D422" s="214" t="s">
        <v>1782</v>
      </c>
      <c r="E422" s="212" t="s">
        <v>15</v>
      </c>
      <c r="F422" s="215">
        <v>3.0</v>
      </c>
      <c r="G422" s="147"/>
      <c r="H422" s="216">
        <v>100.0</v>
      </c>
      <c r="I422" s="216">
        <v>150.0</v>
      </c>
      <c r="J422" s="216">
        <v>3300.0</v>
      </c>
      <c r="K422" s="216">
        <v>3300.0</v>
      </c>
      <c r="L422" s="217">
        <v>46030.0</v>
      </c>
      <c r="M422" s="217">
        <v>46061.0</v>
      </c>
      <c r="N422" s="215">
        <v>0.0</v>
      </c>
      <c r="O422" s="215">
        <v>-836.0</v>
      </c>
      <c r="P422" s="215">
        <v>866.0</v>
      </c>
      <c r="Q422" s="203"/>
      <c r="R422" s="218" t="s">
        <v>1783</v>
      </c>
      <c r="S422" s="186"/>
      <c r="T422" s="215">
        <v>319.0</v>
      </c>
      <c r="U422" s="204"/>
    </row>
    <row r="423" ht="22.5" customHeight="1">
      <c r="A423" s="205"/>
      <c r="B423" s="193" t="s">
        <v>324</v>
      </c>
      <c r="C423" s="226" t="s">
        <v>136</v>
      </c>
      <c r="D423" s="194" t="s">
        <v>1782</v>
      </c>
      <c r="E423" s="193" t="s">
        <v>15</v>
      </c>
      <c r="F423" s="220">
        <v>3.0</v>
      </c>
      <c r="G423" s="150"/>
      <c r="H423" s="222">
        <v>100.0</v>
      </c>
      <c r="I423" s="222">
        <v>150.0</v>
      </c>
      <c r="J423" s="222">
        <v>3300.0</v>
      </c>
      <c r="K423" s="222">
        <v>3300.0</v>
      </c>
      <c r="L423" s="223">
        <v>46023.0</v>
      </c>
      <c r="M423" s="223">
        <v>46054.0</v>
      </c>
      <c r="N423" s="220">
        <v>0.0</v>
      </c>
      <c r="O423" s="220">
        <v>-843.0</v>
      </c>
      <c r="P423" s="220">
        <v>873.0</v>
      </c>
      <c r="Q423" s="209"/>
      <c r="R423" s="196" t="s">
        <v>1784</v>
      </c>
      <c r="S423" s="45"/>
      <c r="T423" s="220">
        <v>320.0</v>
      </c>
      <c r="U423" s="198"/>
    </row>
    <row r="424" ht="22.5" customHeight="1">
      <c r="A424" s="211" t="s">
        <v>1785</v>
      </c>
      <c r="B424" s="212" t="s">
        <v>255</v>
      </c>
      <c r="C424" s="213" t="s">
        <v>136</v>
      </c>
      <c r="D424" s="214" t="s">
        <v>1704</v>
      </c>
      <c r="E424" s="212" t="s">
        <v>15</v>
      </c>
      <c r="F424" s="215">
        <v>2.0</v>
      </c>
      <c r="G424" s="210"/>
      <c r="H424" s="216">
        <v>6000.0</v>
      </c>
      <c r="I424" s="216">
        <v>12000.0</v>
      </c>
      <c r="J424" s="216">
        <v>12000.0</v>
      </c>
      <c r="K424" s="216">
        <v>0.0</v>
      </c>
      <c r="L424" s="217">
        <v>46043.0</v>
      </c>
      <c r="M424" s="217">
        <v>46074.0</v>
      </c>
      <c r="N424" s="215">
        <v>1.0</v>
      </c>
      <c r="O424" s="215">
        <v>-823.0</v>
      </c>
      <c r="P424" s="215">
        <v>853.0</v>
      </c>
      <c r="Q424" s="203"/>
      <c r="R424" s="218" t="s">
        <v>1786</v>
      </c>
      <c r="S424" s="186"/>
      <c r="T424" s="215">
        <v>321.0</v>
      </c>
      <c r="U424" s="204"/>
    </row>
    <row r="425" ht="22.5" customHeight="1">
      <c r="A425" s="192" t="s">
        <v>1787</v>
      </c>
      <c r="B425" s="193" t="s">
        <v>319</v>
      </c>
      <c r="C425" s="226" t="s">
        <v>136</v>
      </c>
      <c r="D425" s="194" t="s">
        <v>1788</v>
      </c>
      <c r="E425" s="193" t="s">
        <v>17</v>
      </c>
      <c r="F425" s="220">
        <v>3.0</v>
      </c>
      <c r="G425" s="150"/>
      <c r="H425" s="222">
        <v>2500.0</v>
      </c>
      <c r="I425" s="222">
        <v>6250.0</v>
      </c>
      <c r="J425" s="222">
        <v>6250.0</v>
      </c>
      <c r="K425" s="222">
        <v>0.0</v>
      </c>
      <c r="L425" s="223">
        <v>46034.0</v>
      </c>
      <c r="M425" s="223">
        <v>46065.0</v>
      </c>
      <c r="N425" s="220">
        <v>1.0</v>
      </c>
      <c r="O425" s="220">
        <v>-832.0</v>
      </c>
      <c r="P425" s="220">
        <v>862.0</v>
      </c>
      <c r="Q425" s="209"/>
      <c r="R425" s="196" t="s">
        <v>1789</v>
      </c>
      <c r="S425" s="45"/>
      <c r="T425" s="220">
        <v>322.0</v>
      </c>
      <c r="U425" s="198"/>
    </row>
    <row r="426" ht="22.5" customHeight="1">
      <c r="A426" s="211">
        <v>45358.0</v>
      </c>
      <c r="B426" s="212" t="s">
        <v>309</v>
      </c>
      <c r="C426" s="213" t="s">
        <v>136</v>
      </c>
      <c r="D426" s="214" t="s">
        <v>1676</v>
      </c>
      <c r="E426" s="212" t="s">
        <v>17</v>
      </c>
      <c r="F426" s="215">
        <v>2.0</v>
      </c>
      <c r="G426" s="210"/>
      <c r="H426" s="216">
        <v>2500.0</v>
      </c>
      <c r="I426" s="216">
        <v>5000.0</v>
      </c>
      <c r="J426" s="216">
        <v>5000.0</v>
      </c>
      <c r="K426" s="216">
        <v>0.0</v>
      </c>
      <c r="L426" s="217">
        <v>46025.0</v>
      </c>
      <c r="M426" s="217">
        <v>46056.0</v>
      </c>
      <c r="N426" s="215">
        <v>1.0</v>
      </c>
      <c r="O426" s="215">
        <v>-841.0</v>
      </c>
      <c r="P426" s="215">
        <v>871.0</v>
      </c>
      <c r="Q426" s="203"/>
      <c r="R426" s="218" t="s">
        <v>1790</v>
      </c>
      <c r="S426" s="186"/>
      <c r="T426" s="215">
        <v>323.0</v>
      </c>
      <c r="U426" s="204"/>
    </row>
    <row r="427" ht="22.5" customHeight="1">
      <c r="A427" s="192" t="s">
        <v>1791</v>
      </c>
      <c r="B427" s="193" t="s">
        <v>301</v>
      </c>
      <c r="C427" s="226" t="s">
        <v>136</v>
      </c>
      <c r="D427" s="194" t="s">
        <v>1708</v>
      </c>
      <c r="E427" s="193" t="s">
        <v>17</v>
      </c>
      <c r="F427" s="220">
        <v>2.0</v>
      </c>
      <c r="G427" s="221"/>
      <c r="H427" s="222">
        <v>6000.0</v>
      </c>
      <c r="I427" s="222">
        <v>10000.0</v>
      </c>
      <c r="J427" s="222">
        <v>10000.0</v>
      </c>
      <c r="K427" s="222">
        <v>0.0</v>
      </c>
      <c r="L427" s="223">
        <v>46040.0</v>
      </c>
      <c r="M427" s="223">
        <v>46071.0</v>
      </c>
      <c r="N427" s="220">
        <v>1.0</v>
      </c>
      <c r="O427" s="220">
        <v>-826.0</v>
      </c>
      <c r="P427" s="220">
        <v>856.0</v>
      </c>
      <c r="Q427" s="209"/>
      <c r="R427" s="196" t="s">
        <v>1792</v>
      </c>
      <c r="S427" s="45"/>
      <c r="T427" s="220">
        <v>324.0</v>
      </c>
      <c r="U427" s="198"/>
    </row>
    <row r="428" ht="22.5" customHeight="1">
      <c r="A428" s="211" t="s">
        <v>1793</v>
      </c>
      <c r="B428" s="212" t="s">
        <v>243</v>
      </c>
      <c r="C428" s="213" t="s">
        <v>136</v>
      </c>
      <c r="D428" s="214" t="s">
        <v>1711</v>
      </c>
      <c r="E428" s="212" t="s">
        <v>15</v>
      </c>
      <c r="F428" s="215">
        <v>2.0</v>
      </c>
      <c r="G428" s="215">
        <v>16.67</v>
      </c>
      <c r="H428" s="216">
        <v>250.0</v>
      </c>
      <c r="I428" s="216">
        <v>500.0</v>
      </c>
      <c r="J428" s="216">
        <v>11000.0</v>
      </c>
      <c r="K428" s="216">
        <v>11000.0</v>
      </c>
      <c r="L428" s="217">
        <v>46033.0</v>
      </c>
      <c r="M428" s="217">
        <v>46064.0</v>
      </c>
      <c r="N428" s="215">
        <v>0.0</v>
      </c>
      <c r="O428" s="215">
        <v>-833.0</v>
      </c>
      <c r="P428" s="215">
        <v>863.0</v>
      </c>
      <c r="Q428" s="203"/>
      <c r="R428" s="218" t="s">
        <v>1794</v>
      </c>
      <c r="S428" s="186"/>
      <c r="T428" s="215">
        <v>325.0</v>
      </c>
      <c r="U428" s="204"/>
    </row>
    <row r="429" ht="22.5" customHeight="1">
      <c r="A429" s="205"/>
      <c r="B429" s="193" t="s">
        <v>271</v>
      </c>
      <c r="C429" s="219" t="s">
        <v>684</v>
      </c>
      <c r="D429" s="194" t="s">
        <v>1760</v>
      </c>
      <c r="E429" s="193" t="s">
        <v>15</v>
      </c>
      <c r="F429" s="220">
        <v>5.0</v>
      </c>
      <c r="G429" s="221"/>
      <c r="H429" s="222">
        <v>100.0</v>
      </c>
      <c r="I429" s="222">
        <v>500.0</v>
      </c>
      <c r="J429" s="207"/>
      <c r="K429" s="207"/>
      <c r="L429" s="223">
        <v>46043.0</v>
      </c>
      <c r="M429" s="223">
        <v>46074.0</v>
      </c>
      <c r="N429" s="150"/>
      <c r="O429" s="220">
        <v>-823.0</v>
      </c>
      <c r="P429" s="220">
        <v>853.0</v>
      </c>
      <c r="Q429" s="209"/>
      <c r="R429" s="196" t="s">
        <v>1795</v>
      </c>
      <c r="S429" s="45"/>
      <c r="T429" s="220">
        <v>326.0</v>
      </c>
      <c r="U429" s="198"/>
    </row>
    <row r="430" ht="22.5" customHeight="1">
      <c r="A430" s="211" t="s">
        <v>1796</v>
      </c>
      <c r="B430" s="212" t="s">
        <v>305</v>
      </c>
      <c r="C430" s="213" t="s">
        <v>136</v>
      </c>
      <c r="D430" s="214" t="s">
        <v>1762</v>
      </c>
      <c r="E430" s="212" t="s">
        <v>17</v>
      </c>
      <c r="F430" s="215">
        <v>3.0</v>
      </c>
      <c r="G430" s="210"/>
      <c r="H430" s="216">
        <v>2500.0</v>
      </c>
      <c r="I430" s="216">
        <v>5625.0</v>
      </c>
      <c r="J430" s="216">
        <v>5625.0</v>
      </c>
      <c r="K430" s="216">
        <v>5625.0</v>
      </c>
      <c r="L430" s="217">
        <v>46042.0</v>
      </c>
      <c r="M430" s="217">
        <v>46073.0</v>
      </c>
      <c r="N430" s="215">
        <v>0.0</v>
      </c>
      <c r="O430" s="215">
        <v>-824.0</v>
      </c>
      <c r="P430" s="215">
        <v>854.0</v>
      </c>
      <c r="Q430" s="203"/>
      <c r="R430" s="218" t="s">
        <v>1797</v>
      </c>
      <c r="S430" s="186"/>
      <c r="T430" s="215">
        <v>327.0</v>
      </c>
      <c r="U430" s="204"/>
    </row>
    <row r="431" ht="22.5" customHeight="1">
      <c r="A431" s="205"/>
      <c r="B431" s="193" t="s">
        <v>263</v>
      </c>
      <c r="C431" s="226" t="s">
        <v>136</v>
      </c>
      <c r="D431" s="194" t="s">
        <v>1798</v>
      </c>
      <c r="E431" s="193" t="s">
        <v>15</v>
      </c>
      <c r="F431" s="220">
        <v>3.0</v>
      </c>
      <c r="G431" s="230">
        <v>0.33</v>
      </c>
      <c r="H431" s="222">
        <v>100.0</v>
      </c>
      <c r="I431" s="222">
        <v>300.0</v>
      </c>
      <c r="J431" s="222">
        <v>6000.0</v>
      </c>
      <c r="K431" s="222">
        <v>6000.0</v>
      </c>
      <c r="L431" s="223">
        <v>46023.0</v>
      </c>
      <c r="M431" s="223">
        <v>46054.0</v>
      </c>
      <c r="N431" s="220">
        <v>0.0</v>
      </c>
      <c r="O431" s="220">
        <v>-843.0</v>
      </c>
      <c r="P431" s="220">
        <v>873.0</v>
      </c>
      <c r="Q431" s="209"/>
      <c r="R431" s="196" t="s">
        <v>1799</v>
      </c>
      <c r="S431" s="45"/>
      <c r="T431" s="220">
        <v>328.0</v>
      </c>
      <c r="U431" s="198"/>
    </row>
    <row r="432" ht="22.5" customHeight="1">
      <c r="A432" s="211">
        <v>0.5</v>
      </c>
      <c r="B432" s="212" t="s">
        <v>249</v>
      </c>
      <c r="C432" s="213" t="s">
        <v>136</v>
      </c>
      <c r="D432" s="214" t="s">
        <v>1717</v>
      </c>
      <c r="E432" s="212" t="s">
        <v>15</v>
      </c>
      <c r="F432" s="215">
        <v>3.0</v>
      </c>
      <c r="G432" s="224">
        <v>0.33</v>
      </c>
      <c r="H432" s="216">
        <v>100.0</v>
      </c>
      <c r="I432" s="216">
        <v>150.0</v>
      </c>
      <c r="J432" s="216">
        <v>3000.0</v>
      </c>
      <c r="K432" s="216">
        <v>0.0</v>
      </c>
      <c r="L432" s="217">
        <v>46033.0</v>
      </c>
      <c r="M432" s="217">
        <v>46064.0</v>
      </c>
      <c r="N432" s="215">
        <v>1.0</v>
      </c>
      <c r="O432" s="215">
        <v>-833.0</v>
      </c>
      <c r="P432" s="215">
        <v>863.0</v>
      </c>
      <c r="Q432" s="203"/>
      <c r="R432" s="218" t="s">
        <v>1800</v>
      </c>
      <c r="S432" s="186"/>
      <c r="T432" s="215">
        <v>329.0</v>
      </c>
      <c r="U432" s="204"/>
    </row>
    <row r="433" ht="22.5" customHeight="1">
      <c r="A433" s="205"/>
      <c r="B433" s="193" t="s">
        <v>215</v>
      </c>
      <c r="C433" s="219" t="s">
        <v>684</v>
      </c>
      <c r="D433" s="194" t="s">
        <v>1760</v>
      </c>
      <c r="E433" s="193" t="s">
        <v>15</v>
      </c>
      <c r="F433" s="220">
        <v>5.0</v>
      </c>
      <c r="G433" s="221"/>
      <c r="H433" s="222">
        <v>120.0</v>
      </c>
      <c r="I433" s="222">
        <v>500.0</v>
      </c>
      <c r="J433" s="207"/>
      <c r="K433" s="207"/>
      <c r="L433" s="223">
        <v>46031.0</v>
      </c>
      <c r="M433" s="223">
        <v>46062.0</v>
      </c>
      <c r="N433" s="150"/>
      <c r="O433" s="220">
        <v>-835.0</v>
      </c>
      <c r="P433" s="220">
        <v>865.0</v>
      </c>
      <c r="Q433" s="209"/>
      <c r="R433" s="196" t="s">
        <v>1801</v>
      </c>
      <c r="S433" s="45"/>
      <c r="T433" s="220">
        <v>330.0</v>
      </c>
      <c r="U433" s="198"/>
    </row>
    <row r="434" ht="22.5" customHeight="1">
      <c r="A434" s="211" t="s">
        <v>1768</v>
      </c>
      <c r="B434" s="212" t="s">
        <v>291</v>
      </c>
      <c r="C434" s="213" t="s">
        <v>136</v>
      </c>
      <c r="D434" s="214" t="s">
        <v>1802</v>
      </c>
      <c r="E434" s="212" t="s">
        <v>17</v>
      </c>
      <c r="F434" s="215">
        <v>3.0</v>
      </c>
      <c r="G434" s="210"/>
      <c r="H434" s="237" t="s">
        <v>1682</v>
      </c>
      <c r="I434" s="216">
        <v>21000.0</v>
      </c>
      <c r="J434" s="216">
        <v>16500.0</v>
      </c>
      <c r="K434" s="216">
        <v>0.0</v>
      </c>
      <c r="L434" s="217">
        <v>46025.0</v>
      </c>
      <c r="M434" s="217">
        <v>46056.0</v>
      </c>
      <c r="N434" s="215">
        <v>1.0</v>
      </c>
      <c r="O434" s="215">
        <v>-841.0</v>
      </c>
      <c r="P434" s="215">
        <v>871.0</v>
      </c>
      <c r="Q434" s="203"/>
      <c r="R434" s="218" t="s">
        <v>1803</v>
      </c>
      <c r="S434" s="186"/>
      <c r="T434" s="215">
        <v>331.0</v>
      </c>
      <c r="U434" s="204"/>
    </row>
    <row r="435" ht="22.5" customHeight="1">
      <c r="A435" s="192" t="s">
        <v>1804</v>
      </c>
      <c r="B435" s="193" t="s">
        <v>322</v>
      </c>
      <c r="C435" s="226" t="s">
        <v>136</v>
      </c>
      <c r="D435" s="194" t="s">
        <v>1695</v>
      </c>
      <c r="E435" s="193" t="s">
        <v>15</v>
      </c>
      <c r="F435" s="220">
        <v>3.0</v>
      </c>
      <c r="G435" s="150"/>
      <c r="H435" s="222">
        <v>100.0</v>
      </c>
      <c r="I435" s="222">
        <v>225.0</v>
      </c>
      <c r="J435" s="222">
        <v>6250.0</v>
      </c>
      <c r="K435" s="222">
        <v>0.0</v>
      </c>
      <c r="L435" s="223">
        <v>46029.0</v>
      </c>
      <c r="M435" s="223">
        <v>46060.0</v>
      </c>
      <c r="N435" s="220">
        <v>1.0</v>
      </c>
      <c r="O435" s="220">
        <v>-837.0</v>
      </c>
      <c r="P435" s="220">
        <v>867.0</v>
      </c>
      <c r="Q435" s="209"/>
      <c r="R435" s="196" t="s">
        <v>1805</v>
      </c>
      <c r="S435" s="45"/>
      <c r="T435" s="220">
        <v>332.0</v>
      </c>
      <c r="U435" s="198"/>
    </row>
    <row r="436" ht="22.5" customHeight="1">
      <c r="A436" s="211" t="s">
        <v>1806</v>
      </c>
      <c r="B436" s="212" t="s">
        <v>151</v>
      </c>
      <c r="C436" s="231" t="s">
        <v>684</v>
      </c>
      <c r="D436" s="214" t="s">
        <v>1782</v>
      </c>
      <c r="E436" s="212" t="s">
        <v>15</v>
      </c>
      <c r="F436" s="215">
        <v>3.0</v>
      </c>
      <c r="G436" s="147"/>
      <c r="H436" s="216">
        <v>100.0</v>
      </c>
      <c r="I436" s="216">
        <v>300.0</v>
      </c>
      <c r="J436" s="201"/>
      <c r="K436" s="201"/>
      <c r="L436" s="217">
        <v>46029.0</v>
      </c>
      <c r="M436" s="217">
        <v>46060.0</v>
      </c>
      <c r="N436" s="147"/>
      <c r="O436" s="215">
        <v>-837.0</v>
      </c>
      <c r="P436" s="215">
        <v>867.0</v>
      </c>
      <c r="Q436" s="203"/>
      <c r="R436" s="218" t="s">
        <v>1807</v>
      </c>
      <c r="S436" s="186"/>
      <c r="T436" s="215">
        <v>333.0</v>
      </c>
      <c r="U436" s="204"/>
    </row>
    <row r="437" ht="22.5" customHeight="1">
      <c r="A437" s="205"/>
      <c r="B437" s="193" t="s">
        <v>211</v>
      </c>
      <c r="C437" s="226" t="s">
        <v>136</v>
      </c>
      <c r="D437" s="194" t="s">
        <v>1650</v>
      </c>
      <c r="E437" s="193" t="s">
        <v>15</v>
      </c>
      <c r="F437" s="220">
        <v>3.0</v>
      </c>
      <c r="G437" s="150"/>
      <c r="H437" s="222">
        <v>150.0</v>
      </c>
      <c r="I437" s="222">
        <v>450.0</v>
      </c>
      <c r="J437" s="222">
        <v>9000.0</v>
      </c>
      <c r="K437" s="222">
        <v>0.0</v>
      </c>
      <c r="L437" s="223">
        <v>46371.0</v>
      </c>
      <c r="M437" s="223">
        <v>46037.0</v>
      </c>
      <c r="N437" s="220">
        <v>1.0</v>
      </c>
      <c r="O437" s="220">
        <v>-860.0</v>
      </c>
      <c r="P437" s="220">
        <v>890.0</v>
      </c>
      <c r="Q437" s="209"/>
      <c r="R437" s="196" t="s">
        <v>1808</v>
      </c>
      <c r="S437" s="45"/>
      <c r="T437" s="220">
        <v>301.0</v>
      </c>
      <c r="U437" s="198"/>
    </row>
    <row r="438" ht="22.5" customHeight="1">
      <c r="A438" s="211" t="s">
        <v>684</v>
      </c>
      <c r="B438" s="212" t="s">
        <v>293</v>
      </c>
      <c r="C438" s="231" t="s">
        <v>684</v>
      </c>
      <c r="D438" s="214" t="s">
        <v>1750</v>
      </c>
      <c r="E438" s="212" t="s">
        <v>17</v>
      </c>
      <c r="F438" s="215">
        <v>2.0</v>
      </c>
      <c r="G438" s="210"/>
      <c r="H438" s="237" t="s">
        <v>1751</v>
      </c>
      <c r="I438" s="216">
        <v>10000.0</v>
      </c>
      <c r="J438" s="201"/>
      <c r="K438" s="201"/>
      <c r="L438" s="217">
        <v>46359.0</v>
      </c>
      <c r="M438" s="217">
        <v>46025.0</v>
      </c>
      <c r="N438" s="147"/>
      <c r="O438" s="215">
        <v>-872.0</v>
      </c>
      <c r="P438" s="215">
        <v>902.0</v>
      </c>
      <c r="Q438" s="203"/>
      <c r="R438" s="218" t="s">
        <v>1809</v>
      </c>
      <c r="S438" s="186"/>
      <c r="T438" s="215">
        <v>302.0</v>
      </c>
      <c r="U438" s="204"/>
    </row>
    <row r="439" ht="22.5" customHeight="1">
      <c r="A439" s="205"/>
      <c r="B439" s="193" t="s">
        <v>324</v>
      </c>
      <c r="C439" s="226" t="s">
        <v>136</v>
      </c>
      <c r="D439" s="194" t="s">
        <v>1782</v>
      </c>
      <c r="E439" s="193" t="s">
        <v>15</v>
      </c>
      <c r="F439" s="220">
        <v>3.0</v>
      </c>
      <c r="G439" s="150"/>
      <c r="H439" s="222">
        <v>100.0</v>
      </c>
      <c r="I439" s="222">
        <v>300.0</v>
      </c>
      <c r="J439" s="222">
        <v>6600.0</v>
      </c>
      <c r="K439" s="222">
        <v>6600.0</v>
      </c>
      <c r="L439" s="223">
        <v>46357.0</v>
      </c>
      <c r="M439" s="223">
        <v>46023.0</v>
      </c>
      <c r="N439" s="220">
        <v>0.0</v>
      </c>
      <c r="O439" s="220">
        <v>-874.0</v>
      </c>
      <c r="P439" s="220">
        <v>904.0</v>
      </c>
      <c r="Q439" s="209"/>
      <c r="R439" s="196" t="s">
        <v>1810</v>
      </c>
      <c r="S439" s="45"/>
      <c r="T439" s="220">
        <v>303.0</v>
      </c>
      <c r="U439" s="198"/>
    </row>
    <row r="440" ht="22.5" customHeight="1">
      <c r="A440" s="211" t="s">
        <v>1785</v>
      </c>
      <c r="B440" s="212" t="s">
        <v>255</v>
      </c>
      <c r="C440" s="213" t="s">
        <v>136</v>
      </c>
      <c r="D440" s="214" t="s">
        <v>1704</v>
      </c>
      <c r="E440" s="212" t="s">
        <v>15</v>
      </c>
      <c r="F440" s="215">
        <v>2.0</v>
      </c>
      <c r="G440" s="210"/>
      <c r="H440" s="216">
        <v>6000.0</v>
      </c>
      <c r="I440" s="216">
        <v>12000.0</v>
      </c>
      <c r="J440" s="216">
        <v>12000.0</v>
      </c>
      <c r="K440" s="216">
        <v>0.0</v>
      </c>
      <c r="L440" s="217">
        <v>46377.0</v>
      </c>
      <c r="M440" s="217">
        <v>46043.0</v>
      </c>
      <c r="N440" s="215">
        <v>1.0</v>
      </c>
      <c r="O440" s="215">
        <v>-854.0</v>
      </c>
      <c r="P440" s="215">
        <v>884.0</v>
      </c>
      <c r="Q440" s="203"/>
      <c r="R440" s="218" t="s">
        <v>1811</v>
      </c>
      <c r="S440" s="186"/>
      <c r="T440" s="215">
        <v>304.0</v>
      </c>
      <c r="U440" s="204"/>
    </row>
    <row r="441" ht="22.5" customHeight="1">
      <c r="A441" s="192">
        <v>0.25</v>
      </c>
      <c r="B441" s="193" t="s">
        <v>319</v>
      </c>
      <c r="C441" s="226" t="s">
        <v>136</v>
      </c>
      <c r="D441" s="194" t="s">
        <v>1788</v>
      </c>
      <c r="E441" s="193" t="s">
        <v>17</v>
      </c>
      <c r="F441" s="220">
        <v>3.0</v>
      </c>
      <c r="G441" s="150"/>
      <c r="H441" s="222">
        <v>2000.0</v>
      </c>
      <c r="I441" s="222">
        <v>5625.0</v>
      </c>
      <c r="J441" s="222">
        <v>5625.0</v>
      </c>
      <c r="K441" s="222">
        <v>0.0</v>
      </c>
      <c r="L441" s="223">
        <v>46368.0</v>
      </c>
      <c r="M441" s="223">
        <v>46034.0</v>
      </c>
      <c r="N441" s="220">
        <v>1.0</v>
      </c>
      <c r="O441" s="220">
        <v>-863.0</v>
      </c>
      <c r="P441" s="220">
        <v>893.0</v>
      </c>
      <c r="Q441" s="209"/>
      <c r="R441" s="196" t="s">
        <v>1812</v>
      </c>
      <c r="S441" s="45"/>
      <c r="T441" s="220">
        <v>305.0</v>
      </c>
      <c r="U441" s="198"/>
    </row>
    <row r="442" ht="22.5" customHeight="1">
      <c r="A442" s="199"/>
      <c r="B442" s="212" t="s">
        <v>309</v>
      </c>
      <c r="C442" s="213" t="s">
        <v>136</v>
      </c>
      <c r="D442" s="214" t="s">
        <v>1676</v>
      </c>
      <c r="E442" s="212" t="s">
        <v>17</v>
      </c>
      <c r="F442" s="215">
        <v>2.0</v>
      </c>
      <c r="G442" s="210"/>
      <c r="H442" s="216">
        <v>2500.0</v>
      </c>
      <c r="I442" s="216">
        <v>5000.0</v>
      </c>
      <c r="J442" s="216">
        <v>5000.0</v>
      </c>
      <c r="K442" s="216">
        <v>0.0</v>
      </c>
      <c r="L442" s="217">
        <v>46359.0</v>
      </c>
      <c r="M442" s="217">
        <v>46025.0</v>
      </c>
      <c r="N442" s="215">
        <v>1.0</v>
      </c>
      <c r="O442" s="215">
        <v>-872.0</v>
      </c>
      <c r="P442" s="215">
        <v>902.0</v>
      </c>
      <c r="Q442" s="203"/>
      <c r="R442" s="218" t="s">
        <v>1813</v>
      </c>
      <c r="S442" s="186"/>
      <c r="T442" s="215">
        <v>306.0</v>
      </c>
      <c r="U442" s="204"/>
    </row>
    <row r="443" ht="22.5" customHeight="1">
      <c r="A443" s="192" t="s">
        <v>1814</v>
      </c>
      <c r="B443" s="193" t="s">
        <v>301</v>
      </c>
      <c r="C443" s="226" t="s">
        <v>136</v>
      </c>
      <c r="D443" s="194" t="s">
        <v>1708</v>
      </c>
      <c r="E443" s="193" t="s">
        <v>17</v>
      </c>
      <c r="F443" s="220">
        <v>2.0</v>
      </c>
      <c r="G443" s="221"/>
      <c r="H443" s="222">
        <v>6000.0</v>
      </c>
      <c r="I443" s="222">
        <v>10000.0</v>
      </c>
      <c r="J443" s="222">
        <v>10000.0</v>
      </c>
      <c r="K443" s="222">
        <v>0.0</v>
      </c>
      <c r="L443" s="223">
        <v>46374.0</v>
      </c>
      <c r="M443" s="223">
        <v>46040.0</v>
      </c>
      <c r="N443" s="220">
        <v>1.0</v>
      </c>
      <c r="O443" s="220">
        <v>-857.0</v>
      </c>
      <c r="P443" s="220">
        <v>887.0</v>
      </c>
      <c r="Q443" s="209"/>
      <c r="R443" s="196" t="s">
        <v>1815</v>
      </c>
      <c r="S443" s="45"/>
      <c r="T443" s="220">
        <v>307.0</v>
      </c>
      <c r="U443" s="198"/>
    </row>
    <row r="444" ht="22.5" customHeight="1">
      <c r="A444" s="199"/>
      <c r="B444" s="212" t="s">
        <v>259</v>
      </c>
      <c r="C444" s="213" t="s">
        <v>136</v>
      </c>
      <c r="D444" s="214" t="s">
        <v>1816</v>
      </c>
      <c r="E444" s="212" t="s">
        <v>15</v>
      </c>
      <c r="F444" s="215">
        <v>2.0</v>
      </c>
      <c r="G444" s="210"/>
      <c r="H444" s="216">
        <v>5000.0</v>
      </c>
      <c r="I444" s="216">
        <v>10000.0</v>
      </c>
      <c r="J444" s="216">
        <v>10000.0</v>
      </c>
      <c r="K444" s="216">
        <v>0.0</v>
      </c>
      <c r="L444" s="217">
        <v>46365.0</v>
      </c>
      <c r="M444" s="217">
        <v>46031.0</v>
      </c>
      <c r="N444" s="215">
        <v>1.0</v>
      </c>
      <c r="O444" s="215">
        <v>-866.0</v>
      </c>
      <c r="P444" s="215">
        <v>896.0</v>
      </c>
      <c r="Q444" s="203"/>
      <c r="R444" s="218" t="s">
        <v>1817</v>
      </c>
      <c r="S444" s="186"/>
      <c r="T444" s="215">
        <v>308.0</v>
      </c>
      <c r="U444" s="204"/>
    </row>
    <row r="445" ht="22.5" customHeight="1">
      <c r="A445" s="205"/>
      <c r="B445" s="193" t="s">
        <v>271</v>
      </c>
      <c r="C445" s="219" t="s">
        <v>684</v>
      </c>
      <c r="D445" s="194" t="s">
        <v>1760</v>
      </c>
      <c r="E445" s="193" t="s">
        <v>15</v>
      </c>
      <c r="F445" s="220">
        <v>5.0</v>
      </c>
      <c r="G445" s="221"/>
      <c r="H445" s="222">
        <v>100.0</v>
      </c>
      <c r="I445" s="222">
        <v>500.0</v>
      </c>
      <c r="J445" s="207"/>
      <c r="K445" s="207"/>
      <c r="L445" s="223">
        <v>46377.0</v>
      </c>
      <c r="M445" s="223">
        <v>46043.0</v>
      </c>
      <c r="N445" s="150"/>
      <c r="O445" s="220">
        <v>-854.0</v>
      </c>
      <c r="P445" s="220">
        <v>884.0</v>
      </c>
      <c r="Q445" s="209"/>
      <c r="R445" s="196" t="s">
        <v>1818</v>
      </c>
      <c r="S445" s="45"/>
      <c r="T445" s="220">
        <v>309.0</v>
      </c>
      <c r="U445" s="198"/>
    </row>
    <row r="446" ht="22.5" customHeight="1">
      <c r="A446" s="211" t="s">
        <v>1819</v>
      </c>
      <c r="B446" s="212" t="s">
        <v>305</v>
      </c>
      <c r="C446" s="213" t="s">
        <v>136</v>
      </c>
      <c r="D446" s="214" t="s">
        <v>1762</v>
      </c>
      <c r="E446" s="212" t="s">
        <v>17</v>
      </c>
      <c r="F446" s="215">
        <v>3.0</v>
      </c>
      <c r="G446" s="210"/>
      <c r="H446" s="216">
        <v>2500.0</v>
      </c>
      <c r="I446" s="216">
        <v>5625.0</v>
      </c>
      <c r="J446" s="216">
        <v>5625.0</v>
      </c>
      <c r="K446" s="216">
        <v>5625.0</v>
      </c>
      <c r="L446" s="217">
        <v>46376.0</v>
      </c>
      <c r="M446" s="217">
        <v>46042.0</v>
      </c>
      <c r="N446" s="215">
        <v>0.0</v>
      </c>
      <c r="O446" s="215">
        <v>-855.0</v>
      </c>
      <c r="P446" s="215">
        <v>885.0</v>
      </c>
      <c r="Q446" s="203"/>
      <c r="R446" s="218" t="s">
        <v>1820</v>
      </c>
      <c r="S446" s="186"/>
      <c r="T446" s="215">
        <v>310.0</v>
      </c>
      <c r="U446" s="204"/>
    </row>
    <row r="447" ht="22.5" customHeight="1">
      <c r="A447" s="205"/>
      <c r="B447" s="193" t="s">
        <v>263</v>
      </c>
      <c r="C447" s="226" t="s">
        <v>136</v>
      </c>
      <c r="D447" s="194" t="s">
        <v>1739</v>
      </c>
      <c r="E447" s="193" t="s">
        <v>15</v>
      </c>
      <c r="F447" s="220">
        <v>3.0</v>
      </c>
      <c r="G447" s="230">
        <v>0.33</v>
      </c>
      <c r="H447" s="222">
        <v>100.0</v>
      </c>
      <c r="I447" s="222">
        <v>300.0</v>
      </c>
      <c r="J447" s="222">
        <v>6000.0</v>
      </c>
      <c r="K447" s="222">
        <v>6000.0</v>
      </c>
      <c r="L447" s="223">
        <v>46357.0</v>
      </c>
      <c r="M447" s="223">
        <v>46023.0</v>
      </c>
      <c r="N447" s="220">
        <v>0.0</v>
      </c>
      <c r="O447" s="220">
        <v>-874.0</v>
      </c>
      <c r="P447" s="220">
        <v>904.0</v>
      </c>
      <c r="Q447" s="209"/>
      <c r="R447" s="196" t="s">
        <v>1821</v>
      </c>
      <c r="S447" s="45"/>
      <c r="T447" s="220">
        <v>311.0</v>
      </c>
      <c r="U447" s="198"/>
    </row>
    <row r="448" ht="22.5" customHeight="1">
      <c r="A448" s="199"/>
      <c r="B448" s="212" t="s">
        <v>249</v>
      </c>
      <c r="C448" s="213" t="s">
        <v>136</v>
      </c>
      <c r="D448" s="214" t="s">
        <v>1717</v>
      </c>
      <c r="E448" s="212" t="s">
        <v>15</v>
      </c>
      <c r="F448" s="215">
        <v>3.0</v>
      </c>
      <c r="G448" s="224">
        <v>0.33</v>
      </c>
      <c r="H448" s="216">
        <v>100.0</v>
      </c>
      <c r="I448" s="216">
        <v>300.0</v>
      </c>
      <c r="J448" s="216">
        <v>6000.0</v>
      </c>
      <c r="K448" s="216">
        <v>0.0</v>
      </c>
      <c r="L448" s="217">
        <v>46367.0</v>
      </c>
      <c r="M448" s="217">
        <v>46033.0</v>
      </c>
      <c r="N448" s="215">
        <v>1.0</v>
      </c>
      <c r="O448" s="215">
        <v>-864.0</v>
      </c>
      <c r="P448" s="215">
        <v>894.0</v>
      </c>
      <c r="Q448" s="203"/>
      <c r="R448" s="218" t="s">
        <v>1822</v>
      </c>
      <c r="S448" s="186"/>
      <c r="T448" s="215">
        <v>312.0</v>
      </c>
      <c r="U448" s="204"/>
    </row>
    <row r="449" ht="22.5" customHeight="1">
      <c r="A449" s="192" t="s">
        <v>1823</v>
      </c>
      <c r="B449" s="193" t="s">
        <v>291</v>
      </c>
      <c r="C449" s="226" t="s">
        <v>136</v>
      </c>
      <c r="D449" s="194" t="s">
        <v>1824</v>
      </c>
      <c r="E449" s="193" t="s">
        <v>17</v>
      </c>
      <c r="F449" s="220">
        <v>6.0</v>
      </c>
      <c r="G449" s="221"/>
      <c r="H449" s="197" t="s">
        <v>1825</v>
      </c>
      <c r="I449" s="222">
        <v>39000.0</v>
      </c>
      <c r="J449" s="222">
        <v>39000.0</v>
      </c>
      <c r="K449" s="222">
        <v>-6500.0</v>
      </c>
      <c r="L449" s="223">
        <v>46359.0</v>
      </c>
      <c r="M449" s="223">
        <v>46025.0</v>
      </c>
      <c r="N449" s="220">
        <v>1.0</v>
      </c>
      <c r="O449" s="220">
        <v>-872.0</v>
      </c>
      <c r="P449" s="220">
        <v>902.0</v>
      </c>
      <c r="Q449" s="209"/>
      <c r="R449" s="196" t="s">
        <v>1826</v>
      </c>
      <c r="S449" s="45"/>
      <c r="T449" s="220">
        <v>313.0</v>
      </c>
      <c r="U449" s="198"/>
    </row>
    <row r="450" ht="22.5" customHeight="1">
      <c r="A450" s="199"/>
      <c r="B450" s="212" t="s">
        <v>322</v>
      </c>
      <c r="C450" s="213" t="s">
        <v>136</v>
      </c>
      <c r="D450" s="214" t="s">
        <v>1827</v>
      </c>
      <c r="E450" s="212" t="s">
        <v>15</v>
      </c>
      <c r="F450" s="215">
        <v>4.0</v>
      </c>
      <c r="G450" s="215">
        <v>33.3</v>
      </c>
      <c r="H450" s="216">
        <v>100.0</v>
      </c>
      <c r="I450" s="216">
        <v>400.0</v>
      </c>
      <c r="J450" s="216">
        <v>8000.0</v>
      </c>
      <c r="K450" s="216">
        <v>0.0</v>
      </c>
      <c r="L450" s="217">
        <v>46363.0</v>
      </c>
      <c r="M450" s="217">
        <v>46029.0</v>
      </c>
      <c r="N450" s="215">
        <v>1.0</v>
      </c>
      <c r="O450" s="215">
        <v>-868.0</v>
      </c>
      <c r="P450" s="215">
        <v>898.0</v>
      </c>
      <c r="Q450" s="203"/>
      <c r="R450" s="218" t="s">
        <v>1828</v>
      </c>
      <c r="S450" s="186"/>
      <c r="T450" s="215">
        <v>314.0</v>
      </c>
      <c r="U450" s="204"/>
    </row>
    <row r="451" ht="22.5" customHeight="1">
      <c r="A451" s="205"/>
      <c r="B451" s="193" t="s">
        <v>151</v>
      </c>
      <c r="C451" s="226" t="s">
        <v>136</v>
      </c>
      <c r="D451" s="194" t="s">
        <v>1782</v>
      </c>
      <c r="E451" s="193" t="s">
        <v>15</v>
      </c>
      <c r="F451" s="220">
        <v>3.0</v>
      </c>
      <c r="G451" s="150"/>
      <c r="H451" s="222">
        <v>100.0</v>
      </c>
      <c r="I451" s="222">
        <v>300.0</v>
      </c>
      <c r="J451" s="222">
        <v>6000.0</v>
      </c>
      <c r="K451" s="222">
        <v>6000.0</v>
      </c>
      <c r="L451" s="223">
        <v>46363.0</v>
      </c>
      <c r="M451" s="223">
        <v>46029.0</v>
      </c>
      <c r="N451" s="220">
        <v>0.0</v>
      </c>
      <c r="O451" s="220">
        <v>-868.0</v>
      </c>
      <c r="P451" s="220">
        <v>898.0</v>
      </c>
      <c r="Q451" s="209"/>
      <c r="R451" s="196" t="s">
        <v>1829</v>
      </c>
      <c r="S451" s="45"/>
      <c r="T451" s="220">
        <v>315.0</v>
      </c>
      <c r="U451" s="198"/>
    </row>
    <row r="452" ht="22.5" customHeight="1">
      <c r="A452" s="211" t="s">
        <v>1830</v>
      </c>
      <c r="B452" s="212" t="s">
        <v>293</v>
      </c>
      <c r="C452" s="231" t="s">
        <v>684</v>
      </c>
      <c r="D452" s="214" t="s">
        <v>1750</v>
      </c>
      <c r="E452" s="212" t="s">
        <v>17</v>
      </c>
      <c r="F452" s="215">
        <v>2.0</v>
      </c>
      <c r="G452" s="210"/>
      <c r="H452" s="237" t="s">
        <v>1751</v>
      </c>
      <c r="I452" s="216">
        <v>10000.0</v>
      </c>
      <c r="J452" s="201"/>
      <c r="K452" s="201"/>
      <c r="L452" s="217">
        <v>46329.0</v>
      </c>
      <c r="M452" s="217">
        <v>46359.0</v>
      </c>
      <c r="N452" s="147"/>
      <c r="O452" s="215">
        <v>-903.0</v>
      </c>
      <c r="P452" s="215">
        <v>933.0</v>
      </c>
      <c r="Q452" s="203"/>
      <c r="R452" s="218" t="s">
        <v>1831</v>
      </c>
      <c r="S452" s="186"/>
      <c r="T452" s="215">
        <v>285.0</v>
      </c>
      <c r="U452" s="204"/>
    </row>
    <row r="453" ht="22.5" customHeight="1">
      <c r="A453" s="192" t="s">
        <v>1832</v>
      </c>
      <c r="B453" s="193" t="s">
        <v>313</v>
      </c>
      <c r="C453" s="226" t="s">
        <v>136</v>
      </c>
      <c r="D453" s="194" t="s">
        <v>1753</v>
      </c>
      <c r="E453" s="193" t="s">
        <v>17</v>
      </c>
      <c r="F453" s="220">
        <v>4.0</v>
      </c>
      <c r="G453" s="221"/>
      <c r="H453" s="222">
        <v>2500.0</v>
      </c>
      <c r="I453" s="222">
        <v>7000.0</v>
      </c>
      <c r="J453" s="222">
        <v>6993.0</v>
      </c>
      <c r="K453" s="222">
        <v>0.0</v>
      </c>
      <c r="L453" s="223">
        <v>46329.0</v>
      </c>
      <c r="M453" s="223">
        <v>46359.0</v>
      </c>
      <c r="N453" s="220">
        <v>1.0</v>
      </c>
      <c r="O453" s="220">
        <v>-903.0</v>
      </c>
      <c r="P453" s="220">
        <v>933.0</v>
      </c>
      <c r="Q453" s="209"/>
      <c r="R453" s="196" t="s">
        <v>1833</v>
      </c>
      <c r="S453" s="45"/>
      <c r="T453" s="220">
        <v>286.0</v>
      </c>
      <c r="U453" s="198"/>
    </row>
    <row r="454" ht="22.5" customHeight="1">
      <c r="A454" s="211" t="s">
        <v>1785</v>
      </c>
      <c r="B454" s="212" t="s">
        <v>255</v>
      </c>
      <c r="C454" s="213" t="s">
        <v>136</v>
      </c>
      <c r="D454" s="214" t="s">
        <v>1704</v>
      </c>
      <c r="E454" s="212" t="s">
        <v>15</v>
      </c>
      <c r="F454" s="215">
        <v>2.0</v>
      </c>
      <c r="G454" s="210"/>
      <c r="H454" s="216">
        <v>6000.0</v>
      </c>
      <c r="I454" s="216">
        <v>9000.0</v>
      </c>
      <c r="J454" s="216">
        <v>6000.0</v>
      </c>
      <c r="K454" s="216">
        <v>0.0</v>
      </c>
      <c r="L454" s="217">
        <v>46347.0</v>
      </c>
      <c r="M454" s="217">
        <v>46377.0</v>
      </c>
      <c r="N454" s="215">
        <v>1.0</v>
      </c>
      <c r="O454" s="215">
        <v>-885.0</v>
      </c>
      <c r="P454" s="215">
        <v>915.0</v>
      </c>
      <c r="Q454" s="203"/>
      <c r="R454" s="218" t="s">
        <v>1834</v>
      </c>
      <c r="S454" s="186"/>
      <c r="T454" s="215">
        <v>287.0</v>
      </c>
      <c r="U454" s="204"/>
    </row>
    <row r="455" ht="22.5" customHeight="1">
      <c r="A455" s="192" t="s">
        <v>1835</v>
      </c>
      <c r="B455" s="193" t="s">
        <v>319</v>
      </c>
      <c r="C455" s="226" t="s">
        <v>136</v>
      </c>
      <c r="D455" s="194" t="s">
        <v>1788</v>
      </c>
      <c r="E455" s="193" t="s">
        <v>17</v>
      </c>
      <c r="F455" s="220">
        <v>3.0</v>
      </c>
      <c r="G455" s="221"/>
      <c r="H455" s="222">
        <v>2000.0</v>
      </c>
      <c r="I455" s="222">
        <v>7500.0</v>
      </c>
      <c r="J455" s="222">
        <v>7500.0</v>
      </c>
      <c r="K455" s="222">
        <v>0.0</v>
      </c>
      <c r="L455" s="223">
        <v>46338.0</v>
      </c>
      <c r="M455" s="223">
        <v>46368.0</v>
      </c>
      <c r="N455" s="220">
        <v>1.0</v>
      </c>
      <c r="O455" s="220">
        <v>-894.0</v>
      </c>
      <c r="P455" s="220">
        <v>924.0</v>
      </c>
      <c r="Q455" s="209"/>
      <c r="R455" s="196" t="s">
        <v>1836</v>
      </c>
      <c r="S455" s="45"/>
      <c r="T455" s="220">
        <v>288.0</v>
      </c>
      <c r="U455" s="198"/>
    </row>
    <row r="456" ht="22.5" customHeight="1">
      <c r="A456" s="199"/>
      <c r="B456" s="212" t="s">
        <v>309</v>
      </c>
      <c r="C456" s="213" t="s">
        <v>136</v>
      </c>
      <c r="D456" s="214" t="s">
        <v>1676</v>
      </c>
      <c r="E456" s="212" t="s">
        <v>17</v>
      </c>
      <c r="F456" s="215">
        <v>2.0</v>
      </c>
      <c r="G456" s="210"/>
      <c r="H456" s="216">
        <v>2500.0</v>
      </c>
      <c r="I456" s="216">
        <v>5000.0</v>
      </c>
      <c r="J456" s="216">
        <v>5000.0</v>
      </c>
      <c r="K456" s="216">
        <v>0.0</v>
      </c>
      <c r="L456" s="217">
        <v>46329.0</v>
      </c>
      <c r="M456" s="217">
        <v>46359.0</v>
      </c>
      <c r="N456" s="215">
        <v>1.0</v>
      </c>
      <c r="O456" s="215">
        <v>-903.0</v>
      </c>
      <c r="P456" s="215">
        <v>933.0</v>
      </c>
      <c r="Q456" s="203"/>
      <c r="R456" s="218" t="s">
        <v>1837</v>
      </c>
      <c r="S456" s="186"/>
      <c r="T456" s="215">
        <v>289.0</v>
      </c>
      <c r="U456" s="204"/>
    </row>
    <row r="457" ht="22.5" customHeight="1">
      <c r="A457" s="192" t="s">
        <v>1814</v>
      </c>
      <c r="B457" s="193" t="s">
        <v>301</v>
      </c>
      <c r="C457" s="226" t="s">
        <v>136</v>
      </c>
      <c r="D457" s="194" t="s">
        <v>1708</v>
      </c>
      <c r="E457" s="193" t="s">
        <v>17</v>
      </c>
      <c r="F457" s="220">
        <v>2.0</v>
      </c>
      <c r="G457" s="221"/>
      <c r="H457" s="222">
        <v>6000.0</v>
      </c>
      <c r="I457" s="222">
        <v>10000.0</v>
      </c>
      <c r="J457" s="222">
        <v>10000.0</v>
      </c>
      <c r="K457" s="222">
        <v>0.0</v>
      </c>
      <c r="L457" s="223">
        <v>46344.0</v>
      </c>
      <c r="M457" s="223">
        <v>46374.0</v>
      </c>
      <c r="N457" s="220">
        <v>1.0</v>
      </c>
      <c r="O457" s="220">
        <v>-888.0</v>
      </c>
      <c r="P457" s="220">
        <v>918.0</v>
      </c>
      <c r="Q457" s="209"/>
      <c r="R457" s="196" t="s">
        <v>1838</v>
      </c>
      <c r="S457" s="45"/>
      <c r="T457" s="220">
        <v>290.0</v>
      </c>
      <c r="U457" s="198"/>
    </row>
    <row r="458" ht="22.5" customHeight="1">
      <c r="A458" s="199"/>
      <c r="B458" s="212" t="s">
        <v>259</v>
      </c>
      <c r="C458" s="213" t="s">
        <v>136</v>
      </c>
      <c r="D458" s="214" t="s">
        <v>1816</v>
      </c>
      <c r="E458" s="212" t="s">
        <v>15</v>
      </c>
      <c r="F458" s="215">
        <v>2.0</v>
      </c>
      <c r="G458" s="210"/>
      <c r="H458" s="216">
        <v>5000.0</v>
      </c>
      <c r="I458" s="216">
        <v>10000.0</v>
      </c>
      <c r="J458" s="216">
        <v>10000.0</v>
      </c>
      <c r="K458" s="216">
        <v>0.0</v>
      </c>
      <c r="L458" s="217">
        <v>46335.0</v>
      </c>
      <c r="M458" s="217">
        <v>46365.0</v>
      </c>
      <c r="N458" s="215">
        <v>1.0</v>
      </c>
      <c r="O458" s="215">
        <v>-897.0</v>
      </c>
      <c r="P458" s="215">
        <v>927.0</v>
      </c>
      <c r="Q458" s="203"/>
      <c r="R458" s="218" t="s">
        <v>1839</v>
      </c>
      <c r="S458" s="186"/>
      <c r="T458" s="215">
        <v>291.0</v>
      </c>
      <c r="U458" s="204"/>
    </row>
    <row r="459" ht="22.5" customHeight="1">
      <c r="A459" s="192" t="s">
        <v>1840</v>
      </c>
      <c r="B459" s="193" t="s">
        <v>209</v>
      </c>
      <c r="C459" s="226" t="s">
        <v>136</v>
      </c>
      <c r="D459" s="194" t="s">
        <v>1676</v>
      </c>
      <c r="E459" s="193" t="s">
        <v>17</v>
      </c>
      <c r="F459" s="220">
        <v>2.0</v>
      </c>
      <c r="G459" s="221"/>
      <c r="H459" s="222">
        <v>2500.0</v>
      </c>
      <c r="I459" s="222">
        <v>3750.0</v>
      </c>
      <c r="J459" s="222">
        <v>3750.0</v>
      </c>
      <c r="K459" s="222">
        <v>3750.0</v>
      </c>
      <c r="L459" s="223">
        <v>46332.0</v>
      </c>
      <c r="M459" s="223">
        <v>46362.0</v>
      </c>
      <c r="N459" s="220">
        <v>0.0</v>
      </c>
      <c r="O459" s="220">
        <v>-900.0</v>
      </c>
      <c r="P459" s="220">
        <v>930.0</v>
      </c>
      <c r="Q459" s="209"/>
      <c r="R459" s="196" t="s">
        <v>1841</v>
      </c>
      <c r="S459" s="45"/>
      <c r="T459" s="220">
        <v>292.0</v>
      </c>
      <c r="U459" s="198"/>
    </row>
    <row r="460" ht="22.5" customHeight="1">
      <c r="A460" s="199"/>
      <c r="B460" s="212" t="s">
        <v>271</v>
      </c>
      <c r="C460" s="231" t="s">
        <v>684</v>
      </c>
      <c r="D460" s="214" t="s">
        <v>1760</v>
      </c>
      <c r="E460" s="212" t="s">
        <v>15</v>
      </c>
      <c r="F460" s="215">
        <v>5.0</v>
      </c>
      <c r="G460" s="210"/>
      <c r="H460" s="216">
        <v>100.0</v>
      </c>
      <c r="I460" s="216">
        <v>500.0</v>
      </c>
      <c r="J460" s="201"/>
      <c r="K460" s="201"/>
      <c r="L460" s="217">
        <v>46347.0</v>
      </c>
      <c r="M460" s="217">
        <v>46377.0</v>
      </c>
      <c r="N460" s="147"/>
      <c r="O460" s="215">
        <v>-885.0</v>
      </c>
      <c r="P460" s="215">
        <v>915.0</v>
      </c>
      <c r="Q460" s="203"/>
      <c r="R460" s="218" t="s">
        <v>1842</v>
      </c>
      <c r="S460" s="186"/>
      <c r="T460" s="215">
        <v>293.0</v>
      </c>
      <c r="U460" s="204"/>
    </row>
    <row r="461" ht="22.5" customHeight="1">
      <c r="A461" s="192" t="s">
        <v>1819</v>
      </c>
      <c r="B461" s="193" t="s">
        <v>305</v>
      </c>
      <c r="C461" s="226" t="s">
        <v>136</v>
      </c>
      <c r="D461" s="194" t="s">
        <v>1762</v>
      </c>
      <c r="E461" s="193" t="s">
        <v>17</v>
      </c>
      <c r="F461" s="220">
        <v>3.0</v>
      </c>
      <c r="G461" s="221"/>
      <c r="H461" s="222">
        <v>2500.0</v>
      </c>
      <c r="I461" s="222">
        <v>5625.0</v>
      </c>
      <c r="J461" s="222">
        <v>5625.0</v>
      </c>
      <c r="K461" s="222">
        <v>5625.0</v>
      </c>
      <c r="L461" s="223">
        <v>46346.0</v>
      </c>
      <c r="M461" s="223">
        <v>46376.0</v>
      </c>
      <c r="N461" s="220">
        <v>0.0</v>
      </c>
      <c r="O461" s="220">
        <v>-886.0</v>
      </c>
      <c r="P461" s="220">
        <v>916.0</v>
      </c>
      <c r="Q461" s="209"/>
      <c r="R461" s="196" t="s">
        <v>1843</v>
      </c>
      <c r="S461" s="45"/>
      <c r="T461" s="220">
        <v>294.0</v>
      </c>
      <c r="U461" s="198"/>
    </row>
    <row r="462" ht="22.5" customHeight="1">
      <c r="A462" s="211" t="s">
        <v>1840</v>
      </c>
      <c r="B462" s="212" t="s">
        <v>263</v>
      </c>
      <c r="C462" s="213" t="s">
        <v>136</v>
      </c>
      <c r="D462" s="214" t="s">
        <v>1739</v>
      </c>
      <c r="E462" s="212" t="s">
        <v>15</v>
      </c>
      <c r="F462" s="215">
        <v>3.0</v>
      </c>
      <c r="G462" s="224">
        <v>0.33</v>
      </c>
      <c r="H462" s="216">
        <v>100.0</v>
      </c>
      <c r="I462" s="216">
        <v>250.0</v>
      </c>
      <c r="J462" s="216">
        <v>5000.0</v>
      </c>
      <c r="K462" s="216">
        <v>4000.0</v>
      </c>
      <c r="L462" s="217">
        <v>46327.0</v>
      </c>
      <c r="M462" s="217">
        <v>46357.0</v>
      </c>
      <c r="N462" s="215">
        <v>0.0</v>
      </c>
      <c r="O462" s="215">
        <v>-905.0</v>
      </c>
      <c r="P462" s="215">
        <v>935.0</v>
      </c>
      <c r="Q462" s="203"/>
      <c r="R462" s="218" t="s">
        <v>1844</v>
      </c>
      <c r="S462" s="186"/>
      <c r="T462" s="215">
        <v>295.0</v>
      </c>
      <c r="U462" s="204"/>
    </row>
    <row r="463" ht="22.5" customHeight="1">
      <c r="A463" s="205"/>
      <c r="B463" s="193" t="s">
        <v>249</v>
      </c>
      <c r="C463" s="226" t="s">
        <v>136</v>
      </c>
      <c r="D463" s="194" t="s">
        <v>1845</v>
      </c>
      <c r="E463" s="193" t="s">
        <v>15</v>
      </c>
      <c r="F463" s="220">
        <v>4.0</v>
      </c>
      <c r="G463" s="230">
        <v>0.33</v>
      </c>
      <c r="H463" s="222">
        <v>100.0</v>
      </c>
      <c r="I463" s="222">
        <v>400.0</v>
      </c>
      <c r="J463" s="222">
        <v>8000.0</v>
      </c>
      <c r="K463" s="222">
        <v>0.0</v>
      </c>
      <c r="L463" s="223">
        <v>46337.0</v>
      </c>
      <c r="M463" s="223">
        <v>46367.0</v>
      </c>
      <c r="N463" s="220">
        <v>1.0</v>
      </c>
      <c r="O463" s="220">
        <v>-895.0</v>
      </c>
      <c r="P463" s="220">
        <v>925.0</v>
      </c>
      <c r="Q463" s="209"/>
      <c r="R463" s="196" t="s">
        <v>1846</v>
      </c>
      <c r="S463" s="45"/>
      <c r="T463" s="220">
        <v>296.0</v>
      </c>
      <c r="U463" s="198"/>
    </row>
    <row r="464" ht="22.5" customHeight="1">
      <c r="A464" s="211" t="s">
        <v>1847</v>
      </c>
      <c r="B464" s="212" t="s">
        <v>291</v>
      </c>
      <c r="C464" s="213" t="s">
        <v>136</v>
      </c>
      <c r="D464" s="214" t="s">
        <v>1848</v>
      </c>
      <c r="E464" s="212" t="s">
        <v>17</v>
      </c>
      <c r="F464" s="215">
        <v>5.0</v>
      </c>
      <c r="G464" s="210"/>
      <c r="H464" s="216">
        <v>6000.0</v>
      </c>
      <c r="I464" s="216">
        <v>23730.0</v>
      </c>
      <c r="J464" s="216">
        <v>23730.0</v>
      </c>
      <c r="K464" s="216">
        <v>0.0</v>
      </c>
      <c r="L464" s="217">
        <v>46329.0</v>
      </c>
      <c r="M464" s="217">
        <v>46359.0</v>
      </c>
      <c r="N464" s="215">
        <v>1.0</v>
      </c>
      <c r="O464" s="215">
        <v>-903.0</v>
      </c>
      <c r="P464" s="215">
        <v>933.0</v>
      </c>
      <c r="Q464" s="203"/>
      <c r="R464" s="218" t="s">
        <v>1849</v>
      </c>
      <c r="S464" s="186"/>
      <c r="T464" s="215">
        <v>297.0</v>
      </c>
      <c r="U464" s="204"/>
    </row>
    <row r="465" ht="22.5" customHeight="1">
      <c r="A465" s="205"/>
      <c r="B465" s="193" t="s">
        <v>192</v>
      </c>
      <c r="C465" s="219" t="s">
        <v>684</v>
      </c>
      <c r="D465" s="194" t="s">
        <v>1850</v>
      </c>
      <c r="E465" s="193" t="s">
        <v>17</v>
      </c>
      <c r="F465" s="220">
        <v>1.0</v>
      </c>
      <c r="G465" s="221"/>
      <c r="H465" s="197" t="s">
        <v>1851</v>
      </c>
      <c r="I465" s="222">
        <v>5000.0</v>
      </c>
      <c r="J465" s="207"/>
      <c r="K465" s="207"/>
      <c r="L465" s="223">
        <v>46334.0</v>
      </c>
      <c r="M465" s="223">
        <v>46364.0</v>
      </c>
      <c r="N465" s="150"/>
      <c r="O465" s="220">
        <v>-898.0</v>
      </c>
      <c r="P465" s="220">
        <v>928.0</v>
      </c>
      <c r="Q465" s="209"/>
      <c r="R465" s="196" t="s">
        <v>1852</v>
      </c>
      <c r="S465" s="45"/>
      <c r="T465" s="220">
        <v>298.0</v>
      </c>
      <c r="U465" s="198"/>
    </row>
    <row r="466" ht="22.5" customHeight="1">
      <c r="A466" s="199"/>
      <c r="B466" s="212" t="s">
        <v>151</v>
      </c>
      <c r="C466" s="213" t="s">
        <v>136</v>
      </c>
      <c r="D466" s="214" t="s">
        <v>1782</v>
      </c>
      <c r="E466" s="212" t="s">
        <v>15</v>
      </c>
      <c r="F466" s="215">
        <v>3.0</v>
      </c>
      <c r="G466" s="210"/>
      <c r="H466" s="216">
        <v>100.0</v>
      </c>
      <c r="I466" s="216">
        <v>300.0</v>
      </c>
      <c r="J466" s="216">
        <v>6000.0</v>
      </c>
      <c r="K466" s="216">
        <v>6000.0</v>
      </c>
      <c r="L466" s="217">
        <v>46333.0</v>
      </c>
      <c r="M466" s="217">
        <v>46363.0</v>
      </c>
      <c r="N466" s="215">
        <v>0.0</v>
      </c>
      <c r="O466" s="215">
        <v>-899.0</v>
      </c>
      <c r="P466" s="215">
        <v>929.0</v>
      </c>
      <c r="Q466" s="203"/>
      <c r="R466" s="218" t="s">
        <v>1853</v>
      </c>
      <c r="S466" s="186"/>
      <c r="T466" s="215">
        <v>299.0</v>
      </c>
      <c r="U466" s="204"/>
    </row>
    <row r="467" ht="22.5" customHeight="1">
      <c r="A467" s="205"/>
      <c r="B467" s="193" t="s">
        <v>317</v>
      </c>
      <c r="C467" s="219" t="s">
        <v>684</v>
      </c>
      <c r="D467" s="194" t="s">
        <v>930</v>
      </c>
      <c r="E467" s="193" t="s">
        <v>15</v>
      </c>
      <c r="F467" s="220">
        <v>1.0</v>
      </c>
      <c r="G467" s="221"/>
      <c r="H467" s="222">
        <v>150.0</v>
      </c>
      <c r="I467" s="222">
        <v>150.0</v>
      </c>
      <c r="J467" s="207"/>
      <c r="K467" s="207"/>
      <c r="L467" s="223">
        <v>46294.0</v>
      </c>
      <c r="M467" s="223">
        <v>46324.0</v>
      </c>
      <c r="N467" s="150"/>
      <c r="O467" s="220">
        <v>-938.0</v>
      </c>
      <c r="P467" s="220">
        <v>968.0</v>
      </c>
      <c r="Q467" s="209"/>
      <c r="R467" s="196" t="s">
        <v>1854</v>
      </c>
      <c r="S467" s="45"/>
      <c r="T467" s="220">
        <v>300.0</v>
      </c>
      <c r="U467" s="198"/>
    </row>
    <row r="468" ht="22.5" customHeight="1">
      <c r="A468" s="211" t="s">
        <v>1855</v>
      </c>
      <c r="B468" s="212" t="s">
        <v>293</v>
      </c>
      <c r="C468" s="213" t="s">
        <v>136</v>
      </c>
      <c r="D468" s="214" t="s">
        <v>1750</v>
      </c>
      <c r="E468" s="212" t="s">
        <v>17</v>
      </c>
      <c r="F468" s="215">
        <v>2.0</v>
      </c>
      <c r="G468" s="210"/>
      <c r="H468" s="237" t="s">
        <v>1751</v>
      </c>
      <c r="I468" s="216">
        <v>5210.0</v>
      </c>
      <c r="J468" s="216">
        <v>5210.0</v>
      </c>
      <c r="K468" s="216">
        <v>5210.0</v>
      </c>
      <c r="L468" s="217">
        <v>46298.0</v>
      </c>
      <c r="M468" s="217">
        <v>46329.0</v>
      </c>
      <c r="N468" s="215">
        <v>0.0</v>
      </c>
      <c r="O468" s="215">
        <v>-933.0</v>
      </c>
      <c r="P468" s="215">
        <v>963.0</v>
      </c>
      <c r="Q468" s="203"/>
      <c r="R468" s="218" t="s">
        <v>1856</v>
      </c>
      <c r="S468" s="186"/>
      <c r="T468" s="215">
        <v>271.0</v>
      </c>
      <c r="U468" s="204"/>
    </row>
    <row r="469" ht="22.5" customHeight="1">
      <c r="A469" s="205"/>
      <c r="B469" s="193" t="s">
        <v>241</v>
      </c>
      <c r="C469" s="226" t="s">
        <v>136</v>
      </c>
      <c r="D469" s="194" t="s">
        <v>1857</v>
      </c>
      <c r="E469" s="193" t="s">
        <v>15</v>
      </c>
      <c r="F469" s="220">
        <v>1.0</v>
      </c>
      <c r="G469" s="230">
        <v>0.17</v>
      </c>
      <c r="H469" s="222">
        <v>256.13</v>
      </c>
      <c r="I469" s="222">
        <v>256.13</v>
      </c>
      <c r="J469" s="222">
        <v>5122.6</v>
      </c>
      <c r="K469" s="222">
        <v>0.0</v>
      </c>
      <c r="L469" s="223">
        <v>46305.0</v>
      </c>
      <c r="M469" s="223">
        <v>46336.0</v>
      </c>
      <c r="N469" s="220">
        <v>1.0</v>
      </c>
      <c r="O469" s="220">
        <v>-926.0</v>
      </c>
      <c r="P469" s="220">
        <v>956.0</v>
      </c>
      <c r="Q469" s="238">
        <v>46038.0</v>
      </c>
      <c r="R469" s="196" t="s">
        <v>1858</v>
      </c>
      <c r="S469" s="45"/>
      <c r="T469" s="220">
        <v>272.0</v>
      </c>
      <c r="U469" s="198"/>
    </row>
    <row r="470" ht="22.5" customHeight="1">
      <c r="A470" s="211" t="s">
        <v>1859</v>
      </c>
      <c r="B470" s="212" t="s">
        <v>313</v>
      </c>
      <c r="C470" s="213" t="s">
        <v>136</v>
      </c>
      <c r="D470" s="214" t="s">
        <v>1753</v>
      </c>
      <c r="E470" s="212" t="s">
        <v>17</v>
      </c>
      <c r="F470" s="215">
        <v>4.0</v>
      </c>
      <c r="G470" s="210"/>
      <c r="H470" s="216">
        <v>2500.0</v>
      </c>
      <c r="I470" s="216">
        <v>8000.0</v>
      </c>
      <c r="J470" s="216">
        <v>6993.0</v>
      </c>
      <c r="K470" s="216">
        <v>0.0</v>
      </c>
      <c r="L470" s="217">
        <v>46298.0</v>
      </c>
      <c r="M470" s="217">
        <v>46329.0</v>
      </c>
      <c r="N470" s="215">
        <v>1.0</v>
      </c>
      <c r="O470" s="215">
        <v>-933.0</v>
      </c>
      <c r="P470" s="215">
        <v>963.0</v>
      </c>
      <c r="Q470" s="203"/>
      <c r="R470" s="218" t="s">
        <v>1860</v>
      </c>
      <c r="S470" s="186"/>
      <c r="T470" s="215">
        <v>273.0</v>
      </c>
      <c r="U470" s="204"/>
    </row>
    <row r="471" ht="22.5" customHeight="1">
      <c r="A471" s="192" t="s">
        <v>1861</v>
      </c>
      <c r="B471" s="193" t="s">
        <v>255</v>
      </c>
      <c r="C471" s="226" t="s">
        <v>136</v>
      </c>
      <c r="D471" s="194" t="s">
        <v>1704</v>
      </c>
      <c r="E471" s="193" t="s">
        <v>15</v>
      </c>
      <c r="F471" s="220">
        <v>2.0</v>
      </c>
      <c r="G471" s="221"/>
      <c r="H471" s="222">
        <v>6000.0</v>
      </c>
      <c r="I471" s="222">
        <v>7500.0</v>
      </c>
      <c r="J471" s="222">
        <v>6000.0</v>
      </c>
      <c r="K471" s="222">
        <v>0.0</v>
      </c>
      <c r="L471" s="223">
        <v>46316.0</v>
      </c>
      <c r="M471" s="223">
        <v>46347.0</v>
      </c>
      <c r="N471" s="220">
        <v>1.0</v>
      </c>
      <c r="O471" s="220">
        <v>-915.0</v>
      </c>
      <c r="P471" s="220">
        <v>945.0</v>
      </c>
      <c r="Q471" s="209"/>
      <c r="R471" s="196" t="s">
        <v>1862</v>
      </c>
      <c r="S471" s="45"/>
      <c r="T471" s="220">
        <v>274.0</v>
      </c>
      <c r="U471" s="198"/>
    </row>
    <row r="472" ht="22.5" customHeight="1">
      <c r="A472" s="199"/>
      <c r="B472" s="212" t="s">
        <v>309</v>
      </c>
      <c r="C472" s="213" t="s">
        <v>136</v>
      </c>
      <c r="D472" s="214" t="s">
        <v>1676</v>
      </c>
      <c r="E472" s="212" t="s">
        <v>17</v>
      </c>
      <c r="F472" s="215">
        <v>2.0</v>
      </c>
      <c r="G472" s="210"/>
      <c r="H472" s="216">
        <v>2500.0</v>
      </c>
      <c r="I472" s="216">
        <v>5000.0</v>
      </c>
      <c r="J472" s="216">
        <v>5000.0</v>
      </c>
      <c r="K472" s="216">
        <v>0.0</v>
      </c>
      <c r="L472" s="217">
        <v>46298.0</v>
      </c>
      <c r="M472" s="217">
        <v>46329.0</v>
      </c>
      <c r="N472" s="215">
        <v>1.0</v>
      </c>
      <c r="O472" s="215">
        <v>-933.0</v>
      </c>
      <c r="P472" s="215">
        <v>963.0</v>
      </c>
      <c r="Q472" s="203"/>
      <c r="R472" s="218" t="s">
        <v>1863</v>
      </c>
      <c r="S472" s="186"/>
      <c r="T472" s="215">
        <v>275.0</v>
      </c>
      <c r="U472" s="204"/>
    </row>
    <row r="473" ht="22.5" customHeight="1">
      <c r="A473" s="192" t="s">
        <v>1864</v>
      </c>
      <c r="B473" s="193" t="s">
        <v>301</v>
      </c>
      <c r="C473" s="226" t="s">
        <v>136</v>
      </c>
      <c r="D473" s="194" t="s">
        <v>1708</v>
      </c>
      <c r="E473" s="193" t="s">
        <v>17</v>
      </c>
      <c r="F473" s="220">
        <v>2.0</v>
      </c>
      <c r="G473" s="221"/>
      <c r="H473" s="222">
        <v>6000.0</v>
      </c>
      <c r="I473" s="222">
        <v>10000.0</v>
      </c>
      <c r="J473" s="222">
        <v>10000.0</v>
      </c>
      <c r="K473" s="222">
        <v>0.0</v>
      </c>
      <c r="L473" s="223">
        <v>46313.0</v>
      </c>
      <c r="M473" s="223">
        <v>46344.0</v>
      </c>
      <c r="N473" s="220">
        <v>1.0</v>
      </c>
      <c r="O473" s="220">
        <v>-918.0</v>
      </c>
      <c r="P473" s="220">
        <v>948.0</v>
      </c>
      <c r="Q473" s="209"/>
      <c r="R473" s="196" t="s">
        <v>1865</v>
      </c>
      <c r="S473" s="45"/>
      <c r="T473" s="220">
        <v>276.0</v>
      </c>
      <c r="U473" s="198"/>
    </row>
    <row r="474" ht="22.5" customHeight="1">
      <c r="A474" s="199"/>
      <c r="B474" s="212" t="s">
        <v>259</v>
      </c>
      <c r="C474" s="213" t="s">
        <v>136</v>
      </c>
      <c r="D474" s="214" t="s">
        <v>1816</v>
      </c>
      <c r="E474" s="212" t="s">
        <v>15</v>
      </c>
      <c r="F474" s="215">
        <v>2.0</v>
      </c>
      <c r="G474" s="210"/>
      <c r="H474" s="216">
        <v>5000.0</v>
      </c>
      <c r="I474" s="216">
        <v>10000.0</v>
      </c>
      <c r="J474" s="216">
        <v>10000.0</v>
      </c>
      <c r="K474" s="216">
        <v>0.0</v>
      </c>
      <c r="L474" s="217">
        <v>46304.0</v>
      </c>
      <c r="M474" s="217">
        <v>46335.0</v>
      </c>
      <c r="N474" s="215">
        <v>1.0</v>
      </c>
      <c r="O474" s="215">
        <v>-927.0</v>
      </c>
      <c r="P474" s="215">
        <v>957.0</v>
      </c>
      <c r="Q474" s="203"/>
      <c r="R474" s="218" t="s">
        <v>1866</v>
      </c>
      <c r="S474" s="186"/>
      <c r="T474" s="215">
        <v>277.0</v>
      </c>
      <c r="U474" s="204"/>
    </row>
    <row r="475" ht="22.5" customHeight="1">
      <c r="A475" s="205"/>
      <c r="B475" s="193" t="s">
        <v>209</v>
      </c>
      <c r="C475" s="226" t="s">
        <v>136</v>
      </c>
      <c r="D475" s="194" t="s">
        <v>1676</v>
      </c>
      <c r="E475" s="193" t="s">
        <v>17</v>
      </c>
      <c r="F475" s="220">
        <v>2.0</v>
      </c>
      <c r="G475" s="221"/>
      <c r="H475" s="222">
        <v>2500.0</v>
      </c>
      <c r="I475" s="222">
        <v>5000.0</v>
      </c>
      <c r="J475" s="222">
        <v>4000.0</v>
      </c>
      <c r="K475" s="222">
        <v>4000.0</v>
      </c>
      <c r="L475" s="223">
        <v>46301.0</v>
      </c>
      <c r="M475" s="223">
        <v>46332.0</v>
      </c>
      <c r="N475" s="220">
        <v>0.0</v>
      </c>
      <c r="O475" s="220">
        <v>-930.0</v>
      </c>
      <c r="P475" s="220">
        <v>960.0</v>
      </c>
      <c r="Q475" s="209"/>
      <c r="R475" s="196" t="s">
        <v>1867</v>
      </c>
      <c r="S475" s="45"/>
      <c r="T475" s="220">
        <v>278.0</v>
      </c>
      <c r="U475" s="198"/>
    </row>
    <row r="476" ht="22.5" customHeight="1">
      <c r="A476" s="199"/>
      <c r="B476" s="212" t="s">
        <v>271</v>
      </c>
      <c r="C476" s="231" t="s">
        <v>684</v>
      </c>
      <c r="D476" s="214" t="s">
        <v>1760</v>
      </c>
      <c r="E476" s="212" t="s">
        <v>15</v>
      </c>
      <c r="F476" s="215">
        <v>5.0</v>
      </c>
      <c r="G476" s="210"/>
      <c r="H476" s="216">
        <v>100.0</v>
      </c>
      <c r="I476" s="216">
        <v>500.0</v>
      </c>
      <c r="J476" s="201"/>
      <c r="K476" s="201"/>
      <c r="L476" s="217">
        <v>46316.0</v>
      </c>
      <c r="M476" s="217">
        <v>46347.0</v>
      </c>
      <c r="N476" s="147"/>
      <c r="O476" s="215">
        <v>-915.0</v>
      </c>
      <c r="P476" s="215">
        <v>945.0</v>
      </c>
      <c r="Q476" s="203"/>
      <c r="R476" s="218" t="s">
        <v>1868</v>
      </c>
      <c r="S476" s="186"/>
      <c r="T476" s="215">
        <v>279.0</v>
      </c>
      <c r="U476" s="204"/>
    </row>
    <row r="477" ht="22.5" customHeight="1">
      <c r="A477" s="192" t="s">
        <v>1869</v>
      </c>
      <c r="B477" s="193" t="s">
        <v>305</v>
      </c>
      <c r="C477" s="226" t="s">
        <v>136</v>
      </c>
      <c r="D477" s="194" t="s">
        <v>1762</v>
      </c>
      <c r="E477" s="193" t="s">
        <v>17</v>
      </c>
      <c r="F477" s="220">
        <v>3.0</v>
      </c>
      <c r="G477" s="221"/>
      <c r="H477" s="222">
        <v>2500.0</v>
      </c>
      <c r="I477" s="222">
        <v>5000.0</v>
      </c>
      <c r="J477" s="222">
        <v>5000.0</v>
      </c>
      <c r="K477" s="222">
        <v>5000.0</v>
      </c>
      <c r="L477" s="223">
        <v>46315.0</v>
      </c>
      <c r="M477" s="223">
        <v>46346.0</v>
      </c>
      <c r="N477" s="220">
        <v>0.0</v>
      </c>
      <c r="O477" s="220">
        <v>-916.0</v>
      </c>
      <c r="P477" s="220">
        <v>946.0</v>
      </c>
      <c r="Q477" s="209"/>
      <c r="R477" s="196" t="s">
        <v>1870</v>
      </c>
      <c r="S477" s="45"/>
      <c r="T477" s="220">
        <v>280.0</v>
      </c>
      <c r="U477" s="198"/>
    </row>
    <row r="478" ht="22.5" customHeight="1">
      <c r="A478" s="199"/>
      <c r="B478" s="212" t="s">
        <v>263</v>
      </c>
      <c r="C478" s="213" t="s">
        <v>136</v>
      </c>
      <c r="D478" s="214" t="s">
        <v>1798</v>
      </c>
      <c r="E478" s="212" t="s">
        <v>15</v>
      </c>
      <c r="F478" s="215">
        <v>4.0</v>
      </c>
      <c r="G478" s="224">
        <v>0.33</v>
      </c>
      <c r="H478" s="216">
        <v>100.0</v>
      </c>
      <c r="I478" s="216">
        <v>400.0</v>
      </c>
      <c r="J478" s="216">
        <v>8000.0</v>
      </c>
      <c r="K478" s="216">
        <v>0.0</v>
      </c>
      <c r="L478" s="217">
        <v>46296.0</v>
      </c>
      <c r="M478" s="217">
        <v>46327.0</v>
      </c>
      <c r="N478" s="215">
        <v>1.0</v>
      </c>
      <c r="O478" s="215">
        <v>-935.0</v>
      </c>
      <c r="P478" s="215">
        <v>965.0</v>
      </c>
      <c r="Q478" s="203"/>
      <c r="R478" s="218" t="s">
        <v>1871</v>
      </c>
      <c r="S478" s="186"/>
      <c r="T478" s="215">
        <v>281.0</v>
      </c>
      <c r="U478" s="204"/>
    </row>
    <row r="479" ht="22.5" customHeight="1">
      <c r="A479" s="205"/>
      <c r="B479" s="193" t="s">
        <v>249</v>
      </c>
      <c r="C479" s="226" t="s">
        <v>136</v>
      </c>
      <c r="D479" s="194" t="s">
        <v>1845</v>
      </c>
      <c r="E479" s="193" t="s">
        <v>15</v>
      </c>
      <c r="F479" s="220">
        <v>4.0</v>
      </c>
      <c r="G479" s="230">
        <v>0.33</v>
      </c>
      <c r="H479" s="222">
        <v>100.0</v>
      </c>
      <c r="I479" s="222">
        <v>400.0</v>
      </c>
      <c r="J479" s="222">
        <v>8000.0</v>
      </c>
      <c r="K479" s="222">
        <v>0.0</v>
      </c>
      <c r="L479" s="223">
        <v>46306.0</v>
      </c>
      <c r="M479" s="223">
        <v>46337.0</v>
      </c>
      <c r="N479" s="220">
        <v>1.0</v>
      </c>
      <c r="O479" s="220">
        <v>-925.0</v>
      </c>
      <c r="P479" s="220">
        <v>955.0</v>
      </c>
      <c r="Q479" s="209"/>
      <c r="R479" s="196" t="s">
        <v>1872</v>
      </c>
      <c r="S479" s="45"/>
      <c r="T479" s="220">
        <v>282.0</v>
      </c>
      <c r="U479" s="198"/>
    </row>
    <row r="480" ht="22.5" customHeight="1">
      <c r="A480" s="211" t="s">
        <v>1873</v>
      </c>
      <c r="B480" s="212" t="s">
        <v>291</v>
      </c>
      <c r="C480" s="213" t="s">
        <v>136</v>
      </c>
      <c r="D480" s="214" t="s">
        <v>1848</v>
      </c>
      <c r="E480" s="212" t="s">
        <v>17</v>
      </c>
      <c r="F480" s="215">
        <v>6.0</v>
      </c>
      <c r="G480" s="210"/>
      <c r="H480" s="237" t="s">
        <v>1874</v>
      </c>
      <c r="I480" s="216">
        <v>21875.0</v>
      </c>
      <c r="J480" s="216">
        <v>21875.0</v>
      </c>
      <c r="K480" s="216">
        <v>0.0</v>
      </c>
      <c r="L480" s="217">
        <v>46298.0</v>
      </c>
      <c r="M480" s="217">
        <v>46329.0</v>
      </c>
      <c r="N480" s="215">
        <v>1.0</v>
      </c>
      <c r="O480" s="215">
        <v>-933.0</v>
      </c>
      <c r="P480" s="215">
        <v>963.0</v>
      </c>
      <c r="Q480" s="203"/>
      <c r="R480" s="218" t="s">
        <v>1875</v>
      </c>
      <c r="S480" s="186"/>
      <c r="T480" s="215">
        <v>283.0</v>
      </c>
      <c r="U480" s="204"/>
    </row>
    <row r="481" ht="22.5" customHeight="1">
      <c r="A481" s="205"/>
      <c r="B481" s="193" t="s">
        <v>192</v>
      </c>
      <c r="C481" s="226" t="s">
        <v>136</v>
      </c>
      <c r="D481" s="194" t="s">
        <v>1850</v>
      </c>
      <c r="E481" s="193" t="s">
        <v>17</v>
      </c>
      <c r="F481" s="220">
        <v>1.0</v>
      </c>
      <c r="G481" s="221"/>
      <c r="H481" s="197" t="s">
        <v>1851</v>
      </c>
      <c r="I481" s="222">
        <v>5000.0</v>
      </c>
      <c r="J481" s="197" t="s">
        <v>1876</v>
      </c>
      <c r="K481" s="197" t="s">
        <v>1876</v>
      </c>
      <c r="L481" s="223">
        <v>46303.0</v>
      </c>
      <c r="M481" s="223">
        <v>46334.0</v>
      </c>
      <c r="N481" s="220">
        <v>0.0</v>
      </c>
      <c r="O481" s="220">
        <v>-928.0</v>
      </c>
      <c r="P481" s="220">
        <v>958.0</v>
      </c>
      <c r="Q481" s="209"/>
      <c r="R481" s="196" t="s">
        <v>1877</v>
      </c>
      <c r="S481" s="45"/>
      <c r="T481" s="220">
        <v>284.0</v>
      </c>
      <c r="U481" s="198"/>
    </row>
    <row r="482" ht="22.5" customHeight="1">
      <c r="A482" s="211" t="s">
        <v>1878</v>
      </c>
      <c r="B482" s="212" t="s">
        <v>283</v>
      </c>
      <c r="C482" s="231" t="s">
        <v>684</v>
      </c>
      <c r="D482" s="214" t="s">
        <v>1472</v>
      </c>
      <c r="E482" s="212" t="s">
        <v>15</v>
      </c>
      <c r="F482" s="215">
        <v>1.0</v>
      </c>
      <c r="G482" s="210"/>
      <c r="H482" s="216">
        <v>150.0</v>
      </c>
      <c r="I482" s="216">
        <v>150.0</v>
      </c>
      <c r="J482" s="201"/>
      <c r="K482" s="201"/>
      <c r="L482" s="217">
        <v>46275.0</v>
      </c>
      <c r="M482" s="217">
        <v>46305.0</v>
      </c>
      <c r="N482" s="147"/>
      <c r="O482" s="215">
        <v>-957.0</v>
      </c>
      <c r="P482" s="215">
        <v>987.0</v>
      </c>
      <c r="Q482" s="203"/>
      <c r="R482" s="218" t="s">
        <v>1879</v>
      </c>
      <c r="S482" s="186"/>
      <c r="T482" s="215">
        <v>248.0</v>
      </c>
      <c r="U482" s="204"/>
    </row>
    <row r="483" ht="22.5" customHeight="1">
      <c r="A483" s="205"/>
      <c r="B483" s="193" t="s">
        <v>281</v>
      </c>
      <c r="C483" s="226" t="s">
        <v>136</v>
      </c>
      <c r="D483" s="194" t="s">
        <v>1472</v>
      </c>
      <c r="E483" s="193" t="s">
        <v>15</v>
      </c>
      <c r="F483" s="220">
        <v>1.0</v>
      </c>
      <c r="G483" s="221"/>
      <c r="H483" s="222">
        <v>150.0</v>
      </c>
      <c r="I483" s="222">
        <v>150.0</v>
      </c>
      <c r="J483" s="222">
        <v>3000.0</v>
      </c>
      <c r="K483" s="222">
        <v>0.0</v>
      </c>
      <c r="L483" s="223">
        <v>46275.0</v>
      </c>
      <c r="M483" s="223">
        <v>46305.0</v>
      </c>
      <c r="N483" s="220">
        <v>1.0</v>
      </c>
      <c r="O483" s="220">
        <v>-957.0</v>
      </c>
      <c r="P483" s="220">
        <v>987.0</v>
      </c>
      <c r="Q483" s="209"/>
      <c r="R483" s="196" t="s">
        <v>1880</v>
      </c>
      <c r="S483" s="45"/>
      <c r="T483" s="220">
        <v>249.0</v>
      </c>
      <c r="U483" s="198"/>
    </row>
    <row r="484" ht="22.5" customHeight="1">
      <c r="A484" s="211" t="s">
        <v>1881</v>
      </c>
      <c r="B484" s="212" t="s">
        <v>311</v>
      </c>
      <c r="C484" s="231" t="s">
        <v>684</v>
      </c>
      <c r="D484" s="214" t="s">
        <v>1472</v>
      </c>
      <c r="E484" s="212" t="s">
        <v>15</v>
      </c>
      <c r="F484" s="215">
        <v>1.0</v>
      </c>
      <c r="G484" s="147"/>
      <c r="H484" s="216">
        <v>150.0</v>
      </c>
      <c r="I484" s="216">
        <v>150.0</v>
      </c>
      <c r="J484" s="201"/>
      <c r="K484" s="201"/>
      <c r="L484" s="217">
        <v>46267.0</v>
      </c>
      <c r="M484" s="217">
        <v>46297.0</v>
      </c>
      <c r="N484" s="147"/>
      <c r="O484" s="215">
        <v>-965.0</v>
      </c>
      <c r="P484" s="215">
        <v>995.0</v>
      </c>
      <c r="Q484" s="203"/>
      <c r="R484" s="218" t="s">
        <v>1882</v>
      </c>
      <c r="S484" s="186"/>
      <c r="T484" s="215">
        <v>250.0</v>
      </c>
      <c r="U484" s="204"/>
    </row>
    <row r="485" ht="22.5" customHeight="1">
      <c r="A485" s="205"/>
      <c r="B485" s="193" t="s">
        <v>279</v>
      </c>
      <c r="C485" s="226" t="s">
        <v>136</v>
      </c>
      <c r="D485" s="194" t="s">
        <v>1883</v>
      </c>
      <c r="E485" s="193" t="s">
        <v>15</v>
      </c>
      <c r="F485" s="220">
        <v>1.0</v>
      </c>
      <c r="G485" s="221"/>
      <c r="H485" s="222">
        <v>250.0</v>
      </c>
      <c r="I485" s="222">
        <v>250.0</v>
      </c>
      <c r="J485" s="222">
        <v>5000.0</v>
      </c>
      <c r="K485" s="222">
        <v>5000.0</v>
      </c>
      <c r="L485" s="223">
        <v>46283.0</v>
      </c>
      <c r="M485" s="223">
        <v>46313.0</v>
      </c>
      <c r="N485" s="220">
        <v>0.0</v>
      </c>
      <c r="O485" s="220">
        <v>-949.0</v>
      </c>
      <c r="P485" s="220">
        <v>979.0</v>
      </c>
      <c r="Q485" s="209"/>
      <c r="R485" s="196" t="s">
        <v>1884</v>
      </c>
      <c r="S485" s="45"/>
      <c r="T485" s="220">
        <v>251.0</v>
      </c>
      <c r="U485" s="198"/>
    </row>
    <row r="486" ht="22.5" customHeight="1">
      <c r="A486" s="211">
        <v>0.625</v>
      </c>
      <c r="B486" s="212" t="s">
        <v>293</v>
      </c>
      <c r="C486" s="213" t="s">
        <v>136</v>
      </c>
      <c r="D486" s="214" t="s">
        <v>1750</v>
      </c>
      <c r="E486" s="212" t="s">
        <v>17</v>
      </c>
      <c r="F486" s="215">
        <v>2.0</v>
      </c>
      <c r="G486" s="147"/>
      <c r="H486" s="216">
        <v>6000.0</v>
      </c>
      <c r="I486" s="216">
        <v>4500.0</v>
      </c>
      <c r="J486" s="216">
        <v>4500.0</v>
      </c>
      <c r="K486" s="216">
        <v>4500.0</v>
      </c>
      <c r="L486" s="217">
        <v>46268.0</v>
      </c>
      <c r="M486" s="202"/>
      <c r="N486" s="215">
        <v>0.0</v>
      </c>
      <c r="O486" s="147"/>
      <c r="P486" s="215">
        <v>30.0</v>
      </c>
      <c r="Q486" s="203"/>
      <c r="R486" s="218" t="s">
        <v>1885</v>
      </c>
      <c r="S486" s="186"/>
      <c r="T486" s="215">
        <v>252.0</v>
      </c>
      <c r="U486" s="204"/>
    </row>
    <row r="487" ht="22.5" customHeight="1">
      <c r="A487" s="205"/>
      <c r="B487" s="193" t="s">
        <v>295</v>
      </c>
      <c r="C487" s="226" t="s">
        <v>136</v>
      </c>
      <c r="D487" s="194" t="s">
        <v>1886</v>
      </c>
      <c r="E487" s="193" t="s">
        <v>17</v>
      </c>
      <c r="F487" s="220">
        <v>2.0</v>
      </c>
      <c r="G487" s="150"/>
      <c r="H487" s="197" t="s">
        <v>1887</v>
      </c>
      <c r="I487" s="222">
        <v>2000.0</v>
      </c>
      <c r="J487" s="222">
        <v>2000.0</v>
      </c>
      <c r="K487" s="222">
        <v>2000.0</v>
      </c>
      <c r="L487" s="223">
        <v>46287.0</v>
      </c>
      <c r="M487" s="223">
        <v>46317.0</v>
      </c>
      <c r="N487" s="220">
        <v>0.0</v>
      </c>
      <c r="O487" s="220">
        <v>-945.0</v>
      </c>
      <c r="P487" s="220">
        <v>975.0</v>
      </c>
      <c r="Q487" s="209"/>
      <c r="R487" s="196" t="s">
        <v>1888</v>
      </c>
      <c r="S487" s="45"/>
      <c r="T487" s="220">
        <v>253.0</v>
      </c>
      <c r="U487" s="198"/>
    </row>
    <row r="488" ht="22.5" customHeight="1">
      <c r="A488" s="211" t="s">
        <v>1889</v>
      </c>
      <c r="B488" s="212" t="s">
        <v>313</v>
      </c>
      <c r="C488" s="213" t="s">
        <v>136</v>
      </c>
      <c r="D488" s="214" t="s">
        <v>1890</v>
      </c>
      <c r="E488" s="212" t="s">
        <v>17</v>
      </c>
      <c r="F488" s="215">
        <v>5.0</v>
      </c>
      <c r="G488" s="147"/>
      <c r="H488" s="216">
        <v>2500.0</v>
      </c>
      <c r="I488" s="216">
        <v>8750.0</v>
      </c>
      <c r="J488" s="216">
        <v>6993.0</v>
      </c>
      <c r="K488" s="216">
        <v>0.0</v>
      </c>
      <c r="L488" s="217">
        <v>46268.0</v>
      </c>
      <c r="M488" s="217">
        <v>46298.0</v>
      </c>
      <c r="N488" s="215">
        <v>1.0</v>
      </c>
      <c r="O488" s="215">
        <v>-964.0</v>
      </c>
      <c r="P488" s="215">
        <v>994.0</v>
      </c>
      <c r="Q488" s="203"/>
      <c r="R488" s="218" t="s">
        <v>1891</v>
      </c>
      <c r="S488" s="186"/>
      <c r="T488" s="215">
        <v>254.0</v>
      </c>
      <c r="U488" s="204"/>
    </row>
    <row r="489" ht="22.5" customHeight="1">
      <c r="A489" s="205"/>
      <c r="B489" s="193" t="s">
        <v>255</v>
      </c>
      <c r="C489" s="226" t="s">
        <v>136</v>
      </c>
      <c r="D489" s="194" t="s">
        <v>1704</v>
      </c>
      <c r="E489" s="193" t="s">
        <v>15</v>
      </c>
      <c r="F489" s="220">
        <v>1.0</v>
      </c>
      <c r="G489" s="221"/>
      <c r="H489" s="222">
        <v>6000.0</v>
      </c>
      <c r="I489" s="222">
        <v>6000.0</v>
      </c>
      <c r="J489" s="222">
        <v>6000.0</v>
      </c>
      <c r="K489" s="222">
        <v>0.0</v>
      </c>
      <c r="L489" s="223">
        <v>46286.0</v>
      </c>
      <c r="M489" s="223">
        <v>46316.0</v>
      </c>
      <c r="N489" s="220">
        <v>1.0</v>
      </c>
      <c r="O489" s="220">
        <v>-946.0</v>
      </c>
      <c r="P489" s="220">
        <v>976.0</v>
      </c>
      <c r="Q489" s="209"/>
      <c r="R489" s="196" t="s">
        <v>1892</v>
      </c>
      <c r="S489" s="45"/>
      <c r="T489" s="220">
        <v>255.0</v>
      </c>
      <c r="U489" s="198"/>
    </row>
    <row r="490" ht="22.5" customHeight="1">
      <c r="A490" s="199"/>
      <c r="B490" s="212" t="s">
        <v>309</v>
      </c>
      <c r="C490" s="213" t="s">
        <v>136</v>
      </c>
      <c r="D490" s="214" t="s">
        <v>1676</v>
      </c>
      <c r="E490" s="212" t="s">
        <v>17</v>
      </c>
      <c r="F490" s="215">
        <v>2.0</v>
      </c>
      <c r="G490" s="147"/>
      <c r="H490" s="216">
        <v>2500.0</v>
      </c>
      <c r="I490" s="216">
        <v>5000.0</v>
      </c>
      <c r="J490" s="216">
        <v>5000.0</v>
      </c>
      <c r="K490" s="216">
        <v>0.0</v>
      </c>
      <c r="L490" s="217">
        <v>46268.0</v>
      </c>
      <c r="M490" s="217">
        <v>46298.0</v>
      </c>
      <c r="N490" s="215">
        <v>1.0</v>
      </c>
      <c r="O490" s="215">
        <v>-964.0</v>
      </c>
      <c r="P490" s="215">
        <v>994.0</v>
      </c>
      <c r="Q490" s="203"/>
      <c r="R490" s="218" t="s">
        <v>1893</v>
      </c>
      <c r="S490" s="186"/>
      <c r="T490" s="215">
        <v>256.0</v>
      </c>
      <c r="U490" s="204"/>
    </row>
    <row r="491" ht="22.5" customHeight="1">
      <c r="A491" s="205"/>
      <c r="B491" s="193" t="s">
        <v>273</v>
      </c>
      <c r="C491" s="226" t="s">
        <v>136</v>
      </c>
      <c r="D491" s="194" t="s">
        <v>1788</v>
      </c>
      <c r="E491" s="193" t="s">
        <v>17</v>
      </c>
      <c r="F491" s="220">
        <v>3.0</v>
      </c>
      <c r="G491" s="221"/>
      <c r="H491" s="222">
        <v>1750.0</v>
      </c>
      <c r="I491" s="222">
        <v>5250.0</v>
      </c>
      <c r="J491" s="222">
        <v>5250.0</v>
      </c>
      <c r="K491" s="222">
        <v>5250.0</v>
      </c>
      <c r="L491" s="223">
        <v>46290.0</v>
      </c>
      <c r="M491" s="223">
        <v>46320.0</v>
      </c>
      <c r="N491" s="220">
        <v>0.0</v>
      </c>
      <c r="O491" s="220">
        <v>-942.0</v>
      </c>
      <c r="P491" s="220">
        <v>972.0</v>
      </c>
      <c r="Q491" s="209"/>
      <c r="R491" s="196" t="s">
        <v>1894</v>
      </c>
      <c r="S491" s="45"/>
      <c r="T491" s="220">
        <v>257.0</v>
      </c>
      <c r="U491" s="198"/>
    </row>
    <row r="492" ht="22.5" customHeight="1">
      <c r="A492" s="211" t="s">
        <v>1350</v>
      </c>
      <c r="B492" s="212" t="s">
        <v>223</v>
      </c>
      <c r="C492" s="200"/>
      <c r="D492" s="214" t="s">
        <v>1472</v>
      </c>
      <c r="E492" s="200"/>
      <c r="F492" s="215">
        <v>1.0</v>
      </c>
      <c r="G492" s="210"/>
      <c r="H492" s="216">
        <v>150.0</v>
      </c>
      <c r="I492" s="216">
        <v>150.0</v>
      </c>
      <c r="J492" s="201"/>
      <c r="K492" s="201"/>
      <c r="L492" s="217">
        <v>46289.0</v>
      </c>
      <c r="M492" s="217">
        <v>46319.0</v>
      </c>
      <c r="N492" s="147"/>
      <c r="O492" s="215">
        <v>-943.0</v>
      </c>
      <c r="P492" s="215">
        <v>973.0</v>
      </c>
      <c r="Q492" s="203"/>
      <c r="R492" s="218" t="s">
        <v>1895</v>
      </c>
      <c r="S492" s="186"/>
      <c r="T492" s="215">
        <v>258.0</v>
      </c>
      <c r="U492" s="204"/>
    </row>
    <row r="493" ht="22.5" customHeight="1">
      <c r="A493" s="205"/>
      <c r="B493" s="193" t="s">
        <v>261</v>
      </c>
      <c r="C493" s="226" t="s">
        <v>136</v>
      </c>
      <c r="D493" s="194" t="s">
        <v>1711</v>
      </c>
      <c r="E493" s="193" t="s">
        <v>15</v>
      </c>
      <c r="F493" s="220">
        <v>1.0</v>
      </c>
      <c r="G493" s="221"/>
      <c r="H493" s="222">
        <v>300.0</v>
      </c>
      <c r="I493" s="222">
        <v>300.0</v>
      </c>
      <c r="J493" s="222">
        <v>6000.0</v>
      </c>
      <c r="K493" s="222">
        <v>0.0</v>
      </c>
      <c r="L493" s="223">
        <v>46269.0</v>
      </c>
      <c r="M493" s="223">
        <v>46299.0</v>
      </c>
      <c r="N493" s="220">
        <v>1.0</v>
      </c>
      <c r="O493" s="220">
        <v>-963.0</v>
      </c>
      <c r="P493" s="220">
        <v>993.0</v>
      </c>
      <c r="Q493" s="209"/>
      <c r="R493" s="196" t="s">
        <v>1896</v>
      </c>
      <c r="S493" s="45"/>
      <c r="T493" s="220">
        <v>259.0</v>
      </c>
      <c r="U493" s="198"/>
    </row>
    <row r="494" ht="22.5" customHeight="1">
      <c r="A494" s="211" t="s">
        <v>1814</v>
      </c>
      <c r="B494" s="212" t="s">
        <v>301</v>
      </c>
      <c r="C494" s="213" t="s">
        <v>136</v>
      </c>
      <c r="D494" s="214" t="s">
        <v>1708</v>
      </c>
      <c r="E494" s="212" t="s">
        <v>17</v>
      </c>
      <c r="F494" s="215">
        <v>2.0</v>
      </c>
      <c r="G494" s="147"/>
      <c r="H494" s="216">
        <v>6000.0</v>
      </c>
      <c r="I494" s="216">
        <v>10000.0</v>
      </c>
      <c r="J494" s="216">
        <v>10000.0</v>
      </c>
      <c r="K494" s="216">
        <v>0.0</v>
      </c>
      <c r="L494" s="217">
        <v>46283.0</v>
      </c>
      <c r="M494" s="217">
        <v>46313.0</v>
      </c>
      <c r="N494" s="215">
        <v>1.0</v>
      </c>
      <c r="O494" s="215">
        <v>-949.0</v>
      </c>
      <c r="P494" s="215">
        <v>979.0</v>
      </c>
      <c r="Q494" s="203"/>
      <c r="R494" s="218" t="s">
        <v>1897</v>
      </c>
      <c r="S494" s="186"/>
      <c r="T494" s="215">
        <v>260.0</v>
      </c>
      <c r="U494" s="204"/>
    </row>
    <row r="495" ht="22.5" customHeight="1">
      <c r="A495" s="192" t="s">
        <v>1898</v>
      </c>
      <c r="B495" s="193" t="s">
        <v>209</v>
      </c>
      <c r="C495" s="226" t="s">
        <v>136</v>
      </c>
      <c r="D495" s="194" t="s">
        <v>1899</v>
      </c>
      <c r="E495" s="193" t="s">
        <v>17</v>
      </c>
      <c r="F495" s="220">
        <v>3.0</v>
      </c>
      <c r="G495" s="150"/>
      <c r="H495" s="197" t="s">
        <v>1900</v>
      </c>
      <c r="I495" s="222">
        <v>2812.5</v>
      </c>
      <c r="J495" s="222">
        <v>6000.0</v>
      </c>
      <c r="K495" s="222">
        <v>6000.0</v>
      </c>
      <c r="L495" s="223">
        <v>46271.0</v>
      </c>
      <c r="M495" s="223">
        <v>46301.0</v>
      </c>
      <c r="N495" s="220">
        <v>0.0</v>
      </c>
      <c r="O495" s="220">
        <v>-961.0</v>
      </c>
      <c r="P495" s="220">
        <v>991.0</v>
      </c>
      <c r="Q495" s="209"/>
      <c r="R495" s="196" t="s">
        <v>1901</v>
      </c>
      <c r="S495" s="45"/>
      <c r="T495" s="220">
        <v>261.0</v>
      </c>
      <c r="U495" s="198"/>
    </row>
    <row r="496" ht="22.5" customHeight="1">
      <c r="A496" s="199"/>
      <c r="B496" s="212" t="s">
        <v>271</v>
      </c>
      <c r="C496" s="214" t="s">
        <v>489</v>
      </c>
      <c r="D496" s="214" t="s">
        <v>1760</v>
      </c>
      <c r="E496" s="212" t="s">
        <v>15</v>
      </c>
      <c r="F496" s="215">
        <v>5.0</v>
      </c>
      <c r="G496" s="210"/>
      <c r="H496" s="216">
        <v>100.0</v>
      </c>
      <c r="I496" s="216">
        <v>500.0</v>
      </c>
      <c r="J496" s="201"/>
      <c r="K496" s="201"/>
      <c r="L496" s="217">
        <v>46286.0</v>
      </c>
      <c r="M496" s="217">
        <v>46316.0</v>
      </c>
      <c r="N496" s="147"/>
      <c r="O496" s="215">
        <v>-946.0</v>
      </c>
      <c r="P496" s="215">
        <v>976.0</v>
      </c>
      <c r="Q496" s="203"/>
      <c r="R496" s="218" t="s">
        <v>1902</v>
      </c>
      <c r="S496" s="186"/>
      <c r="T496" s="215">
        <v>262.0</v>
      </c>
      <c r="U496" s="204"/>
    </row>
    <row r="497" ht="22.5" customHeight="1">
      <c r="A497" s="192" t="s">
        <v>1796</v>
      </c>
      <c r="B497" s="193" t="s">
        <v>305</v>
      </c>
      <c r="C497" s="226" t="s">
        <v>136</v>
      </c>
      <c r="D497" s="194" t="s">
        <v>1762</v>
      </c>
      <c r="E497" s="193" t="s">
        <v>17</v>
      </c>
      <c r="F497" s="220">
        <v>3.0</v>
      </c>
      <c r="G497" s="150"/>
      <c r="H497" s="222">
        <v>2500.0</v>
      </c>
      <c r="I497" s="222">
        <v>5625.0</v>
      </c>
      <c r="J497" s="222">
        <v>5625.0</v>
      </c>
      <c r="K497" s="222">
        <v>5625.0</v>
      </c>
      <c r="L497" s="223">
        <v>46285.0</v>
      </c>
      <c r="M497" s="223">
        <v>46315.0</v>
      </c>
      <c r="N497" s="220">
        <v>0.0</v>
      </c>
      <c r="O497" s="220">
        <v>-947.0</v>
      </c>
      <c r="P497" s="220">
        <v>977.0</v>
      </c>
      <c r="Q497" s="209"/>
      <c r="R497" s="196" t="s">
        <v>1903</v>
      </c>
      <c r="S497" s="45"/>
      <c r="T497" s="220">
        <v>263.0</v>
      </c>
      <c r="U497" s="198"/>
    </row>
    <row r="498" ht="22.5" customHeight="1">
      <c r="A498" s="199"/>
      <c r="B498" s="212" t="s">
        <v>263</v>
      </c>
      <c r="C498" s="213" t="s">
        <v>136</v>
      </c>
      <c r="D498" s="214" t="s">
        <v>1798</v>
      </c>
      <c r="E498" s="212" t="s">
        <v>15</v>
      </c>
      <c r="F498" s="215">
        <v>4.0</v>
      </c>
      <c r="G498" s="224">
        <v>0.33</v>
      </c>
      <c r="H498" s="216">
        <v>100.0</v>
      </c>
      <c r="I498" s="216">
        <v>400.0</v>
      </c>
      <c r="J498" s="216">
        <v>8000.0</v>
      </c>
      <c r="K498" s="216">
        <v>0.0</v>
      </c>
      <c r="L498" s="217">
        <v>46266.0</v>
      </c>
      <c r="M498" s="217">
        <v>46296.0</v>
      </c>
      <c r="N498" s="215">
        <v>1.0</v>
      </c>
      <c r="O498" s="215">
        <v>-966.0</v>
      </c>
      <c r="P498" s="215">
        <v>996.0</v>
      </c>
      <c r="Q498" s="203"/>
      <c r="R498" s="218" t="s">
        <v>1904</v>
      </c>
      <c r="S498" s="186"/>
      <c r="T498" s="215">
        <v>264.0</v>
      </c>
      <c r="U498" s="204"/>
    </row>
    <row r="499" ht="22.5" customHeight="1">
      <c r="A499" s="205"/>
      <c r="B499" s="193" t="s">
        <v>249</v>
      </c>
      <c r="C499" s="226" t="s">
        <v>136</v>
      </c>
      <c r="D499" s="194" t="s">
        <v>1760</v>
      </c>
      <c r="E499" s="193" t="s">
        <v>15</v>
      </c>
      <c r="F499" s="220">
        <v>5.0</v>
      </c>
      <c r="G499" s="230">
        <v>0.33</v>
      </c>
      <c r="H499" s="222">
        <v>100.0</v>
      </c>
      <c r="I499" s="222">
        <v>500.0</v>
      </c>
      <c r="J499" s="222">
        <v>10000.0</v>
      </c>
      <c r="K499" s="222">
        <v>0.0</v>
      </c>
      <c r="L499" s="223">
        <v>46276.0</v>
      </c>
      <c r="M499" s="223">
        <v>46306.0</v>
      </c>
      <c r="N499" s="220">
        <v>1.0</v>
      </c>
      <c r="O499" s="220">
        <v>-956.0</v>
      </c>
      <c r="P499" s="220">
        <v>986.0</v>
      </c>
      <c r="Q499" s="209"/>
      <c r="R499" s="196" t="s">
        <v>1905</v>
      </c>
      <c r="S499" s="45"/>
      <c r="T499" s="220">
        <v>265.0</v>
      </c>
      <c r="U499" s="198"/>
    </row>
    <row r="500" ht="22.5" customHeight="1">
      <c r="A500" s="211" t="s">
        <v>1906</v>
      </c>
      <c r="B500" s="212" t="s">
        <v>291</v>
      </c>
      <c r="C500" s="213" t="s">
        <v>136</v>
      </c>
      <c r="D500" s="214" t="s">
        <v>1848</v>
      </c>
      <c r="E500" s="212" t="s">
        <v>17</v>
      </c>
      <c r="F500" s="215">
        <v>6.0</v>
      </c>
      <c r="G500" s="210"/>
      <c r="H500" s="237" t="s">
        <v>1874</v>
      </c>
      <c r="I500" s="216">
        <v>23345.0</v>
      </c>
      <c r="J500" s="216">
        <v>23345.0</v>
      </c>
      <c r="K500" s="216">
        <v>0.0</v>
      </c>
      <c r="L500" s="217">
        <v>46268.0</v>
      </c>
      <c r="M500" s="217">
        <v>46298.0</v>
      </c>
      <c r="N500" s="215">
        <v>1.0</v>
      </c>
      <c r="O500" s="215">
        <v>-964.0</v>
      </c>
      <c r="P500" s="215">
        <v>994.0</v>
      </c>
      <c r="Q500" s="232">
        <v>46255.0</v>
      </c>
      <c r="R500" s="218" t="s">
        <v>1907</v>
      </c>
      <c r="S500" s="186"/>
      <c r="T500" s="215">
        <v>266.0</v>
      </c>
      <c r="U500" s="204"/>
    </row>
    <row r="501" ht="22.5" customHeight="1">
      <c r="A501" s="192" t="s">
        <v>1908</v>
      </c>
      <c r="B501" s="193" t="s">
        <v>192</v>
      </c>
      <c r="C501" s="226" t="s">
        <v>136</v>
      </c>
      <c r="D501" s="194" t="s">
        <v>1850</v>
      </c>
      <c r="E501" s="193" t="s">
        <v>17</v>
      </c>
      <c r="F501" s="220">
        <v>1.0</v>
      </c>
      <c r="G501" s="221"/>
      <c r="H501" s="197" t="s">
        <v>1851</v>
      </c>
      <c r="I501" s="222">
        <v>5000.0</v>
      </c>
      <c r="J501" s="222">
        <v>5000.0</v>
      </c>
      <c r="K501" s="197" t="s">
        <v>1909</v>
      </c>
      <c r="L501" s="223">
        <v>46273.0</v>
      </c>
      <c r="M501" s="223">
        <v>46303.0</v>
      </c>
      <c r="N501" s="220">
        <v>0.0</v>
      </c>
      <c r="O501" s="220">
        <v>-959.0</v>
      </c>
      <c r="P501" s="220">
        <v>989.0</v>
      </c>
      <c r="Q501" s="209"/>
      <c r="R501" s="196" t="s">
        <v>1910</v>
      </c>
      <c r="S501" s="45"/>
      <c r="T501" s="220">
        <v>267.0</v>
      </c>
      <c r="U501" s="198"/>
    </row>
    <row r="502" ht="22.5" customHeight="1">
      <c r="A502" s="199"/>
      <c r="B502" s="212" t="s">
        <v>227</v>
      </c>
      <c r="C502" s="231" t="s">
        <v>684</v>
      </c>
      <c r="D502" s="214" t="s">
        <v>1472</v>
      </c>
      <c r="E502" s="212" t="s">
        <v>15</v>
      </c>
      <c r="F502" s="215">
        <v>1.0</v>
      </c>
      <c r="G502" s="147"/>
      <c r="H502" s="216">
        <v>150.0</v>
      </c>
      <c r="I502" s="216">
        <v>150.0</v>
      </c>
      <c r="J502" s="201"/>
      <c r="K502" s="201"/>
      <c r="L502" s="217">
        <v>46288.0</v>
      </c>
      <c r="M502" s="217">
        <v>46318.0</v>
      </c>
      <c r="N502" s="147"/>
      <c r="O502" s="215">
        <v>-944.0</v>
      </c>
      <c r="P502" s="215">
        <v>974.0</v>
      </c>
      <c r="Q502" s="203"/>
      <c r="R502" s="218" t="s">
        <v>1911</v>
      </c>
      <c r="S502" s="186"/>
      <c r="T502" s="215">
        <v>268.0</v>
      </c>
      <c r="U502" s="204"/>
    </row>
    <row r="503" ht="22.5" customHeight="1">
      <c r="A503" s="205"/>
      <c r="B503" s="193" t="s">
        <v>307</v>
      </c>
      <c r="C503" s="226" t="s">
        <v>136</v>
      </c>
      <c r="D503" s="194" t="s">
        <v>1912</v>
      </c>
      <c r="E503" s="193" t="s">
        <v>15</v>
      </c>
      <c r="F503" s="220">
        <v>3.0</v>
      </c>
      <c r="G503" s="150"/>
      <c r="H503" s="222">
        <v>150.0</v>
      </c>
      <c r="I503" s="222">
        <v>450.0</v>
      </c>
      <c r="J503" s="222">
        <v>9000.0</v>
      </c>
      <c r="K503" s="197" t="s">
        <v>1909</v>
      </c>
      <c r="L503" s="223">
        <v>46284.0</v>
      </c>
      <c r="M503" s="223">
        <v>46314.0</v>
      </c>
      <c r="N503" s="220">
        <v>0.0</v>
      </c>
      <c r="O503" s="220">
        <v>-948.0</v>
      </c>
      <c r="P503" s="220">
        <v>978.0</v>
      </c>
      <c r="Q503" s="209"/>
      <c r="R503" s="196" t="s">
        <v>1913</v>
      </c>
      <c r="S503" s="45"/>
      <c r="T503" s="220">
        <v>269.0</v>
      </c>
      <c r="U503" s="198"/>
    </row>
    <row r="504" ht="22.5" customHeight="1">
      <c r="A504" s="211" t="s">
        <v>1914</v>
      </c>
      <c r="B504" s="212" t="s">
        <v>317</v>
      </c>
      <c r="C504" s="213" t="s">
        <v>136</v>
      </c>
      <c r="D504" s="214" t="s">
        <v>930</v>
      </c>
      <c r="E504" s="212" t="s">
        <v>15</v>
      </c>
      <c r="F504" s="215">
        <v>1.0</v>
      </c>
      <c r="G504" s="147"/>
      <c r="H504" s="216">
        <v>150.0</v>
      </c>
      <c r="I504" s="216">
        <v>85.0</v>
      </c>
      <c r="J504" s="216">
        <v>1700.0</v>
      </c>
      <c r="K504" s="237" t="s">
        <v>1909</v>
      </c>
      <c r="L504" s="217">
        <v>46294.0</v>
      </c>
      <c r="M504" s="217">
        <v>46324.0</v>
      </c>
      <c r="N504" s="215">
        <v>0.0</v>
      </c>
      <c r="O504" s="215">
        <v>-938.0</v>
      </c>
      <c r="P504" s="215">
        <v>968.0</v>
      </c>
      <c r="Q504" s="203"/>
      <c r="R504" s="218" t="s">
        <v>1915</v>
      </c>
      <c r="S504" s="186"/>
      <c r="T504" s="215">
        <v>270.0</v>
      </c>
      <c r="U504" s="204"/>
    </row>
    <row r="505" ht="22.5" customHeight="1">
      <c r="A505" s="205"/>
      <c r="B505" s="193" t="s">
        <v>283</v>
      </c>
      <c r="C505" s="226" t="s">
        <v>136</v>
      </c>
      <c r="D505" s="194" t="s">
        <v>1472</v>
      </c>
      <c r="E505" s="193" t="s">
        <v>15</v>
      </c>
      <c r="F505" s="220">
        <v>1.0</v>
      </c>
      <c r="G505" s="150"/>
      <c r="H505" s="222">
        <v>150.0</v>
      </c>
      <c r="I505" s="222">
        <v>150.0</v>
      </c>
      <c r="J505" s="222">
        <v>3000.0</v>
      </c>
      <c r="K505" s="222">
        <v>0.0</v>
      </c>
      <c r="L505" s="223">
        <v>46244.0</v>
      </c>
      <c r="M505" s="223">
        <v>46275.0</v>
      </c>
      <c r="N505" s="220">
        <v>1.0</v>
      </c>
      <c r="O505" s="220">
        <v>-987.0</v>
      </c>
      <c r="P505" s="220">
        <v>1017.0</v>
      </c>
      <c r="Q505" s="209"/>
      <c r="R505" s="196" t="s">
        <v>1916</v>
      </c>
      <c r="S505" s="45"/>
      <c r="T505" s="220">
        <v>224.0</v>
      </c>
      <c r="U505" s="198"/>
    </row>
    <row r="506" ht="22.5" customHeight="1">
      <c r="A506" s="199"/>
      <c r="B506" s="212" t="s">
        <v>281</v>
      </c>
      <c r="C506" s="213" t="s">
        <v>136</v>
      </c>
      <c r="D506" s="214" t="s">
        <v>1472</v>
      </c>
      <c r="E506" s="212" t="s">
        <v>15</v>
      </c>
      <c r="F506" s="215">
        <v>1.0</v>
      </c>
      <c r="G506" s="147"/>
      <c r="H506" s="216">
        <v>150.0</v>
      </c>
      <c r="I506" s="216">
        <v>150.0</v>
      </c>
      <c r="J506" s="216">
        <v>3000.0</v>
      </c>
      <c r="K506" s="216">
        <v>0.0</v>
      </c>
      <c r="L506" s="217">
        <v>46244.0</v>
      </c>
      <c r="M506" s="217">
        <v>46275.0</v>
      </c>
      <c r="N506" s="215">
        <v>1.0</v>
      </c>
      <c r="O506" s="215">
        <v>-987.0</v>
      </c>
      <c r="P506" s="215">
        <v>1017.0</v>
      </c>
      <c r="Q506" s="203"/>
      <c r="R506" s="218" t="s">
        <v>1917</v>
      </c>
      <c r="S506" s="186"/>
      <c r="T506" s="215">
        <v>225.0</v>
      </c>
      <c r="U506" s="204"/>
    </row>
    <row r="507" ht="22.5" customHeight="1">
      <c r="A507" s="205"/>
      <c r="B507" s="193" t="s">
        <v>311</v>
      </c>
      <c r="C507" s="226" t="s">
        <v>136</v>
      </c>
      <c r="D507" s="194" t="s">
        <v>1472</v>
      </c>
      <c r="E507" s="193" t="s">
        <v>15</v>
      </c>
      <c r="F507" s="220">
        <v>1.0</v>
      </c>
      <c r="G507" s="150"/>
      <c r="H507" s="222">
        <v>150.0</v>
      </c>
      <c r="I507" s="222">
        <v>150.0</v>
      </c>
      <c r="J507" s="222">
        <v>3000.0</v>
      </c>
      <c r="K507" s="222">
        <v>0.0</v>
      </c>
      <c r="L507" s="223">
        <v>46236.0</v>
      </c>
      <c r="M507" s="223">
        <v>46267.0</v>
      </c>
      <c r="N507" s="220">
        <v>1.0</v>
      </c>
      <c r="O507" s="220">
        <v>-995.0</v>
      </c>
      <c r="P507" s="220">
        <v>1025.0</v>
      </c>
      <c r="Q507" s="209"/>
      <c r="R507" s="196" t="s">
        <v>1918</v>
      </c>
      <c r="S507" s="45"/>
      <c r="T507" s="220">
        <v>226.0</v>
      </c>
      <c r="U507" s="198"/>
    </row>
    <row r="508" ht="22.5" customHeight="1">
      <c r="A508" s="199"/>
      <c r="B508" s="212" t="s">
        <v>279</v>
      </c>
      <c r="C508" s="213" t="s">
        <v>136</v>
      </c>
      <c r="D508" s="214" t="s">
        <v>1883</v>
      </c>
      <c r="E508" s="212" t="s">
        <v>15</v>
      </c>
      <c r="F508" s="215">
        <v>1.0</v>
      </c>
      <c r="G508" s="147"/>
      <c r="H508" s="216">
        <v>250.0</v>
      </c>
      <c r="I508" s="216">
        <v>250.0</v>
      </c>
      <c r="J508" s="216">
        <v>5000.0</v>
      </c>
      <c r="K508" s="216">
        <v>5000.0</v>
      </c>
      <c r="L508" s="217">
        <v>46252.0</v>
      </c>
      <c r="M508" s="217">
        <v>46283.0</v>
      </c>
      <c r="N508" s="215">
        <v>0.0</v>
      </c>
      <c r="O508" s="215">
        <v>-979.0</v>
      </c>
      <c r="P508" s="215">
        <v>1009.0</v>
      </c>
      <c r="Q508" s="203"/>
      <c r="R508" s="218" t="s">
        <v>1919</v>
      </c>
      <c r="S508" s="186"/>
      <c r="T508" s="215">
        <v>227.0</v>
      </c>
      <c r="U508" s="204"/>
    </row>
    <row r="509" ht="22.5" customHeight="1">
      <c r="A509" s="192" t="s">
        <v>1920</v>
      </c>
      <c r="B509" s="193" t="s">
        <v>293</v>
      </c>
      <c r="C509" s="226" t="s">
        <v>136</v>
      </c>
      <c r="D509" s="194" t="s">
        <v>1750</v>
      </c>
      <c r="E509" s="193" t="s">
        <v>17</v>
      </c>
      <c r="F509" s="220">
        <v>2.0</v>
      </c>
      <c r="G509" s="150"/>
      <c r="H509" s="222">
        <v>6000.0</v>
      </c>
      <c r="I509" s="222">
        <v>10000.0</v>
      </c>
      <c r="J509" s="222">
        <v>10000.0</v>
      </c>
      <c r="K509" s="222">
        <v>10000.0</v>
      </c>
      <c r="L509" s="223">
        <v>46237.0</v>
      </c>
      <c r="M509" s="223">
        <v>46268.0</v>
      </c>
      <c r="N509" s="220">
        <v>0.0</v>
      </c>
      <c r="O509" s="220">
        <v>-994.0</v>
      </c>
      <c r="P509" s="220">
        <v>1024.0</v>
      </c>
      <c r="Q509" s="209"/>
      <c r="R509" s="196" t="s">
        <v>1921</v>
      </c>
      <c r="S509" s="45"/>
      <c r="T509" s="220">
        <v>228.0</v>
      </c>
      <c r="U509" s="198"/>
    </row>
    <row r="510" ht="22.5" customHeight="1">
      <c r="A510" s="199"/>
      <c r="B510" s="212" t="s">
        <v>295</v>
      </c>
      <c r="C510" s="213" t="s">
        <v>136</v>
      </c>
      <c r="D510" s="214" t="s">
        <v>1886</v>
      </c>
      <c r="E510" s="212" t="s">
        <v>17</v>
      </c>
      <c r="F510" s="215">
        <v>2.0</v>
      </c>
      <c r="G510" s="147"/>
      <c r="H510" s="237" t="s">
        <v>1887</v>
      </c>
      <c r="I510" s="216">
        <v>2000.0</v>
      </c>
      <c r="J510" s="216">
        <v>2000.0</v>
      </c>
      <c r="K510" s="216">
        <v>2000.0</v>
      </c>
      <c r="L510" s="217">
        <v>46256.0</v>
      </c>
      <c r="M510" s="217">
        <v>46287.0</v>
      </c>
      <c r="N510" s="215">
        <v>0.0</v>
      </c>
      <c r="O510" s="215">
        <v>-975.0</v>
      </c>
      <c r="P510" s="215">
        <v>1005.0</v>
      </c>
      <c r="Q510" s="203"/>
      <c r="R510" s="218" t="s">
        <v>1922</v>
      </c>
      <c r="S510" s="186"/>
      <c r="T510" s="215">
        <v>229.0</v>
      </c>
      <c r="U510" s="204"/>
    </row>
    <row r="511" ht="22.5" customHeight="1">
      <c r="A511" s="205"/>
      <c r="B511" s="193" t="s">
        <v>313</v>
      </c>
      <c r="C511" s="226" t="s">
        <v>136</v>
      </c>
      <c r="D511" s="194" t="s">
        <v>1890</v>
      </c>
      <c r="E511" s="193" t="s">
        <v>17</v>
      </c>
      <c r="F511" s="220">
        <v>5.0</v>
      </c>
      <c r="G511" s="150"/>
      <c r="H511" s="222">
        <v>2500.0</v>
      </c>
      <c r="I511" s="222">
        <v>10000.0</v>
      </c>
      <c r="J511" s="222">
        <v>10000.0</v>
      </c>
      <c r="K511" s="222">
        <v>0.0</v>
      </c>
      <c r="L511" s="223">
        <v>46237.0</v>
      </c>
      <c r="M511" s="223">
        <v>46268.0</v>
      </c>
      <c r="N511" s="220">
        <v>1.0</v>
      </c>
      <c r="O511" s="220">
        <v>-994.0</v>
      </c>
      <c r="P511" s="220">
        <v>1024.0</v>
      </c>
      <c r="Q511" s="209"/>
      <c r="R511" s="196" t="s">
        <v>1923</v>
      </c>
      <c r="S511" s="45"/>
      <c r="T511" s="220">
        <v>230.0</v>
      </c>
      <c r="U511" s="198"/>
    </row>
    <row r="512" ht="22.5" customHeight="1">
      <c r="A512" s="199"/>
      <c r="B512" s="212" t="s">
        <v>255</v>
      </c>
      <c r="C512" s="213" t="s">
        <v>136</v>
      </c>
      <c r="D512" s="214" t="s">
        <v>1704</v>
      </c>
      <c r="E512" s="212" t="s">
        <v>15</v>
      </c>
      <c r="F512" s="215">
        <v>1.0</v>
      </c>
      <c r="G512" s="147"/>
      <c r="H512" s="216">
        <v>6000.0</v>
      </c>
      <c r="I512" s="216">
        <v>6000.0</v>
      </c>
      <c r="J512" s="216">
        <v>6000.0</v>
      </c>
      <c r="K512" s="216">
        <v>0.0</v>
      </c>
      <c r="L512" s="217">
        <v>46255.0</v>
      </c>
      <c r="M512" s="217">
        <v>46286.0</v>
      </c>
      <c r="N512" s="215">
        <v>1.0</v>
      </c>
      <c r="O512" s="215">
        <v>-976.0</v>
      </c>
      <c r="P512" s="215">
        <v>1006.0</v>
      </c>
      <c r="Q512" s="203"/>
      <c r="R512" s="218" t="s">
        <v>1924</v>
      </c>
      <c r="S512" s="186"/>
      <c r="T512" s="215">
        <v>231.0</v>
      </c>
      <c r="U512" s="204"/>
    </row>
    <row r="513" ht="22.5" customHeight="1">
      <c r="A513" s="205"/>
      <c r="B513" s="193" t="s">
        <v>309</v>
      </c>
      <c r="C513" s="226" t="s">
        <v>136</v>
      </c>
      <c r="D513" s="194" t="s">
        <v>1676</v>
      </c>
      <c r="E513" s="193" t="s">
        <v>17</v>
      </c>
      <c r="F513" s="220">
        <v>2.0</v>
      </c>
      <c r="G513" s="150"/>
      <c r="H513" s="222">
        <v>2500.0</v>
      </c>
      <c r="I513" s="222">
        <v>5000.0</v>
      </c>
      <c r="J513" s="222">
        <v>5000.0</v>
      </c>
      <c r="K513" s="222">
        <v>0.0</v>
      </c>
      <c r="L513" s="223">
        <v>46237.0</v>
      </c>
      <c r="M513" s="223">
        <v>46268.0</v>
      </c>
      <c r="N513" s="220">
        <v>1.0</v>
      </c>
      <c r="O513" s="220">
        <v>-994.0</v>
      </c>
      <c r="P513" s="220">
        <v>1024.0</v>
      </c>
      <c r="Q513" s="209"/>
      <c r="R513" s="196" t="s">
        <v>1925</v>
      </c>
      <c r="S513" s="45"/>
      <c r="T513" s="220">
        <v>232.0</v>
      </c>
      <c r="U513" s="198"/>
    </row>
    <row r="514" ht="22.5" customHeight="1">
      <c r="A514" s="199"/>
      <c r="B514" s="212" t="s">
        <v>273</v>
      </c>
      <c r="C514" s="213" t="s">
        <v>136</v>
      </c>
      <c r="D514" s="214" t="s">
        <v>1788</v>
      </c>
      <c r="E514" s="212" t="s">
        <v>17</v>
      </c>
      <c r="F514" s="215">
        <v>3.0</v>
      </c>
      <c r="G514" s="147"/>
      <c r="H514" s="216">
        <v>1750.0</v>
      </c>
      <c r="I514" s="216">
        <v>5250.0</v>
      </c>
      <c r="J514" s="216">
        <v>5250.0</v>
      </c>
      <c r="K514" s="216">
        <v>5250.0</v>
      </c>
      <c r="L514" s="217">
        <v>46259.0</v>
      </c>
      <c r="M514" s="217">
        <v>46290.0</v>
      </c>
      <c r="N514" s="215">
        <v>0.0</v>
      </c>
      <c r="O514" s="215">
        <v>-972.0</v>
      </c>
      <c r="P514" s="215">
        <v>1002.0</v>
      </c>
      <c r="Q514" s="203"/>
      <c r="R514" s="218" t="s">
        <v>1926</v>
      </c>
      <c r="S514" s="186"/>
      <c r="T514" s="215">
        <v>233.0</v>
      </c>
      <c r="U514" s="204"/>
    </row>
    <row r="515" ht="22.5" customHeight="1">
      <c r="A515" s="205"/>
      <c r="B515" s="193" t="s">
        <v>223</v>
      </c>
      <c r="C515" s="226" t="s">
        <v>136</v>
      </c>
      <c r="D515" s="194" t="s">
        <v>1472</v>
      </c>
      <c r="E515" s="193" t="s">
        <v>15</v>
      </c>
      <c r="F515" s="220">
        <v>1.0</v>
      </c>
      <c r="G515" s="150"/>
      <c r="H515" s="222">
        <v>150.0</v>
      </c>
      <c r="I515" s="222">
        <v>150.0</v>
      </c>
      <c r="J515" s="222">
        <v>3000.0</v>
      </c>
      <c r="K515" s="222">
        <v>3000.0</v>
      </c>
      <c r="L515" s="223">
        <v>46258.0</v>
      </c>
      <c r="M515" s="223">
        <v>46289.0</v>
      </c>
      <c r="N515" s="220">
        <v>0.0</v>
      </c>
      <c r="O515" s="220">
        <v>-973.0</v>
      </c>
      <c r="P515" s="220">
        <v>1003.0</v>
      </c>
      <c r="Q515" s="209"/>
      <c r="R515" s="196" t="s">
        <v>1927</v>
      </c>
      <c r="S515" s="45"/>
      <c r="T515" s="220">
        <v>234.0</v>
      </c>
      <c r="U515" s="198"/>
    </row>
    <row r="516" ht="22.5" customHeight="1">
      <c r="A516" s="199"/>
      <c r="B516" s="212" t="s">
        <v>261</v>
      </c>
      <c r="C516" s="213" t="s">
        <v>136</v>
      </c>
      <c r="D516" s="214" t="s">
        <v>1711</v>
      </c>
      <c r="E516" s="212" t="s">
        <v>15</v>
      </c>
      <c r="F516" s="215">
        <v>1.0</v>
      </c>
      <c r="G516" s="147"/>
      <c r="H516" s="216">
        <v>300.0</v>
      </c>
      <c r="I516" s="216">
        <v>300.0</v>
      </c>
      <c r="J516" s="216">
        <v>6000.0</v>
      </c>
      <c r="K516" s="216">
        <v>0.0</v>
      </c>
      <c r="L516" s="217">
        <v>46238.0</v>
      </c>
      <c r="M516" s="217">
        <v>46269.0</v>
      </c>
      <c r="N516" s="215">
        <v>1.0</v>
      </c>
      <c r="O516" s="215">
        <v>-993.0</v>
      </c>
      <c r="P516" s="215">
        <v>1023.0</v>
      </c>
      <c r="Q516" s="203"/>
      <c r="R516" s="218" t="s">
        <v>1928</v>
      </c>
      <c r="S516" s="186"/>
      <c r="T516" s="215">
        <v>235.0</v>
      </c>
      <c r="U516" s="204"/>
    </row>
    <row r="517" ht="22.5" customHeight="1">
      <c r="A517" s="205"/>
      <c r="B517" s="193" t="s">
        <v>301</v>
      </c>
      <c r="C517" s="226" t="s">
        <v>136</v>
      </c>
      <c r="D517" s="194" t="s">
        <v>1708</v>
      </c>
      <c r="E517" s="193" t="s">
        <v>17</v>
      </c>
      <c r="F517" s="220">
        <v>2.0</v>
      </c>
      <c r="G517" s="150"/>
      <c r="H517" s="222">
        <v>6000.0</v>
      </c>
      <c r="I517" s="222">
        <v>10000.0</v>
      </c>
      <c r="J517" s="222">
        <v>10000.0</v>
      </c>
      <c r="K517" s="222">
        <v>0.0</v>
      </c>
      <c r="L517" s="223">
        <v>46252.0</v>
      </c>
      <c r="M517" s="223">
        <v>46283.0</v>
      </c>
      <c r="N517" s="220">
        <v>1.0</v>
      </c>
      <c r="O517" s="220">
        <v>-979.0</v>
      </c>
      <c r="P517" s="220">
        <v>1009.0</v>
      </c>
      <c r="Q517" s="209"/>
      <c r="R517" s="196" t="s">
        <v>1929</v>
      </c>
      <c r="S517" s="45"/>
      <c r="T517" s="220">
        <v>236.0</v>
      </c>
      <c r="U517" s="198"/>
    </row>
    <row r="518" ht="22.5" customHeight="1">
      <c r="A518" s="199"/>
      <c r="B518" s="212" t="s">
        <v>194</v>
      </c>
      <c r="C518" s="213" t="s">
        <v>136</v>
      </c>
      <c r="D518" s="214" t="s">
        <v>1782</v>
      </c>
      <c r="E518" s="212" t="s">
        <v>15</v>
      </c>
      <c r="F518" s="215">
        <v>3.0</v>
      </c>
      <c r="G518" s="147"/>
      <c r="H518" s="216">
        <v>100.0</v>
      </c>
      <c r="I518" s="237" t="s">
        <v>1930</v>
      </c>
      <c r="J518" s="216">
        <v>6000.0</v>
      </c>
      <c r="K518" s="216">
        <v>6000.0</v>
      </c>
      <c r="L518" s="217">
        <v>46256.0</v>
      </c>
      <c r="M518" s="217">
        <v>46287.0</v>
      </c>
      <c r="N518" s="215">
        <v>0.0</v>
      </c>
      <c r="O518" s="215">
        <v>-975.0</v>
      </c>
      <c r="P518" s="215">
        <v>1005.0</v>
      </c>
      <c r="Q518" s="203"/>
      <c r="R518" s="218" t="s">
        <v>1931</v>
      </c>
      <c r="S518" s="186"/>
      <c r="T518" s="215">
        <v>237.0</v>
      </c>
      <c r="U518" s="204"/>
    </row>
    <row r="519" ht="22.5" customHeight="1">
      <c r="A519" s="205"/>
      <c r="B519" s="193" t="s">
        <v>289</v>
      </c>
      <c r="C519" s="226" t="s">
        <v>136</v>
      </c>
      <c r="D519" s="194" t="s">
        <v>1472</v>
      </c>
      <c r="E519" s="193" t="s">
        <v>15</v>
      </c>
      <c r="F519" s="220">
        <v>1.0</v>
      </c>
      <c r="G519" s="150"/>
      <c r="H519" s="222">
        <v>150.0</v>
      </c>
      <c r="I519" s="222">
        <v>150.0</v>
      </c>
      <c r="J519" s="222">
        <v>3000.0</v>
      </c>
      <c r="K519" s="222">
        <v>3000.0</v>
      </c>
      <c r="L519" s="223">
        <v>46238.0</v>
      </c>
      <c r="M519" s="223">
        <v>46269.0</v>
      </c>
      <c r="N519" s="220">
        <v>0.0</v>
      </c>
      <c r="O519" s="220">
        <v>-993.0</v>
      </c>
      <c r="P519" s="220">
        <v>1023.0</v>
      </c>
      <c r="Q519" s="209"/>
      <c r="R519" s="196" t="s">
        <v>1932</v>
      </c>
      <c r="S519" s="45"/>
      <c r="T519" s="220">
        <v>238.0</v>
      </c>
      <c r="U519" s="198"/>
    </row>
    <row r="520" ht="22.5" customHeight="1">
      <c r="A520" s="199"/>
      <c r="B520" s="212" t="s">
        <v>209</v>
      </c>
      <c r="C520" s="213" t="s">
        <v>136</v>
      </c>
      <c r="D520" s="214" t="s">
        <v>1788</v>
      </c>
      <c r="E520" s="212" t="s">
        <v>17</v>
      </c>
      <c r="F520" s="215">
        <v>3.0</v>
      </c>
      <c r="G520" s="147"/>
      <c r="H520" s="237" t="s">
        <v>1900</v>
      </c>
      <c r="I520" s="216">
        <v>6000.0</v>
      </c>
      <c r="J520" s="216">
        <v>6000.0</v>
      </c>
      <c r="K520" s="216">
        <v>0.0</v>
      </c>
      <c r="L520" s="217">
        <v>46240.0</v>
      </c>
      <c r="M520" s="202"/>
      <c r="N520" s="215">
        <v>1.0</v>
      </c>
      <c r="O520" s="147"/>
      <c r="P520" s="215">
        <v>30.0</v>
      </c>
      <c r="Q520" s="203"/>
      <c r="R520" s="218" t="s">
        <v>1933</v>
      </c>
      <c r="S520" s="186"/>
      <c r="T520" s="215">
        <v>239.0</v>
      </c>
      <c r="U520" s="204"/>
    </row>
    <row r="521" ht="22.5" customHeight="1">
      <c r="A521" s="205"/>
      <c r="B521" s="193" t="s">
        <v>271</v>
      </c>
      <c r="C521" s="226" t="s">
        <v>136</v>
      </c>
      <c r="D521" s="194" t="s">
        <v>1760</v>
      </c>
      <c r="E521" s="193" t="s">
        <v>15</v>
      </c>
      <c r="F521" s="220">
        <v>5.0</v>
      </c>
      <c r="G521" s="150"/>
      <c r="H521" s="222">
        <v>100.0</v>
      </c>
      <c r="I521" s="222">
        <v>500.0</v>
      </c>
      <c r="J521" s="222">
        <v>10000.0</v>
      </c>
      <c r="K521" s="197" t="s">
        <v>1909</v>
      </c>
      <c r="L521" s="223">
        <v>46255.0</v>
      </c>
      <c r="M521" s="223">
        <v>46286.0</v>
      </c>
      <c r="N521" s="220">
        <v>0.0</v>
      </c>
      <c r="O521" s="220">
        <v>-976.0</v>
      </c>
      <c r="P521" s="220">
        <v>1006.0</v>
      </c>
      <c r="Q521" s="209"/>
      <c r="R521" s="196" t="s">
        <v>1934</v>
      </c>
      <c r="S521" s="45"/>
      <c r="T521" s="220">
        <v>240.0</v>
      </c>
      <c r="U521" s="198"/>
    </row>
    <row r="522" ht="22.5" customHeight="1">
      <c r="A522" s="199"/>
      <c r="B522" s="212" t="s">
        <v>305</v>
      </c>
      <c r="C522" s="213" t="s">
        <v>136</v>
      </c>
      <c r="D522" s="214" t="s">
        <v>1935</v>
      </c>
      <c r="E522" s="212" t="s">
        <v>17</v>
      </c>
      <c r="F522" s="215">
        <v>2.0</v>
      </c>
      <c r="G522" s="147"/>
      <c r="H522" s="216">
        <v>2500.0</v>
      </c>
      <c r="I522" s="216">
        <v>5000.0</v>
      </c>
      <c r="J522" s="216">
        <v>5000.0</v>
      </c>
      <c r="K522" s="216">
        <v>0.0</v>
      </c>
      <c r="L522" s="217">
        <v>46254.0</v>
      </c>
      <c r="M522" s="217">
        <v>46285.0</v>
      </c>
      <c r="N522" s="215">
        <v>1.0</v>
      </c>
      <c r="O522" s="215">
        <v>-977.0</v>
      </c>
      <c r="P522" s="215">
        <v>1007.0</v>
      </c>
      <c r="Q522" s="203"/>
      <c r="R522" s="218" t="s">
        <v>1936</v>
      </c>
      <c r="S522" s="186"/>
      <c r="T522" s="215">
        <v>241.0</v>
      </c>
      <c r="U522" s="204"/>
    </row>
    <row r="523" ht="22.5" customHeight="1">
      <c r="A523" s="192">
        <v>1.0</v>
      </c>
      <c r="B523" s="193" t="s">
        <v>263</v>
      </c>
      <c r="C523" s="226" t="s">
        <v>136</v>
      </c>
      <c r="D523" s="194" t="s">
        <v>1394</v>
      </c>
      <c r="E523" s="193" t="s">
        <v>15</v>
      </c>
      <c r="F523" s="220">
        <v>5.0</v>
      </c>
      <c r="G523" s="220">
        <v>33.3</v>
      </c>
      <c r="H523" s="222">
        <v>100.0</v>
      </c>
      <c r="I523" s="222">
        <v>500.0</v>
      </c>
      <c r="J523" s="222">
        <v>10000.0</v>
      </c>
      <c r="K523" s="222">
        <v>0.0</v>
      </c>
      <c r="L523" s="223">
        <v>46235.0</v>
      </c>
      <c r="M523" s="223">
        <v>46266.0</v>
      </c>
      <c r="N523" s="220">
        <v>1.0</v>
      </c>
      <c r="O523" s="220">
        <v>-996.0</v>
      </c>
      <c r="P523" s="220">
        <v>1026.0</v>
      </c>
      <c r="Q523" s="209"/>
      <c r="R523" s="196" t="s">
        <v>1937</v>
      </c>
      <c r="S523" s="45"/>
      <c r="T523" s="220">
        <v>242.0</v>
      </c>
      <c r="U523" s="198"/>
    </row>
    <row r="524" ht="22.5" customHeight="1">
      <c r="A524" s="199"/>
      <c r="B524" s="212" t="s">
        <v>291</v>
      </c>
      <c r="C524" s="213" t="s">
        <v>136</v>
      </c>
      <c r="D524" s="214" t="s">
        <v>1824</v>
      </c>
      <c r="E524" s="212" t="s">
        <v>17</v>
      </c>
      <c r="F524" s="215">
        <v>5.0</v>
      </c>
      <c r="G524" s="147"/>
      <c r="H524" s="237" t="s">
        <v>1938</v>
      </c>
      <c r="I524" s="216">
        <v>30000.0</v>
      </c>
      <c r="J524" s="216">
        <v>32029.0</v>
      </c>
      <c r="K524" s="216">
        <v>0.0</v>
      </c>
      <c r="L524" s="217">
        <v>46237.0</v>
      </c>
      <c r="M524" s="217">
        <v>46268.0</v>
      </c>
      <c r="N524" s="215">
        <v>1.0</v>
      </c>
      <c r="O524" s="215">
        <v>-994.0</v>
      </c>
      <c r="P524" s="215">
        <v>1024.0</v>
      </c>
      <c r="Q524" s="203"/>
      <c r="R524" s="218" t="s">
        <v>1939</v>
      </c>
      <c r="S524" s="186"/>
      <c r="T524" s="215">
        <v>243.0</v>
      </c>
      <c r="U524" s="204"/>
    </row>
    <row r="525" ht="22.5" customHeight="1">
      <c r="A525" s="205"/>
      <c r="B525" s="193" t="s">
        <v>192</v>
      </c>
      <c r="C525" s="226" t="s">
        <v>136</v>
      </c>
      <c r="D525" s="194" t="s">
        <v>1850</v>
      </c>
      <c r="E525" s="193" t="s">
        <v>17</v>
      </c>
      <c r="F525" s="220">
        <v>1.0</v>
      </c>
      <c r="G525" s="150"/>
      <c r="H525" s="197" t="s">
        <v>1851</v>
      </c>
      <c r="I525" s="222">
        <v>5000.0</v>
      </c>
      <c r="J525" s="222">
        <v>5000.0</v>
      </c>
      <c r="K525" s="222">
        <v>5000.0</v>
      </c>
      <c r="L525" s="223">
        <v>46242.0</v>
      </c>
      <c r="M525" s="223">
        <v>46273.0</v>
      </c>
      <c r="N525" s="220">
        <v>0.0</v>
      </c>
      <c r="O525" s="220">
        <v>-989.0</v>
      </c>
      <c r="P525" s="220">
        <v>1019.0</v>
      </c>
      <c r="Q525" s="209"/>
      <c r="R525" s="196" t="s">
        <v>1940</v>
      </c>
      <c r="S525" s="45"/>
      <c r="T525" s="220">
        <v>244.0</v>
      </c>
      <c r="U525" s="198"/>
    </row>
    <row r="526" ht="22.5" customHeight="1">
      <c r="A526" s="199"/>
      <c r="B526" s="212" t="s">
        <v>227</v>
      </c>
      <c r="C526" s="213" t="s">
        <v>136</v>
      </c>
      <c r="D526" s="214" t="s">
        <v>1472</v>
      </c>
      <c r="E526" s="212" t="s">
        <v>15</v>
      </c>
      <c r="F526" s="215">
        <v>1.0</v>
      </c>
      <c r="G526" s="147"/>
      <c r="H526" s="216">
        <v>150.0</v>
      </c>
      <c r="I526" s="216">
        <v>150.0</v>
      </c>
      <c r="J526" s="216">
        <v>3000.0</v>
      </c>
      <c r="K526" s="216">
        <v>3000.0</v>
      </c>
      <c r="L526" s="217">
        <v>46257.0</v>
      </c>
      <c r="M526" s="217">
        <v>46288.0</v>
      </c>
      <c r="N526" s="215">
        <v>0.0</v>
      </c>
      <c r="O526" s="215">
        <v>-974.0</v>
      </c>
      <c r="P526" s="215">
        <v>1004.0</v>
      </c>
      <c r="Q526" s="203"/>
      <c r="R526" s="218" t="s">
        <v>1941</v>
      </c>
      <c r="S526" s="186"/>
      <c r="T526" s="215">
        <v>245.0</v>
      </c>
      <c r="U526" s="204"/>
    </row>
    <row r="527" ht="22.5" customHeight="1">
      <c r="A527" s="205"/>
      <c r="B527" s="193" t="s">
        <v>307</v>
      </c>
      <c r="C527" s="226" t="s">
        <v>136</v>
      </c>
      <c r="D527" s="194" t="s">
        <v>1912</v>
      </c>
      <c r="E527" s="193" t="s">
        <v>15</v>
      </c>
      <c r="F527" s="220">
        <v>3.0</v>
      </c>
      <c r="G527" s="150"/>
      <c r="H527" s="222">
        <v>150.0</v>
      </c>
      <c r="I527" s="222">
        <v>450.0</v>
      </c>
      <c r="J527" s="222">
        <v>9000.0</v>
      </c>
      <c r="K527" s="197" t="s">
        <v>1909</v>
      </c>
      <c r="L527" s="223">
        <v>46253.0</v>
      </c>
      <c r="M527" s="223">
        <v>46284.0</v>
      </c>
      <c r="N527" s="220">
        <v>0.0</v>
      </c>
      <c r="O527" s="220">
        <v>-978.0</v>
      </c>
      <c r="P527" s="220">
        <v>1008.0</v>
      </c>
      <c r="Q527" s="209"/>
      <c r="R527" s="196" t="s">
        <v>1942</v>
      </c>
      <c r="S527" s="45"/>
      <c r="T527" s="220">
        <v>246.0</v>
      </c>
      <c r="U527" s="198"/>
    </row>
    <row r="528" ht="22.5" customHeight="1">
      <c r="A528" s="199"/>
      <c r="B528" s="212" t="s">
        <v>317</v>
      </c>
      <c r="C528" s="213" t="s">
        <v>136</v>
      </c>
      <c r="D528" s="214" t="s">
        <v>930</v>
      </c>
      <c r="E528" s="212" t="s">
        <v>15</v>
      </c>
      <c r="F528" s="215">
        <v>1.0</v>
      </c>
      <c r="G528" s="147"/>
      <c r="H528" s="216">
        <v>150.0</v>
      </c>
      <c r="I528" s="216">
        <v>150.0</v>
      </c>
      <c r="J528" s="216">
        <v>3000.0</v>
      </c>
      <c r="K528" s="216">
        <v>3000.0</v>
      </c>
      <c r="L528" s="217">
        <v>46263.0</v>
      </c>
      <c r="M528" s="217">
        <v>46294.0</v>
      </c>
      <c r="N528" s="215">
        <v>0.0</v>
      </c>
      <c r="O528" s="215">
        <v>-968.0</v>
      </c>
      <c r="P528" s="215">
        <v>998.0</v>
      </c>
      <c r="Q528" s="232">
        <v>46255.0</v>
      </c>
      <c r="R528" s="218" t="s">
        <v>1943</v>
      </c>
      <c r="S528" s="186"/>
      <c r="T528" s="215">
        <v>247.0</v>
      </c>
      <c r="U528" s="204"/>
    </row>
    <row r="529" ht="22.5" customHeight="1">
      <c r="A529" s="205"/>
      <c r="B529" s="193" t="s">
        <v>283</v>
      </c>
      <c r="C529" s="226" t="s">
        <v>136</v>
      </c>
      <c r="D529" s="194" t="s">
        <v>1472</v>
      </c>
      <c r="E529" s="193" t="s">
        <v>15</v>
      </c>
      <c r="F529" s="220">
        <v>4.0</v>
      </c>
      <c r="G529" s="221"/>
      <c r="H529" s="222">
        <v>150.0</v>
      </c>
      <c r="I529" s="222">
        <v>400.0</v>
      </c>
      <c r="J529" s="222">
        <v>8000.0</v>
      </c>
      <c r="K529" s="222">
        <v>0.0</v>
      </c>
      <c r="L529" s="223">
        <v>46213.0</v>
      </c>
      <c r="M529" s="223">
        <v>46244.0</v>
      </c>
      <c r="N529" s="220">
        <v>1.0</v>
      </c>
      <c r="O529" s="220">
        <v>-1018.0</v>
      </c>
      <c r="P529" s="220">
        <v>1048.0</v>
      </c>
      <c r="Q529" s="209"/>
      <c r="R529" s="196" t="s">
        <v>1945</v>
      </c>
      <c r="S529" s="45"/>
      <c r="T529" s="220">
        <v>204.0</v>
      </c>
      <c r="U529" s="198"/>
    </row>
    <row r="530" ht="22.5" customHeight="1">
      <c r="A530" s="199"/>
      <c r="B530" s="212" t="s">
        <v>281</v>
      </c>
      <c r="C530" s="213" t="s">
        <v>136</v>
      </c>
      <c r="D530" s="214" t="s">
        <v>1472</v>
      </c>
      <c r="E530" s="212" t="s">
        <v>15</v>
      </c>
      <c r="F530" s="215">
        <v>1.0</v>
      </c>
      <c r="G530" s="210"/>
      <c r="H530" s="216">
        <v>150.0</v>
      </c>
      <c r="I530" s="216">
        <v>150.0</v>
      </c>
      <c r="J530" s="216">
        <v>3000.0</v>
      </c>
      <c r="K530" s="216">
        <v>0.0</v>
      </c>
      <c r="L530" s="217">
        <v>46213.0</v>
      </c>
      <c r="M530" s="217">
        <v>46244.0</v>
      </c>
      <c r="N530" s="215">
        <v>1.0</v>
      </c>
      <c r="O530" s="215">
        <v>-1018.0</v>
      </c>
      <c r="P530" s="215">
        <v>1048.0</v>
      </c>
      <c r="Q530" s="203"/>
      <c r="R530" s="218" t="s">
        <v>1946</v>
      </c>
      <c r="S530" s="186"/>
      <c r="T530" s="215">
        <v>205.0</v>
      </c>
      <c r="U530" s="204"/>
    </row>
    <row r="531" ht="22.5" customHeight="1">
      <c r="A531" s="205"/>
      <c r="B531" s="193" t="s">
        <v>279</v>
      </c>
      <c r="C531" s="226" t="s">
        <v>136</v>
      </c>
      <c r="D531" s="194" t="s">
        <v>1883</v>
      </c>
      <c r="E531" s="193" t="s">
        <v>15</v>
      </c>
      <c r="F531" s="220">
        <v>1.0</v>
      </c>
      <c r="G531" s="221"/>
      <c r="H531" s="222">
        <v>250.0</v>
      </c>
      <c r="I531" s="222">
        <v>250.0</v>
      </c>
      <c r="J531" s="222">
        <v>5000.0</v>
      </c>
      <c r="K531" s="222">
        <v>5000.0</v>
      </c>
      <c r="L531" s="223">
        <v>46221.0</v>
      </c>
      <c r="M531" s="223">
        <v>46252.0</v>
      </c>
      <c r="N531" s="220">
        <v>0.0</v>
      </c>
      <c r="O531" s="220">
        <v>-1010.0</v>
      </c>
      <c r="P531" s="220">
        <v>1040.0</v>
      </c>
      <c r="Q531" s="209"/>
      <c r="R531" s="196" t="s">
        <v>1947</v>
      </c>
      <c r="S531" s="45"/>
      <c r="T531" s="220">
        <v>206.0</v>
      </c>
      <c r="U531" s="198"/>
    </row>
    <row r="532" ht="22.5" customHeight="1">
      <c r="A532" s="199"/>
      <c r="B532" s="212" t="s">
        <v>297</v>
      </c>
      <c r="C532" s="229" t="s">
        <v>685</v>
      </c>
      <c r="D532" s="200"/>
      <c r="E532" s="200"/>
      <c r="F532" s="215">
        <v>1.0</v>
      </c>
      <c r="G532" s="210"/>
      <c r="H532" s="237" t="s">
        <v>1948</v>
      </c>
      <c r="I532" s="216">
        <v>9600.0</v>
      </c>
      <c r="J532" s="201"/>
      <c r="K532" s="201"/>
      <c r="L532" s="217">
        <v>46226.0</v>
      </c>
      <c r="M532" s="217">
        <v>46257.0</v>
      </c>
      <c r="N532" s="147"/>
      <c r="O532" s="215">
        <v>-1005.0</v>
      </c>
      <c r="P532" s="215">
        <v>1035.0</v>
      </c>
      <c r="Q532" s="203"/>
      <c r="R532" s="218" t="s">
        <v>1949</v>
      </c>
      <c r="S532" s="186"/>
      <c r="T532" s="215">
        <v>207.0</v>
      </c>
      <c r="U532" s="204"/>
    </row>
    <row r="533" ht="22.5" customHeight="1">
      <c r="A533" s="205"/>
      <c r="B533" s="193" t="s">
        <v>293</v>
      </c>
      <c r="C533" s="226" t="s">
        <v>136</v>
      </c>
      <c r="D533" s="194" t="s">
        <v>1750</v>
      </c>
      <c r="E533" s="193" t="s">
        <v>17</v>
      </c>
      <c r="F533" s="220">
        <v>2.0</v>
      </c>
      <c r="G533" s="221"/>
      <c r="H533" s="222">
        <v>6000.0</v>
      </c>
      <c r="I533" s="222">
        <v>10000.0</v>
      </c>
      <c r="J533" s="222">
        <v>10000.0</v>
      </c>
      <c r="K533" s="222">
        <v>10000.0</v>
      </c>
      <c r="L533" s="223">
        <v>46206.0</v>
      </c>
      <c r="M533" s="223">
        <v>46237.0</v>
      </c>
      <c r="N533" s="220">
        <v>0.0</v>
      </c>
      <c r="O533" s="220">
        <v>-1025.0</v>
      </c>
      <c r="P533" s="220">
        <v>1055.0</v>
      </c>
      <c r="Q533" s="209"/>
      <c r="R533" s="196" t="s">
        <v>1950</v>
      </c>
      <c r="S533" s="45"/>
      <c r="T533" s="220">
        <v>208.0</v>
      </c>
      <c r="U533" s="198"/>
    </row>
    <row r="534" ht="22.5" customHeight="1">
      <c r="A534" s="211">
        <v>0.1667</v>
      </c>
      <c r="B534" s="212" t="s">
        <v>295</v>
      </c>
      <c r="C534" s="213" t="s">
        <v>136</v>
      </c>
      <c r="D534" s="214" t="s">
        <v>1886</v>
      </c>
      <c r="E534" s="212" t="s">
        <v>17</v>
      </c>
      <c r="F534" s="215">
        <v>2.0</v>
      </c>
      <c r="G534" s="210"/>
      <c r="H534" s="237" t="s">
        <v>1887</v>
      </c>
      <c r="I534" s="216">
        <v>2000.0</v>
      </c>
      <c r="J534" s="216">
        <v>2000.0</v>
      </c>
      <c r="K534" s="216">
        <v>2000.0</v>
      </c>
      <c r="L534" s="217">
        <v>46225.0</v>
      </c>
      <c r="M534" s="217">
        <v>46256.0</v>
      </c>
      <c r="N534" s="215">
        <v>0.0</v>
      </c>
      <c r="O534" s="215">
        <v>-1006.0</v>
      </c>
      <c r="P534" s="215">
        <v>1036.0</v>
      </c>
      <c r="Q534" s="203"/>
      <c r="R534" s="218" t="s">
        <v>1951</v>
      </c>
      <c r="S534" s="186"/>
      <c r="T534" s="215">
        <v>209.0</v>
      </c>
      <c r="U534" s="204"/>
    </row>
    <row r="535" ht="22.5" customHeight="1">
      <c r="A535" s="205"/>
      <c r="B535" s="193" t="s">
        <v>303</v>
      </c>
      <c r="C535" s="226" t="s">
        <v>136</v>
      </c>
      <c r="D535" s="194" t="s">
        <v>1472</v>
      </c>
      <c r="E535" s="193" t="s">
        <v>15</v>
      </c>
      <c r="F535" s="220">
        <v>1.0</v>
      </c>
      <c r="G535" s="221"/>
      <c r="H535" s="222">
        <v>150.0</v>
      </c>
      <c r="I535" s="222">
        <v>3300.0</v>
      </c>
      <c r="J535" s="222">
        <v>3300.0</v>
      </c>
      <c r="K535" s="222">
        <v>0.0</v>
      </c>
      <c r="L535" s="196" t="s">
        <v>1909</v>
      </c>
      <c r="M535" s="247" t="e">
        <v>#VALUE!</v>
      </c>
      <c r="N535" s="220">
        <v>1.0</v>
      </c>
      <c r="O535" s="249" t="e">
        <v>#VALUE!</v>
      </c>
      <c r="P535" s="249" t="e">
        <v>#VALUE!</v>
      </c>
      <c r="Q535" s="209"/>
      <c r="R535" s="196" t="s">
        <v>1952</v>
      </c>
      <c r="S535" s="45"/>
      <c r="T535" s="220">
        <v>210.0</v>
      </c>
      <c r="U535" s="198"/>
    </row>
    <row r="536" ht="22.5" customHeight="1">
      <c r="A536" s="211" t="s">
        <v>1953</v>
      </c>
      <c r="B536" s="212" t="s">
        <v>273</v>
      </c>
      <c r="C536" s="213" t="s">
        <v>136</v>
      </c>
      <c r="D536" s="214" t="s">
        <v>1788</v>
      </c>
      <c r="E536" s="212" t="s">
        <v>17</v>
      </c>
      <c r="F536" s="215">
        <v>3.0</v>
      </c>
      <c r="G536" s="210"/>
      <c r="H536" s="216">
        <v>1750.0</v>
      </c>
      <c r="I536" s="216">
        <v>5250.0</v>
      </c>
      <c r="J536" s="216">
        <v>5250.0</v>
      </c>
      <c r="K536" s="216">
        <v>0.0</v>
      </c>
      <c r="L536" s="217">
        <v>46228.0</v>
      </c>
      <c r="M536" s="217">
        <v>46259.0</v>
      </c>
      <c r="N536" s="215">
        <v>1.0</v>
      </c>
      <c r="O536" s="215">
        <v>-1003.0</v>
      </c>
      <c r="P536" s="215">
        <v>1033.0</v>
      </c>
      <c r="Q536" s="203"/>
      <c r="R536" s="218" t="s">
        <v>1954</v>
      </c>
      <c r="S536" s="186"/>
      <c r="T536" s="215">
        <v>211.0</v>
      </c>
      <c r="U536" s="204"/>
    </row>
    <row r="537" ht="22.5" customHeight="1">
      <c r="A537" s="205"/>
      <c r="B537" s="193" t="s">
        <v>277</v>
      </c>
      <c r="C537" s="226" t="s">
        <v>136</v>
      </c>
      <c r="D537" s="194" t="s">
        <v>1883</v>
      </c>
      <c r="E537" s="193" t="s">
        <v>15</v>
      </c>
      <c r="F537" s="220">
        <v>1.0</v>
      </c>
      <c r="G537" s="221"/>
      <c r="H537" s="197" t="s">
        <v>1955</v>
      </c>
      <c r="I537" s="222">
        <v>650.0</v>
      </c>
      <c r="J537" s="222">
        <v>13000.0</v>
      </c>
      <c r="K537" s="222">
        <v>13000.0</v>
      </c>
      <c r="L537" s="223">
        <v>46221.0</v>
      </c>
      <c r="M537" s="223">
        <v>46252.0</v>
      </c>
      <c r="N537" s="220">
        <v>0.0</v>
      </c>
      <c r="O537" s="220">
        <v>-1010.0</v>
      </c>
      <c r="P537" s="220">
        <v>1040.0</v>
      </c>
      <c r="Q537" s="209"/>
      <c r="R537" s="196" t="s">
        <v>1956</v>
      </c>
      <c r="S537" s="45"/>
      <c r="T537" s="220">
        <v>212.0</v>
      </c>
      <c r="U537" s="198"/>
    </row>
    <row r="538" ht="22.5" customHeight="1">
      <c r="A538" s="199"/>
      <c r="B538" s="212" t="s">
        <v>261</v>
      </c>
      <c r="C538" s="213" t="s">
        <v>136</v>
      </c>
      <c r="D538" s="214" t="s">
        <v>1711</v>
      </c>
      <c r="E538" s="212" t="s">
        <v>15</v>
      </c>
      <c r="F538" s="215">
        <v>1.0</v>
      </c>
      <c r="G538" s="210"/>
      <c r="H538" s="216">
        <v>300.0</v>
      </c>
      <c r="I538" s="216">
        <v>300.0</v>
      </c>
      <c r="J538" s="216">
        <v>6000.0</v>
      </c>
      <c r="K538" s="216">
        <v>0.0</v>
      </c>
      <c r="L538" s="217">
        <v>46207.0</v>
      </c>
      <c r="M538" s="217">
        <v>46238.0</v>
      </c>
      <c r="N538" s="215">
        <v>1.0</v>
      </c>
      <c r="O538" s="215">
        <v>-1024.0</v>
      </c>
      <c r="P538" s="215">
        <v>1054.0</v>
      </c>
      <c r="Q538" s="203"/>
      <c r="R538" s="218" t="s">
        <v>1957</v>
      </c>
      <c r="S538" s="186"/>
      <c r="T538" s="215">
        <v>213.0</v>
      </c>
      <c r="U538" s="204"/>
    </row>
    <row r="539" ht="22.5" customHeight="1">
      <c r="A539" s="205"/>
      <c r="B539" s="193" t="s">
        <v>301</v>
      </c>
      <c r="C539" s="226" t="s">
        <v>136</v>
      </c>
      <c r="D539" s="194" t="s">
        <v>1708</v>
      </c>
      <c r="E539" s="193" t="s">
        <v>17</v>
      </c>
      <c r="F539" s="220">
        <v>2.0</v>
      </c>
      <c r="G539" s="221"/>
      <c r="H539" s="222">
        <v>6000.0</v>
      </c>
      <c r="I539" s="222">
        <v>10000.0</v>
      </c>
      <c r="J539" s="222">
        <v>10000.0</v>
      </c>
      <c r="K539" s="222">
        <v>0.0</v>
      </c>
      <c r="L539" s="223">
        <v>46221.0</v>
      </c>
      <c r="M539" s="223">
        <v>46252.0</v>
      </c>
      <c r="N539" s="220">
        <v>1.0</v>
      </c>
      <c r="O539" s="220">
        <v>-1010.0</v>
      </c>
      <c r="P539" s="220">
        <v>1040.0</v>
      </c>
      <c r="Q539" s="209"/>
      <c r="R539" s="196" t="s">
        <v>1958</v>
      </c>
      <c r="S539" s="45"/>
      <c r="T539" s="220">
        <v>214.0</v>
      </c>
      <c r="U539" s="198"/>
    </row>
    <row r="540" ht="22.5" customHeight="1">
      <c r="A540" s="199"/>
      <c r="B540" s="212" t="s">
        <v>289</v>
      </c>
      <c r="C540" s="213" t="s">
        <v>136</v>
      </c>
      <c r="D540" s="214" t="s">
        <v>1472</v>
      </c>
      <c r="E540" s="212" t="s">
        <v>15</v>
      </c>
      <c r="F540" s="215">
        <v>2.0</v>
      </c>
      <c r="G540" s="210"/>
      <c r="H540" s="216">
        <v>150.0</v>
      </c>
      <c r="I540" s="216">
        <v>300.0</v>
      </c>
      <c r="J540" s="216">
        <v>6000.0</v>
      </c>
      <c r="K540" s="216">
        <v>6000.0</v>
      </c>
      <c r="L540" s="217">
        <v>46207.0</v>
      </c>
      <c r="M540" s="217">
        <v>46238.0</v>
      </c>
      <c r="N540" s="215">
        <v>0.0</v>
      </c>
      <c r="O540" s="215">
        <v>-1024.0</v>
      </c>
      <c r="P540" s="215">
        <v>1054.0</v>
      </c>
      <c r="Q540" s="203"/>
      <c r="R540" s="218" t="s">
        <v>1959</v>
      </c>
      <c r="S540" s="186"/>
      <c r="T540" s="215">
        <v>215.0</v>
      </c>
      <c r="U540" s="204"/>
    </row>
    <row r="541" ht="22.5" customHeight="1">
      <c r="A541" s="205"/>
      <c r="B541" s="193" t="s">
        <v>209</v>
      </c>
      <c r="C541" s="219" t="s">
        <v>684</v>
      </c>
      <c r="D541" s="194" t="s">
        <v>1788</v>
      </c>
      <c r="E541" s="193" t="s">
        <v>17</v>
      </c>
      <c r="F541" s="220">
        <v>3.0</v>
      </c>
      <c r="G541" s="221"/>
      <c r="H541" s="197" t="s">
        <v>1900</v>
      </c>
      <c r="I541" s="222">
        <v>6000.0</v>
      </c>
      <c r="J541" s="207"/>
      <c r="K541" s="207"/>
      <c r="L541" s="223">
        <v>46227.0</v>
      </c>
      <c r="M541" s="223">
        <v>46258.0</v>
      </c>
      <c r="N541" s="150"/>
      <c r="O541" s="220">
        <v>-1004.0</v>
      </c>
      <c r="P541" s="220">
        <v>1034.0</v>
      </c>
      <c r="Q541" s="209"/>
      <c r="R541" s="196" t="s">
        <v>1960</v>
      </c>
      <c r="S541" s="45"/>
      <c r="T541" s="220">
        <v>216.0</v>
      </c>
      <c r="U541" s="198"/>
    </row>
    <row r="542" ht="22.5" customHeight="1">
      <c r="A542" s="199"/>
      <c r="B542" s="212" t="s">
        <v>271</v>
      </c>
      <c r="C542" s="231" t="s">
        <v>684</v>
      </c>
      <c r="D542" s="214" t="s">
        <v>1760</v>
      </c>
      <c r="E542" s="212" t="s">
        <v>15</v>
      </c>
      <c r="F542" s="215">
        <v>5.0</v>
      </c>
      <c r="G542" s="210"/>
      <c r="H542" s="216">
        <v>100.0</v>
      </c>
      <c r="I542" s="216">
        <v>500.0</v>
      </c>
      <c r="J542" s="201"/>
      <c r="K542" s="237" t="s">
        <v>1909</v>
      </c>
      <c r="L542" s="217">
        <v>46224.0</v>
      </c>
      <c r="M542" s="217">
        <v>46255.0</v>
      </c>
      <c r="N542" s="215">
        <v>0.0</v>
      </c>
      <c r="O542" s="215">
        <v>-1007.0</v>
      </c>
      <c r="P542" s="215">
        <v>1037.0</v>
      </c>
      <c r="Q542" s="203"/>
      <c r="R542" s="218" t="s">
        <v>1961</v>
      </c>
      <c r="S542" s="186"/>
      <c r="T542" s="215">
        <v>217.0</v>
      </c>
      <c r="U542" s="204"/>
    </row>
    <row r="543" ht="22.5" customHeight="1">
      <c r="A543" s="205"/>
      <c r="B543" s="193" t="s">
        <v>263</v>
      </c>
      <c r="C543" s="226" t="s">
        <v>136</v>
      </c>
      <c r="D543" s="194" t="s">
        <v>1394</v>
      </c>
      <c r="E543" s="193" t="s">
        <v>15</v>
      </c>
      <c r="F543" s="220">
        <v>5.0</v>
      </c>
      <c r="G543" s="221"/>
      <c r="H543" s="222">
        <v>100.0</v>
      </c>
      <c r="I543" s="222">
        <v>500.0</v>
      </c>
      <c r="J543" s="222">
        <v>10000.0</v>
      </c>
      <c r="K543" s="222">
        <v>0.0</v>
      </c>
      <c r="L543" s="223">
        <v>46204.0</v>
      </c>
      <c r="M543" s="223">
        <v>46235.0</v>
      </c>
      <c r="N543" s="220">
        <v>1.0</v>
      </c>
      <c r="O543" s="220">
        <v>-1027.0</v>
      </c>
      <c r="P543" s="220">
        <v>1057.0</v>
      </c>
      <c r="Q543" s="209"/>
      <c r="R543" s="196" t="s">
        <v>1962</v>
      </c>
      <c r="S543" s="45"/>
      <c r="T543" s="220">
        <v>218.0</v>
      </c>
      <c r="U543" s="198"/>
    </row>
    <row r="544" ht="22.5" customHeight="1">
      <c r="A544" s="211" t="s">
        <v>1963</v>
      </c>
      <c r="B544" s="212" t="s">
        <v>249</v>
      </c>
      <c r="C544" s="213" t="s">
        <v>136</v>
      </c>
      <c r="D544" s="214" t="s">
        <v>1760</v>
      </c>
      <c r="E544" s="212" t="s">
        <v>15</v>
      </c>
      <c r="F544" s="215">
        <v>3.0</v>
      </c>
      <c r="G544" s="210"/>
      <c r="H544" s="216">
        <v>130.0</v>
      </c>
      <c r="I544" s="216">
        <v>300.0</v>
      </c>
      <c r="J544" s="216">
        <v>6000.0</v>
      </c>
      <c r="K544" s="216">
        <v>0.0</v>
      </c>
      <c r="L544" s="217">
        <v>46214.0</v>
      </c>
      <c r="M544" s="217">
        <v>46245.0</v>
      </c>
      <c r="N544" s="215">
        <v>1.0</v>
      </c>
      <c r="O544" s="215">
        <v>-1017.0</v>
      </c>
      <c r="P544" s="215">
        <v>1047.0</v>
      </c>
      <c r="Q544" s="203"/>
      <c r="R544" s="218" t="s">
        <v>1964</v>
      </c>
      <c r="S544" s="186"/>
      <c r="T544" s="215">
        <v>219.0</v>
      </c>
      <c r="U544" s="204"/>
    </row>
    <row r="545" ht="22.5" customHeight="1">
      <c r="A545" s="192" t="s">
        <v>1963</v>
      </c>
      <c r="B545" s="193" t="s">
        <v>215</v>
      </c>
      <c r="C545" s="226" t="s">
        <v>136</v>
      </c>
      <c r="D545" s="194" t="s">
        <v>1965</v>
      </c>
      <c r="E545" s="193" t="s">
        <v>15</v>
      </c>
      <c r="F545" s="220">
        <v>6.0</v>
      </c>
      <c r="G545" s="221"/>
      <c r="H545" s="222">
        <v>120.0</v>
      </c>
      <c r="I545" s="222">
        <v>600.0</v>
      </c>
      <c r="J545" s="222">
        <v>12000.0</v>
      </c>
      <c r="K545" s="222">
        <v>0.0</v>
      </c>
      <c r="L545" s="223">
        <v>46212.0</v>
      </c>
      <c r="M545" s="223">
        <v>46243.0</v>
      </c>
      <c r="N545" s="220">
        <v>1.0</v>
      </c>
      <c r="O545" s="220">
        <v>-1019.0</v>
      </c>
      <c r="P545" s="220">
        <v>1049.0</v>
      </c>
      <c r="Q545" s="209"/>
      <c r="R545" s="196" t="s">
        <v>1966</v>
      </c>
      <c r="S545" s="45"/>
      <c r="T545" s="220">
        <v>220.0</v>
      </c>
      <c r="U545" s="198"/>
    </row>
    <row r="546" ht="22.5" customHeight="1">
      <c r="A546" s="199"/>
      <c r="B546" s="212" t="s">
        <v>291</v>
      </c>
      <c r="C546" s="213" t="s">
        <v>136</v>
      </c>
      <c r="D546" s="214" t="s">
        <v>1824</v>
      </c>
      <c r="E546" s="212" t="s">
        <v>17</v>
      </c>
      <c r="F546" s="215">
        <v>4.0</v>
      </c>
      <c r="G546" s="210"/>
      <c r="H546" s="237" t="s">
        <v>1938</v>
      </c>
      <c r="I546" s="216">
        <v>20000.0</v>
      </c>
      <c r="J546" s="216">
        <v>20000.0</v>
      </c>
      <c r="K546" s="216">
        <v>0.0</v>
      </c>
      <c r="L546" s="217">
        <v>46206.0</v>
      </c>
      <c r="M546" s="217">
        <v>46237.0</v>
      </c>
      <c r="N546" s="215">
        <v>1.0</v>
      </c>
      <c r="O546" s="215">
        <v>-1025.0</v>
      </c>
      <c r="P546" s="215">
        <v>1055.0</v>
      </c>
      <c r="Q546" s="203"/>
      <c r="R546" s="218" t="s">
        <v>1967</v>
      </c>
      <c r="S546" s="186"/>
      <c r="T546" s="215">
        <v>221.0</v>
      </c>
      <c r="U546" s="204"/>
    </row>
    <row r="547" ht="22.5" customHeight="1">
      <c r="A547" s="205"/>
      <c r="B547" s="193" t="s">
        <v>192</v>
      </c>
      <c r="C547" s="226" t="s">
        <v>136</v>
      </c>
      <c r="D547" s="194" t="s">
        <v>1850</v>
      </c>
      <c r="E547" s="193" t="s">
        <v>17</v>
      </c>
      <c r="F547" s="220">
        <v>1.0</v>
      </c>
      <c r="G547" s="221"/>
      <c r="H547" s="197" t="s">
        <v>1851</v>
      </c>
      <c r="I547" s="222">
        <v>5000.0</v>
      </c>
      <c r="J547" s="222">
        <v>5000.0</v>
      </c>
      <c r="K547" s="197" t="s">
        <v>1909</v>
      </c>
      <c r="L547" s="223">
        <v>46211.0</v>
      </c>
      <c r="M547" s="223">
        <v>46242.0</v>
      </c>
      <c r="N547" s="220">
        <v>0.0</v>
      </c>
      <c r="O547" s="220">
        <v>-1020.0</v>
      </c>
      <c r="P547" s="220">
        <v>1050.0</v>
      </c>
      <c r="Q547" s="209"/>
      <c r="R547" s="196" t="s">
        <v>1968</v>
      </c>
      <c r="S547" s="45"/>
      <c r="T547" s="220">
        <v>222.0</v>
      </c>
      <c r="U547" s="198"/>
    </row>
    <row r="548" ht="22.5" customHeight="1">
      <c r="A548" s="199"/>
      <c r="B548" s="212" t="s">
        <v>227</v>
      </c>
      <c r="C548" s="213" t="s">
        <v>136</v>
      </c>
      <c r="D548" s="214" t="s">
        <v>1472</v>
      </c>
      <c r="E548" s="212" t="s">
        <v>15</v>
      </c>
      <c r="F548" s="215">
        <v>1.0</v>
      </c>
      <c r="G548" s="210"/>
      <c r="H548" s="216">
        <v>150.0</v>
      </c>
      <c r="I548" s="216">
        <v>150.0</v>
      </c>
      <c r="J548" s="216">
        <v>3000.0</v>
      </c>
      <c r="K548" s="237" t="s">
        <v>1909</v>
      </c>
      <c r="L548" s="217">
        <v>46226.0</v>
      </c>
      <c r="M548" s="217">
        <v>46257.0</v>
      </c>
      <c r="N548" s="215">
        <v>0.0</v>
      </c>
      <c r="O548" s="215">
        <v>-1005.0</v>
      </c>
      <c r="P548" s="215">
        <v>1035.0</v>
      </c>
      <c r="Q548" s="203"/>
      <c r="R548" s="218" t="s">
        <v>1969</v>
      </c>
      <c r="S548" s="186"/>
      <c r="T548" s="215">
        <v>223.0</v>
      </c>
      <c r="U548" s="204"/>
    </row>
    <row r="549" ht="22.5" customHeight="1">
      <c r="A549" s="205"/>
      <c r="B549" s="193" t="s">
        <v>283</v>
      </c>
      <c r="C549" s="226" t="s">
        <v>136</v>
      </c>
      <c r="D549" s="194" t="s">
        <v>1472</v>
      </c>
      <c r="E549" s="193" t="s">
        <v>15</v>
      </c>
      <c r="F549" s="220">
        <v>4.0</v>
      </c>
      <c r="G549" s="150"/>
      <c r="H549" s="222">
        <v>150.0</v>
      </c>
      <c r="I549" s="222">
        <v>400.0</v>
      </c>
      <c r="J549" s="222">
        <v>8000.0</v>
      </c>
      <c r="K549" s="222">
        <v>0.0</v>
      </c>
      <c r="L549" s="223">
        <v>46183.0</v>
      </c>
      <c r="M549" s="223">
        <v>46213.0</v>
      </c>
      <c r="N549" s="220">
        <v>1.0</v>
      </c>
      <c r="O549" s="220">
        <v>-1049.0</v>
      </c>
      <c r="P549" s="220">
        <v>1079.0</v>
      </c>
      <c r="Q549" s="209"/>
      <c r="R549" s="196" t="s">
        <v>1970</v>
      </c>
      <c r="S549" s="45"/>
      <c r="T549" s="220">
        <v>192.0</v>
      </c>
      <c r="U549" s="198"/>
    </row>
    <row r="550" ht="22.5" customHeight="1">
      <c r="A550" s="199"/>
      <c r="B550" s="212" t="s">
        <v>281</v>
      </c>
      <c r="C550" s="213" t="s">
        <v>136</v>
      </c>
      <c r="D550" s="214" t="s">
        <v>1472</v>
      </c>
      <c r="E550" s="212" t="s">
        <v>15</v>
      </c>
      <c r="F550" s="215">
        <v>1.0</v>
      </c>
      <c r="G550" s="147"/>
      <c r="H550" s="216">
        <v>150.0</v>
      </c>
      <c r="I550" s="216">
        <v>150.0</v>
      </c>
      <c r="J550" s="216">
        <v>3000.0</v>
      </c>
      <c r="K550" s="216">
        <v>0.0</v>
      </c>
      <c r="L550" s="217">
        <v>46183.0</v>
      </c>
      <c r="M550" s="217">
        <v>46213.0</v>
      </c>
      <c r="N550" s="215">
        <v>1.0</v>
      </c>
      <c r="O550" s="215">
        <v>-1049.0</v>
      </c>
      <c r="P550" s="215">
        <v>1079.0</v>
      </c>
      <c r="Q550" s="203"/>
      <c r="R550" s="218" t="s">
        <v>1971</v>
      </c>
      <c r="S550" s="186"/>
      <c r="T550" s="215">
        <v>193.0</v>
      </c>
      <c r="U550" s="204"/>
    </row>
    <row r="551" ht="22.5" customHeight="1">
      <c r="A551" s="205"/>
      <c r="B551" s="193" t="s">
        <v>279</v>
      </c>
      <c r="C551" s="226" t="s">
        <v>136</v>
      </c>
      <c r="D551" s="194" t="s">
        <v>1883</v>
      </c>
      <c r="E551" s="193" t="s">
        <v>15</v>
      </c>
      <c r="F551" s="220">
        <v>1.0</v>
      </c>
      <c r="G551" s="150"/>
      <c r="H551" s="222">
        <v>250.0</v>
      </c>
      <c r="I551" s="222">
        <v>250.0</v>
      </c>
      <c r="J551" s="222">
        <v>5000.0</v>
      </c>
      <c r="K551" s="222">
        <v>5000.0</v>
      </c>
      <c r="L551" s="223">
        <v>46191.0</v>
      </c>
      <c r="M551" s="223">
        <v>46221.0</v>
      </c>
      <c r="N551" s="220">
        <v>0.0</v>
      </c>
      <c r="O551" s="220">
        <v>-1041.0</v>
      </c>
      <c r="P551" s="220">
        <v>1071.0</v>
      </c>
      <c r="Q551" s="209"/>
      <c r="R551" s="196" t="s">
        <v>1972</v>
      </c>
      <c r="S551" s="45"/>
      <c r="T551" s="220">
        <v>194.0</v>
      </c>
      <c r="U551" s="198"/>
    </row>
    <row r="552" ht="22.5" customHeight="1">
      <c r="A552" s="199"/>
      <c r="B552" s="212" t="s">
        <v>273</v>
      </c>
      <c r="C552" s="213" t="s">
        <v>136</v>
      </c>
      <c r="D552" s="214" t="s">
        <v>1788</v>
      </c>
      <c r="E552" s="212" t="s">
        <v>17</v>
      </c>
      <c r="F552" s="215">
        <v>3.0</v>
      </c>
      <c r="G552" s="147"/>
      <c r="H552" s="216">
        <v>1750.0</v>
      </c>
      <c r="I552" s="216">
        <v>5250.0</v>
      </c>
      <c r="J552" s="216">
        <v>5250.0</v>
      </c>
      <c r="K552" s="216">
        <v>0.0</v>
      </c>
      <c r="L552" s="217">
        <v>46198.0</v>
      </c>
      <c r="M552" s="217">
        <v>46228.0</v>
      </c>
      <c r="N552" s="215">
        <v>1.0</v>
      </c>
      <c r="O552" s="215">
        <v>-1034.0</v>
      </c>
      <c r="P552" s="215">
        <v>1064.0</v>
      </c>
      <c r="Q552" s="203"/>
      <c r="R552" s="218" t="s">
        <v>1973</v>
      </c>
      <c r="S552" s="186"/>
      <c r="T552" s="215">
        <v>195.0</v>
      </c>
      <c r="U552" s="204"/>
    </row>
    <row r="553" ht="22.5" customHeight="1">
      <c r="A553" s="205"/>
      <c r="B553" s="193" t="s">
        <v>277</v>
      </c>
      <c r="C553" s="226" t="s">
        <v>136</v>
      </c>
      <c r="D553" s="194" t="s">
        <v>1883</v>
      </c>
      <c r="E553" s="193" t="s">
        <v>15</v>
      </c>
      <c r="F553" s="220">
        <v>1.0</v>
      </c>
      <c r="G553" s="150"/>
      <c r="H553" s="222">
        <v>250.0</v>
      </c>
      <c r="I553" s="222">
        <v>250.0</v>
      </c>
      <c r="J553" s="222">
        <v>5000.0</v>
      </c>
      <c r="K553" s="222">
        <v>5000.0</v>
      </c>
      <c r="L553" s="223">
        <v>46191.0</v>
      </c>
      <c r="M553" s="223">
        <v>46221.0</v>
      </c>
      <c r="N553" s="220">
        <v>0.0</v>
      </c>
      <c r="O553" s="220">
        <v>-1041.0</v>
      </c>
      <c r="P553" s="220">
        <v>1071.0</v>
      </c>
      <c r="Q553" s="209"/>
      <c r="R553" s="196" t="s">
        <v>1974</v>
      </c>
      <c r="S553" s="45"/>
      <c r="T553" s="220">
        <v>196.0</v>
      </c>
      <c r="U553" s="198"/>
    </row>
    <row r="554" ht="22.5" customHeight="1">
      <c r="A554" s="199"/>
      <c r="B554" s="212" t="s">
        <v>194</v>
      </c>
      <c r="C554" s="213" t="s">
        <v>136</v>
      </c>
      <c r="D554" s="214" t="s">
        <v>1782</v>
      </c>
      <c r="E554" s="212" t="s">
        <v>15</v>
      </c>
      <c r="F554" s="215">
        <v>3.0</v>
      </c>
      <c r="G554" s="147"/>
      <c r="H554" s="216">
        <v>100.0</v>
      </c>
      <c r="I554" s="237" t="s">
        <v>1930</v>
      </c>
      <c r="J554" s="216">
        <v>6000.0</v>
      </c>
      <c r="K554" s="216">
        <v>6000.0</v>
      </c>
      <c r="L554" s="217">
        <v>46195.0</v>
      </c>
      <c r="M554" s="217">
        <v>46225.0</v>
      </c>
      <c r="N554" s="215">
        <v>0.0</v>
      </c>
      <c r="O554" s="215">
        <v>-1037.0</v>
      </c>
      <c r="P554" s="215">
        <v>1067.0</v>
      </c>
      <c r="Q554" s="203"/>
      <c r="R554" s="218" t="s">
        <v>1975</v>
      </c>
      <c r="S554" s="186"/>
      <c r="T554" s="215">
        <v>197.0</v>
      </c>
      <c r="U554" s="204"/>
    </row>
    <row r="555" ht="22.5" customHeight="1">
      <c r="A555" s="205"/>
      <c r="B555" s="193" t="s">
        <v>289</v>
      </c>
      <c r="C555" s="226" t="s">
        <v>136</v>
      </c>
      <c r="D555" s="194" t="s">
        <v>1472</v>
      </c>
      <c r="E555" s="193" t="s">
        <v>15</v>
      </c>
      <c r="F555" s="220">
        <v>2.0</v>
      </c>
      <c r="G555" s="150"/>
      <c r="H555" s="222">
        <v>150.0</v>
      </c>
      <c r="I555" s="222">
        <v>300.0</v>
      </c>
      <c r="J555" s="222">
        <v>6000.0</v>
      </c>
      <c r="K555" s="222">
        <v>0.0</v>
      </c>
      <c r="L555" s="223">
        <v>46177.0</v>
      </c>
      <c r="M555" s="223">
        <v>46207.0</v>
      </c>
      <c r="N555" s="220">
        <v>1.0</v>
      </c>
      <c r="O555" s="220">
        <v>-1055.0</v>
      </c>
      <c r="P555" s="220">
        <v>1085.0</v>
      </c>
      <c r="Q555" s="209"/>
      <c r="R555" s="196" t="s">
        <v>1976</v>
      </c>
      <c r="S555" s="45"/>
      <c r="T555" s="220">
        <v>198.0</v>
      </c>
      <c r="U555" s="198"/>
    </row>
    <row r="556" ht="22.5" customHeight="1">
      <c r="A556" s="199"/>
      <c r="B556" s="212" t="s">
        <v>263</v>
      </c>
      <c r="C556" s="213" t="s">
        <v>136</v>
      </c>
      <c r="D556" s="214" t="s">
        <v>1977</v>
      </c>
      <c r="E556" s="212" t="s">
        <v>15</v>
      </c>
      <c r="F556" s="215">
        <v>5.0</v>
      </c>
      <c r="G556" s="147"/>
      <c r="H556" s="216">
        <v>100.0</v>
      </c>
      <c r="I556" s="216">
        <v>500.0</v>
      </c>
      <c r="J556" s="216">
        <v>10000.0</v>
      </c>
      <c r="K556" s="216">
        <v>0.0</v>
      </c>
      <c r="L556" s="217">
        <v>46174.0</v>
      </c>
      <c r="M556" s="217">
        <v>46204.0</v>
      </c>
      <c r="N556" s="215">
        <v>1.0</v>
      </c>
      <c r="O556" s="215">
        <v>-1058.0</v>
      </c>
      <c r="P556" s="215">
        <v>1088.0</v>
      </c>
      <c r="Q556" s="203"/>
      <c r="R556" s="218" t="s">
        <v>1978</v>
      </c>
      <c r="S556" s="186"/>
      <c r="T556" s="215">
        <v>199.0</v>
      </c>
      <c r="U556" s="204"/>
    </row>
    <row r="557" ht="22.5" customHeight="1">
      <c r="A557" s="192" t="s">
        <v>1963</v>
      </c>
      <c r="B557" s="193" t="s">
        <v>249</v>
      </c>
      <c r="C557" s="226" t="s">
        <v>136</v>
      </c>
      <c r="D557" s="194" t="s">
        <v>1782</v>
      </c>
      <c r="E557" s="193" t="s">
        <v>15</v>
      </c>
      <c r="F557" s="220">
        <v>3.0</v>
      </c>
      <c r="G557" s="150"/>
      <c r="H557" s="222">
        <v>130.0</v>
      </c>
      <c r="I557" s="222">
        <v>300.0</v>
      </c>
      <c r="J557" s="222">
        <v>6000.0</v>
      </c>
      <c r="K557" s="222">
        <v>0.0</v>
      </c>
      <c r="L557" s="223">
        <v>46184.0</v>
      </c>
      <c r="M557" s="223">
        <v>46214.0</v>
      </c>
      <c r="N557" s="220">
        <v>1.0</v>
      </c>
      <c r="O557" s="220">
        <v>-1048.0</v>
      </c>
      <c r="P557" s="220">
        <v>1078.0</v>
      </c>
      <c r="Q557" s="209"/>
      <c r="R557" s="196" t="s">
        <v>1979</v>
      </c>
      <c r="S557" s="45"/>
      <c r="T557" s="220">
        <v>200.0</v>
      </c>
      <c r="U557" s="198"/>
    </row>
    <row r="558" ht="22.5" customHeight="1">
      <c r="A558" s="199"/>
      <c r="B558" s="212" t="s">
        <v>215</v>
      </c>
      <c r="C558" s="213" t="s">
        <v>136</v>
      </c>
      <c r="D558" s="214" t="s">
        <v>1760</v>
      </c>
      <c r="E558" s="212" t="s">
        <v>15</v>
      </c>
      <c r="F558" s="215">
        <v>6.0</v>
      </c>
      <c r="G558" s="147"/>
      <c r="H558" s="216">
        <v>120.0</v>
      </c>
      <c r="I558" s="216">
        <v>600.0</v>
      </c>
      <c r="J558" s="216">
        <v>12000.0</v>
      </c>
      <c r="K558" s="216">
        <v>0.0</v>
      </c>
      <c r="L558" s="217">
        <v>46182.0</v>
      </c>
      <c r="M558" s="217">
        <v>46212.0</v>
      </c>
      <c r="N558" s="215">
        <v>1.0</v>
      </c>
      <c r="O558" s="215">
        <v>-1050.0</v>
      </c>
      <c r="P558" s="215">
        <v>1080.0</v>
      </c>
      <c r="Q558" s="203"/>
      <c r="R558" s="218" t="s">
        <v>1980</v>
      </c>
      <c r="S558" s="186"/>
      <c r="T558" s="215">
        <v>201.0</v>
      </c>
      <c r="U558" s="204"/>
    </row>
    <row r="559" ht="22.5" customHeight="1">
      <c r="A559" s="205"/>
      <c r="B559" s="193" t="s">
        <v>192</v>
      </c>
      <c r="C559" s="226" t="s">
        <v>136</v>
      </c>
      <c r="D559" s="194" t="s">
        <v>1850</v>
      </c>
      <c r="E559" s="193" t="s">
        <v>17</v>
      </c>
      <c r="F559" s="220">
        <v>1.0</v>
      </c>
      <c r="G559" s="150"/>
      <c r="H559" s="222">
        <v>7500.0</v>
      </c>
      <c r="I559" s="222">
        <v>7500.0</v>
      </c>
      <c r="J559" s="222">
        <v>7500.0</v>
      </c>
      <c r="K559" s="197" t="s">
        <v>1909</v>
      </c>
      <c r="L559" s="223">
        <v>46181.0</v>
      </c>
      <c r="M559" s="223">
        <v>46211.0</v>
      </c>
      <c r="N559" s="220">
        <v>0.0</v>
      </c>
      <c r="O559" s="220">
        <v>-1051.0</v>
      </c>
      <c r="P559" s="220">
        <v>1081.0</v>
      </c>
      <c r="Q559" s="209"/>
      <c r="R559" s="196" t="s">
        <v>1981</v>
      </c>
      <c r="S559" s="45"/>
      <c r="T559" s="220">
        <v>202.0</v>
      </c>
      <c r="U559" s="198"/>
    </row>
    <row r="560" ht="22.5" customHeight="1">
      <c r="A560" s="211" t="s">
        <v>1953</v>
      </c>
      <c r="B560" s="212" t="s">
        <v>269</v>
      </c>
      <c r="C560" s="213" t="s">
        <v>136</v>
      </c>
      <c r="D560" s="214" t="s">
        <v>1782</v>
      </c>
      <c r="E560" s="212" t="s">
        <v>15</v>
      </c>
      <c r="F560" s="215">
        <v>3.0</v>
      </c>
      <c r="G560" s="147"/>
      <c r="H560" s="216">
        <v>100.0</v>
      </c>
      <c r="I560" s="216">
        <v>300.0</v>
      </c>
      <c r="J560" s="216">
        <v>6000.0</v>
      </c>
      <c r="K560" s="216">
        <v>0.0</v>
      </c>
      <c r="L560" s="217">
        <v>46189.0</v>
      </c>
      <c r="M560" s="217">
        <v>46219.0</v>
      </c>
      <c r="N560" s="215">
        <v>1.0</v>
      </c>
      <c r="O560" s="215">
        <v>-1043.0</v>
      </c>
      <c r="P560" s="215">
        <v>1073.0</v>
      </c>
      <c r="Q560" s="203"/>
      <c r="R560" s="218" t="s">
        <v>1982</v>
      </c>
      <c r="S560" s="186"/>
      <c r="T560" s="215">
        <v>203.0</v>
      </c>
      <c r="U560" s="204"/>
    </row>
    <row r="561" ht="22.5" customHeight="1">
      <c r="A561" s="205"/>
      <c r="B561" s="193" t="s">
        <v>207</v>
      </c>
      <c r="C561" s="226" t="s">
        <v>136</v>
      </c>
      <c r="D561" s="194" t="s">
        <v>1983</v>
      </c>
      <c r="E561" s="194" t="s">
        <v>17</v>
      </c>
      <c r="F561" s="220">
        <v>2.0</v>
      </c>
      <c r="G561" s="221"/>
      <c r="H561" s="222">
        <v>1350.0</v>
      </c>
      <c r="I561" s="222">
        <v>2700.0</v>
      </c>
      <c r="J561" s="222">
        <v>2700.0</v>
      </c>
      <c r="K561" s="222">
        <v>0.0</v>
      </c>
      <c r="L561" s="223">
        <v>46159.0</v>
      </c>
      <c r="M561" s="223">
        <v>46190.0</v>
      </c>
      <c r="N561" s="220">
        <v>1.0</v>
      </c>
      <c r="O561" s="220">
        <v>-1072.0</v>
      </c>
      <c r="P561" s="220">
        <v>1102.0</v>
      </c>
      <c r="Q561" s="209"/>
      <c r="R561" s="196" t="s">
        <v>1984</v>
      </c>
      <c r="S561" s="45"/>
      <c r="T561" s="220">
        <v>175.0</v>
      </c>
      <c r="U561" s="198"/>
    </row>
    <row r="562" ht="22.5" customHeight="1">
      <c r="A562" s="199"/>
      <c r="B562" s="212" t="s">
        <v>283</v>
      </c>
      <c r="C562" s="213" t="s">
        <v>136</v>
      </c>
      <c r="D562" s="214" t="s">
        <v>1472</v>
      </c>
      <c r="E562" s="212" t="s">
        <v>15</v>
      </c>
      <c r="F562" s="215">
        <v>4.0</v>
      </c>
      <c r="G562" s="147"/>
      <c r="H562" s="216">
        <v>150.0</v>
      </c>
      <c r="I562" s="216">
        <v>400.0</v>
      </c>
      <c r="J562" s="216">
        <v>8000.0</v>
      </c>
      <c r="K562" s="216">
        <v>0.0</v>
      </c>
      <c r="L562" s="217">
        <v>46152.0</v>
      </c>
      <c r="M562" s="202"/>
      <c r="N562" s="215">
        <v>1.0</v>
      </c>
      <c r="O562" s="147"/>
      <c r="P562" s="215">
        <v>30.0</v>
      </c>
      <c r="Q562" s="203"/>
      <c r="R562" s="218" t="s">
        <v>1985</v>
      </c>
      <c r="S562" s="186"/>
      <c r="T562" s="215">
        <v>176.0</v>
      </c>
      <c r="U562" s="204"/>
    </row>
    <row r="563" ht="22.5" customHeight="1">
      <c r="A563" s="205"/>
      <c r="B563" s="193" t="s">
        <v>281</v>
      </c>
      <c r="C563" s="226" t="s">
        <v>136</v>
      </c>
      <c r="D563" s="194" t="s">
        <v>1472</v>
      </c>
      <c r="E563" s="193" t="s">
        <v>15</v>
      </c>
      <c r="F563" s="220">
        <v>1.0</v>
      </c>
      <c r="G563" s="150"/>
      <c r="H563" s="222">
        <v>150.0</v>
      </c>
      <c r="I563" s="222">
        <v>150.0</v>
      </c>
      <c r="J563" s="222">
        <v>3000.0</v>
      </c>
      <c r="K563" s="222">
        <v>0.0</v>
      </c>
      <c r="L563" s="223">
        <v>46152.0</v>
      </c>
      <c r="M563" s="208"/>
      <c r="N563" s="220">
        <v>1.0</v>
      </c>
      <c r="O563" s="150"/>
      <c r="P563" s="220">
        <v>30.0</v>
      </c>
      <c r="Q563" s="209"/>
      <c r="R563" s="196" t="s">
        <v>1986</v>
      </c>
      <c r="S563" s="45"/>
      <c r="T563" s="220">
        <v>177.0</v>
      </c>
      <c r="U563" s="198"/>
    </row>
    <row r="564" ht="22.5" customHeight="1">
      <c r="A564" s="199"/>
      <c r="B564" s="212" t="s">
        <v>279</v>
      </c>
      <c r="C564" s="213" t="s">
        <v>136</v>
      </c>
      <c r="D564" s="214" t="s">
        <v>1883</v>
      </c>
      <c r="E564" s="212" t="s">
        <v>15</v>
      </c>
      <c r="F564" s="215">
        <v>1.0</v>
      </c>
      <c r="G564" s="147"/>
      <c r="H564" s="216">
        <v>250.0</v>
      </c>
      <c r="I564" s="216">
        <v>250.0</v>
      </c>
      <c r="J564" s="216">
        <v>5000.0</v>
      </c>
      <c r="K564" s="216">
        <v>5000.0</v>
      </c>
      <c r="L564" s="217">
        <v>46158.0</v>
      </c>
      <c r="M564" s="202"/>
      <c r="N564" s="215">
        <v>0.0</v>
      </c>
      <c r="O564" s="147"/>
      <c r="P564" s="215">
        <v>30.0</v>
      </c>
      <c r="Q564" s="203"/>
      <c r="R564" s="218" t="s">
        <v>1987</v>
      </c>
      <c r="S564" s="186"/>
      <c r="T564" s="215">
        <v>178.0</v>
      </c>
      <c r="U564" s="204"/>
    </row>
    <row r="565" ht="22.5" customHeight="1">
      <c r="A565" s="205"/>
      <c r="B565" s="193" t="s">
        <v>265</v>
      </c>
      <c r="C565" s="226" t="s">
        <v>136</v>
      </c>
      <c r="D565" s="194" t="s">
        <v>1988</v>
      </c>
      <c r="E565" s="193" t="s">
        <v>17</v>
      </c>
      <c r="F565" s="220">
        <v>5.0</v>
      </c>
      <c r="G565" s="150"/>
      <c r="H565" s="222">
        <v>2000.0</v>
      </c>
      <c r="I565" s="222">
        <v>10416.25</v>
      </c>
      <c r="J565" s="222">
        <v>31248.75</v>
      </c>
      <c r="K565" s="222">
        <v>0.0</v>
      </c>
      <c r="L565" s="223">
        <v>46150.0</v>
      </c>
      <c r="M565" s="208"/>
      <c r="N565" s="220">
        <v>1.0</v>
      </c>
      <c r="O565" s="150"/>
      <c r="P565" s="220">
        <v>30.0</v>
      </c>
      <c r="Q565" s="209"/>
      <c r="R565" s="196" t="s">
        <v>1989</v>
      </c>
      <c r="S565" s="45"/>
      <c r="T565" s="220">
        <v>179.0</v>
      </c>
      <c r="U565" s="198"/>
    </row>
    <row r="566" ht="22.5" customHeight="1">
      <c r="A566" s="199"/>
      <c r="B566" s="212" t="s">
        <v>219</v>
      </c>
      <c r="C566" s="213" t="s">
        <v>136</v>
      </c>
      <c r="D566" s="214" t="s">
        <v>1760</v>
      </c>
      <c r="E566" s="212" t="s">
        <v>15</v>
      </c>
      <c r="F566" s="215">
        <v>5.0</v>
      </c>
      <c r="G566" s="210"/>
      <c r="H566" s="216">
        <v>100.0</v>
      </c>
      <c r="I566" s="216">
        <v>250.0</v>
      </c>
      <c r="J566" s="216">
        <v>5000.0</v>
      </c>
      <c r="K566" s="216">
        <v>0.0</v>
      </c>
      <c r="L566" s="217">
        <v>46158.0</v>
      </c>
      <c r="M566" s="217">
        <v>46189.0</v>
      </c>
      <c r="N566" s="215">
        <v>1.0</v>
      </c>
      <c r="O566" s="215">
        <v>-1073.0</v>
      </c>
      <c r="P566" s="215">
        <v>1103.0</v>
      </c>
      <c r="Q566" s="203"/>
      <c r="R566" s="218" t="s">
        <v>1990</v>
      </c>
      <c r="S566" s="186"/>
      <c r="T566" s="215">
        <v>180.0</v>
      </c>
      <c r="U566" s="204"/>
    </row>
    <row r="567" ht="22.5" customHeight="1">
      <c r="A567" s="205"/>
      <c r="B567" s="193" t="s">
        <v>287</v>
      </c>
      <c r="C567" s="226" t="s">
        <v>136</v>
      </c>
      <c r="D567" s="194" t="s">
        <v>1991</v>
      </c>
      <c r="E567" s="193" t="s">
        <v>15</v>
      </c>
      <c r="F567" s="220">
        <v>2.0</v>
      </c>
      <c r="G567" s="150"/>
      <c r="H567" s="222">
        <v>150.0</v>
      </c>
      <c r="I567" s="222">
        <v>300.0</v>
      </c>
      <c r="J567" s="222">
        <v>6000.0</v>
      </c>
      <c r="K567" s="222">
        <v>0.0</v>
      </c>
      <c r="L567" s="223">
        <v>46157.0</v>
      </c>
      <c r="M567" s="223">
        <v>46188.0</v>
      </c>
      <c r="N567" s="220">
        <v>1.0</v>
      </c>
      <c r="O567" s="220">
        <v>-1074.0</v>
      </c>
      <c r="P567" s="220">
        <v>1104.0</v>
      </c>
      <c r="Q567" s="209"/>
      <c r="R567" s="196" t="s">
        <v>1992</v>
      </c>
      <c r="S567" s="45"/>
      <c r="T567" s="220">
        <v>181.0</v>
      </c>
      <c r="U567" s="198"/>
    </row>
    <row r="568" ht="22.5" customHeight="1">
      <c r="A568" s="199"/>
      <c r="B568" s="212" t="s">
        <v>277</v>
      </c>
      <c r="C568" s="213" t="s">
        <v>136</v>
      </c>
      <c r="D568" s="214" t="s">
        <v>1883</v>
      </c>
      <c r="E568" s="212" t="s">
        <v>15</v>
      </c>
      <c r="F568" s="215">
        <v>1.0</v>
      </c>
      <c r="G568" s="147"/>
      <c r="H568" s="216">
        <v>250.0</v>
      </c>
      <c r="I568" s="216">
        <v>250.0</v>
      </c>
      <c r="J568" s="216">
        <v>5000.0</v>
      </c>
      <c r="K568" s="216">
        <v>0.0</v>
      </c>
      <c r="L568" s="217">
        <v>46146.0</v>
      </c>
      <c r="M568" s="202"/>
      <c r="N568" s="215">
        <v>1.0</v>
      </c>
      <c r="O568" s="147"/>
      <c r="P568" s="215">
        <v>30.0</v>
      </c>
      <c r="Q568" s="203"/>
      <c r="R568" s="218" t="s">
        <v>1993</v>
      </c>
      <c r="S568" s="186"/>
      <c r="T568" s="215">
        <v>182.0</v>
      </c>
      <c r="U568" s="204"/>
    </row>
    <row r="569" ht="22.5" customHeight="1">
      <c r="A569" s="205"/>
      <c r="B569" s="193" t="s">
        <v>217</v>
      </c>
      <c r="C569" s="226" t="s">
        <v>136</v>
      </c>
      <c r="D569" s="194" t="s">
        <v>1760</v>
      </c>
      <c r="E569" s="193" t="s">
        <v>15</v>
      </c>
      <c r="F569" s="220">
        <v>5.0</v>
      </c>
      <c r="G569" s="221"/>
      <c r="H569" s="222">
        <v>100.0</v>
      </c>
      <c r="I569" s="222">
        <v>500.0</v>
      </c>
      <c r="J569" s="222">
        <v>10000.0</v>
      </c>
      <c r="K569" s="222">
        <v>0.0</v>
      </c>
      <c r="L569" s="223">
        <v>46151.0</v>
      </c>
      <c r="M569" s="223">
        <v>46182.0</v>
      </c>
      <c r="N569" s="220">
        <v>1.0</v>
      </c>
      <c r="O569" s="220">
        <v>-1080.0</v>
      </c>
      <c r="P569" s="220">
        <v>1110.0</v>
      </c>
      <c r="Q569" s="209"/>
      <c r="R569" s="196" t="s">
        <v>1994</v>
      </c>
      <c r="S569" s="45"/>
      <c r="T569" s="220">
        <v>183.0</v>
      </c>
      <c r="U569" s="198"/>
    </row>
    <row r="570" ht="22.5" customHeight="1">
      <c r="A570" s="211" t="s">
        <v>1995</v>
      </c>
      <c r="B570" s="212" t="s">
        <v>285</v>
      </c>
      <c r="C570" s="213" t="s">
        <v>136</v>
      </c>
      <c r="D570" s="214" t="s">
        <v>1339</v>
      </c>
      <c r="E570" s="212" t="s">
        <v>15</v>
      </c>
      <c r="F570" s="215">
        <v>1.0</v>
      </c>
      <c r="G570" s="147"/>
      <c r="H570" s="216">
        <v>150.0</v>
      </c>
      <c r="I570" s="216">
        <v>150.0</v>
      </c>
      <c r="J570" s="216">
        <v>3000.0</v>
      </c>
      <c r="K570" s="216">
        <v>0.0</v>
      </c>
      <c r="L570" s="217">
        <v>46157.0</v>
      </c>
      <c r="M570" s="202"/>
      <c r="N570" s="215">
        <v>1.0</v>
      </c>
      <c r="O570" s="147"/>
      <c r="P570" s="215">
        <v>30.0</v>
      </c>
      <c r="Q570" s="203"/>
      <c r="R570" s="218" t="s">
        <v>1996</v>
      </c>
      <c r="S570" s="186"/>
      <c r="T570" s="215">
        <v>184.0</v>
      </c>
      <c r="U570" s="204"/>
    </row>
    <row r="571" ht="22.5" customHeight="1">
      <c r="A571" s="205"/>
      <c r="B571" s="193" t="s">
        <v>259</v>
      </c>
      <c r="C571" s="226" t="s">
        <v>136</v>
      </c>
      <c r="D571" s="194" t="s">
        <v>1760</v>
      </c>
      <c r="E571" s="193" t="s">
        <v>15</v>
      </c>
      <c r="F571" s="220">
        <v>5.0</v>
      </c>
      <c r="G571" s="221"/>
      <c r="H571" s="222">
        <v>100.0</v>
      </c>
      <c r="I571" s="222">
        <v>500.0</v>
      </c>
      <c r="J571" s="222">
        <v>10000.0</v>
      </c>
      <c r="K571" s="222">
        <v>0.0</v>
      </c>
      <c r="L571" s="223">
        <v>46151.0</v>
      </c>
      <c r="M571" s="223">
        <v>46182.0</v>
      </c>
      <c r="N571" s="220">
        <v>1.0</v>
      </c>
      <c r="O571" s="220">
        <v>-1080.0</v>
      </c>
      <c r="P571" s="220">
        <v>1110.0</v>
      </c>
      <c r="Q571" s="238">
        <v>46255.0</v>
      </c>
      <c r="R571" s="196" t="s">
        <v>1997</v>
      </c>
      <c r="S571" s="45"/>
      <c r="T571" s="220">
        <v>185.0</v>
      </c>
      <c r="U571" s="198"/>
    </row>
    <row r="572" ht="22.5" customHeight="1">
      <c r="A572" s="250" t="s">
        <v>1930</v>
      </c>
      <c r="B572" s="212" t="s">
        <v>194</v>
      </c>
      <c r="C572" s="213" t="s">
        <v>136</v>
      </c>
      <c r="D572" s="214" t="s">
        <v>1782</v>
      </c>
      <c r="E572" s="212" t="s">
        <v>15</v>
      </c>
      <c r="F572" s="215">
        <v>3.0</v>
      </c>
      <c r="G572" s="210"/>
      <c r="H572" s="216">
        <v>100.0</v>
      </c>
      <c r="I572" s="216">
        <v>225.0</v>
      </c>
      <c r="J572" s="216">
        <v>6000.0</v>
      </c>
      <c r="K572" s="216">
        <v>6000.0</v>
      </c>
      <c r="L572" s="217">
        <v>46164.0</v>
      </c>
      <c r="M572" s="217">
        <v>46195.0</v>
      </c>
      <c r="N572" s="215">
        <v>0.0</v>
      </c>
      <c r="O572" s="215">
        <v>-1067.0</v>
      </c>
      <c r="P572" s="215">
        <v>1097.0</v>
      </c>
      <c r="Q572" s="203"/>
      <c r="R572" s="218" t="s">
        <v>1998</v>
      </c>
      <c r="S572" s="186"/>
      <c r="T572" s="215">
        <v>186.0</v>
      </c>
      <c r="U572" s="204"/>
    </row>
    <row r="573" ht="22.5" customHeight="1">
      <c r="A573" s="205"/>
      <c r="B573" s="193" t="s">
        <v>263</v>
      </c>
      <c r="C573" s="226" t="s">
        <v>136</v>
      </c>
      <c r="D573" s="194" t="s">
        <v>1394</v>
      </c>
      <c r="E573" s="193" t="s">
        <v>15</v>
      </c>
      <c r="F573" s="220">
        <v>5.0</v>
      </c>
      <c r="G573" s="150"/>
      <c r="H573" s="222">
        <v>100.0</v>
      </c>
      <c r="I573" s="222">
        <v>500.0</v>
      </c>
      <c r="J573" s="222">
        <v>10000.0</v>
      </c>
      <c r="K573" s="222">
        <v>0.0</v>
      </c>
      <c r="L573" s="223">
        <v>46143.0</v>
      </c>
      <c r="M573" s="208"/>
      <c r="N573" s="220">
        <v>1.0</v>
      </c>
      <c r="O573" s="150"/>
      <c r="P573" s="220">
        <v>30.0</v>
      </c>
      <c r="Q573" s="209"/>
      <c r="R573" s="196" t="s">
        <v>1999</v>
      </c>
      <c r="S573" s="45"/>
      <c r="T573" s="220">
        <v>187.0</v>
      </c>
      <c r="U573" s="198"/>
    </row>
    <row r="574" ht="22.5" customHeight="1">
      <c r="A574" s="199"/>
      <c r="B574" s="212" t="s">
        <v>249</v>
      </c>
      <c r="C574" s="213" t="s">
        <v>136</v>
      </c>
      <c r="D574" s="214" t="s">
        <v>1782</v>
      </c>
      <c r="E574" s="212" t="s">
        <v>15</v>
      </c>
      <c r="F574" s="215">
        <v>3.0</v>
      </c>
      <c r="G574" s="210"/>
      <c r="H574" s="216">
        <v>130.0</v>
      </c>
      <c r="I574" s="216">
        <v>300.0</v>
      </c>
      <c r="J574" s="216">
        <v>6000.0</v>
      </c>
      <c r="K574" s="216">
        <v>0.0</v>
      </c>
      <c r="L574" s="217">
        <v>46153.0</v>
      </c>
      <c r="M574" s="217">
        <v>46184.0</v>
      </c>
      <c r="N574" s="215">
        <v>1.0</v>
      </c>
      <c r="O574" s="215">
        <v>-1078.0</v>
      </c>
      <c r="P574" s="215">
        <v>1108.0</v>
      </c>
      <c r="Q574" s="203"/>
      <c r="R574" s="218" t="s">
        <v>2000</v>
      </c>
      <c r="S574" s="186"/>
      <c r="T574" s="215">
        <v>188.0</v>
      </c>
      <c r="U574" s="204"/>
    </row>
    <row r="575" ht="22.5" customHeight="1">
      <c r="A575" s="205"/>
      <c r="B575" s="193" t="s">
        <v>215</v>
      </c>
      <c r="C575" s="226" t="s">
        <v>136</v>
      </c>
      <c r="D575" s="194" t="s">
        <v>1760</v>
      </c>
      <c r="E575" s="193" t="s">
        <v>15</v>
      </c>
      <c r="F575" s="220">
        <v>6.0</v>
      </c>
      <c r="G575" s="221"/>
      <c r="H575" s="222">
        <v>120.0</v>
      </c>
      <c r="I575" s="222">
        <v>600.0</v>
      </c>
      <c r="J575" s="222">
        <v>12000.0</v>
      </c>
      <c r="K575" s="222">
        <v>0.0</v>
      </c>
      <c r="L575" s="223">
        <v>46151.0</v>
      </c>
      <c r="M575" s="223">
        <v>46182.0</v>
      </c>
      <c r="N575" s="220">
        <v>1.0</v>
      </c>
      <c r="O575" s="220">
        <v>-1080.0</v>
      </c>
      <c r="P575" s="220">
        <v>1110.0</v>
      </c>
      <c r="Q575" s="209"/>
      <c r="R575" s="196" t="s">
        <v>2001</v>
      </c>
      <c r="S575" s="45"/>
      <c r="T575" s="220">
        <v>189.0</v>
      </c>
      <c r="U575" s="198"/>
    </row>
    <row r="576" ht="22.5" customHeight="1">
      <c r="A576" s="211" t="s">
        <v>2002</v>
      </c>
      <c r="B576" s="212" t="s">
        <v>192</v>
      </c>
      <c r="C576" s="213" t="s">
        <v>136</v>
      </c>
      <c r="D576" s="214" t="s">
        <v>1850</v>
      </c>
      <c r="E576" s="212" t="s">
        <v>17</v>
      </c>
      <c r="F576" s="215">
        <v>1.0</v>
      </c>
      <c r="G576" s="210"/>
      <c r="H576" s="216">
        <v>7500.0</v>
      </c>
      <c r="I576" s="216">
        <v>7500.0</v>
      </c>
      <c r="J576" s="216">
        <v>7500.0</v>
      </c>
      <c r="K576" s="237" t="s">
        <v>1909</v>
      </c>
      <c r="L576" s="217">
        <v>46150.0</v>
      </c>
      <c r="M576" s="217">
        <v>46181.0</v>
      </c>
      <c r="N576" s="215">
        <v>0.0</v>
      </c>
      <c r="O576" s="215">
        <v>-1081.0</v>
      </c>
      <c r="P576" s="215">
        <v>1111.0</v>
      </c>
      <c r="Q576" s="203"/>
      <c r="R576" s="218" t="s">
        <v>2003</v>
      </c>
      <c r="S576" s="186"/>
      <c r="T576" s="215">
        <v>190.0</v>
      </c>
      <c r="U576" s="204"/>
    </row>
    <row r="577" ht="22.5" customHeight="1">
      <c r="A577" s="205"/>
      <c r="B577" s="193" t="s">
        <v>142</v>
      </c>
      <c r="C577" s="226" t="s">
        <v>136</v>
      </c>
      <c r="D577" s="194" t="s">
        <v>1782</v>
      </c>
      <c r="E577" s="193" t="s">
        <v>15</v>
      </c>
      <c r="F577" s="220">
        <v>3.0</v>
      </c>
      <c r="G577" s="221"/>
      <c r="H577" s="222">
        <v>120.0</v>
      </c>
      <c r="I577" s="222">
        <v>300.0</v>
      </c>
      <c r="J577" s="222">
        <v>6000.0</v>
      </c>
      <c r="K577" s="222">
        <v>0.0</v>
      </c>
      <c r="L577" s="223">
        <v>46144.0</v>
      </c>
      <c r="M577" s="223">
        <v>46175.0</v>
      </c>
      <c r="N577" s="220">
        <v>1.0</v>
      </c>
      <c r="O577" s="220">
        <v>-1087.0</v>
      </c>
      <c r="P577" s="220">
        <v>1117.0</v>
      </c>
      <c r="Q577" s="209"/>
      <c r="R577" s="196" t="s">
        <v>2004</v>
      </c>
      <c r="S577" s="45"/>
      <c r="T577" s="220">
        <v>191.0</v>
      </c>
      <c r="U577" s="198"/>
    </row>
    <row r="578" ht="22.5" customHeight="1">
      <c r="A578" s="199"/>
      <c r="B578" s="212" t="s">
        <v>207</v>
      </c>
      <c r="C578" s="213" t="s">
        <v>136</v>
      </c>
      <c r="D578" s="214" t="s">
        <v>1983</v>
      </c>
      <c r="E578" s="214" t="s">
        <v>17</v>
      </c>
      <c r="F578" s="215">
        <v>2.0</v>
      </c>
      <c r="G578" s="147"/>
      <c r="H578" s="216">
        <v>1350.0</v>
      </c>
      <c r="I578" s="216">
        <v>2700.0</v>
      </c>
      <c r="J578" s="216">
        <v>2700.0</v>
      </c>
      <c r="K578" s="216">
        <v>0.0</v>
      </c>
      <c r="L578" s="217">
        <v>46129.0</v>
      </c>
      <c r="M578" s="217">
        <v>46159.0</v>
      </c>
      <c r="N578" s="215">
        <v>1.0</v>
      </c>
      <c r="O578" s="215">
        <v>-1103.0</v>
      </c>
      <c r="P578" s="215">
        <v>1133.0</v>
      </c>
      <c r="Q578" s="203"/>
      <c r="R578" s="218" t="s">
        <v>2005</v>
      </c>
      <c r="S578" s="186"/>
      <c r="T578" s="215">
        <v>157.0</v>
      </c>
      <c r="U578" s="204"/>
    </row>
    <row r="579" ht="22.5" customHeight="1">
      <c r="A579" s="192">
        <v>1.0</v>
      </c>
      <c r="B579" s="193" t="s">
        <v>241</v>
      </c>
      <c r="C579" s="226" t="s">
        <v>136</v>
      </c>
      <c r="D579" s="194" t="s">
        <v>1782</v>
      </c>
      <c r="E579" s="193" t="s">
        <v>15</v>
      </c>
      <c r="F579" s="220">
        <v>3.0</v>
      </c>
      <c r="G579" s="150"/>
      <c r="H579" s="222">
        <v>250.0</v>
      </c>
      <c r="I579" s="222">
        <v>750.0</v>
      </c>
      <c r="J579" s="222">
        <v>15000.0</v>
      </c>
      <c r="K579" s="222">
        <v>0.0</v>
      </c>
      <c r="L579" s="223">
        <v>46122.0</v>
      </c>
      <c r="M579" s="223">
        <v>46152.0</v>
      </c>
      <c r="N579" s="220">
        <v>1.0</v>
      </c>
      <c r="O579" s="220">
        <v>-1110.0</v>
      </c>
      <c r="P579" s="220">
        <v>1140.0</v>
      </c>
      <c r="Q579" s="209"/>
      <c r="R579" s="196" t="s">
        <v>2006</v>
      </c>
      <c r="S579" s="45"/>
      <c r="T579" s="220">
        <v>158.0</v>
      </c>
      <c r="U579" s="198"/>
    </row>
    <row r="580" ht="22.5" customHeight="1">
      <c r="A580" s="211" t="s">
        <v>263</v>
      </c>
      <c r="B580" s="212" t="s">
        <v>265</v>
      </c>
      <c r="C580" s="213" t="s">
        <v>136</v>
      </c>
      <c r="D580" s="214" t="s">
        <v>1988</v>
      </c>
      <c r="E580" s="212" t="s">
        <v>17</v>
      </c>
      <c r="F580" s="215">
        <v>4.0</v>
      </c>
      <c r="G580" s="147"/>
      <c r="H580" s="216">
        <v>2000.0</v>
      </c>
      <c r="I580" s="216">
        <v>8333.0</v>
      </c>
      <c r="J580" s="216">
        <v>24999.0</v>
      </c>
      <c r="K580" s="216">
        <v>0.0</v>
      </c>
      <c r="L580" s="217">
        <v>46120.0</v>
      </c>
      <c r="M580" s="217">
        <v>46150.0</v>
      </c>
      <c r="N580" s="215">
        <v>1.0</v>
      </c>
      <c r="O580" s="215">
        <v>-1112.0</v>
      </c>
      <c r="P580" s="215">
        <v>1142.0</v>
      </c>
      <c r="Q580" s="203"/>
      <c r="R580" s="218" t="s">
        <v>2007</v>
      </c>
      <c r="S580" s="186"/>
      <c r="T580" s="215">
        <v>159.0</v>
      </c>
      <c r="U580" s="204"/>
    </row>
    <row r="581" ht="22.5" customHeight="1">
      <c r="A581" s="205"/>
      <c r="B581" s="193" t="s">
        <v>219</v>
      </c>
      <c r="C581" s="226" t="s">
        <v>136</v>
      </c>
      <c r="D581" s="194" t="s">
        <v>1760</v>
      </c>
      <c r="E581" s="193" t="s">
        <v>15</v>
      </c>
      <c r="F581" s="220">
        <v>5.0</v>
      </c>
      <c r="G581" s="150"/>
      <c r="H581" s="222">
        <v>100.0</v>
      </c>
      <c r="I581" s="222">
        <v>250.0</v>
      </c>
      <c r="J581" s="222">
        <v>5000.0</v>
      </c>
      <c r="K581" s="222">
        <v>0.0</v>
      </c>
      <c r="L581" s="223">
        <v>46128.0</v>
      </c>
      <c r="M581" s="223">
        <v>46158.0</v>
      </c>
      <c r="N581" s="220">
        <v>1.0</v>
      </c>
      <c r="O581" s="220">
        <v>-1104.0</v>
      </c>
      <c r="P581" s="220">
        <v>1134.0</v>
      </c>
      <c r="Q581" s="209"/>
      <c r="R581" s="196" t="s">
        <v>2008</v>
      </c>
      <c r="S581" s="45"/>
      <c r="T581" s="220">
        <v>160.0</v>
      </c>
      <c r="U581" s="198"/>
    </row>
    <row r="582" ht="22.5" customHeight="1">
      <c r="A582" s="199"/>
      <c r="B582" s="212" t="s">
        <v>273</v>
      </c>
      <c r="C582" s="213" t="s">
        <v>136</v>
      </c>
      <c r="D582" s="214" t="s">
        <v>1788</v>
      </c>
      <c r="E582" s="212" t="s">
        <v>17</v>
      </c>
      <c r="F582" s="215">
        <v>3.0</v>
      </c>
      <c r="G582" s="210"/>
      <c r="H582" s="216">
        <v>1500.0</v>
      </c>
      <c r="I582" s="216">
        <v>4500.0</v>
      </c>
      <c r="J582" s="216">
        <v>4500.0</v>
      </c>
      <c r="K582" s="216">
        <v>0.0</v>
      </c>
      <c r="L582" s="217">
        <v>46113.0</v>
      </c>
      <c r="M582" s="217">
        <v>46143.0</v>
      </c>
      <c r="N582" s="215">
        <v>1.0</v>
      </c>
      <c r="O582" s="215">
        <v>-1119.0</v>
      </c>
      <c r="P582" s="215">
        <v>1149.0</v>
      </c>
      <c r="Q582" s="203"/>
      <c r="R582" s="218" t="s">
        <v>2009</v>
      </c>
      <c r="S582" s="186"/>
      <c r="T582" s="215">
        <v>161.0</v>
      </c>
      <c r="U582" s="204"/>
    </row>
    <row r="583" ht="22.5" customHeight="1">
      <c r="A583" s="205"/>
      <c r="B583" s="193" t="s">
        <v>217</v>
      </c>
      <c r="C583" s="226" t="s">
        <v>136</v>
      </c>
      <c r="D583" s="194" t="s">
        <v>1760</v>
      </c>
      <c r="E583" s="193" t="s">
        <v>15</v>
      </c>
      <c r="F583" s="220">
        <v>5.0</v>
      </c>
      <c r="G583" s="150"/>
      <c r="H583" s="222">
        <v>100.0</v>
      </c>
      <c r="I583" s="222">
        <v>500.0</v>
      </c>
      <c r="J583" s="222">
        <v>10000.0</v>
      </c>
      <c r="K583" s="222">
        <v>0.0</v>
      </c>
      <c r="L583" s="223">
        <v>46121.0</v>
      </c>
      <c r="M583" s="223">
        <v>46151.0</v>
      </c>
      <c r="N583" s="220">
        <v>1.0</v>
      </c>
      <c r="O583" s="220">
        <v>-1111.0</v>
      </c>
      <c r="P583" s="220">
        <v>1141.0</v>
      </c>
      <c r="Q583" s="209"/>
      <c r="R583" s="196" t="s">
        <v>2010</v>
      </c>
      <c r="S583" s="45"/>
      <c r="T583" s="220">
        <v>162.0</v>
      </c>
      <c r="U583" s="198"/>
    </row>
    <row r="584" ht="22.5" customHeight="1">
      <c r="A584" s="199"/>
      <c r="B584" s="212" t="s">
        <v>267</v>
      </c>
      <c r="C584" s="213" t="s">
        <v>136</v>
      </c>
      <c r="D584" s="214" t="s">
        <v>1653</v>
      </c>
      <c r="E584" s="212" t="s">
        <v>15</v>
      </c>
      <c r="F584" s="215">
        <v>1.0</v>
      </c>
      <c r="G584" s="147"/>
      <c r="H584" s="216">
        <v>250.0</v>
      </c>
      <c r="I584" s="216">
        <v>250.0</v>
      </c>
      <c r="J584" s="216">
        <v>5000.0</v>
      </c>
      <c r="K584" s="216">
        <v>0.0</v>
      </c>
      <c r="L584" s="217">
        <v>46124.0</v>
      </c>
      <c r="M584" s="217">
        <v>46154.0</v>
      </c>
      <c r="N584" s="215">
        <v>1.0</v>
      </c>
      <c r="O584" s="215">
        <v>-1108.0</v>
      </c>
      <c r="P584" s="215">
        <v>1138.0</v>
      </c>
      <c r="Q584" s="232">
        <v>46255.0</v>
      </c>
      <c r="R584" s="218" t="s">
        <v>2011</v>
      </c>
      <c r="S584" s="186"/>
      <c r="T584" s="215">
        <v>163.0</v>
      </c>
      <c r="U584" s="204"/>
    </row>
    <row r="585" ht="22.5" customHeight="1">
      <c r="A585" s="205"/>
      <c r="B585" s="193" t="s">
        <v>223</v>
      </c>
      <c r="C585" s="226" t="s">
        <v>136</v>
      </c>
      <c r="D585" s="194" t="s">
        <v>1760</v>
      </c>
      <c r="E585" s="193" t="s">
        <v>15</v>
      </c>
      <c r="F585" s="220">
        <v>5.0</v>
      </c>
      <c r="G585" s="150"/>
      <c r="H585" s="222">
        <v>100.0</v>
      </c>
      <c r="I585" s="222">
        <v>500.0</v>
      </c>
      <c r="J585" s="222">
        <v>10000.0</v>
      </c>
      <c r="K585" s="222">
        <v>10000.0</v>
      </c>
      <c r="L585" s="223">
        <v>46136.0</v>
      </c>
      <c r="M585" s="223">
        <v>46166.0</v>
      </c>
      <c r="N585" s="220">
        <v>0.0</v>
      </c>
      <c r="O585" s="220">
        <v>-1096.0</v>
      </c>
      <c r="P585" s="220">
        <v>1126.0</v>
      </c>
      <c r="Q585" s="209"/>
      <c r="R585" s="196" t="s">
        <v>2012</v>
      </c>
      <c r="S585" s="45"/>
      <c r="T585" s="220">
        <v>164.0</v>
      </c>
      <c r="U585" s="198"/>
    </row>
    <row r="586" ht="22.5" customHeight="1">
      <c r="A586" s="211">
        <v>1.0</v>
      </c>
      <c r="B586" s="212" t="s">
        <v>261</v>
      </c>
      <c r="C586" s="213" t="s">
        <v>136</v>
      </c>
      <c r="D586" s="214" t="s">
        <v>2013</v>
      </c>
      <c r="E586" s="212" t="s">
        <v>15</v>
      </c>
      <c r="F586" s="215">
        <v>3.0</v>
      </c>
      <c r="G586" s="147"/>
      <c r="H586" s="216">
        <v>250.0</v>
      </c>
      <c r="I586" s="216">
        <v>750.0</v>
      </c>
      <c r="J586" s="216">
        <v>15000.0</v>
      </c>
      <c r="K586" s="216">
        <v>0.0</v>
      </c>
      <c r="L586" s="217">
        <v>46116.0</v>
      </c>
      <c r="M586" s="217">
        <v>46146.0</v>
      </c>
      <c r="N586" s="215">
        <v>1.0</v>
      </c>
      <c r="O586" s="215">
        <v>-1116.0</v>
      </c>
      <c r="P586" s="215">
        <v>1146.0</v>
      </c>
      <c r="Q586" s="203"/>
      <c r="R586" s="218" t="s">
        <v>2014</v>
      </c>
      <c r="S586" s="186"/>
      <c r="T586" s="215">
        <v>165.0</v>
      </c>
      <c r="U586" s="204"/>
    </row>
    <row r="587" ht="22.5" customHeight="1">
      <c r="A587" s="205"/>
      <c r="B587" s="193" t="s">
        <v>259</v>
      </c>
      <c r="C587" s="226" t="s">
        <v>136</v>
      </c>
      <c r="D587" s="194" t="s">
        <v>1760</v>
      </c>
      <c r="E587" s="193" t="s">
        <v>15</v>
      </c>
      <c r="F587" s="220">
        <v>5.0</v>
      </c>
      <c r="G587" s="150"/>
      <c r="H587" s="222">
        <v>100.0</v>
      </c>
      <c r="I587" s="222">
        <v>500.0</v>
      </c>
      <c r="J587" s="222">
        <v>10000.0</v>
      </c>
      <c r="K587" s="222">
        <v>0.0</v>
      </c>
      <c r="L587" s="223">
        <v>46121.0</v>
      </c>
      <c r="M587" s="223">
        <v>46151.0</v>
      </c>
      <c r="N587" s="220">
        <v>1.0</v>
      </c>
      <c r="O587" s="220">
        <v>-1111.0</v>
      </c>
      <c r="P587" s="220">
        <v>1141.0</v>
      </c>
      <c r="Q587" s="209"/>
      <c r="R587" s="196" t="s">
        <v>2015</v>
      </c>
      <c r="S587" s="45"/>
      <c r="T587" s="220">
        <v>166.0</v>
      </c>
      <c r="U587" s="198"/>
    </row>
    <row r="588" ht="22.5" customHeight="1">
      <c r="A588" s="211">
        <v>1.0</v>
      </c>
      <c r="B588" s="212" t="s">
        <v>194</v>
      </c>
      <c r="C588" s="213" t="s">
        <v>136</v>
      </c>
      <c r="D588" s="214" t="s">
        <v>1760</v>
      </c>
      <c r="E588" s="212" t="s">
        <v>15</v>
      </c>
      <c r="F588" s="215">
        <v>3.0</v>
      </c>
      <c r="G588" s="147"/>
      <c r="H588" s="216">
        <v>100.0</v>
      </c>
      <c r="I588" s="216">
        <v>300.0</v>
      </c>
      <c r="J588" s="216">
        <v>6000.0</v>
      </c>
      <c r="K588" s="216">
        <v>6000.0</v>
      </c>
      <c r="L588" s="217">
        <v>46134.0</v>
      </c>
      <c r="M588" s="217">
        <v>46164.0</v>
      </c>
      <c r="N588" s="215">
        <v>0.0</v>
      </c>
      <c r="O588" s="215">
        <v>-1098.0</v>
      </c>
      <c r="P588" s="215">
        <v>1128.0</v>
      </c>
      <c r="Q588" s="203"/>
      <c r="R588" s="218" t="s">
        <v>2016</v>
      </c>
      <c r="S588" s="186"/>
      <c r="T588" s="215">
        <v>167.0</v>
      </c>
      <c r="U588" s="204"/>
    </row>
    <row r="589" ht="22.5" customHeight="1">
      <c r="A589" s="205"/>
      <c r="B589" s="193" t="s">
        <v>243</v>
      </c>
      <c r="C589" s="226" t="s">
        <v>136</v>
      </c>
      <c r="D589" s="194" t="s">
        <v>1782</v>
      </c>
      <c r="E589" s="193" t="s">
        <v>15</v>
      </c>
      <c r="F589" s="220">
        <v>3.0</v>
      </c>
      <c r="G589" s="150"/>
      <c r="H589" s="222">
        <v>130.0</v>
      </c>
      <c r="I589" s="222">
        <v>390.0</v>
      </c>
      <c r="J589" s="222">
        <v>7800.0</v>
      </c>
      <c r="K589" s="222">
        <v>0.0</v>
      </c>
      <c r="L589" s="223">
        <v>46128.0</v>
      </c>
      <c r="M589" s="223">
        <v>46158.0</v>
      </c>
      <c r="N589" s="220">
        <v>1.0</v>
      </c>
      <c r="O589" s="220">
        <v>-1104.0</v>
      </c>
      <c r="P589" s="220">
        <v>1134.0</v>
      </c>
      <c r="Q589" s="209"/>
      <c r="R589" s="196" t="s">
        <v>2017</v>
      </c>
      <c r="S589" s="45"/>
      <c r="T589" s="220">
        <v>168.0</v>
      </c>
      <c r="U589" s="198"/>
    </row>
    <row r="590" ht="22.5" customHeight="1">
      <c r="A590" s="199"/>
      <c r="B590" s="212" t="s">
        <v>271</v>
      </c>
      <c r="C590" s="231" t="s">
        <v>684</v>
      </c>
      <c r="D590" s="214" t="s">
        <v>2018</v>
      </c>
      <c r="E590" s="212" t="s">
        <v>15</v>
      </c>
      <c r="F590" s="215">
        <v>4.0</v>
      </c>
      <c r="G590" s="210"/>
      <c r="H590" s="216">
        <v>100.0</v>
      </c>
      <c r="I590" s="216">
        <v>400.0</v>
      </c>
      <c r="J590" s="201"/>
      <c r="K590" s="201"/>
      <c r="L590" s="217">
        <v>46128.0</v>
      </c>
      <c r="M590" s="217">
        <v>46158.0</v>
      </c>
      <c r="N590" s="147"/>
      <c r="O590" s="215">
        <v>-1104.0</v>
      </c>
      <c r="P590" s="215">
        <v>1134.0</v>
      </c>
      <c r="Q590" s="232">
        <v>46255.0</v>
      </c>
      <c r="R590" s="218" t="s">
        <v>2019</v>
      </c>
      <c r="S590" s="186"/>
      <c r="T590" s="215">
        <v>169.0</v>
      </c>
      <c r="U590" s="204"/>
    </row>
    <row r="591" ht="22.5" customHeight="1">
      <c r="A591" s="205"/>
      <c r="B591" s="193" t="s">
        <v>275</v>
      </c>
      <c r="C591" s="226" t="s">
        <v>136</v>
      </c>
      <c r="D591" s="194" t="s">
        <v>1788</v>
      </c>
      <c r="E591" s="193" t="s">
        <v>17</v>
      </c>
      <c r="F591" s="220">
        <v>3.0</v>
      </c>
      <c r="G591" s="221"/>
      <c r="H591" s="222">
        <v>1500.0</v>
      </c>
      <c r="I591" s="222">
        <v>4500.0</v>
      </c>
      <c r="J591" s="222">
        <v>4500.0</v>
      </c>
      <c r="K591" s="222">
        <v>0.0</v>
      </c>
      <c r="L591" s="223">
        <v>46120.0</v>
      </c>
      <c r="M591" s="223">
        <v>46150.0</v>
      </c>
      <c r="N591" s="220">
        <v>1.0</v>
      </c>
      <c r="O591" s="220">
        <v>-1112.0</v>
      </c>
      <c r="P591" s="220">
        <v>1142.0</v>
      </c>
      <c r="Q591" s="209"/>
      <c r="R591" s="196" t="s">
        <v>2020</v>
      </c>
      <c r="S591" s="45"/>
      <c r="T591" s="220">
        <v>170.0</v>
      </c>
      <c r="U591" s="198"/>
    </row>
    <row r="592" ht="22.5" customHeight="1">
      <c r="A592" s="211" t="s">
        <v>2021</v>
      </c>
      <c r="B592" s="212" t="s">
        <v>263</v>
      </c>
      <c r="C592" s="213" t="s">
        <v>136</v>
      </c>
      <c r="D592" s="214" t="s">
        <v>1394</v>
      </c>
      <c r="E592" s="212" t="s">
        <v>15</v>
      </c>
      <c r="F592" s="215">
        <v>3.0</v>
      </c>
      <c r="G592" s="147"/>
      <c r="H592" s="216">
        <v>100.0</v>
      </c>
      <c r="I592" s="216">
        <v>300.0</v>
      </c>
      <c r="J592" s="216">
        <v>6000.0</v>
      </c>
      <c r="K592" s="216">
        <v>0.0</v>
      </c>
      <c r="L592" s="217">
        <v>46113.0</v>
      </c>
      <c r="M592" s="217">
        <v>46143.0</v>
      </c>
      <c r="N592" s="215">
        <v>1.0</v>
      </c>
      <c r="O592" s="215">
        <v>-1119.0</v>
      </c>
      <c r="P592" s="215">
        <v>1149.0</v>
      </c>
      <c r="Q592" s="203"/>
      <c r="R592" s="218" t="s">
        <v>2022</v>
      </c>
      <c r="S592" s="186"/>
      <c r="T592" s="215">
        <v>171.0</v>
      </c>
      <c r="U592" s="204"/>
    </row>
    <row r="593" ht="22.5" customHeight="1">
      <c r="A593" s="205"/>
      <c r="B593" s="193" t="s">
        <v>215</v>
      </c>
      <c r="C593" s="226" t="s">
        <v>136</v>
      </c>
      <c r="D593" s="194" t="s">
        <v>1760</v>
      </c>
      <c r="E593" s="193" t="s">
        <v>15</v>
      </c>
      <c r="F593" s="220">
        <v>6.0</v>
      </c>
      <c r="G593" s="150"/>
      <c r="H593" s="222">
        <v>120.0</v>
      </c>
      <c r="I593" s="222">
        <v>600.0</v>
      </c>
      <c r="J593" s="222">
        <v>12000.0</v>
      </c>
      <c r="K593" s="222">
        <v>0.0</v>
      </c>
      <c r="L593" s="223">
        <v>46121.0</v>
      </c>
      <c r="M593" s="223">
        <v>46151.0</v>
      </c>
      <c r="N593" s="220">
        <v>1.0</v>
      </c>
      <c r="O593" s="220">
        <v>-1111.0</v>
      </c>
      <c r="P593" s="220">
        <v>1141.0</v>
      </c>
      <c r="Q593" s="209"/>
      <c r="R593" s="196" t="s">
        <v>2023</v>
      </c>
      <c r="S593" s="45"/>
      <c r="T593" s="220">
        <v>172.0</v>
      </c>
      <c r="U593" s="198"/>
    </row>
    <row r="594" ht="22.5" customHeight="1">
      <c r="A594" s="199"/>
      <c r="B594" s="212" t="s">
        <v>269</v>
      </c>
      <c r="C594" s="213" t="s">
        <v>136</v>
      </c>
      <c r="D594" s="214" t="s">
        <v>1760</v>
      </c>
      <c r="E594" s="212" t="s">
        <v>15</v>
      </c>
      <c r="F594" s="215">
        <v>3.0</v>
      </c>
      <c r="G594" s="210"/>
      <c r="H594" s="216">
        <v>100.0</v>
      </c>
      <c r="I594" s="216">
        <v>300.0</v>
      </c>
      <c r="J594" s="216">
        <v>6000.0</v>
      </c>
      <c r="K594" s="216">
        <v>0.0</v>
      </c>
      <c r="L594" s="217">
        <v>46128.0</v>
      </c>
      <c r="M594" s="217">
        <v>46158.0</v>
      </c>
      <c r="N594" s="215">
        <v>1.0</v>
      </c>
      <c r="O594" s="215">
        <v>-1104.0</v>
      </c>
      <c r="P594" s="215">
        <v>1134.0</v>
      </c>
      <c r="Q594" s="203"/>
      <c r="R594" s="218" t="s">
        <v>2024</v>
      </c>
      <c r="S594" s="186"/>
      <c r="T594" s="215">
        <v>173.0</v>
      </c>
      <c r="U594" s="204"/>
    </row>
    <row r="595" ht="22.5" customHeight="1">
      <c r="A595" s="192">
        <v>1.0</v>
      </c>
      <c r="B595" s="193" t="s">
        <v>142</v>
      </c>
      <c r="C595" s="226" t="s">
        <v>136</v>
      </c>
      <c r="D595" s="194" t="s">
        <v>2018</v>
      </c>
      <c r="E595" s="193" t="s">
        <v>15</v>
      </c>
      <c r="F595" s="220">
        <v>4.0</v>
      </c>
      <c r="G595" s="150"/>
      <c r="H595" s="222">
        <v>120.0</v>
      </c>
      <c r="I595" s="222">
        <v>400.0</v>
      </c>
      <c r="J595" s="222">
        <v>8000.0</v>
      </c>
      <c r="K595" s="222">
        <v>0.0</v>
      </c>
      <c r="L595" s="223">
        <v>46114.0</v>
      </c>
      <c r="M595" s="223">
        <v>46144.0</v>
      </c>
      <c r="N595" s="220">
        <v>1.0</v>
      </c>
      <c r="O595" s="220">
        <v>-1118.0</v>
      </c>
      <c r="P595" s="220">
        <v>1148.0</v>
      </c>
      <c r="Q595" s="209"/>
      <c r="R595" s="196" t="s">
        <v>2025</v>
      </c>
      <c r="S595" s="45"/>
      <c r="T595" s="220">
        <v>174.0</v>
      </c>
      <c r="U595" s="198"/>
    </row>
    <row r="596" ht="22.5" customHeight="1">
      <c r="A596" s="211" t="s">
        <v>2027</v>
      </c>
      <c r="B596" s="212" t="s">
        <v>207</v>
      </c>
      <c r="C596" s="213" t="s">
        <v>136</v>
      </c>
      <c r="D596" s="214" t="s">
        <v>1983</v>
      </c>
      <c r="E596" s="214" t="s">
        <v>17</v>
      </c>
      <c r="F596" s="147"/>
      <c r="G596" s="147"/>
      <c r="H596" s="216">
        <v>1350.0</v>
      </c>
      <c r="I596" s="216">
        <v>2700.0</v>
      </c>
      <c r="J596" s="216">
        <v>2700.0</v>
      </c>
      <c r="K596" s="216">
        <v>0.0</v>
      </c>
      <c r="L596" s="217">
        <v>46098.0</v>
      </c>
      <c r="M596" s="217">
        <v>46129.0</v>
      </c>
      <c r="N596" s="215">
        <v>1.0</v>
      </c>
      <c r="O596" s="215">
        <v>-1133.0</v>
      </c>
      <c r="P596" s="215">
        <v>1163.0</v>
      </c>
      <c r="Q596" s="203"/>
      <c r="R596" s="218" t="s">
        <v>2028</v>
      </c>
      <c r="S596" s="186"/>
      <c r="T596" s="215">
        <v>136.0</v>
      </c>
      <c r="U596" s="204"/>
    </row>
    <row r="597" ht="22.5" customHeight="1">
      <c r="A597" s="205"/>
      <c r="B597" s="193" t="s">
        <v>257</v>
      </c>
      <c r="C597" s="226" t="s">
        <v>136</v>
      </c>
      <c r="D597" s="194" t="s">
        <v>1782</v>
      </c>
      <c r="E597" s="193" t="s">
        <v>15</v>
      </c>
      <c r="F597" s="150"/>
      <c r="G597" s="221"/>
      <c r="H597" s="222">
        <v>100.0</v>
      </c>
      <c r="I597" s="222">
        <v>300.0</v>
      </c>
      <c r="J597" s="222">
        <v>6000.0</v>
      </c>
      <c r="K597" s="222">
        <v>0.0</v>
      </c>
      <c r="L597" s="223">
        <v>46090.0</v>
      </c>
      <c r="M597" s="223">
        <v>46121.0</v>
      </c>
      <c r="N597" s="220">
        <v>1.0</v>
      </c>
      <c r="O597" s="220">
        <v>-1141.0</v>
      </c>
      <c r="P597" s="220">
        <v>1171.0</v>
      </c>
      <c r="Q597" s="209"/>
      <c r="R597" s="196" t="s">
        <v>2029</v>
      </c>
      <c r="S597" s="45"/>
      <c r="T597" s="220">
        <v>137.0</v>
      </c>
      <c r="U597" s="198"/>
    </row>
    <row r="598" ht="22.5" customHeight="1">
      <c r="A598" s="211">
        <v>1.0</v>
      </c>
      <c r="B598" s="212" t="s">
        <v>186</v>
      </c>
      <c r="C598" s="200"/>
      <c r="D598" s="214" t="s">
        <v>2030</v>
      </c>
      <c r="E598" s="214" t="s">
        <v>187</v>
      </c>
      <c r="F598" s="147"/>
      <c r="G598" s="210"/>
      <c r="H598" s="237" t="s">
        <v>2031</v>
      </c>
      <c r="I598" s="216">
        <v>2000.0</v>
      </c>
      <c r="J598" s="201"/>
      <c r="K598" s="201"/>
      <c r="L598" s="217">
        <v>46091.0</v>
      </c>
      <c r="M598" s="217">
        <v>46122.0</v>
      </c>
      <c r="N598" s="147"/>
      <c r="O598" s="215">
        <v>-1140.0</v>
      </c>
      <c r="P598" s="215">
        <v>1170.0</v>
      </c>
      <c r="Q598" s="232">
        <v>46255.0</v>
      </c>
      <c r="R598" s="218" t="s">
        <v>2032</v>
      </c>
      <c r="S598" s="186"/>
      <c r="T598" s="215">
        <v>138.0</v>
      </c>
      <c r="U598" s="204"/>
    </row>
    <row r="599" ht="22.5" customHeight="1">
      <c r="A599" s="192">
        <v>1.0</v>
      </c>
      <c r="B599" s="193" t="s">
        <v>241</v>
      </c>
      <c r="C599" s="226" t="s">
        <v>136</v>
      </c>
      <c r="D599" s="194" t="s">
        <v>1711</v>
      </c>
      <c r="E599" s="193" t="s">
        <v>15</v>
      </c>
      <c r="F599" s="220">
        <v>3.0</v>
      </c>
      <c r="G599" s="221"/>
      <c r="H599" s="222">
        <v>250.0</v>
      </c>
      <c r="I599" s="222">
        <v>1000.0</v>
      </c>
      <c r="J599" s="222">
        <v>20000.0</v>
      </c>
      <c r="K599" s="222">
        <v>0.0</v>
      </c>
      <c r="L599" s="223">
        <v>46091.0</v>
      </c>
      <c r="M599" s="223">
        <v>46122.0</v>
      </c>
      <c r="N599" s="220">
        <v>1.0</v>
      </c>
      <c r="O599" s="220">
        <v>-1140.0</v>
      </c>
      <c r="P599" s="220">
        <v>1170.0</v>
      </c>
      <c r="Q599" s="209"/>
      <c r="R599" s="196" t="s">
        <v>2033</v>
      </c>
      <c r="S599" s="45"/>
      <c r="T599" s="220">
        <v>139.0</v>
      </c>
      <c r="U599" s="198"/>
    </row>
    <row r="600" ht="22.5" customHeight="1">
      <c r="A600" s="199"/>
      <c r="B600" s="212" t="s">
        <v>265</v>
      </c>
      <c r="C600" s="213" t="s">
        <v>136</v>
      </c>
      <c r="D600" s="214" t="s">
        <v>1988</v>
      </c>
      <c r="E600" s="212" t="s">
        <v>17</v>
      </c>
      <c r="F600" s="215">
        <v>4.0</v>
      </c>
      <c r="G600" s="210"/>
      <c r="H600" s="216">
        <v>2000.0</v>
      </c>
      <c r="I600" s="216">
        <v>8333.0</v>
      </c>
      <c r="J600" s="216">
        <v>8333.0</v>
      </c>
      <c r="K600" s="216">
        <v>0.0</v>
      </c>
      <c r="L600" s="217">
        <v>46089.0</v>
      </c>
      <c r="M600" s="217">
        <v>46120.0</v>
      </c>
      <c r="N600" s="215">
        <v>1.0</v>
      </c>
      <c r="O600" s="215">
        <v>-1142.0</v>
      </c>
      <c r="P600" s="215">
        <v>1172.0</v>
      </c>
      <c r="Q600" s="203"/>
      <c r="R600" s="218" t="s">
        <v>2034</v>
      </c>
      <c r="S600" s="186"/>
      <c r="T600" s="215">
        <v>140.0</v>
      </c>
      <c r="U600" s="204"/>
    </row>
    <row r="601" ht="22.5" customHeight="1">
      <c r="A601" s="205"/>
      <c r="B601" s="193" t="s">
        <v>219</v>
      </c>
      <c r="C601" s="226" t="s">
        <v>136</v>
      </c>
      <c r="D601" s="194" t="s">
        <v>2035</v>
      </c>
      <c r="E601" s="193" t="s">
        <v>15</v>
      </c>
      <c r="F601" s="220">
        <v>5.0</v>
      </c>
      <c r="G601" s="220">
        <v>50.0</v>
      </c>
      <c r="H601" s="222">
        <v>100.0</v>
      </c>
      <c r="I601" s="222">
        <v>250.0</v>
      </c>
      <c r="J601" s="222">
        <v>5000.0</v>
      </c>
      <c r="K601" s="222">
        <v>0.0</v>
      </c>
      <c r="L601" s="223">
        <v>46097.0</v>
      </c>
      <c r="M601" s="223">
        <v>46128.0</v>
      </c>
      <c r="N601" s="220">
        <v>1.0</v>
      </c>
      <c r="O601" s="220">
        <v>-1134.0</v>
      </c>
      <c r="P601" s="220">
        <v>1164.0</v>
      </c>
      <c r="Q601" s="209"/>
      <c r="R601" s="196" t="s">
        <v>2036</v>
      </c>
      <c r="S601" s="45"/>
      <c r="T601" s="220">
        <v>141.0</v>
      </c>
      <c r="U601" s="198"/>
    </row>
    <row r="602" ht="22.5" customHeight="1">
      <c r="A602" s="199"/>
      <c r="B602" s="212" t="s">
        <v>245</v>
      </c>
      <c r="C602" s="231" t="s">
        <v>684</v>
      </c>
      <c r="D602" s="214" t="s">
        <v>1472</v>
      </c>
      <c r="E602" s="212" t="s">
        <v>15</v>
      </c>
      <c r="F602" s="215">
        <v>1.0</v>
      </c>
      <c r="G602" s="210"/>
      <c r="H602" s="216">
        <v>130.0</v>
      </c>
      <c r="I602" s="216">
        <v>130.0</v>
      </c>
      <c r="J602" s="201"/>
      <c r="K602" s="201"/>
      <c r="L602" s="217">
        <v>46084.0</v>
      </c>
      <c r="M602" s="217">
        <v>46115.0</v>
      </c>
      <c r="N602" s="147"/>
      <c r="O602" s="215">
        <v>-1147.0</v>
      </c>
      <c r="P602" s="215">
        <v>1177.0</v>
      </c>
      <c r="Q602" s="203"/>
      <c r="R602" s="218" t="s">
        <v>2037</v>
      </c>
      <c r="S602" s="186"/>
      <c r="T602" s="215">
        <v>142.0</v>
      </c>
      <c r="U602" s="204"/>
    </row>
    <row r="603" ht="22.5" customHeight="1">
      <c r="A603" s="205"/>
      <c r="B603" s="193" t="s">
        <v>217</v>
      </c>
      <c r="C603" s="226" t="s">
        <v>136</v>
      </c>
      <c r="D603" s="194" t="s">
        <v>2035</v>
      </c>
      <c r="E603" s="193" t="s">
        <v>15</v>
      </c>
      <c r="F603" s="220">
        <v>5.0</v>
      </c>
      <c r="G603" s="150"/>
      <c r="H603" s="222">
        <v>100.0</v>
      </c>
      <c r="I603" s="222">
        <v>500.0</v>
      </c>
      <c r="J603" s="222">
        <v>10000.0</v>
      </c>
      <c r="K603" s="222">
        <v>0.0</v>
      </c>
      <c r="L603" s="223">
        <v>46090.0</v>
      </c>
      <c r="M603" s="223">
        <v>46121.0</v>
      </c>
      <c r="N603" s="220">
        <v>1.0</v>
      </c>
      <c r="O603" s="220">
        <v>-1141.0</v>
      </c>
      <c r="P603" s="220">
        <v>1171.0</v>
      </c>
      <c r="Q603" s="209"/>
      <c r="R603" s="196" t="s">
        <v>2038</v>
      </c>
      <c r="S603" s="45"/>
      <c r="T603" s="220">
        <v>143.0</v>
      </c>
      <c r="U603" s="198"/>
    </row>
    <row r="604" ht="22.5" customHeight="1">
      <c r="A604" s="211" t="s">
        <v>2039</v>
      </c>
      <c r="B604" s="212" t="s">
        <v>267</v>
      </c>
      <c r="C604" s="213" t="s">
        <v>136</v>
      </c>
      <c r="D604" s="214" t="s">
        <v>1653</v>
      </c>
      <c r="E604" s="212" t="s">
        <v>15</v>
      </c>
      <c r="F604" s="147"/>
      <c r="G604" s="210"/>
      <c r="H604" s="216">
        <v>250.0</v>
      </c>
      <c r="I604" s="216">
        <v>250.0</v>
      </c>
      <c r="J604" s="216">
        <v>5000.0</v>
      </c>
      <c r="K604" s="216">
        <v>0.0</v>
      </c>
      <c r="L604" s="217">
        <v>46093.0</v>
      </c>
      <c r="M604" s="217">
        <v>46124.0</v>
      </c>
      <c r="N604" s="215">
        <v>1.0</v>
      </c>
      <c r="O604" s="215">
        <v>-1138.0</v>
      </c>
      <c r="P604" s="215">
        <v>1168.0</v>
      </c>
      <c r="Q604" s="203"/>
      <c r="R604" s="218" t="s">
        <v>2040</v>
      </c>
      <c r="S604" s="186"/>
      <c r="T604" s="215">
        <v>144.0</v>
      </c>
      <c r="U604" s="204"/>
    </row>
    <row r="605" ht="22.5" customHeight="1">
      <c r="A605" s="205"/>
      <c r="B605" s="193" t="s">
        <v>223</v>
      </c>
      <c r="C605" s="226" t="s">
        <v>136</v>
      </c>
      <c r="D605" s="194" t="s">
        <v>2035</v>
      </c>
      <c r="E605" s="193" t="s">
        <v>15</v>
      </c>
      <c r="F605" s="220">
        <v>5.0</v>
      </c>
      <c r="G605" s="221"/>
      <c r="H605" s="222">
        <v>100.0</v>
      </c>
      <c r="I605" s="222">
        <v>500.0</v>
      </c>
      <c r="J605" s="222">
        <v>10000.0</v>
      </c>
      <c r="K605" s="222">
        <v>0.0</v>
      </c>
      <c r="L605" s="223">
        <v>46105.0</v>
      </c>
      <c r="M605" s="223">
        <v>46136.0</v>
      </c>
      <c r="N605" s="220">
        <v>1.0</v>
      </c>
      <c r="O605" s="220">
        <v>-1126.0</v>
      </c>
      <c r="P605" s="220">
        <v>1156.0</v>
      </c>
      <c r="Q605" s="238">
        <v>46255.0</v>
      </c>
      <c r="R605" s="196" t="s">
        <v>2041</v>
      </c>
      <c r="S605" s="45"/>
      <c r="T605" s="220">
        <v>145.0</v>
      </c>
      <c r="U605" s="198"/>
    </row>
    <row r="606" ht="22.5" customHeight="1">
      <c r="A606" s="211">
        <v>1.0</v>
      </c>
      <c r="B606" s="212" t="s">
        <v>261</v>
      </c>
      <c r="C606" s="213" t="s">
        <v>136</v>
      </c>
      <c r="D606" s="214" t="s">
        <v>2013</v>
      </c>
      <c r="E606" s="212" t="s">
        <v>15</v>
      </c>
      <c r="F606" s="215">
        <v>5.0</v>
      </c>
      <c r="G606" s="210"/>
      <c r="H606" s="216">
        <v>250.0</v>
      </c>
      <c r="I606" s="216">
        <v>500.0</v>
      </c>
      <c r="J606" s="216">
        <v>10000.0</v>
      </c>
      <c r="K606" s="216">
        <v>0.0</v>
      </c>
      <c r="L606" s="217">
        <v>46085.0</v>
      </c>
      <c r="M606" s="217">
        <v>46116.0</v>
      </c>
      <c r="N606" s="215">
        <v>1.0</v>
      </c>
      <c r="O606" s="215">
        <v>-1146.0</v>
      </c>
      <c r="P606" s="215">
        <v>1176.0</v>
      </c>
      <c r="Q606" s="203"/>
      <c r="R606" s="218" t="s">
        <v>2042</v>
      </c>
      <c r="S606" s="186"/>
      <c r="T606" s="215">
        <v>146.0</v>
      </c>
      <c r="U606" s="204"/>
    </row>
    <row r="607" ht="22.5" customHeight="1">
      <c r="A607" s="205"/>
      <c r="B607" s="193" t="s">
        <v>259</v>
      </c>
      <c r="C607" s="226" t="s">
        <v>136</v>
      </c>
      <c r="D607" s="194" t="s">
        <v>2035</v>
      </c>
      <c r="E607" s="193" t="s">
        <v>15</v>
      </c>
      <c r="F607" s="220">
        <v>5.0</v>
      </c>
      <c r="G607" s="221"/>
      <c r="H607" s="222">
        <v>100.0</v>
      </c>
      <c r="I607" s="222">
        <v>500.0</v>
      </c>
      <c r="J607" s="222">
        <v>10000.0</v>
      </c>
      <c r="K607" s="222">
        <v>0.0</v>
      </c>
      <c r="L607" s="223">
        <v>46090.0</v>
      </c>
      <c r="M607" s="223">
        <v>46121.0</v>
      </c>
      <c r="N607" s="220">
        <v>1.0</v>
      </c>
      <c r="O607" s="220">
        <v>-1141.0</v>
      </c>
      <c r="P607" s="220">
        <v>1171.0</v>
      </c>
      <c r="Q607" s="209"/>
      <c r="R607" s="196" t="s">
        <v>2043</v>
      </c>
      <c r="S607" s="45"/>
      <c r="T607" s="220">
        <v>147.0</v>
      </c>
      <c r="U607" s="198"/>
    </row>
    <row r="608" ht="22.5" customHeight="1">
      <c r="A608" s="199"/>
      <c r="B608" s="212" t="s">
        <v>221</v>
      </c>
      <c r="C608" s="213" t="s">
        <v>136</v>
      </c>
      <c r="D608" s="214" t="s">
        <v>2035</v>
      </c>
      <c r="E608" s="212" t="s">
        <v>15</v>
      </c>
      <c r="F608" s="215">
        <v>5.0</v>
      </c>
      <c r="G608" s="147"/>
      <c r="H608" s="216">
        <v>100.0</v>
      </c>
      <c r="I608" s="216">
        <v>500.0</v>
      </c>
      <c r="J608" s="216">
        <v>10000.0</v>
      </c>
      <c r="K608" s="216">
        <v>0.0</v>
      </c>
      <c r="L608" s="217">
        <v>46106.0</v>
      </c>
      <c r="M608" s="217">
        <v>46137.0</v>
      </c>
      <c r="N608" s="215">
        <v>1.0</v>
      </c>
      <c r="O608" s="215">
        <v>-1125.0</v>
      </c>
      <c r="P608" s="215">
        <v>1155.0</v>
      </c>
      <c r="Q608" s="232">
        <v>46255.0</v>
      </c>
      <c r="R608" s="218" t="s">
        <v>2044</v>
      </c>
      <c r="S608" s="186"/>
      <c r="T608" s="215">
        <v>148.0</v>
      </c>
      <c r="U608" s="204"/>
    </row>
    <row r="609" ht="22.5" customHeight="1">
      <c r="A609" s="192">
        <v>1.0</v>
      </c>
      <c r="B609" s="193" t="s">
        <v>194</v>
      </c>
      <c r="C609" s="226" t="s">
        <v>136</v>
      </c>
      <c r="D609" s="194" t="s">
        <v>1782</v>
      </c>
      <c r="E609" s="193" t="s">
        <v>15</v>
      </c>
      <c r="F609" s="220">
        <v>3.0</v>
      </c>
      <c r="G609" s="150"/>
      <c r="H609" s="222">
        <v>100.0</v>
      </c>
      <c r="I609" s="222">
        <v>300.0</v>
      </c>
      <c r="J609" s="222">
        <v>6000.0</v>
      </c>
      <c r="K609" s="222">
        <v>6000.0</v>
      </c>
      <c r="L609" s="223">
        <v>46103.0</v>
      </c>
      <c r="M609" s="223">
        <v>46134.0</v>
      </c>
      <c r="N609" s="220">
        <v>0.0</v>
      </c>
      <c r="O609" s="220">
        <v>-1128.0</v>
      </c>
      <c r="P609" s="220">
        <v>1158.0</v>
      </c>
      <c r="Q609" s="209"/>
      <c r="R609" s="196" t="s">
        <v>2045</v>
      </c>
      <c r="S609" s="45"/>
      <c r="T609" s="220">
        <v>149.0</v>
      </c>
      <c r="U609" s="198"/>
    </row>
    <row r="610" ht="22.5" customHeight="1">
      <c r="A610" s="199"/>
      <c r="B610" s="212" t="s">
        <v>231</v>
      </c>
      <c r="C610" s="213" t="s">
        <v>136</v>
      </c>
      <c r="D610" s="214" t="s">
        <v>1782</v>
      </c>
      <c r="E610" s="212" t="s">
        <v>15</v>
      </c>
      <c r="F610" s="215">
        <v>3.0</v>
      </c>
      <c r="G610" s="210"/>
      <c r="H610" s="216">
        <v>100.0</v>
      </c>
      <c r="I610" s="216">
        <v>300.0</v>
      </c>
      <c r="J610" s="216">
        <v>6000.0</v>
      </c>
      <c r="K610" s="216">
        <v>0.0</v>
      </c>
      <c r="L610" s="217">
        <v>46085.0</v>
      </c>
      <c r="M610" s="217">
        <v>46116.0</v>
      </c>
      <c r="N610" s="215">
        <v>1.0</v>
      </c>
      <c r="O610" s="215">
        <v>-1146.0</v>
      </c>
      <c r="P610" s="215">
        <v>1176.0</v>
      </c>
      <c r="Q610" s="203"/>
      <c r="R610" s="218" t="s">
        <v>2046</v>
      </c>
      <c r="S610" s="186"/>
      <c r="T610" s="215">
        <v>150.0</v>
      </c>
      <c r="U610" s="204"/>
    </row>
    <row r="611" ht="22.5" customHeight="1">
      <c r="A611" s="205"/>
      <c r="B611" s="193" t="s">
        <v>243</v>
      </c>
      <c r="C611" s="226" t="s">
        <v>136</v>
      </c>
      <c r="D611" s="194" t="s">
        <v>1760</v>
      </c>
      <c r="E611" s="193" t="s">
        <v>15</v>
      </c>
      <c r="F611" s="220">
        <v>5.0</v>
      </c>
      <c r="G611" s="221"/>
      <c r="H611" s="222">
        <v>130.0</v>
      </c>
      <c r="I611" s="222">
        <v>390.0</v>
      </c>
      <c r="J611" s="222">
        <v>7800.0</v>
      </c>
      <c r="K611" s="222">
        <v>0.0</v>
      </c>
      <c r="L611" s="223">
        <v>46097.0</v>
      </c>
      <c r="M611" s="223">
        <v>46128.0</v>
      </c>
      <c r="N611" s="220">
        <v>1.0</v>
      </c>
      <c r="O611" s="220">
        <v>-1134.0</v>
      </c>
      <c r="P611" s="220">
        <v>1164.0</v>
      </c>
      <c r="Q611" s="209"/>
      <c r="R611" s="196" t="s">
        <v>2047</v>
      </c>
      <c r="S611" s="45"/>
      <c r="T611" s="220">
        <v>151.0</v>
      </c>
      <c r="U611" s="198"/>
    </row>
    <row r="612" ht="22.5" customHeight="1">
      <c r="A612" s="199"/>
      <c r="B612" s="212" t="s">
        <v>271</v>
      </c>
      <c r="C612" s="213" t="s">
        <v>136</v>
      </c>
      <c r="D612" s="214" t="s">
        <v>2048</v>
      </c>
      <c r="E612" s="212" t="s">
        <v>15</v>
      </c>
      <c r="F612" s="215">
        <v>4.0</v>
      </c>
      <c r="G612" s="210"/>
      <c r="H612" s="216">
        <v>100.0</v>
      </c>
      <c r="I612" s="216">
        <v>400.0</v>
      </c>
      <c r="J612" s="216">
        <v>8000.0</v>
      </c>
      <c r="K612" s="237" t="s">
        <v>1909</v>
      </c>
      <c r="L612" s="217">
        <v>46105.0</v>
      </c>
      <c r="M612" s="217">
        <v>46136.0</v>
      </c>
      <c r="N612" s="215">
        <v>0.0</v>
      </c>
      <c r="O612" s="215">
        <v>-1126.0</v>
      </c>
      <c r="P612" s="215">
        <v>1156.0</v>
      </c>
      <c r="Q612" s="203"/>
      <c r="R612" s="218" t="s">
        <v>2049</v>
      </c>
      <c r="S612" s="186"/>
      <c r="T612" s="215">
        <v>152.0</v>
      </c>
      <c r="U612" s="204"/>
    </row>
    <row r="613" ht="22.5" customHeight="1">
      <c r="A613" s="205"/>
      <c r="B613" s="193" t="s">
        <v>263</v>
      </c>
      <c r="C613" s="226" t="s">
        <v>136</v>
      </c>
      <c r="D613" s="194" t="s">
        <v>1394</v>
      </c>
      <c r="E613" s="193" t="s">
        <v>15</v>
      </c>
      <c r="F613" s="220">
        <v>3.0</v>
      </c>
      <c r="G613" s="221"/>
      <c r="H613" s="222">
        <v>100.0</v>
      </c>
      <c r="I613" s="222">
        <v>300.0</v>
      </c>
      <c r="J613" s="222">
        <v>6000.0</v>
      </c>
      <c r="K613" s="222">
        <v>0.0</v>
      </c>
      <c r="L613" s="223">
        <v>46082.0</v>
      </c>
      <c r="M613" s="223">
        <v>46113.0</v>
      </c>
      <c r="N613" s="220">
        <v>1.0</v>
      </c>
      <c r="O613" s="220">
        <v>-1149.0</v>
      </c>
      <c r="P613" s="220">
        <v>1179.0</v>
      </c>
      <c r="Q613" s="209"/>
      <c r="R613" s="196" t="s">
        <v>2050</v>
      </c>
      <c r="S613" s="45"/>
      <c r="T613" s="220">
        <v>153.0</v>
      </c>
      <c r="U613" s="198"/>
    </row>
    <row r="614" ht="22.5" customHeight="1">
      <c r="A614" s="211" t="s">
        <v>2051</v>
      </c>
      <c r="B614" s="212" t="s">
        <v>215</v>
      </c>
      <c r="C614" s="213" t="s">
        <v>136</v>
      </c>
      <c r="D614" s="214" t="s">
        <v>2035</v>
      </c>
      <c r="E614" s="212" t="s">
        <v>15</v>
      </c>
      <c r="F614" s="215">
        <v>5.0</v>
      </c>
      <c r="G614" s="147"/>
      <c r="H614" s="216">
        <v>120.0</v>
      </c>
      <c r="I614" s="216">
        <v>600.0</v>
      </c>
      <c r="J614" s="216">
        <v>12000.0</v>
      </c>
      <c r="K614" s="216">
        <v>0.0</v>
      </c>
      <c r="L614" s="217">
        <v>46090.0</v>
      </c>
      <c r="M614" s="217">
        <v>46121.0</v>
      </c>
      <c r="N614" s="215">
        <v>1.0</v>
      </c>
      <c r="O614" s="215">
        <v>-1141.0</v>
      </c>
      <c r="P614" s="215">
        <v>1171.0</v>
      </c>
      <c r="Q614" s="203"/>
      <c r="R614" s="218" t="s">
        <v>2052</v>
      </c>
      <c r="S614" s="186"/>
      <c r="T614" s="215">
        <v>154.0</v>
      </c>
      <c r="U614" s="204"/>
    </row>
    <row r="615" ht="22.5" customHeight="1">
      <c r="A615" s="205"/>
      <c r="B615" s="193" t="s">
        <v>269</v>
      </c>
      <c r="C615" s="226" t="s">
        <v>136</v>
      </c>
      <c r="D615" s="194" t="s">
        <v>1760</v>
      </c>
      <c r="E615" s="193" t="s">
        <v>15</v>
      </c>
      <c r="F615" s="220">
        <v>5.0</v>
      </c>
      <c r="G615" s="221"/>
      <c r="H615" s="222">
        <v>100.0</v>
      </c>
      <c r="I615" s="222">
        <v>500.0</v>
      </c>
      <c r="J615" s="222">
        <v>10000.0</v>
      </c>
      <c r="K615" s="222">
        <v>0.0</v>
      </c>
      <c r="L615" s="223">
        <v>46097.0</v>
      </c>
      <c r="M615" s="223">
        <v>46128.0</v>
      </c>
      <c r="N615" s="220">
        <v>1.0</v>
      </c>
      <c r="O615" s="220">
        <v>-1134.0</v>
      </c>
      <c r="P615" s="220">
        <v>1164.0</v>
      </c>
      <c r="Q615" s="209"/>
      <c r="R615" s="196" t="s">
        <v>2053</v>
      </c>
      <c r="S615" s="45"/>
      <c r="T615" s="220">
        <v>155.0</v>
      </c>
      <c r="U615" s="198"/>
    </row>
    <row r="616" ht="22.5" customHeight="1">
      <c r="A616" s="211">
        <v>1.0</v>
      </c>
      <c r="B616" s="212" t="s">
        <v>142</v>
      </c>
      <c r="C616" s="213" t="s">
        <v>136</v>
      </c>
      <c r="D616" s="214" t="s">
        <v>1965</v>
      </c>
      <c r="E616" s="212" t="s">
        <v>15</v>
      </c>
      <c r="F616" s="215">
        <v>6.0</v>
      </c>
      <c r="G616" s="147"/>
      <c r="H616" s="216">
        <v>120.0</v>
      </c>
      <c r="I616" s="216">
        <v>400.0</v>
      </c>
      <c r="J616" s="216">
        <v>8000.0</v>
      </c>
      <c r="K616" s="216">
        <v>0.0</v>
      </c>
      <c r="L616" s="217">
        <v>46083.0</v>
      </c>
      <c r="M616" s="217">
        <v>46114.0</v>
      </c>
      <c r="N616" s="215">
        <v>1.0</v>
      </c>
      <c r="O616" s="215">
        <v>-1148.0</v>
      </c>
      <c r="P616" s="215">
        <v>1178.0</v>
      </c>
      <c r="Q616" s="203"/>
      <c r="R616" s="218" t="s">
        <v>2054</v>
      </c>
      <c r="S616" s="186"/>
      <c r="T616" s="215">
        <v>156.0</v>
      </c>
      <c r="U616" s="204"/>
    </row>
    <row r="617" ht="22.5" customHeight="1">
      <c r="A617" s="192">
        <v>1.0</v>
      </c>
      <c r="B617" s="193" t="s">
        <v>207</v>
      </c>
      <c r="C617" s="219" t="s">
        <v>684</v>
      </c>
      <c r="D617" s="194" t="s">
        <v>1983</v>
      </c>
      <c r="E617" s="194" t="s">
        <v>17</v>
      </c>
      <c r="F617" s="220">
        <v>5.0</v>
      </c>
      <c r="G617" s="150"/>
      <c r="H617" s="222">
        <v>1350.0</v>
      </c>
      <c r="I617" s="222">
        <v>6750.0</v>
      </c>
      <c r="J617" s="207"/>
      <c r="K617" s="207"/>
      <c r="L617" s="223">
        <v>46070.0</v>
      </c>
      <c r="M617" s="223">
        <v>46098.0</v>
      </c>
      <c r="N617" s="150"/>
      <c r="O617" s="220">
        <v>-1164.0</v>
      </c>
      <c r="P617" s="220">
        <v>1194.0</v>
      </c>
      <c r="Q617" s="209"/>
      <c r="R617" s="196" t="s">
        <v>2056</v>
      </c>
      <c r="S617" s="45"/>
      <c r="T617" s="220">
        <v>117.0</v>
      </c>
      <c r="U617" s="198"/>
    </row>
    <row r="618" ht="22.5" customHeight="1">
      <c r="A618" s="199"/>
      <c r="B618" s="212" t="s">
        <v>257</v>
      </c>
      <c r="C618" s="213" t="s">
        <v>136</v>
      </c>
      <c r="D618" s="214" t="s">
        <v>1760</v>
      </c>
      <c r="E618" s="212" t="s">
        <v>15</v>
      </c>
      <c r="F618" s="215">
        <v>3.0</v>
      </c>
      <c r="G618" s="210"/>
      <c r="H618" s="216">
        <v>100.0</v>
      </c>
      <c r="I618" s="216">
        <v>300.0</v>
      </c>
      <c r="J618" s="216">
        <v>6000.0</v>
      </c>
      <c r="K618" s="216">
        <v>0.0</v>
      </c>
      <c r="L618" s="217">
        <v>46062.0</v>
      </c>
      <c r="M618" s="217">
        <v>46090.0</v>
      </c>
      <c r="N618" s="215">
        <v>1.0</v>
      </c>
      <c r="O618" s="215">
        <v>-1172.0</v>
      </c>
      <c r="P618" s="215">
        <v>1202.0</v>
      </c>
      <c r="Q618" s="203"/>
      <c r="R618" s="218" t="s">
        <v>2057</v>
      </c>
      <c r="S618" s="186"/>
      <c r="T618" s="215">
        <v>118.0</v>
      </c>
      <c r="U618" s="204"/>
    </row>
    <row r="619" ht="22.5" customHeight="1">
      <c r="A619" s="192" t="s">
        <v>1773</v>
      </c>
      <c r="B619" s="193" t="s">
        <v>186</v>
      </c>
      <c r="C619" s="219" t="s">
        <v>684</v>
      </c>
      <c r="D619" s="194" t="s">
        <v>2030</v>
      </c>
      <c r="E619" s="193" t="s">
        <v>187</v>
      </c>
      <c r="F619" s="220">
        <v>2.0</v>
      </c>
      <c r="G619" s="221"/>
      <c r="H619" s="197" t="s">
        <v>2031</v>
      </c>
      <c r="I619" s="222">
        <v>2000.0</v>
      </c>
      <c r="J619" s="207"/>
      <c r="K619" s="207"/>
      <c r="L619" s="223">
        <v>46063.0</v>
      </c>
      <c r="M619" s="223">
        <v>46091.0</v>
      </c>
      <c r="N619" s="150"/>
      <c r="O619" s="220">
        <v>-1171.0</v>
      </c>
      <c r="P619" s="220">
        <v>1201.0</v>
      </c>
      <c r="Q619" s="238">
        <v>46255.0</v>
      </c>
      <c r="R619" s="196" t="s">
        <v>2058</v>
      </c>
      <c r="S619" s="45"/>
      <c r="T619" s="220">
        <v>119.0</v>
      </c>
      <c r="U619" s="198"/>
    </row>
    <row r="620" ht="22.5" customHeight="1">
      <c r="A620" s="199"/>
      <c r="B620" s="212" t="s">
        <v>241</v>
      </c>
      <c r="C620" s="213" t="s">
        <v>136</v>
      </c>
      <c r="D620" s="214" t="s">
        <v>1711</v>
      </c>
      <c r="E620" s="212" t="s">
        <v>15</v>
      </c>
      <c r="F620" s="215">
        <v>1.0</v>
      </c>
      <c r="G620" s="210"/>
      <c r="H620" s="216">
        <v>250.0</v>
      </c>
      <c r="I620" s="216">
        <v>250.0</v>
      </c>
      <c r="J620" s="216">
        <v>5000.0</v>
      </c>
      <c r="K620" s="216">
        <v>0.0</v>
      </c>
      <c r="L620" s="217">
        <v>46063.0</v>
      </c>
      <c r="M620" s="217">
        <v>46091.0</v>
      </c>
      <c r="N620" s="215">
        <v>1.0</v>
      </c>
      <c r="O620" s="215">
        <v>-1171.0</v>
      </c>
      <c r="P620" s="215">
        <v>1201.0</v>
      </c>
      <c r="Q620" s="203"/>
      <c r="R620" s="218" t="s">
        <v>2059</v>
      </c>
      <c r="S620" s="186"/>
      <c r="T620" s="215">
        <v>120.0</v>
      </c>
      <c r="U620" s="204"/>
    </row>
    <row r="621" ht="22.5" customHeight="1">
      <c r="A621" s="192">
        <v>1.0</v>
      </c>
      <c r="B621" s="193" t="s">
        <v>219</v>
      </c>
      <c r="C621" s="226" t="s">
        <v>136</v>
      </c>
      <c r="D621" s="194" t="s">
        <v>1760</v>
      </c>
      <c r="E621" s="193" t="s">
        <v>15</v>
      </c>
      <c r="F621" s="220">
        <v>5.0</v>
      </c>
      <c r="G621" s="150"/>
      <c r="H621" s="222">
        <v>100.0</v>
      </c>
      <c r="I621" s="222">
        <v>250.0</v>
      </c>
      <c r="J621" s="222">
        <v>5000.0</v>
      </c>
      <c r="K621" s="222">
        <v>0.0</v>
      </c>
      <c r="L621" s="223">
        <v>46069.0</v>
      </c>
      <c r="M621" s="223">
        <v>46097.0</v>
      </c>
      <c r="N621" s="220">
        <v>1.0</v>
      </c>
      <c r="O621" s="220">
        <v>-1165.0</v>
      </c>
      <c r="P621" s="220">
        <v>1195.0</v>
      </c>
      <c r="Q621" s="209"/>
      <c r="R621" s="196" t="s">
        <v>2060</v>
      </c>
      <c r="S621" s="45"/>
      <c r="T621" s="220">
        <v>121.0</v>
      </c>
      <c r="U621" s="198"/>
    </row>
    <row r="622" ht="22.5" customHeight="1">
      <c r="A622" s="199"/>
      <c r="B622" s="212" t="s">
        <v>245</v>
      </c>
      <c r="C622" s="213" t="s">
        <v>136</v>
      </c>
      <c r="D622" s="214" t="s">
        <v>1472</v>
      </c>
      <c r="E622" s="212" t="s">
        <v>15</v>
      </c>
      <c r="F622" s="215">
        <v>1.0</v>
      </c>
      <c r="G622" s="210"/>
      <c r="H622" s="216">
        <v>130.0</v>
      </c>
      <c r="I622" s="216">
        <v>130.0</v>
      </c>
      <c r="J622" s="216">
        <v>2600.0</v>
      </c>
      <c r="K622" s="216">
        <v>0.0</v>
      </c>
      <c r="L622" s="217">
        <v>46056.0</v>
      </c>
      <c r="M622" s="217">
        <v>46084.0</v>
      </c>
      <c r="N622" s="215">
        <v>1.0</v>
      </c>
      <c r="O622" s="215">
        <v>-1178.0</v>
      </c>
      <c r="P622" s="215">
        <v>1208.0</v>
      </c>
      <c r="Q622" s="203"/>
      <c r="R622" s="218" t="s">
        <v>2061</v>
      </c>
      <c r="S622" s="186"/>
      <c r="T622" s="215">
        <v>122.0</v>
      </c>
      <c r="U622" s="204"/>
    </row>
    <row r="623" ht="22.5" customHeight="1">
      <c r="A623" s="205"/>
      <c r="B623" s="193" t="s">
        <v>239</v>
      </c>
      <c r="C623" s="226" t="s">
        <v>136</v>
      </c>
      <c r="D623" s="194" t="s">
        <v>1472</v>
      </c>
      <c r="E623" s="193" t="s">
        <v>15</v>
      </c>
      <c r="F623" s="220">
        <v>1.0</v>
      </c>
      <c r="G623" s="221"/>
      <c r="H623" s="222">
        <v>150.0</v>
      </c>
      <c r="I623" s="222">
        <v>75.0</v>
      </c>
      <c r="J623" s="222">
        <v>1500.0</v>
      </c>
      <c r="K623" s="222">
        <v>0.0</v>
      </c>
      <c r="L623" s="223">
        <v>46056.0</v>
      </c>
      <c r="M623" s="223">
        <v>46084.0</v>
      </c>
      <c r="N623" s="220">
        <v>1.0</v>
      </c>
      <c r="O623" s="220">
        <v>-1178.0</v>
      </c>
      <c r="P623" s="220">
        <v>1208.0</v>
      </c>
      <c r="Q623" s="209"/>
      <c r="R623" s="196" t="s">
        <v>2062</v>
      </c>
      <c r="S623" s="45"/>
      <c r="T623" s="220">
        <v>123.0</v>
      </c>
      <c r="U623" s="198"/>
    </row>
    <row r="624" ht="22.5" customHeight="1">
      <c r="A624" s="211">
        <v>1.0</v>
      </c>
      <c r="B624" s="212" t="s">
        <v>217</v>
      </c>
      <c r="C624" s="213" t="s">
        <v>136</v>
      </c>
      <c r="D624" s="214" t="s">
        <v>1760</v>
      </c>
      <c r="E624" s="212" t="s">
        <v>15</v>
      </c>
      <c r="F624" s="215">
        <v>5.0</v>
      </c>
      <c r="G624" s="147"/>
      <c r="H624" s="216">
        <v>100.0</v>
      </c>
      <c r="I624" s="216">
        <v>500.0</v>
      </c>
      <c r="J624" s="216">
        <v>10000.0</v>
      </c>
      <c r="K624" s="216">
        <v>0.0</v>
      </c>
      <c r="L624" s="217">
        <v>46062.0</v>
      </c>
      <c r="M624" s="217">
        <v>46090.0</v>
      </c>
      <c r="N624" s="215">
        <v>1.0</v>
      </c>
      <c r="O624" s="215">
        <v>-1172.0</v>
      </c>
      <c r="P624" s="215">
        <v>1202.0</v>
      </c>
      <c r="Q624" s="203"/>
      <c r="R624" s="218" t="s">
        <v>2063</v>
      </c>
      <c r="S624" s="186"/>
      <c r="T624" s="215">
        <v>124.0</v>
      </c>
      <c r="U624" s="204"/>
    </row>
    <row r="625" ht="22.5" customHeight="1">
      <c r="A625" s="192">
        <v>1.0</v>
      </c>
      <c r="B625" s="193" t="s">
        <v>223</v>
      </c>
      <c r="C625" s="226" t="s">
        <v>136</v>
      </c>
      <c r="D625" s="194" t="s">
        <v>1760</v>
      </c>
      <c r="E625" s="193" t="s">
        <v>15</v>
      </c>
      <c r="F625" s="220">
        <v>5.0</v>
      </c>
      <c r="G625" s="221"/>
      <c r="H625" s="222">
        <v>100.0</v>
      </c>
      <c r="I625" s="222">
        <v>500.0</v>
      </c>
      <c r="J625" s="222">
        <v>10000.0</v>
      </c>
      <c r="K625" s="222">
        <v>10000.0</v>
      </c>
      <c r="L625" s="223">
        <v>46077.0</v>
      </c>
      <c r="M625" s="223">
        <v>46105.0</v>
      </c>
      <c r="N625" s="220">
        <v>0.0</v>
      </c>
      <c r="O625" s="220">
        <v>-1157.0</v>
      </c>
      <c r="P625" s="220">
        <v>1187.0</v>
      </c>
      <c r="Q625" s="238">
        <v>46255.0</v>
      </c>
      <c r="R625" s="196" t="s">
        <v>2064</v>
      </c>
      <c r="S625" s="45"/>
      <c r="T625" s="220">
        <v>125.0</v>
      </c>
      <c r="U625" s="198"/>
    </row>
    <row r="626" ht="22.5" customHeight="1">
      <c r="A626" s="199"/>
      <c r="B626" s="212" t="s">
        <v>259</v>
      </c>
      <c r="C626" s="213" t="s">
        <v>136</v>
      </c>
      <c r="D626" s="214" t="s">
        <v>1760</v>
      </c>
      <c r="E626" s="212" t="s">
        <v>15</v>
      </c>
      <c r="F626" s="215">
        <v>5.0</v>
      </c>
      <c r="G626" s="210"/>
      <c r="H626" s="216">
        <v>100.0</v>
      </c>
      <c r="I626" s="216">
        <v>500.0</v>
      </c>
      <c r="J626" s="216">
        <v>10000.0</v>
      </c>
      <c r="K626" s="216">
        <v>0.0</v>
      </c>
      <c r="L626" s="217">
        <v>46062.0</v>
      </c>
      <c r="M626" s="217">
        <v>46090.0</v>
      </c>
      <c r="N626" s="215">
        <v>1.0</v>
      </c>
      <c r="O626" s="215">
        <v>-1172.0</v>
      </c>
      <c r="P626" s="215">
        <v>1202.0</v>
      </c>
      <c r="Q626" s="203"/>
      <c r="R626" s="218" t="s">
        <v>2065</v>
      </c>
      <c r="S626" s="186"/>
      <c r="T626" s="215">
        <v>126.0</v>
      </c>
      <c r="U626" s="204"/>
    </row>
    <row r="627" ht="22.5" customHeight="1">
      <c r="A627" s="192">
        <v>1.0</v>
      </c>
      <c r="B627" s="193" t="s">
        <v>221</v>
      </c>
      <c r="C627" s="226" t="s">
        <v>136</v>
      </c>
      <c r="D627" s="194" t="s">
        <v>1760</v>
      </c>
      <c r="E627" s="193" t="s">
        <v>15</v>
      </c>
      <c r="F627" s="220">
        <v>5.0</v>
      </c>
      <c r="G627" s="150"/>
      <c r="H627" s="222">
        <v>100.0</v>
      </c>
      <c r="I627" s="222">
        <v>500.0</v>
      </c>
      <c r="J627" s="222">
        <v>10000.0</v>
      </c>
      <c r="K627" s="222">
        <v>0.0</v>
      </c>
      <c r="L627" s="223">
        <v>46078.0</v>
      </c>
      <c r="M627" s="223">
        <v>46106.0</v>
      </c>
      <c r="N627" s="220">
        <v>1.0</v>
      </c>
      <c r="O627" s="220">
        <v>-1156.0</v>
      </c>
      <c r="P627" s="220">
        <v>1186.0</v>
      </c>
      <c r="Q627" s="238">
        <v>46255.0</v>
      </c>
      <c r="R627" s="196" t="s">
        <v>2066</v>
      </c>
      <c r="S627" s="45"/>
      <c r="T627" s="220">
        <v>127.0</v>
      </c>
      <c r="U627" s="198"/>
    </row>
    <row r="628" ht="22.5" customHeight="1">
      <c r="A628" s="211">
        <v>1.0</v>
      </c>
      <c r="B628" s="212" t="s">
        <v>194</v>
      </c>
      <c r="C628" s="231" t="s">
        <v>684</v>
      </c>
      <c r="D628" s="214" t="s">
        <v>1760</v>
      </c>
      <c r="E628" s="212" t="s">
        <v>15</v>
      </c>
      <c r="F628" s="215">
        <v>3.0</v>
      </c>
      <c r="G628" s="147"/>
      <c r="H628" s="216">
        <v>100.0</v>
      </c>
      <c r="I628" s="216">
        <v>300.0</v>
      </c>
      <c r="J628" s="201"/>
      <c r="K628" s="201"/>
      <c r="L628" s="217">
        <v>46075.0</v>
      </c>
      <c r="M628" s="217">
        <v>46103.0</v>
      </c>
      <c r="N628" s="147"/>
      <c r="O628" s="215">
        <v>-1159.0</v>
      </c>
      <c r="P628" s="215">
        <v>1189.0</v>
      </c>
      <c r="Q628" s="203"/>
      <c r="R628" s="218" t="s">
        <v>2067</v>
      </c>
      <c r="S628" s="186"/>
      <c r="T628" s="215">
        <v>128.0</v>
      </c>
      <c r="U628" s="204"/>
    </row>
    <row r="629" ht="22.5" customHeight="1">
      <c r="A629" s="205"/>
      <c r="B629" s="193" t="s">
        <v>229</v>
      </c>
      <c r="C629" s="226" t="s">
        <v>136</v>
      </c>
      <c r="D629" s="194" t="s">
        <v>1760</v>
      </c>
      <c r="E629" s="193" t="s">
        <v>15</v>
      </c>
      <c r="F629" s="220">
        <v>5.0</v>
      </c>
      <c r="G629" s="221"/>
      <c r="H629" s="222">
        <v>100.0</v>
      </c>
      <c r="I629" s="222">
        <v>500.0</v>
      </c>
      <c r="J629" s="222">
        <v>10000.0</v>
      </c>
      <c r="K629" s="197" t="s">
        <v>1909</v>
      </c>
      <c r="L629" s="223">
        <v>46081.0</v>
      </c>
      <c r="M629" s="223">
        <v>46109.0</v>
      </c>
      <c r="N629" s="220">
        <v>0.0</v>
      </c>
      <c r="O629" s="220">
        <v>-1153.0</v>
      </c>
      <c r="P629" s="220">
        <v>1183.0</v>
      </c>
      <c r="Q629" s="209"/>
      <c r="R629" s="196" t="s">
        <v>2068</v>
      </c>
      <c r="S629" s="45"/>
      <c r="T629" s="220">
        <v>129.0</v>
      </c>
      <c r="U629" s="198"/>
    </row>
    <row r="630" ht="22.5" customHeight="1">
      <c r="A630" s="199"/>
      <c r="B630" s="212" t="s">
        <v>231</v>
      </c>
      <c r="C630" s="213" t="s">
        <v>136</v>
      </c>
      <c r="D630" s="214" t="s">
        <v>1782</v>
      </c>
      <c r="E630" s="212" t="s">
        <v>15</v>
      </c>
      <c r="F630" s="215">
        <v>3.0</v>
      </c>
      <c r="G630" s="210"/>
      <c r="H630" s="216">
        <v>100.0</v>
      </c>
      <c r="I630" s="216">
        <v>300.0</v>
      </c>
      <c r="J630" s="216">
        <v>6000.0</v>
      </c>
      <c r="K630" s="216">
        <v>0.0</v>
      </c>
      <c r="L630" s="217">
        <v>46057.0</v>
      </c>
      <c r="M630" s="217">
        <v>46085.0</v>
      </c>
      <c r="N630" s="215">
        <v>1.0</v>
      </c>
      <c r="O630" s="215">
        <v>-1177.0</v>
      </c>
      <c r="P630" s="215">
        <v>1207.0</v>
      </c>
      <c r="Q630" s="203"/>
      <c r="R630" s="218" t="s">
        <v>2069</v>
      </c>
      <c r="S630" s="186"/>
      <c r="T630" s="215">
        <v>130.0</v>
      </c>
      <c r="U630" s="204"/>
    </row>
    <row r="631" ht="22.5" customHeight="1">
      <c r="A631" s="205"/>
      <c r="B631" s="193" t="s">
        <v>243</v>
      </c>
      <c r="C631" s="226" t="s">
        <v>136</v>
      </c>
      <c r="D631" s="194" t="s">
        <v>1782</v>
      </c>
      <c r="E631" s="193" t="s">
        <v>15</v>
      </c>
      <c r="F631" s="220">
        <v>3.0</v>
      </c>
      <c r="G631" s="221"/>
      <c r="H631" s="222">
        <v>130.0</v>
      </c>
      <c r="I631" s="222">
        <v>390.0</v>
      </c>
      <c r="J631" s="222">
        <v>7800.0</v>
      </c>
      <c r="K631" s="222">
        <v>0.0</v>
      </c>
      <c r="L631" s="223">
        <v>46069.0</v>
      </c>
      <c r="M631" s="223">
        <v>46097.0</v>
      </c>
      <c r="N631" s="220">
        <v>1.0</v>
      </c>
      <c r="O631" s="220">
        <v>-1165.0</v>
      </c>
      <c r="P631" s="220">
        <v>1195.0</v>
      </c>
      <c r="Q631" s="209"/>
      <c r="R631" s="196" t="s">
        <v>2070</v>
      </c>
      <c r="S631" s="45"/>
      <c r="T631" s="220">
        <v>131.0</v>
      </c>
      <c r="U631" s="198"/>
    </row>
    <row r="632" ht="22.5" customHeight="1">
      <c r="A632" s="199"/>
      <c r="B632" s="212" t="s">
        <v>249</v>
      </c>
      <c r="C632" s="213" t="s">
        <v>136</v>
      </c>
      <c r="D632" s="214" t="s">
        <v>1991</v>
      </c>
      <c r="E632" s="212" t="s">
        <v>15</v>
      </c>
      <c r="F632" s="215">
        <v>1.0</v>
      </c>
      <c r="G632" s="210"/>
      <c r="H632" s="216">
        <v>130.0</v>
      </c>
      <c r="I632" s="216">
        <v>130.0</v>
      </c>
      <c r="J632" s="216">
        <v>2600.0</v>
      </c>
      <c r="K632" s="216">
        <v>0.0</v>
      </c>
      <c r="L632" s="217">
        <v>46056.0</v>
      </c>
      <c r="M632" s="217">
        <v>46084.0</v>
      </c>
      <c r="N632" s="215">
        <v>1.0</v>
      </c>
      <c r="O632" s="215">
        <v>-1178.0</v>
      </c>
      <c r="P632" s="215">
        <v>1208.0</v>
      </c>
      <c r="Q632" s="203"/>
      <c r="R632" s="218" t="s">
        <v>2071</v>
      </c>
      <c r="S632" s="186"/>
      <c r="T632" s="215">
        <v>132.0</v>
      </c>
      <c r="U632" s="204"/>
    </row>
    <row r="633" ht="22.5" customHeight="1">
      <c r="A633" s="192">
        <v>1.0</v>
      </c>
      <c r="B633" s="193" t="s">
        <v>215</v>
      </c>
      <c r="C633" s="226" t="s">
        <v>136</v>
      </c>
      <c r="D633" s="194" t="s">
        <v>1760</v>
      </c>
      <c r="E633" s="193" t="s">
        <v>15</v>
      </c>
      <c r="F633" s="220">
        <v>5.0</v>
      </c>
      <c r="G633" s="150"/>
      <c r="H633" s="222">
        <v>120.0</v>
      </c>
      <c r="I633" s="222">
        <v>500.0</v>
      </c>
      <c r="J633" s="222">
        <v>10000.0</v>
      </c>
      <c r="K633" s="222">
        <v>0.0</v>
      </c>
      <c r="L633" s="223">
        <v>46062.0</v>
      </c>
      <c r="M633" s="223">
        <v>46090.0</v>
      </c>
      <c r="N633" s="220">
        <v>1.0</v>
      </c>
      <c r="O633" s="220">
        <v>-1172.0</v>
      </c>
      <c r="P633" s="220">
        <v>1202.0</v>
      </c>
      <c r="Q633" s="209"/>
      <c r="R633" s="196" t="s">
        <v>2072</v>
      </c>
      <c r="S633" s="45"/>
      <c r="T633" s="220">
        <v>133.0</v>
      </c>
      <c r="U633" s="198"/>
    </row>
    <row r="634" ht="22.5" customHeight="1">
      <c r="A634" s="199"/>
      <c r="B634" s="212" t="s">
        <v>227</v>
      </c>
      <c r="C634" s="213" t="s">
        <v>136</v>
      </c>
      <c r="D634" s="214" t="s">
        <v>1472</v>
      </c>
      <c r="E634" s="212" t="s">
        <v>15</v>
      </c>
      <c r="F634" s="215">
        <v>6.0</v>
      </c>
      <c r="G634" s="210"/>
      <c r="H634" s="216">
        <v>100.0</v>
      </c>
      <c r="I634" s="216">
        <v>550.0</v>
      </c>
      <c r="J634" s="216">
        <v>11000.0</v>
      </c>
      <c r="K634" s="216">
        <v>0.0</v>
      </c>
      <c r="L634" s="217">
        <v>46083.0</v>
      </c>
      <c r="M634" s="217">
        <v>46114.0</v>
      </c>
      <c r="N634" s="215">
        <v>1.0</v>
      </c>
      <c r="O634" s="215">
        <v>-1148.0</v>
      </c>
      <c r="P634" s="215">
        <v>1178.0</v>
      </c>
      <c r="Q634" s="203"/>
      <c r="R634" s="218" t="s">
        <v>2073</v>
      </c>
      <c r="S634" s="186"/>
      <c r="T634" s="215">
        <v>134.0</v>
      </c>
      <c r="U634" s="204"/>
    </row>
    <row r="635" ht="22.5" customHeight="1">
      <c r="A635" s="192">
        <v>1.0</v>
      </c>
      <c r="B635" s="193" t="s">
        <v>142</v>
      </c>
      <c r="C635" s="226" t="s">
        <v>136</v>
      </c>
      <c r="D635" s="194" t="s">
        <v>1782</v>
      </c>
      <c r="E635" s="193" t="s">
        <v>15</v>
      </c>
      <c r="F635" s="220">
        <v>3.0</v>
      </c>
      <c r="G635" s="150"/>
      <c r="H635" s="222">
        <v>120.0</v>
      </c>
      <c r="I635" s="222">
        <v>300.0</v>
      </c>
      <c r="J635" s="222">
        <v>6000.0</v>
      </c>
      <c r="K635" s="222">
        <v>0.0</v>
      </c>
      <c r="L635" s="223">
        <v>46055.0</v>
      </c>
      <c r="M635" s="223">
        <v>46083.0</v>
      </c>
      <c r="N635" s="220">
        <v>1.0</v>
      </c>
      <c r="O635" s="220">
        <v>-1179.0</v>
      </c>
      <c r="P635" s="220">
        <v>1209.0</v>
      </c>
      <c r="Q635" s="209"/>
      <c r="R635" s="196" t="s">
        <v>2074</v>
      </c>
      <c r="S635" s="45"/>
      <c r="T635" s="220">
        <v>135.0</v>
      </c>
      <c r="U635" s="198"/>
    </row>
    <row r="636" ht="22.5" customHeight="1">
      <c r="A636" s="251">
        <v>46023.0</v>
      </c>
      <c r="B636" s="212" t="s">
        <v>225</v>
      </c>
      <c r="C636" s="213" t="s">
        <v>136</v>
      </c>
      <c r="D636" s="214" t="s">
        <v>886</v>
      </c>
      <c r="E636" s="214" t="s">
        <v>17</v>
      </c>
      <c r="F636" s="215">
        <v>3.0</v>
      </c>
      <c r="G636" s="210"/>
      <c r="H636" s="216">
        <v>10000.0</v>
      </c>
      <c r="I636" s="216">
        <v>9000.0</v>
      </c>
      <c r="J636" s="216">
        <v>9000.0</v>
      </c>
      <c r="K636" s="216">
        <v>0.0</v>
      </c>
      <c r="L636" s="217">
        <v>46031.0</v>
      </c>
      <c r="M636" s="217">
        <v>46062.0</v>
      </c>
      <c r="N636" s="215">
        <v>1.0</v>
      </c>
      <c r="O636" s="215">
        <v>-1200.0</v>
      </c>
      <c r="P636" s="215">
        <v>1230.0</v>
      </c>
      <c r="Q636" s="203"/>
      <c r="R636" s="218" t="s">
        <v>2075</v>
      </c>
      <c r="S636" s="186"/>
      <c r="T636" s="215">
        <v>92.0</v>
      </c>
      <c r="U636" s="204"/>
    </row>
    <row r="637" ht="22.5" customHeight="1">
      <c r="A637" s="252">
        <v>46023.0</v>
      </c>
      <c r="B637" s="193" t="s">
        <v>207</v>
      </c>
      <c r="C637" s="226" t="s">
        <v>136</v>
      </c>
      <c r="D637" s="194" t="s">
        <v>1983</v>
      </c>
      <c r="E637" s="194" t="s">
        <v>17</v>
      </c>
      <c r="F637" s="220">
        <v>6.0</v>
      </c>
      <c r="G637" s="150"/>
      <c r="H637" s="222">
        <v>1350.0</v>
      </c>
      <c r="I637" s="222">
        <v>6750.0</v>
      </c>
      <c r="J637" s="222">
        <v>6750.0</v>
      </c>
      <c r="K637" s="222">
        <v>0.0</v>
      </c>
      <c r="L637" s="223">
        <v>46039.0</v>
      </c>
      <c r="M637" s="223">
        <v>46070.0</v>
      </c>
      <c r="N637" s="220">
        <v>1.0</v>
      </c>
      <c r="O637" s="220">
        <v>-1192.0</v>
      </c>
      <c r="P637" s="220">
        <v>1222.0</v>
      </c>
      <c r="Q637" s="209"/>
      <c r="R637" s="196" t="s">
        <v>2076</v>
      </c>
      <c r="S637" s="45"/>
      <c r="T637" s="220">
        <v>93.0</v>
      </c>
      <c r="U637" s="198"/>
    </row>
    <row r="638" ht="22.5" customHeight="1">
      <c r="A638" s="251">
        <v>46023.0</v>
      </c>
      <c r="B638" s="212" t="s">
        <v>201</v>
      </c>
      <c r="C638" s="231" t="s">
        <v>684</v>
      </c>
      <c r="D638" s="214" t="s">
        <v>2077</v>
      </c>
      <c r="E638" s="212" t="s">
        <v>17</v>
      </c>
      <c r="F638" s="215">
        <v>4.0</v>
      </c>
      <c r="G638" s="147"/>
      <c r="H638" s="216">
        <v>2000.0</v>
      </c>
      <c r="I638" s="216">
        <v>8000.0</v>
      </c>
      <c r="J638" s="201"/>
      <c r="K638" s="201"/>
      <c r="L638" s="217">
        <v>46031.0</v>
      </c>
      <c r="M638" s="217">
        <v>46062.0</v>
      </c>
      <c r="N638" s="147"/>
      <c r="O638" s="215">
        <v>-1200.0</v>
      </c>
      <c r="P638" s="215">
        <v>1230.0</v>
      </c>
      <c r="Q638" s="203"/>
      <c r="R638" s="218" t="s">
        <v>2078</v>
      </c>
      <c r="S638" s="186"/>
      <c r="T638" s="215">
        <v>94.0</v>
      </c>
      <c r="U638" s="204"/>
    </row>
    <row r="639" ht="22.5" customHeight="1">
      <c r="A639" s="205"/>
      <c r="B639" s="193" t="s">
        <v>257</v>
      </c>
      <c r="C639" s="226" t="s">
        <v>136</v>
      </c>
      <c r="D639" s="194" t="s">
        <v>1472</v>
      </c>
      <c r="E639" s="193" t="s">
        <v>15</v>
      </c>
      <c r="F639" s="220">
        <v>1.0</v>
      </c>
      <c r="G639" s="230">
        <v>0.33</v>
      </c>
      <c r="H639" s="222">
        <v>100.0</v>
      </c>
      <c r="I639" s="222">
        <v>300.0</v>
      </c>
      <c r="J639" s="222">
        <v>6000.0</v>
      </c>
      <c r="K639" s="222">
        <v>0.0</v>
      </c>
      <c r="L639" s="223">
        <v>46031.0</v>
      </c>
      <c r="M639" s="223">
        <v>46062.0</v>
      </c>
      <c r="N639" s="220">
        <v>1.0</v>
      </c>
      <c r="O639" s="220">
        <v>-1200.0</v>
      </c>
      <c r="P639" s="220">
        <v>1230.0</v>
      </c>
      <c r="Q639" s="209"/>
      <c r="R639" s="196" t="s">
        <v>2079</v>
      </c>
      <c r="S639" s="45"/>
      <c r="T639" s="220">
        <v>95.0</v>
      </c>
      <c r="U639" s="198"/>
    </row>
    <row r="640" ht="22.5" customHeight="1">
      <c r="A640" s="211" t="s">
        <v>1773</v>
      </c>
      <c r="B640" s="212" t="s">
        <v>186</v>
      </c>
      <c r="C640" s="213" t="s">
        <v>136</v>
      </c>
      <c r="D640" s="214" t="s">
        <v>2030</v>
      </c>
      <c r="E640" s="212" t="s">
        <v>187</v>
      </c>
      <c r="F640" s="215">
        <v>4.0</v>
      </c>
      <c r="G640" s="210"/>
      <c r="H640" s="237" t="s">
        <v>2031</v>
      </c>
      <c r="I640" s="216">
        <v>2000.0</v>
      </c>
      <c r="J640" s="216">
        <v>10600.0</v>
      </c>
      <c r="K640" s="201"/>
      <c r="L640" s="217">
        <v>46032.0</v>
      </c>
      <c r="M640" s="217">
        <v>46063.0</v>
      </c>
      <c r="N640" s="147"/>
      <c r="O640" s="215">
        <v>-1199.0</v>
      </c>
      <c r="P640" s="215">
        <v>1229.0</v>
      </c>
      <c r="Q640" s="232">
        <v>46255.0</v>
      </c>
      <c r="R640" s="218" t="s">
        <v>2080</v>
      </c>
      <c r="S640" s="186"/>
      <c r="T640" s="215">
        <v>96.0</v>
      </c>
      <c r="U640" s="204"/>
    </row>
    <row r="641" ht="22.5" customHeight="1">
      <c r="A641" s="205"/>
      <c r="B641" s="193" t="s">
        <v>241</v>
      </c>
      <c r="C641" s="226" t="s">
        <v>136</v>
      </c>
      <c r="D641" s="194" t="s">
        <v>1711</v>
      </c>
      <c r="E641" s="193" t="s">
        <v>15</v>
      </c>
      <c r="F641" s="220">
        <v>1.0</v>
      </c>
      <c r="G641" s="221"/>
      <c r="H641" s="222">
        <v>250.0</v>
      </c>
      <c r="I641" s="222">
        <v>250.0</v>
      </c>
      <c r="J641" s="222">
        <v>5000.0</v>
      </c>
      <c r="K641" s="222">
        <v>0.0</v>
      </c>
      <c r="L641" s="223">
        <v>46032.0</v>
      </c>
      <c r="M641" s="223">
        <v>46063.0</v>
      </c>
      <c r="N641" s="220">
        <v>1.0</v>
      </c>
      <c r="O641" s="220">
        <v>-1199.0</v>
      </c>
      <c r="P641" s="220">
        <v>1229.0</v>
      </c>
      <c r="Q641" s="209"/>
      <c r="R641" s="196" t="s">
        <v>2081</v>
      </c>
      <c r="S641" s="45"/>
      <c r="T641" s="220">
        <v>97.0</v>
      </c>
      <c r="U641" s="198"/>
    </row>
    <row r="642" ht="22.5" customHeight="1">
      <c r="A642" s="211">
        <v>1.0</v>
      </c>
      <c r="B642" s="212" t="s">
        <v>219</v>
      </c>
      <c r="C642" s="213" t="s">
        <v>136</v>
      </c>
      <c r="D642" s="214" t="s">
        <v>1760</v>
      </c>
      <c r="E642" s="212" t="s">
        <v>15</v>
      </c>
      <c r="F642" s="215">
        <v>5.0</v>
      </c>
      <c r="G642" s="147"/>
      <c r="H642" s="216">
        <v>100.0</v>
      </c>
      <c r="I642" s="216">
        <v>250.0</v>
      </c>
      <c r="J642" s="216">
        <v>5000.0</v>
      </c>
      <c r="K642" s="216">
        <v>0.0</v>
      </c>
      <c r="L642" s="217">
        <v>46038.0</v>
      </c>
      <c r="M642" s="217">
        <v>46069.0</v>
      </c>
      <c r="N642" s="215">
        <v>1.0</v>
      </c>
      <c r="O642" s="215">
        <v>-1193.0</v>
      </c>
      <c r="P642" s="215">
        <v>1223.0</v>
      </c>
      <c r="Q642" s="203"/>
      <c r="R642" s="218" t="s">
        <v>2082</v>
      </c>
      <c r="S642" s="186"/>
      <c r="T642" s="215">
        <v>98.0</v>
      </c>
      <c r="U642" s="204"/>
    </row>
    <row r="643" ht="22.5" customHeight="1">
      <c r="A643" s="205"/>
      <c r="B643" s="193" t="s">
        <v>245</v>
      </c>
      <c r="C643" s="226" t="s">
        <v>136</v>
      </c>
      <c r="D643" s="194" t="s">
        <v>1339</v>
      </c>
      <c r="E643" s="193" t="s">
        <v>15</v>
      </c>
      <c r="F643" s="220">
        <v>1.0</v>
      </c>
      <c r="G643" s="221"/>
      <c r="H643" s="222">
        <v>130.0</v>
      </c>
      <c r="I643" s="222">
        <v>130.0</v>
      </c>
      <c r="J643" s="222">
        <v>2600.0</v>
      </c>
      <c r="K643" s="222">
        <v>0.0</v>
      </c>
      <c r="L643" s="223">
        <v>46025.0</v>
      </c>
      <c r="M643" s="223">
        <v>46056.0</v>
      </c>
      <c r="N643" s="220">
        <v>1.0</v>
      </c>
      <c r="O643" s="220">
        <v>-1206.0</v>
      </c>
      <c r="P643" s="220">
        <v>1236.0</v>
      </c>
      <c r="Q643" s="209"/>
      <c r="R643" s="196" t="s">
        <v>2083</v>
      </c>
      <c r="S643" s="45"/>
      <c r="T643" s="220">
        <v>99.0</v>
      </c>
      <c r="U643" s="198"/>
    </row>
    <row r="644" ht="22.5" customHeight="1">
      <c r="A644" s="211" t="s">
        <v>2084</v>
      </c>
      <c r="B644" s="212" t="s">
        <v>255</v>
      </c>
      <c r="C644" s="213" t="s">
        <v>136</v>
      </c>
      <c r="D644" s="214" t="s">
        <v>2085</v>
      </c>
      <c r="E644" s="212" t="s">
        <v>15</v>
      </c>
      <c r="F644" s="215">
        <v>2.0</v>
      </c>
      <c r="G644" s="210"/>
      <c r="H644" s="216">
        <v>2500.0</v>
      </c>
      <c r="I644" s="216">
        <v>5000.0</v>
      </c>
      <c r="J644" s="216">
        <v>5000.0</v>
      </c>
      <c r="K644" s="216">
        <v>0.0</v>
      </c>
      <c r="L644" s="217">
        <v>46028.0</v>
      </c>
      <c r="M644" s="217">
        <v>46059.0</v>
      </c>
      <c r="N644" s="215">
        <v>1.0</v>
      </c>
      <c r="O644" s="215">
        <v>-1203.0</v>
      </c>
      <c r="P644" s="215">
        <v>1233.0</v>
      </c>
      <c r="Q644" s="203"/>
      <c r="R644" s="218" t="s">
        <v>2086</v>
      </c>
      <c r="S644" s="186"/>
      <c r="T644" s="215">
        <v>100.0</v>
      </c>
      <c r="U644" s="204"/>
    </row>
    <row r="645" ht="22.5" customHeight="1">
      <c r="A645" s="205"/>
      <c r="B645" s="193" t="s">
        <v>239</v>
      </c>
      <c r="C645" s="226" t="s">
        <v>136</v>
      </c>
      <c r="D645" s="194" t="s">
        <v>1472</v>
      </c>
      <c r="E645" s="193" t="s">
        <v>15</v>
      </c>
      <c r="F645" s="220">
        <v>1.0</v>
      </c>
      <c r="G645" s="221"/>
      <c r="H645" s="222">
        <v>150.0</v>
      </c>
      <c r="I645" s="222">
        <v>110.0</v>
      </c>
      <c r="J645" s="222">
        <v>2200.0</v>
      </c>
      <c r="K645" s="222">
        <v>0.0</v>
      </c>
      <c r="L645" s="223">
        <v>46025.0</v>
      </c>
      <c r="M645" s="223">
        <v>46056.0</v>
      </c>
      <c r="N645" s="220">
        <v>1.0</v>
      </c>
      <c r="O645" s="220">
        <v>-1206.0</v>
      </c>
      <c r="P645" s="220">
        <v>1236.0</v>
      </c>
      <c r="Q645" s="209"/>
      <c r="R645" s="196" t="s">
        <v>2087</v>
      </c>
      <c r="S645" s="45"/>
      <c r="T645" s="220">
        <v>101.0</v>
      </c>
      <c r="U645" s="198"/>
    </row>
    <row r="646" ht="22.5" customHeight="1">
      <c r="A646" s="251">
        <v>46023.0</v>
      </c>
      <c r="B646" s="212" t="s">
        <v>217</v>
      </c>
      <c r="C646" s="213" t="s">
        <v>136</v>
      </c>
      <c r="D646" s="214" t="s">
        <v>1760</v>
      </c>
      <c r="E646" s="212" t="s">
        <v>15</v>
      </c>
      <c r="F646" s="215">
        <v>5.0</v>
      </c>
      <c r="G646" s="147"/>
      <c r="H646" s="216">
        <v>100.0</v>
      </c>
      <c r="I646" s="216">
        <v>500.0</v>
      </c>
      <c r="J646" s="216">
        <v>10000.0</v>
      </c>
      <c r="K646" s="216">
        <v>0.0</v>
      </c>
      <c r="L646" s="217">
        <v>46031.0</v>
      </c>
      <c r="M646" s="217">
        <v>46062.0</v>
      </c>
      <c r="N646" s="215">
        <v>1.0</v>
      </c>
      <c r="O646" s="215">
        <v>-1200.0</v>
      </c>
      <c r="P646" s="215">
        <v>1230.0</v>
      </c>
      <c r="Q646" s="203"/>
      <c r="R646" s="218" t="s">
        <v>2088</v>
      </c>
      <c r="S646" s="186"/>
      <c r="T646" s="215">
        <v>102.0</v>
      </c>
      <c r="U646" s="204"/>
    </row>
    <row r="647" ht="22.5" customHeight="1">
      <c r="A647" s="192">
        <v>1.0</v>
      </c>
      <c r="B647" s="193" t="s">
        <v>198</v>
      </c>
      <c r="C647" s="226" t="s">
        <v>136</v>
      </c>
      <c r="D647" s="194" t="s">
        <v>1760</v>
      </c>
      <c r="E647" s="193" t="s">
        <v>17</v>
      </c>
      <c r="F647" s="220">
        <v>5.0</v>
      </c>
      <c r="G647" s="150"/>
      <c r="H647" s="222">
        <v>1500.0</v>
      </c>
      <c r="I647" s="222">
        <v>4500.0</v>
      </c>
      <c r="J647" s="222">
        <v>4500.0</v>
      </c>
      <c r="K647" s="222">
        <v>0.0</v>
      </c>
      <c r="L647" s="223">
        <v>46042.0</v>
      </c>
      <c r="M647" s="223">
        <v>46073.0</v>
      </c>
      <c r="N647" s="220">
        <v>1.0</v>
      </c>
      <c r="O647" s="220">
        <v>-1189.0</v>
      </c>
      <c r="P647" s="220">
        <v>1219.0</v>
      </c>
      <c r="Q647" s="209"/>
      <c r="R647" s="196" t="s">
        <v>2089</v>
      </c>
      <c r="S647" s="45"/>
      <c r="T647" s="220">
        <v>103.0</v>
      </c>
      <c r="U647" s="198"/>
    </row>
    <row r="648" ht="22.5" customHeight="1">
      <c r="A648" s="251">
        <v>46023.0</v>
      </c>
      <c r="B648" s="212" t="s">
        <v>223</v>
      </c>
      <c r="C648" s="213" t="s">
        <v>136</v>
      </c>
      <c r="D648" s="214" t="s">
        <v>1760</v>
      </c>
      <c r="E648" s="212" t="s">
        <v>15</v>
      </c>
      <c r="F648" s="215">
        <v>5.0</v>
      </c>
      <c r="G648" s="210"/>
      <c r="H648" s="216">
        <v>100.0</v>
      </c>
      <c r="I648" s="216">
        <v>500.0</v>
      </c>
      <c r="J648" s="216">
        <v>10000.0</v>
      </c>
      <c r="K648" s="237" t="s">
        <v>1909</v>
      </c>
      <c r="L648" s="217">
        <v>46046.0</v>
      </c>
      <c r="M648" s="217">
        <v>46077.0</v>
      </c>
      <c r="N648" s="215">
        <v>0.0</v>
      </c>
      <c r="O648" s="215">
        <v>-1185.0</v>
      </c>
      <c r="P648" s="215">
        <v>1215.0</v>
      </c>
      <c r="Q648" s="232">
        <v>46255.0</v>
      </c>
      <c r="R648" s="218" t="s">
        <v>2090</v>
      </c>
      <c r="S648" s="186"/>
      <c r="T648" s="215">
        <v>104.0</v>
      </c>
      <c r="U648" s="204"/>
    </row>
    <row r="649" ht="22.5" customHeight="1">
      <c r="A649" s="252">
        <v>46023.0</v>
      </c>
      <c r="B649" s="193" t="s">
        <v>221</v>
      </c>
      <c r="C649" s="226" t="s">
        <v>136</v>
      </c>
      <c r="D649" s="194" t="s">
        <v>1760</v>
      </c>
      <c r="E649" s="193" t="s">
        <v>15</v>
      </c>
      <c r="F649" s="220">
        <v>5.0</v>
      </c>
      <c r="G649" s="150"/>
      <c r="H649" s="222">
        <v>100.0</v>
      </c>
      <c r="I649" s="222">
        <v>500.0</v>
      </c>
      <c r="J649" s="222">
        <v>10000.0</v>
      </c>
      <c r="K649" s="222">
        <v>0.0</v>
      </c>
      <c r="L649" s="223">
        <v>46047.0</v>
      </c>
      <c r="M649" s="223">
        <v>46078.0</v>
      </c>
      <c r="N649" s="220">
        <v>1.0</v>
      </c>
      <c r="O649" s="220">
        <v>-1184.0</v>
      </c>
      <c r="P649" s="220">
        <v>1214.0</v>
      </c>
      <c r="Q649" s="238">
        <v>46255.0</v>
      </c>
      <c r="R649" s="196" t="s">
        <v>2091</v>
      </c>
      <c r="S649" s="45"/>
      <c r="T649" s="220">
        <v>105.0</v>
      </c>
      <c r="U649" s="198"/>
    </row>
    <row r="650" ht="22.5" customHeight="1">
      <c r="A650" s="211">
        <v>1.0</v>
      </c>
      <c r="B650" s="212" t="s">
        <v>194</v>
      </c>
      <c r="C650" s="213" t="s">
        <v>136</v>
      </c>
      <c r="D650" s="214" t="s">
        <v>1760</v>
      </c>
      <c r="E650" s="212" t="s">
        <v>15</v>
      </c>
      <c r="F650" s="215">
        <v>5.0</v>
      </c>
      <c r="G650" s="147"/>
      <c r="H650" s="216">
        <v>100.0</v>
      </c>
      <c r="I650" s="216">
        <v>300.0</v>
      </c>
      <c r="J650" s="216">
        <v>6000.0</v>
      </c>
      <c r="K650" s="216">
        <v>6000.0</v>
      </c>
      <c r="L650" s="217">
        <v>46044.0</v>
      </c>
      <c r="M650" s="217">
        <v>46075.0</v>
      </c>
      <c r="N650" s="215">
        <v>0.0</v>
      </c>
      <c r="O650" s="215">
        <v>-1187.0</v>
      </c>
      <c r="P650" s="215">
        <v>1217.0</v>
      </c>
      <c r="Q650" s="203"/>
      <c r="R650" s="218" t="s">
        <v>2092</v>
      </c>
      <c r="S650" s="186"/>
      <c r="T650" s="215">
        <v>106.0</v>
      </c>
      <c r="U650" s="204"/>
    </row>
    <row r="651" ht="22.5" customHeight="1">
      <c r="A651" s="192" t="s">
        <v>2093</v>
      </c>
      <c r="B651" s="193" t="s">
        <v>229</v>
      </c>
      <c r="C651" s="226" t="s">
        <v>136</v>
      </c>
      <c r="D651" s="194" t="s">
        <v>1760</v>
      </c>
      <c r="E651" s="193" t="s">
        <v>15</v>
      </c>
      <c r="F651" s="220">
        <v>5.0</v>
      </c>
      <c r="G651" s="221"/>
      <c r="H651" s="222">
        <v>100.0</v>
      </c>
      <c r="I651" s="222">
        <v>500.0</v>
      </c>
      <c r="J651" s="222">
        <v>10000.0</v>
      </c>
      <c r="K651" s="197" t="s">
        <v>1909</v>
      </c>
      <c r="L651" s="223">
        <v>46050.0</v>
      </c>
      <c r="M651" s="223">
        <v>46081.0</v>
      </c>
      <c r="N651" s="220">
        <v>0.0</v>
      </c>
      <c r="O651" s="220">
        <v>-1181.0</v>
      </c>
      <c r="P651" s="220">
        <v>1211.0</v>
      </c>
      <c r="Q651" s="209"/>
      <c r="R651" s="196" t="s">
        <v>2094</v>
      </c>
      <c r="S651" s="45"/>
      <c r="T651" s="220">
        <v>107.0</v>
      </c>
      <c r="U651" s="198"/>
    </row>
    <row r="652" ht="22.5" customHeight="1">
      <c r="A652" s="199"/>
      <c r="B652" s="212" t="s">
        <v>231</v>
      </c>
      <c r="C652" s="213" t="s">
        <v>136</v>
      </c>
      <c r="D652" s="214" t="s">
        <v>1782</v>
      </c>
      <c r="E652" s="212" t="s">
        <v>15</v>
      </c>
      <c r="F652" s="215">
        <v>3.0</v>
      </c>
      <c r="G652" s="210"/>
      <c r="H652" s="216">
        <v>100.0</v>
      </c>
      <c r="I652" s="216">
        <v>300.0</v>
      </c>
      <c r="J652" s="216">
        <v>6000.0</v>
      </c>
      <c r="K652" s="216">
        <v>0.0</v>
      </c>
      <c r="L652" s="217">
        <v>46026.0</v>
      </c>
      <c r="M652" s="217">
        <v>46057.0</v>
      </c>
      <c r="N652" s="215">
        <v>1.0</v>
      </c>
      <c r="O652" s="215">
        <v>-1205.0</v>
      </c>
      <c r="P652" s="215">
        <v>1235.0</v>
      </c>
      <c r="Q652" s="203"/>
      <c r="R652" s="218" t="s">
        <v>2095</v>
      </c>
      <c r="S652" s="186"/>
      <c r="T652" s="215">
        <v>108.0</v>
      </c>
      <c r="U652" s="204"/>
    </row>
    <row r="653" ht="22.5" customHeight="1">
      <c r="A653" s="205"/>
      <c r="B653" s="193" t="s">
        <v>184</v>
      </c>
      <c r="C653" s="206"/>
      <c r="D653" s="194" t="s">
        <v>1760</v>
      </c>
      <c r="E653" s="194" t="s">
        <v>15</v>
      </c>
      <c r="F653" s="220">
        <v>5.0</v>
      </c>
      <c r="G653" s="150"/>
      <c r="H653" s="207"/>
      <c r="I653" s="207"/>
      <c r="J653" s="207"/>
      <c r="K653" s="207"/>
      <c r="L653" s="223">
        <v>46043.0</v>
      </c>
      <c r="M653" s="223">
        <v>46074.0</v>
      </c>
      <c r="N653" s="150"/>
      <c r="O653" s="220">
        <v>-1188.0</v>
      </c>
      <c r="P653" s="220">
        <v>1218.0</v>
      </c>
      <c r="Q653" s="209"/>
      <c r="R653" s="196" t="s">
        <v>2096</v>
      </c>
      <c r="S653" s="45"/>
      <c r="T653" s="220">
        <v>109.0</v>
      </c>
      <c r="U653" s="198"/>
    </row>
    <row r="654" ht="22.5" customHeight="1">
      <c r="A654" s="199"/>
      <c r="B654" s="212" t="s">
        <v>243</v>
      </c>
      <c r="C654" s="213" t="s">
        <v>136</v>
      </c>
      <c r="D654" s="214" t="s">
        <v>1782</v>
      </c>
      <c r="E654" s="212" t="s">
        <v>15</v>
      </c>
      <c r="F654" s="215">
        <v>3.0</v>
      </c>
      <c r="G654" s="210"/>
      <c r="H654" s="216">
        <v>130.0</v>
      </c>
      <c r="I654" s="216">
        <v>390.0</v>
      </c>
      <c r="J654" s="216">
        <v>7800.0</v>
      </c>
      <c r="K654" s="216">
        <v>0.0</v>
      </c>
      <c r="L654" s="217">
        <v>46038.0</v>
      </c>
      <c r="M654" s="217">
        <v>46069.0</v>
      </c>
      <c r="N654" s="215">
        <v>1.0</v>
      </c>
      <c r="O654" s="215">
        <v>-1193.0</v>
      </c>
      <c r="P654" s="215">
        <v>1223.0</v>
      </c>
      <c r="Q654" s="203"/>
      <c r="R654" s="218" t="s">
        <v>2097</v>
      </c>
      <c r="S654" s="186"/>
      <c r="T654" s="215">
        <v>110.0</v>
      </c>
      <c r="U654" s="204"/>
    </row>
    <row r="655" ht="22.5" customHeight="1">
      <c r="A655" s="205"/>
      <c r="B655" s="193" t="s">
        <v>249</v>
      </c>
      <c r="C655" s="226" t="s">
        <v>136</v>
      </c>
      <c r="D655" s="194" t="s">
        <v>1991</v>
      </c>
      <c r="E655" s="193" t="s">
        <v>15</v>
      </c>
      <c r="F655" s="220">
        <v>1.0</v>
      </c>
      <c r="G655" s="221"/>
      <c r="H655" s="222">
        <v>130.0</v>
      </c>
      <c r="I655" s="222">
        <v>130.0</v>
      </c>
      <c r="J655" s="222">
        <v>2600.0</v>
      </c>
      <c r="K655" s="222">
        <v>0.0</v>
      </c>
      <c r="L655" s="223">
        <v>46025.0</v>
      </c>
      <c r="M655" s="223">
        <v>46056.0</v>
      </c>
      <c r="N655" s="220">
        <v>1.0</v>
      </c>
      <c r="O655" s="220">
        <v>-1206.0</v>
      </c>
      <c r="P655" s="220">
        <v>1236.0</v>
      </c>
      <c r="Q655" s="209"/>
      <c r="R655" s="196" t="s">
        <v>2098</v>
      </c>
      <c r="S655" s="45"/>
      <c r="T655" s="220">
        <v>111.0</v>
      </c>
      <c r="U655" s="198"/>
    </row>
    <row r="656" ht="22.5" customHeight="1">
      <c r="A656" s="211">
        <v>1.0</v>
      </c>
      <c r="B656" s="212" t="s">
        <v>215</v>
      </c>
      <c r="C656" s="213" t="s">
        <v>136</v>
      </c>
      <c r="D656" s="214" t="s">
        <v>2099</v>
      </c>
      <c r="E656" s="212" t="s">
        <v>15</v>
      </c>
      <c r="F656" s="215">
        <v>3.0</v>
      </c>
      <c r="G656" s="147"/>
      <c r="H656" s="216">
        <v>120.0</v>
      </c>
      <c r="I656" s="216">
        <v>400.0</v>
      </c>
      <c r="J656" s="216">
        <v>8000.0</v>
      </c>
      <c r="K656" s="216">
        <v>0.0</v>
      </c>
      <c r="L656" s="217">
        <v>46031.0</v>
      </c>
      <c r="M656" s="217">
        <v>46062.0</v>
      </c>
      <c r="N656" s="215">
        <v>1.0</v>
      </c>
      <c r="O656" s="215">
        <v>-1200.0</v>
      </c>
      <c r="P656" s="215">
        <v>1230.0</v>
      </c>
      <c r="Q656" s="203"/>
      <c r="R656" s="218" t="s">
        <v>2100</v>
      </c>
      <c r="S656" s="186"/>
      <c r="T656" s="215">
        <v>112.0</v>
      </c>
      <c r="U656" s="204"/>
    </row>
    <row r="657" ht="22.5" customHeight="1">
      <c r="A657" s="205"/>
      <c r="B657" s="193" t="s">
        <v>235</v>
      </c>
      <c r="C657" s="226" t="s">
        <v>136</v>
      </c>
      <c r="D657" s="194" t="s">
        <v>2101</v>
      </c>
      <c r="E657" s="193" t="s">
        <v>17</v>
      </c>
      <c r="F657" s="220">
        <v>3.0</v>
      </c>
      <c r="G657" s="221"/>
      <c r="H657" s="222">
        <v>2500.0</v>
      </c>
      <c r="I657" s="222">
        <v>7500.0</v>
      </c>
      <c r="J657" s="222">
        <v>7500.0</v>
      </c>
      <c r="K657" s="222">
        <v>0.0</v>
      </c>
      <c r="L657" s="223">
        <v>46023.0</v>
      </c>
      <c r="M657" s="223">
        <v>46054.0</v>
      </c>
      <c r="N657" s="220">
        <v>1.0</v>
      </c>
      <c r="O657" s="220">
        <v>-1208.0</v>
      </c>
      <c r="P657" s="220">
        <v>1238.0</v>
      </c>
      <c r="Q657" s="209"/>
      <c r="R657" s="196" t="s">
        <v>2102</v>
      </c>
      <c r="S657" s="45"/>
      <c r="T657" s="220">
        <v>113.0</v>
      </c>
      <c r="U657" s="198"/>
    </row>
    <row r="658" ht="22.5" customHeight="1">
      <c r="A658" s="211">
        <v>1.0</v>
      </c>
      <c r="B658" s="212" t="s">
        <v>192</v>
      </c>
      <c r="C658" s="213" t="s">
        <v>136</v>
      </c>
      <c r="D658" s="214" t="s">
        <v>2101</v>
      </c>
      <c r="E658" s="212" t="s">
        <v>17</v>
      </c>
      <c r="F658" s="215">
        <v>3.0</v>
      </c>
      <c r="G658" s="147"/>
      <c r="H658" s="216">
        <v>2000.0</v>
      </c>
      <c r="I658" s="216">
        <v>6000.0</v>
      </c>
      <c r="J658" s="216">
        <v>6000.0</v>
      </c>
      <c r="K658" s="216">
        <v>0.0</v>
      </c>
      <c r="L658" s="217">
        <v>46032.0</v>
      </c>
      <c r="M658" s="202"/>
      <c r="N658" s="215">
        <v>1.0</v>
      </c>
      <c r="O658" s="147"/>
      <c r="P658" s="215">
        <v>30.0</v>
      </c>
      <c r="Q658" s="203"/>
      <c r="R658" s="218" t="s">
        <v>2103</v>
      </c>
      <c r="S658" s="186"/>
      <c r="T658" s="215">
        <v>114.0</v>
      </c>
      <c r="U658" s="204"/>
    </row>
    <row r="659" ht="22.5" customHeight="1">
      <c r="A659" s="192" t="s">
        <v>2104</v>
      </c>
      <c r="B659" s="193" t="s">
        <v>227</v>
      </c>
      <c r="C659" s="226" t="s">
        <v>136</v>
      </c>
      <c r="D659" s="194" t="s">
        <v>1760</v>
      </c>
      <c r="E659" s="193" t="s">
        <v>15</v>
      </c>
      <c r="F659" s="220">
        <v>5.0</v>
      </c>
      <c r="G659" s="221"/>
      <c r="H659" s="222">
        <v>100.0</v>
      </c>
      <c r="I659" s="222">
        <v>550.0</v>
      </c>
      <c r="J659" s="222">
        <v>11000.0</v>
      </c>
      <c r="K659" s="222">
        <v>0.0</v>
      </c>
      <c r="L659" s="223">
        <v>46052.0</v>
      </c>
      <c r="M659" s="223">
        <v>46081.0</v>
      </c>
      <c r="N659" s="220">
        <v>1.0</v>
      </c>
      <c r="O659" s="220">
        <v>-1181.0</v>
      </c>
      <c r="P659" s="220">
        <v>1211.0</v>
      </c>
      <c r="Q659" s="209"/>
      <c r="R659" s="196" t="s">
        <v>2105</v>
      </c>
      <c r="S659" s="45"/>
      <c r="T659" s="220">
        <v>115.0</v>
      </c>
      <c r="U659" s="198"/>
    </row>
    <row r="660" ht="22.5" customHeight="1">
      <c r="A660" s="251">
        <v>46023.0</v>
      </c>
      <c r="B660" s="212" t="s">
        <v>142</v>
      </c>
      <c r="C660" s="213" t="s">
        <v>136</v>
      </c>
      <c r="D660" s="214" t="s">
        <v>1760</v>
      </c>
      <c r="E660" s="212" t="s">
        <v>15</v>
      </c>
      <c r="F660" s="215">
        <v>5.0</v>
      </c>
      <c r="G660" s="147"/>
      <c r="H660" s="216">
        <v>120.0</v>
      </c>
      <c r="I660" s="216">
        <v>500.0</v>
      </c>
      <c r="J660" s="216">
        <v>10000.0</v>
      </c>
      <c r="K660" s="216">
        <v>0.0</v>
      </c>
      <c r="L660" s="217">
        <v>46024.0</v>
      </c>
      <c r="M660" s="217">
        <v>46055.0</v>
      </c>
      <c r="N660" s="215">
        <v>1.0</v>
      </c>
      <c r="O660" s="215">
        <v>-1207.0</v>
      </c>
      <c r="P660" s="215">
        <v>1237.0</v>
      </c>
      <c r="Q660" s="203"/>
      <c r="R660" s="218" t="s">
        <v>2106</v>
      </c>
      <c r="S660" s="186"/>
      <c r="T660" s="215">
        <v>116.0</v>
      </c>
      <c r="U660" s="204"/>
    </row>
    <row r="661" ht="22.5" customHeight="1">
      <c r="A661" s="192">
        <v>1.0</v>
      </c>
      <c r="B661" s="193" t="s">
        <v>225</v>
      </c>
      <c r="C661" s="226" t="s">
        <v>136</v>
      </c>
      <c r="D661" s="194" t="s">
        <v>2107</v>
      </c>
      <c r="E661" s="194" t="s">
        <v>17</v>
      </c>
      <c r="F661" s="220">
        <v>2.0</v>
      </c>
      <c r="G661" s="150"/>
      <c r="H661" s="222">
        <v>2500.0</v>
      </c>
      <c r="I661" s="222">
        <v>5000.0</v>
      </c>
      <c r="J661" s="222">
        <v>5000.0</v>
      </c>
      <c r="K661" s="222">
        <v>0.0</v>
      </c>
      <c r="L661" s="223">
        <v>46365.0</v>
      </c>
      <c r="M661" s="223">
        <v>46031.0</v>
      </c>
      <c r="N661" s="220">
        <v>1.0</v>
      </c>
      <c r="O661" s="220">
        <v>-1231.0</v>
      </c>
      <c r="P661" s="220">
        <v>1261.0</v>
      </c>
      <c r="Q661" s="209"/>
      <c r="R661" s="196" t="s">
        <v>2108</v>
      </c>
      <c r="S661" s="45"/>
      <c r="T661" s="220">
        <v>65.0</v>
      </c>
      <c r="U661" s="198"/>
    </row>
    <row r="662" ht="22.5" customHeight="1">
      <c r="A662" s="211">
        <v>1.0</v>
      </c>
      <c r="B662" s="212" t="s">
        <v>207</v>
      </c>
      <c r="C662" s="213" t="s">
        <v>136</v>
      </c>
      <c r="D662" s="214" t="s">
        <v>1983</v>
      </c>
      <c r="E662" s="214" t="s">
        <v>17</v>
      </c>
      <c r="F662" s="215">
        <v>5.0</v>
      </c>
      <c r="G662" s="147"/>
      <c r="H662" s="216">
        <v>1350.0</v>
      </c>
      <c r="I662" s="216">
        <v>6750.0</v>
      </c>
      <c r="J662" s="216">
        <v>6750.0</v>
      </c>
      <c r="K662" s="216">
        <v>0.0</v>
      </c>
      <c r="L662" s="217">
        <v>46373.0</v>
      </c>
      <c r="M662" s="217">
        <v>46039.0</v>
      </c>
      <c r="N662" s="215">
        <v>1.0</v>
      </c>
      <c r="O662" s="215">
        <v>-1223.0</v>
      </c>
      <c r="P662" s="215">
        <v>1253.0</v>
      </c>
      <c r="Q662" s="203"/>
      <c r="R662" s="218" t="s">
        <v>2109</v>
      </c>
      <c r="S662" s="186"/>
      <c r="T662" s="215">
        <v>66.0</v>
      </c>
      <c r="U662" s="204"/>
    </row>
    <row r="663" ht="22.5" customHeight="1">
      <c r="A663" s="192">
        <v>1.0</v>
      </c>
      <c r="B663" s="193" t="s">
        <v>201</v>
      </c>
      <c r="C663" s="226" t="s">
        <v>136</v>
      </c>
      <c r="D663" s="194" t="s">
        <v>2077</v>
      </c>
      <c r="E663" s="193" t="s">
        <v>17</v>
      </c>
      <c r="F663" s="220">
        <v>4.0</v>
      </c>
      <c r="G663" s="150"/>
      <c r="H663" s="222">
        <v>2000.0</v>
      </c>
      <c r="I663" s="222">
        <v>8000.0</v>
      </c>
      <c r="J663" s="222">
        <v>8000.0</v>
      </c>
      <c r="K663" s="207"/>
      <c r="L663" s="223">
        <v>46365.0</v>
      </c>
      <c r="M663" s="223">
        <v>46031.0</v>
      </c>
      <c r="N663" s="150"/>
      <c r="O663" s="220">
        <v>-1231.0</v>
      </c>
      <c r="P663" s="220">
        <v>1261.0</v>
      </c>
      <c r="Q663" s="209"/>
      <c r="R663" s="196" t="s">
        <v>2110</v>
      </c>
      <c r="S663" s="45"/>
      <c r="T663" s="220">
        <v>67.0</v>
      </c>
      <c r="U663" s="198"/>
    </row>
    <row r="664" ht="22.5" customHeight="1">
      <c r="A664" s="211" t="s">
        <v>1773</v>
      </c>
      <c r="B664" s="212" t="s">
        <v>186</v>
      </c>
      <c r="C664" s="231" t="s">
        <v>684</v>
      </c>
      <c r="D664" s="214" t="s">
        <v>2030</v>
      </c>
      <c r="E664" s="212" t="s">
        <v>187</v>
      </c>
      <c r="F664" s="215">
        <v>2.0</v>
      </c>
      <c r="G664" s="210"/>
      <c r="H664" s="237" t="s">
        <v>2031</v>
      </c>
      <c r="I664" s="216">
        <v>2000.0</v>
      </c>
      <c r="J664" s="201"/>
      <c r="K664" s="201"/>
      <c r="L664" s="217">
        <v>46366.0</v>
      </c>
      <c r="M664" s="217">
        <v>46032.0</v>
      </c>
      <c r="N664" s="147"/>
      <c r="O664" s="215">
        <v>-1230.0</v>
      </c>
      <c r="P664" s="215">
        <v>1260.0</v>
      </c>
      <c r="Q664" s="232">
        <v>46255.0</v>
      </c>
      <c r="R664" s="218" t="s">
        <v>2111</v>
      </c>
      <c r="S664" s="186"/>
      <c r="T664" s="215">
        <v>68.0</v>
      </c>
      <c r="U664" s="204"/>
    </row>
    <row r="665" ht="22.5" customHeight="1">
      <c r="A665" s="205"/>
      <c r="B665" s="193" t="s">
        <v>241</v>
      </c>
      <c r="C665" s="226" t="s">
        <v>136</v>
      </c>
      <c r="D665" s="194" t="s">
        <v>1711</v>
      </c>
      <c r="E665" s="193" t="s">
        <v>15</v>
      </c>
      <c r="F665" s="220">
        <v>1.0</v>
      </c>
      <c r="G665" s="221"/>
      <c r="H665" s="222">
        <v>250.0</v>
      </c>
      <c r="I665" s="222">
        <v>250.0</v>
      </c>
      <c r="J665" s="222">
        <v>5000.0</v>
      </c>
      <c r="K665" s="222">
        <v>0.0</v>
      </c>
      <c r="L665" s="223">
        <v>46366.0</v>
      </c>
      <c r="M665" s="223">
        <v>46032.0</v>
      </c>
      <c r="N665" s="220">
        <v>1.0</v>
      </c>
      <c r="O665" s="220">
        <v>-1230.0</v>
      </c>
      <c r="P665" s="220">
        <v>1260.0</v>
      </c>
      <c r="Q665" s="209"/>
      <c r="R665" s="196" t="s">
        <v>2112</v>
      </c>
      <c r="S665" s="45"/>
      <c r="T665" s="220">
        <v>69.0</v>
      </c>
      <c r="U665" s="198"/>
    </row>
    <row r="666" ht="22.5" customHeight="1">
      <c r="A666" s="211">
        <v>1.0</v>
      </c>
      <c r="B666" s="212" t="s">
        <v>219</v>
      </c>
      <c r="C666" s="213" t="s">
        <v>136</v>
      </c>
      <c r="D666" s="214" t="s">
        <v>1760</v>
      </c>
      <c r="E666" s="212" t="s">
        <v>15</v>
      </c>
      <c r="F666" s="215">
        <v>5.0</v>
      </c>
      <c r="G666" s="147"/>
      <c r="H666" s="216">
        <v>100.0</v>
      </c>
      <c r="I666" s="216">
        <v>250.0</v>
      </c>
      <c r="J666" s="216">
        <v>5000.0</v>
      </c>
      <c r="K666" s="216">
        <v>0.0</v>
      </c>
      <c r="L666" s="217">
        <v>46372.0</v>
      </c>
      <c r="M666" s="217">
        <v>46038.0</v>
      </c>
      <c r="N666" s="215">
        <v>1.0</v>
      </c>
      <c r="O666" s="215">
        <v>-1224.0</v>
      </c>
      <c r="P666" s="215">
        <v>1254.0</v>
      </c>
      <c r="Q666" s="203"/>
      <c r="R666" s="218" t="s">
        <v>2113</v>
      </c>
      <c r="S666" s="186"/>
      <c r="T666" s="215">
        <v>70.0</v>
      </c>
      <c r="U666" s="204"/>
    </row>
    <row r="667" ht="22.5" customHeight="1">
      <c r="A667" s="205"/>
      <c r="B667" s="193" t="s">
        <v>245</v>
      </c>
      <c r="C667" s="194" t="s">
        <v>2114</v>
      </c>
      <c r="D667" s="206"/>
      <c r="E667" s="206"/>
      <c r="F667" s="220">
        <v>1.0</v>
      </c>
      <c r="G667" s="221"/>
      <c r="H667" s="222">
        <v>130.0</v>
      </c>
      <c r="I667" s="222">
        <v>130.0</v>
      </c>
      <c r="J667" s="222">
        <v>2600.0</v>
      </c>
      <c r="K667" s="222">
        <v>0.0</v>
      </c>
      <c r="L667" s="223">
        <v>46359.0</v>
      </c>
      <c r="M667" s="223">
        <v>46025.0</v>
      </c>
      <c r="N667" s="220">
        <v>1.0</v>
      </c>
      <c r="O667" s="220">
        <v>-1237.0</v>
      </c>
      <c r="P667" s="220">
        <v>1267.0</v>
      </c>
      <c r="Q667" s="209"/>
      <c r="R667" s="196" t="s">
        <v>2115</v>
      </c>
      <c r="S667" s="45"/>
      <c r="T667" s="220">
        <v>71.0</v>
      </c>
      <c r="U667" s="198"/>
    </row>
    <row r="668" ht="22.5" customHeight="1">
      <c r="A668" s="211" t="s">
        <v>2116</v>
      </c>
      <c r="B668" s="212" t="s">
        <v>247</v>
      </c>
      <c r="C668" s="214" t="s">
        <v>2114</v>
      </c>
      <c r="D668" s="200"/>
      <c r="E668" s="200"/>
      <c r="F668" s="215">
        <v>1.0</v>
      </c>
      <c r="G668" s="210"/>
      <c r="H668" s="216">
        <v>130.0</v>
      </c>
      <c r="I668" s="216">
        <v>16.25</v>
      </c>
      <c r="J668" s="216">
        <v>325.0</v>
      </c>
      <c r="K668" s="216">
        <v>0.0</v>
      </c>
      <c r="L668" s="217">
        <v>46359.0</v>
      </c>
      <c r="M668" s="217">
        <v>46025.0</v>
      </c>
      <c r="N668" s="215">
        <v>1.0</v>
      </c>
      <c r="O668" s="215">
        <v>-1237.0</v>
      </c>
      <c r="P668" s="215">
        <v>1267.0</v>
      </c>
      <c r="Q668" s="203"/>
      <c r="R668" s="218" t="s">
        <v>2117</v>
      </c>
      <c r="S668" s="186"/>
      <c r="T668" s="215">
        <v>72.0</v>
      </c>
      <c r="U668" s="204"/>
    </row>
    <row r="669" ht="22.5" customHeight="1">
      <c r="A669" s="205"/>
      <c r="B669" s="193" t="s">
        <v>251</v>
      </c>
      <c r="C669" s="194" t="s">
        <v>2114</v>
      </c>
      <c r="D669" s="206"/>
      <c r="E669" s="206"/>
      <c r="F669" s="220">
        <v>1.0</v>
      </c>
      <c r="G669" s="221"/>
      <c r="H669" s="222">
        <v>130.0</v>
      </c>
      <c r="I669" s="222">
        <v>130.0</v>
      </c>
      <c r="J669" s="222">
        <v>2600.0</v>
      </c>
      <c r="K669" s="222">
        <v>0.0</v>
      </c>
      <c r="L669" s="223">
        <v>46359.0</v>
      </c>
      <c r="M669" s="223">
        <v>46025.0</v>
      </c>
      <c r="N669" s="220">
        <v>1.0</v>
      </c>
      <c r="O669" s="220">
        <v>-1237.0</v>
      </c>
      <c r="P669" s="220">
        <v>1267.0</v>
      </c>
      <c r="Q669" s="209"/>
      <c r="R669" s="196" t="s">
        <v>2118</v>
      </c>
      <c r="S669" s="45"/>
      <c r="T669" s="220">
        <v>73.0</v>
      </c>
      <c r="U669" s="198"/>
    </row>
    <row r="670" ht="22.5" customHeight="1">
      <c r="A670" s="199"/>
      <c r="B670" s="212" t="s">
        <v>255</v>
      </c>
      <c r="C670" s="214" t="s">
        <v>2114</v>
      </c>
      <c r="D670" s="214" t="s">
        <v>2085</v>
      </c>
      <c r="E670" s="212" t="s">
        <v>15</v>
      </c>
      <c r="F670" s="215">
        <v>2.0</v>
      </c>
      <c r="G670" s="210"/>
      <c r="H670" s="216">
        <v>2500.0</v>
      </c>
      <c r="I670" s="216">
        <v>5000.0</v>
      </c>
      <c r="J670" s="216">
        <v>5000.0</v>
      </c>
      <c r="K670" s="216">
        <v>0.0</v>
      </c>
      <c r="L670" s="217">
        <v>46362.0</v>
      </c>
      <c r="M670" s="217">
        <v>46028.0</v>
      </c>
      <c r="N670" s="215">
        <v>1.0</v>
      </c>
      <c r="O670" s="215">
        <v>-1234.0</v>
      </c>
      <c r="P670" s="215">
        <v>1264.0</v>
      </c>
      <c r="Q670" s="203"/>
      <c r="R670" s="218" t="s">
        <v>2119</v>
      </c>
      <c r="S670" s="186"/>
      <c r="T670" s="215">
        <v>74.0</v>
      </c>
      <c r="U670" s="204"/>
    </row>
    <row r="671" ht="22.5" customHeight="1">
      <c r="A671" s="192" t="s">
        <v>2104</v>
      </c>
      <c r="B671" s="193" t="s">
        <v>239</v>
      </c>
      <c r="C671" s="226" t="s">
        <v>136</v>
      </c>
      <c r="D671" s="194" t="s">
        <v>1472</v>
      </c>
      <c r="E671" s="193" t="s">
        <v>15</v>
      </c>
      <c r="F671" s="220">
        <v>1.0</v>
      </c>
      <c r="G671" s="221"/>
      <c r="H671" s="222">
        <v>150.0</v>
      </c>
      <c r="I671" s="222">
        <v>150.0</v>
      </c>
      <c r="J671" s="222">
        <v>3000.0</v>
      </c>
      <c r="K671" s="222">
        <v>0.0</v>
      </c>
      <c r="L671" s="223">
        <v>46359.0</v>
      </c>
      <c r="M671" s="223">
        <v>46025.0</v>
      </c>
      <c r="N671" s="220">
        <v>1.0</v>
      </c>
      <c r="O671" s="220">
        <v>-1237.0</v>
      </c>
      <c r="P671" s="220">
        <v>1267.0</v>
      </c>
      <c r="Q671" s="209"/>
      <c r="R671" s="196" t="s">
        <v>2120</v>
      </c>
      <c r="S671" s="45"/>
      <c r="T671" s="220">
        <v>75.0</v>
      </c>
      <c r="U671" s="198"/>
    </row>
    <row r="672" ht="22.5" customHeight="1">
      <c r="A672" s="199"/>
      <c r="B672" s="212" t="s">
        <v>233</v>
      </c>
      <c r="C672" s="213" t="s">
        <v>136</v>
      </c>
      <c r="D672" s="214" t="s">
        <v>1845</v>
      </c>
      <c r="E672" s="212" t="s">
        <v>15</v>
      </c>
      <c r="F672" s="215">
        <v>4.0</v>
      </c>
      <c r="G672" s="147"/>
      <c r="H672" s="216">
        <v>100.0</v>
      </c>
      <c r="I672" s="216">
        <v>400.0</v>
      </c>
      <c r="J672" s="216">
        <v>8000.0</v>
      </c>
      <c r="K672" s="237" t="s">
        <v>1909</v>
      </c>
      <c r="L672" s="217">
        <v>46364.0</v>
      </c>
      <c r="M672" s="217">
        <v>46030.0</v>
      </c>
      <c r="N672" s="215">
        <v>0.0</v>
      </c>
      <c r="O672" s="215">
        <v>-1232.0</v>
      </c>
      <c r="P672" s="215">
        <v>1262.0</v>
      </c>
      <c r="Q672" s="203"/>
      <c r="R672" s="218" t="s">
        <v>2121</v>
      </c>
      <c r="S672" s="186"/>
      <c r="T672" s="215">
        <v>76.0</v>
      </c>
      <c r="U672" s="204"/>
    </row>
    <row r="673" ht="22.5" customHeight="1">
      <c r="A673" s="192">
        <v>1.0</v>
      </c>
      <c r="B673" s="193" t="s">
        <v>217</v>
      </c>
      <c r="C673" s="226" t="s">
        <v>136</v>
      </c>
      <c r="D673" s="194" t="s">
        <v>1760</v>
      </c>
      <c r="E673" s="193" t="s">
        <v>15</v>
      </c>
      <c r="F673" s="220">
        <v>5.0</v>
      </c>
      <c r="G673" s="150"/>
      <c r="H673" s="222">
        <v>100.0</v>
      </c>
      <c r="I673" s="222">
        <v>500.0</v>
      </c>
      <c r="J673" s="222">
        <v>10000.0</v>
      </c>
      <c r="K673" s="222">
        <v>0.0</v>
      </c>
      <c r="L673" s="223">
        <v>46365.0</v>
      </c>
      <c r="M673" s="223">
        <v>46031.0</v>
      </c>
      <c r="N673" s="220">
        <v>1.0</v>
      </c>
      <c r="O673" s="220">
        <v>-1231.0</v>
      </c>
      <c r="P673" s="220">
        <v>1261.0</v>
      </c>
      <c r="Q673" s="209"/>
      <c r="R673" s="196" t="s">
        <v>2122</v>
      </c>
      <c r="S673" s="45"/>
      <c r="T673" s="220">
        <v>77.0</v>
      </c>
      <c r="U673" s="198"/>
    </row>
    <row r="674" ht="22.5" customHeight="1">
      <c r="A674" s="211">
        <v>1.0</v>
      </c>
      <c r="B674" s="212" t="s">
        <v>198</v>
      </c>
      <c r="C674" s="213" t="s">
        <v>136</v>
      </c>
      <c r="D674" s="214" t="s">
        <v>2101</v>
      </c>
      <c r="E674" s="212" t="s">
        <v>17</v>
      </c>
      <c r="F674" s="215">
        <v>3.0</v>
      </c>
      <c r="G674" s="147"/>
      <c r="H674" s="216">
        <v>1500.0</v>
      </c>
      <c r="I674" s="216">
        <v>4500.0</v>
      </c>
      <c r="J674" s="216">
        <v>4500.0</v>
      </c>
      <c r="K674" s="216">
        <v>0.0</v>
      </c>
      <c r="L674" s="217">
        <v>46376.0</v>
      </c>
      <c r="M674" s="217">
        <v>46042.0</v>
      </c>
      <c r="N674" s="215">
        <v>1.0</v>
      </c>
      <c r="O674" s="215">
        <v>-1220.0</v>
      </c>
      <c r="P674" s="215">
        <v>1250.0</v>
      </c>
      <c r="Q674" s="203"/>
      <c r="R674" s="218" t="s">
        <v>2123</v>
      </c>
      <c r="S674" s="186"/>
      <c r="T674" s="215">
        <v>78.0</v>
      </c>
      <c r="U674" s="204"/>
    </row>
    <row r="675" ht="22.5" customHeight="1">
      <c r="A675" s="192">
        <v>1.0</v>
      </c>
      <c r="B675" s="193" t="s">
        <v>223</v>
      </c>
      <c r="C675" s="226" t="s">
        <v>136</v>
      </c>
      <c r="D675" s="194" t="s">
        <v>1760</v>
      </c>
      <c r="E675" s="193" t="s">
        <v>15</v>
      </c>
      <c r="F675" s="220">
        <v>5.0</v>
      </c>
      <c r="G675" s="150"/>
      <c r="H675" s="222">
        <v>100.0</v>
      </c>
      <c r="I675" s="222">
        <v>500.0</v>
      </c>
      <c r="J675" s="222">
        <v>10000.0</v>
      </c>
      <c r="K675" s="222">
        <v>10000.0</v>
      </c>
      <c r="L675" s="223">
        <v>46380.0</v>
      </c>
      <c r="M675" s="223">
        <v>46046.0</v>
      </c>
      <c r="N675" s="220">
        <v>0.0</v>
      </c>
      <c r="O675" s="220">
        <v>-1216.0</v>
      </c>
      <c r="P675" s="220">
        <v>1246.0</v>
      </c>
      <c r="Q675" s="209"/>
      <c r="R675" s="196" t="s">
        <v>2124</v>
      </c>
      <c r="S675" s="45"/>
      <c r="T675" s="220">
        <v>79.0</v>
      </c>
      <c r="U675" s="198"/>
    </row>
    <row r="676" ht="22.5" customHeight="1">
      <c r="A676" s="211">
        <v>1.0</v>
      </c>
      <c r="B676" s="212" t="s">
        <v>221</v>
      </c>
      <c r="C676" s="213" t="s">
        <v>136</v>
      </c>
      <c r="D676" s="214" t="s">
        <v>1760</v>
      </c>
      <c r="E676" s="212" t="s">
        <v>15</v>
      </c>
      <c r="F676" s="215">
        <v>5.0</v>
      </c>
      <c r="G676" s="147"/>
      <c r="H676" s="216">
        <v>100.0</v>
      </c>
      <c r="I676" s="216">
        <v>500.0</v>
      </c>
      <c r="J676" s="216">
        <v>10000.0</v>
      </c>
      <c r="K676" s="216">
        <v>0.0</v>
      </c>
      <c r="L676" s="217">
        <v>46381.0</v>
      </c>
      <c r="M676" s="217">
        <v>46047.0</v>
      </c>
      <c r="N676" s="215">
        <v>1.0</v>
      </c>
      <c r="O676" s="215">
        <v>-1215.0</v>
      </c>
      <c r="P676" s="215">
        <v>1245.0</v>
      </c>
      <c r="Q676" s="203"/>
      <c r="R676" s="218" t="s">
        <v>2125</v>
      </c>
      <c r="S676" s="186"/>
      <c r="T676" s="215">
        <v>80.0</v>
      </c>
      <c r="U676" s="204"/>
    </row>
    <row r="677" ht="22.5" customHeight="1">
      <c r="A677" s="192">
        <v>1.0</v>
      </c>
      <c r="B677" s="193" t="s">
        <v>194</v>
      </c>
      <c r="C677" s="226" t="s">
        <v>136</v>
      </c>
      <c r="D677" s="194" t="s">
        <v>1760</v>
      </c>
      <c r="E677" s="193" t="s">
        <v>15</v>
      </c>
      <c r="F677" s="220">
        <v>3.0</v>
      </c>
      <c r="G677" s="150"/>
      <c r="H677" s="222">
        <v>100.0</v>
      </c>
      <c r="I677" s="222">
        <v>300.0</v>
      </c>
      <c r="J677" s="222">
        <v>6000.0</v>
      </c>
      <c r="K677" s="222">
        <v>6000.0</v>
      </c>
      <c r="L677" s="223">
        <v>46378.0</v>
      </c>
      <c r="M677" s="223">
        <v>46044.0</v>
      </c>
      <c r="N677" s="220">
        <v>0.0</v>
      </c>
      <c r="O677" s="220">
        <v>-1218.0</v>
      </c>
      <c r="P677" s="220">
        <v>1248.0</v>
      </c>
      <c r="Q677" s="209"/>
      <c r="R677" s="196" t="s">
        <v>2126</v>
      </c>
      <c r="S677" s="45"/>
      <c r="T677" s="220">
        <v>81.0</v>
      </c>
      <c r="U677" s="198"/>
    </row>
    <row r="678" ht="22.5" customHeight="1">
      <c r="A678" s="211" t="s">
        <v>1773</v>
      </c>
      <c r="B678" s="212" t="s">
        <v>209</v>
      </c>
      <c r="C678" s="231" t="s">
        <v>684</v>
      </c>
      <c r="D678" s="214" t="s">
        <v>2127</v>
      </c>
      <c r="E678" s="212" t="s">
        <v>17</v>
      </c>
      <c r="F678" s="215">
        <v>4.0</v>
      </c>
      <c r="G678" s="147"/>
      <c r="H678" s="216">
        <v>2000.0</v>
      </c>
      <c r="I678" s="216">
        <v>8000.0</v>
      </c>
      <c r="J678" s="201"/>
      <c r="K678" s="201"/>
      <c r="L678" s="217">
        <v>46366.0</v>
      </c>
      <c r="M678" s="217">
        <v>46032.0</v>
      </c>
      <c r="N678" s="147"/>
      <c r="O678" s="215">
        <v>-1230.0</v>
      </c>
      <c r="P678" s="215">
        <v>1260.0</v>
      </c>
      <c r="Q678" s="203"/>
      <c r="R678" s="218" t="s">
        <v>2128</v>
      </c>
      <c r="S678" s="186"/>
      <c r="T678" s="215">
        <v>82.0</v>
      </c>
      <c r="U678" s="204"/>
    </row>
    <row r="679" ht="22.5" customHeight="1">
      <c r="A679" s="205"/>
      <c r="B679" s="193" t="s">
        <v>229</v>
      </c>
      <c r="C679" s="226" t="s">
        <v>136</v>
      </c>
      <c r="D679" s="194" t="s">
        <v>1760</v>
      </c>
      <c r="E679" s="193" t="s">
        <v>15</v>
      </c>
      <c r="F679" s="220">
        <v>5.0</v>
      </c>
      <c r="G679" s="221"/>
      <c r="H679" s="222">
        <v>100.0</v>
      </c>
      <c r="I679" s="222">
        <v>500.0</v>
      </c>
      <c r="J679" s="222">
        <v>10000.0</v>
      </c>
      <c r="K679" s="197" t="s">
        <v>1909</v>
      </c>
      <c r="L679" s="223">
        <v>46384.0</v>
      </c>
      <c r="M679" s="223">
        <v>46050.0</v>
      </c>
      <c r="N679" s="220">
        <v>0.0</v>
      </c>
      <c r="O679" s="220">
        <v>-1212.0</v>
      </c>
      <c r="P679" s="220">
        <v>1242.0</v>
      </c>
      <c r="Q679" s="209"/>
      <c r="R679" s="196" t="s">
        <v>2129</v>
      </c>
      <c r="S679" s="45"/>
      <c r="T679" s="220">
        <v>83.0</v>
      </c>
      <c r="U679" s="198"/>
    </row>
    <row r="680" ht="22.5" customHeight="1">
      <c r="A680" s="199"/>
      <c r="B680" s="212" t="s">
        <v>231</v>
      </c>
      <c r="C680" s="213" t="s">
        <v>136</v>
      </c>
      <c r="D680" s="214" t="s">
        <v>1782</v>
      </c>
      <c r="E680" s="212" t="s">
        <v>15</v>
      </c>
      <c r="F680" s="215">
        <v>3.0</v>
      </c>
      <c r="G680" s="210"/>
      <c r="H680" s="216">
        <v>120.0</v>
      </c>
      <c r="I680" s="216">
        <v>360.0</v>
      </c>
      <c r="J680" s="216">
        <v>7200.0</v>
      </c>
      <c r="K680" s="216">
        <v>0.0</v>
      </c>
      <c r="L680" s="217">
        <v>46360.0</v>
      </c>
      <c r="M680" s="217">
        <v>46026.0</v>
      </c>
      <c r="N680" s="215">
        <v>1.0</v>
      </c>
      <c r="O680" s="215">
        <v>-1236.0</v>
      </c>
      <c r="P680" s="215">
        <v>1266.0</v>
      </c>
      <c r="Q680" s="203"/>
      <c r="R680" s="218" t="s">
        <v>2130</v>
      </c>
      <c r="S680" s="186"/>
      <c r="T680" s="215">
        <v>84.0</v>
      </c>
      <c r="U680" s="204"/>
    </row>
    <row r="681" ht="22.5" customHeight="1">
      <c r="A681" s="205"/>
      <c r="B681" s="193" t="s">
        <v>243</v>
      </c>
      <c r="C681" s="226" t="s">
        <v>136</v>
      </c>
      <c r="D681" s="194" t="s">
        <v>1782</v>
      </c>
      <c r="E681" s="193" t="s">
        <v>15</v>
      </c>
      <c r="F681" s="220">
        <v>3.0</v>
      </c>
      <c r="G681" s="221"/>
      <c r="H681" s="222">
        <v>130.0</v>
      </c>
      <c r="I681" s="222">
        <v>390.0</v>
      </c>
      <c r="J681" s="222">
        <v>7800.0</v>
      </c>
      <c r="K681" s="222">
        <v>0.0</v>
      </c>
      <c r="L681" s="223">
        <v>46372.0</v>
      </c>
      <c r="M681" s="223">
        <v>46038.0</v>
      </c>
      <c r="N681" s="220">
        <v>1.0</v>
      </c>
      <c r="O681" s="220">
        <v>-1224.0</v>
      </c>
      <c r="P681" s="220">
        <v>1254.0</v>
      </c>
      <c r="Q681" s="209"/>
      <c r="R681" s="45"/>
      <c r="S681" s="45"/>
      <c r="T681" s="220">
        <v>85.0</v>
      </c>
      <c r="U681" s="198"/>
    </row>
    <row r="682" ht="22.5" customHeight="1">
      <c r="A682" s="199"/>
      <c r="B682" s="212" t="s">
        <v>249</v>
      </c>
      <c r="C682" s="213" t="s">
        <v>136</v>
      </c>
      <c r="D682" s="214" t="s">
        <v>1991</v>
      </c>
      <c r="E682" s="212" t="s">
        <v>15</v>
      </c>
      <c r="F682" s="215">
        <v>1.0</v>
      </c>
      <c r="G682" s="210"/>
      <c r="H682" s="216">
        <v>130.0</v>
      </c>
      <c r="I682" s="216">
        <v>130.0</v>
      </c>
      <c r="J682" s="216">
        <v>2600.0</v>
      </c>
      <c r="K682" s="216">
        <v>0.0</v>
      </c>
      <c r="L682" s="217">
        <v>46359.0</v>
      </c>
      <c r="M682" s="217">
        <v>46025.0</v>
      </c>
      <c r="N682" s="215">
        <v>1.0</v>
      </c>
      <c r="O682" s="215">
        <v>-1237.0</v>
      </c>
      <c r="P682" s="215">
        <v>1267.0</v>
      </c>
      <c r="Q682" s="203"/>
      <c r="R682" s="186"/>
      <c r="S682" s="186"/>
      <c r="T682" s="215">
        <v>86.0</v>
      </c>
      <c r="U682" s="204"/>
    </row>
    <row r="683" ht="22.5" customHeight="1">
      <c r="A683" s="192">
        <v>1.0</v>
      </c>
      <c r="B683" s="193" t="s">
        <v>215</v>
      </c>
      <c r="C683" s="226" t="s">
        <v>136</v>
      </c>
      <c r="D683" s="194" t="s">
        <v>1760</v>
      </c>
      <c r="E683" s="193" t="s">
        <v>15</v>
      </c>
      <c r="F683" s="220">
        <v>5.0</v>
      </c>
      <c r="G683" s="150"/>
      <c r="H683" s="222">
        <v>120.0</v>
      </c>
      <c r="I683" s="222">
        <v>500.0</v>
      </c>
      <c r="J683" s="222">
        <v>10000.0</v>
      </c>
      <c r="K683" s="222">
        <v>0.0</v>
      </c>
      <c r="L683" s="223">
        <v>46365.0</v>
      </c>
      <c r="M683" s="223">
        <v>46031.0</v>
      </c>
      <c r="N683" s="220">
        <v>1.0</v>
      </c>
      <c r="O683" s="220">
        <v>-1231.0</v>
      </c>
      <c r="P683" s="220">
        <v>1261.0</v>
      </c>
      <c r="Q683" s="209"/>
      <c r="R683" s="196" t="s">
        <v>2131</v>
      </c>
      <c r="S683" s="45"/>
      <c r="T683" s="220">
        <v>87.0</v>
      </c>
      <c r="U683" s="198"/>
    </row>
    <row r="684" ht="22.5" customHeight="1">
      <c r="A684" s="199"/>
      <c r="B684" s="212" t="s">
        <v>235</v>
      </c>
      <c r="C684" s="213" t="s">
        <v>136</v>
      </c>
      <c r="D684" s="214" t="s">
        <v>2101</v>
      </c>
      <c r="E684" s="212" t="s">
        <v>17</v>
      </c>
      <c r="F684" s="215">
        <v>3.0</v>
      </c>
      <c r="G684" s="210"/>
      <c r="H684" s="216">
        <v>2500.0</v>
      </c>
      <c r="I684" s="216">
        <v>7500.0</v>
      </c>
      <c r="J684" s="216">
        <v>7500.0</v>
      </c>
      <c r="K684" s="216">
        <v>0.0</v>
      </c>
      <c r="L684" s="217">
        <v>46357.0</v>
      </c>
      <c r="M684" s="217">
        <v>46023.0</v>
      </c>
      <c r="N684" s="215">
        <v>1.0</v>
      </c>
      <c r="O684" s="215">
        <v>-1239.0</v>
      </c>
      <c r="P684" s="215">
        <v>1269.0</v>
      </c>
      <c r="Q684" s="203"/>
      <c r="R684" s="218" t="s">
        <v>2132</v>
      </c>
      <c r="S684" s="186"/>
      <c r="T684" s="215">
        <v>88.0</v>
      </c>
      <c r="U684" s="204"/>
    </row>
    <row r="685" ht="22.5" customHeight="1">
      <c r="A685" s="192">
        <v>1.0</v>
      </c>
      <c r="B685" s="193" t="s">
        <v>192</v>
      </c>
      <c r="C685" s="226" t="s">
        <v>136</v>
      </c>
      <c r="D685" s="194" t="s">
        <v>2101</v>
      </c>
      <c r="E685" s="193" t="s">
        <v>17</v>
      </c>
      <c r="F685" s="220">
        <v>3.0</v>
      </c>
      <c r="G685" s="150"/>
      <c r="H685" s="222">
        <v>2000.0</v>
      </c>
      <c r="I685" s="222">
        <v>6000.0</v>
      </c>
      <c r="J685" s="222">
        <v>6000.0</v>
      </c>
      <c r="K685" s="222">
        <v>0.0</v>
      </c>
      <c r="L685" s="223">
        <v>46366.0</v>
      </c>
      <c r="M685" s="208"/>
      <c r="N685" s="220">
        <v>1.0</v>
      </c>
      <c r="O685" s="150"/>
      <c r="P685" s="220">
        <v>30.0</v>
      </c>
      <c r="Q685" s="209"/>
      <c r="R685" s="196" t="s">
        <v>2133</v>
      </c>
      <c r="S685" s="45"/>
      <c r="T685" s="220">
        <v>89.0</v>
      </c>
      <c r="U685" s="198"/>
    </row>
    <row r="686" ht="22.5" customHeight="1">
      <c r="A686" s="211" t="s">
        <v>2134</v>
      </c>
      <c r="B686" s="212" t="s">
        <v>227</v>
      </c>
      <c r="C686" s="213" t="s">
        <v>136</v>
      </c>
      <c r="D686" s="214" t="s">
        <v>1760</v>
      </c>
      <c r="E686" s="212" t="s">
        <v>15</v>
      </c>
      <c r="F686" s="215">
        <v>5.0</v>
      </c>
      <c r="G686" s="147"/>
      <c r="H686" s="216">
        <v>100.0</v>
      </c>
      <c r="I686" s="216">
        <v>500.0</v>
      </c>
      <c r="J686" s="216">
        <v>10000.0</v>
      </c>
      <c r="K686" s="216">
        <v>0.0</v>
      </c>
      <c r="L686" s="217">
        <v>46386.0</v>
      </c>
      <c r="M686" s="217">
        <v>46052.0</v>
      </c>
      <c r="N686" s="215">
        <v>1.0</v>
      </c>
      <c r="O686" s="215">
        <v>-1210.0</v>
      </c>
      <c r="P686" s="215">
        <v>1240.0</v>
      </c>
      <c r="Q686" s="203"/>
      <c r="R686" s="218" t="s">
        <v>2135</v>
      </c>
      <c r="S686" s="186"/>
      <c r="T686" s="215">
        <v>90.0</v>
      </c>
      <c r="U686" s="204"/>
    </row>
    <row r="687" ht="22.5" customHeight="1">
      <c r="A687" s="192">
        <v>1.0</v>
      </c>
      <c r="B687" s="193" t="s">
        <v>142</v>
      </c>
      <c r="C687" s="226" t="s">
        <v>136</v>
      </c>
      <c r="D687" s="194" t="s">
        <v>1965</v>
      </c>
      <c r="E687" s="193" t="s">
        <v>15</v>
      </c>
      <c r="F687" s="220">
        <v>6.0</v>
      </c>
      <c r="G687" s="150"/>
      <c r="H687" s="222">
        <v>120.0</v>
      </c>
      <c r="I687" s="222">
        <v>600.0</v>
      </c>
      <c r="J687" s="222">
        <v>12000.0</v>
      </c>
      <c r="K687" s="222">
        <v>0.0</v>
      </c>
      <c r="L687" s="223">
        <v>46358.0</v>
      </c>
      <c r="M687" s="223">
        <v>46024.0</v>
      </c>
      <c r="N687" s="220">
        <v>1.0</v>
      </c>
      <c r="O687" s="220">
        <v>-1238.0</v>
      </c>
      <c r="P687" s="220">
        <v>1268.0</v>
      </c>
      <c r="Q687" s="209"/>
      <c r="R687" s="196" t="s">
        <v>2136</v>
      </c>
      <c r="S687" s="45"/>
      <c r="T687" s="220">
        <v>91.0</v>
      </c>
      <c r="U687" s="198"/>
    </row>
    <row r="688" ht="22.5" customHeight="1">
      <c r="A688" s="199"/>
      <c r="B688" s="212" t="s">
        <v>211</v>
      </c>
      <c r="C688" s="213" t="s">
        <v>136</v>
      </c>
      <c r="D688" s="214" t="s">
        <v>2137</v>
      </c>
      <c r="E688" s="212" t="s">
        <v>15</v>
      </c>
      <c r="F688" s="215">
        <v>1.0</v>
      </c>
      <c r="G688" s="147"/>
      <c r="H688" s="216">
        <v>150.0</v>
      </c>
      <c r="I688" s="216">
        <v>150.0</v>
      </c>
      <c r="J688" s="216">
        <v>3000.0</v>
      </c>
      <c r="K688" s="216">
        <v>0.0</v>
      </c>
      <c r="L688" s="217">
        <v>46339.0</v>
      </c>
      <c r="M688" s="217">
        <v>46369.0</v>
      </c>
      <c r="N688" s="215">
        <v>1.0</v>
      </c>
      <c r="O688" s="215">
        <v>-1258.0</v>
      </c>
      <c r="P688" s="215">
        <v>1288.0</v>
      </c>
      <c r="Q688" s="203"/>
      <c r="R688" s="218" t="s">
        <v>2138</v>
      </c>
      <c r="S688" s="186"/>
      <c r="T688" s="215">
        <v>43.0</v>
      </c>
      <c r="U688" s="204"/>
    </row>
    <row r="689" ht="22.5" customHeight="1">
      <c r="A689" s="192">
        <v>1.0</v>
      </c>
      <c r="B689" s="193" t="s">
        <v>225</v>
      </c>
      <c r="C689" s="226" t="s">
        <v>136</v>
      </c>
      <c r="D689" s="194" t="s">
        <v>2107</v>
      </c>
      <c r="E689" s="194" t="s">
        <v>17</v>
      </c>
      <c r="F689" s="220">
        <v>2.0</v>
      </c>
      <c r="G689" s="221"/>
      <c r="H689" s="222">
        <v>2500.0</v>
      </c>
      <c r="I689" s="222">
        <v>5000.0</v>
      </c>
      <c r="J689" s="222">
        <v>5000.0</v>
      </c>
      <c r="K689" s="222">
        <v>0.0</v>
      </c>
      <c r="L689" s="223">
        <v>46335.0</v>
      </c>
      <c r="M689" s="223">
        <v>46365.0</v>
      </c>
      <c r="N689" s="220">
        <v>1.0</v>
      </c>
      <c r="O689" s="220">
        <v>-1262.0</v>
      </c>
      <c r="P689" s="220">
        <v>1292.0</v>
      </c>
      <c r="Q689" s="209"/>
      <c r="R689" s="196" t="s">
        <v>2139</v>
      </c>
      <c r="S689" s="45"/>
      <c r="T689" s="220">
        <v>44.0</v>
      </c>
      <c r="U689" s="198"/>
    </row>
    <row r="690" ht="22.5" customHeight="1">
      <c r="A690" s="211">
        <v>1.0</v>
      </c>
      <c r="B690" s="212" t="s">
        <v>207</v>
      </c>
      <c r="C690" s="213" t="s">
        <v>136</v>
      </c>
      <c r="D690" s="214" t="s">
        <v>1983</v>
      </c>
      <c r="E690" s="214" t="s">
        <v>17</v>
      </c>
      <c r="F690" s="215">
        <v>5.0</v>
      </c>
      <c r="G690" s="147"/>
      <c r="H690" s="216">
        <v>1350.0</v>
      </c>
      <c r="I690" s="216">
        <v>6750.0</v>
      </c>
      <c r="J690" s="216">
        <v>6750.0</v>
      </c>
      <c r="K690" s="216">
        <v>0.0</v>
      </c>
      <c r="L690" s="217">
        <v>46343.0</v>
      </c>
      <c r="M690" s="217">
        <v>46373.0</v>
      </c>
      <c r="N690" s="215">
        <v>1.0</v>
      </c>
      <c r="O690" s="215">
        <v>-1254.0</v>
      </c>
      <c r="P690" s="215">
        <v>1284.0</v>
      </c>
      <c r="Q690" s="203"/>
      <c r="R690" s="218" t="s">
        <v>2140</v>
      </c>
      <c r="S690" s="186"/>
      <c r="T690" s="215">
        <v>45.0</v>
      </c>
      <c r="U690" s="204"/>
    </row>
    <row r="691" ht="22.5" customHeight="1">
      <c r="A691" s="192">
        <v>1.0</v>
      </c>
      <c r="B691" s="193" t="s">
        <v>201</v>
      </c>
      <c r="C691" s="226" t="s">
        <v>136</v>
      </c>
      <c r="D691" s="194" t="s">
        <v>2077</v>
      </c>
      <c r="E691" s="193" t="s">
        <v>17</v>
      </c>
      <c r="F691" s="220">
        <v>4.0</v>
      </c>
      <c r="G691" s="150"/>
      <c r="H691" s="222">
        <v>2000.0</v>
      </c>
      <c r="I691" s="222">
        <v>8000.0</v>
      </c>
      <c r="J691" s="222">
        <v>8000.0</v>
      </c>
      <c r="K691" s="222">
        <v>0.0</v>
      </c>
      <c r="L691" s="223">
        <v>46335.0</v>
      </c>
      <c r="M691" s="223">
        <v>46365.0</v>
      </c>
      <c r="N691" s="220">
        <v>1.0</v>
      </c>
      <c r="O691" s="220">
        <v>-1262.0</v>
      </c>
      <c r="P691" s="220">
        <v>1292.0</v>
      </c>
      <c r="Q691" s="209"/>
      <c r="R691" s="196" t="s">
        <v>2141</v>
      </c>
      <c r="S691" s="45"/>
      <c r="T691" s="220">
        <v>46.0</v>
      </c>
      <c r="U691" s="198"/>
    </row>
    <row r="692" ht="22.5" customHeight="1">
      <c r="A692" s="199"/>
      <c r="B692" s="212" t="s">
        <v>241</v>
      </c>
      <c r="C692" s="213" t="s">
        <v>136</v>
      </c>
      <c r="D692" s="214" t="s">
        <v>1711</v>
      </c>
      <c r="E692" s="212" t="s">
        <v>15</v>
      </c>
      <c r="F692" s="215">
        <v>1.0</v>
      </c>
      <c r="G692" s="210"/>
      <c r="H692" s="216">
        <v>250.0</v>
      </c>
      <c r="I692" s="216">
        <v>250.0</v>
      </c>
      <c r="J692" s="216">
        <v>5000.0</v>
      </c>
      <c r="K692" s="216">
        <v>0.0</v>
      </c>
      <c r="L692" s="217">
        <v>46336.0</v>
      </c>
      <c r="M692" s="217">
        <v>46366.0</v>
      </c>
      <c r="N692" s="215">
        <v>1.0</v>
      </c>
      <c r="O692" s="215">
        <v>-1261.0</v>
      </c>
      <c r="P692" s="215">
        <v>1291.0</v>
      </c>
      <c r="Q692" s="203"/>
      <c r="R692" s="218" t="s">
        <v>2142</v>
      </c>
      <c r="S692" s="186"/>
      <c r="T692" s="215">
        <v>47.0</v>
      </c>
      <c r="U692" s="204"/>
    </row>
    <row r="693" ht="22.5" customHeight="1">
      <c r="A693" s="192">
        <v>1.0</v>
      </c>
      <c r="B693" s="193" t="s">
        <v>219</v>
      </c>
      <c r="C693" s="226" t="s">
        <v>136</v>
      </c>
      <c r="D693" s="194" t="s">
        <v>1760</v>
      </c>
      <c r="E693" s="193" t="s">
        <v>15</v>
      </c>
      <c r="F693" s="220">
        <v>5.0</v>
      </c>
      <c r="G693" s="150"/>
      <c r="H693" s="222">
        <v>100.0</v>
      </c>
      <c r="I693" s="222">
        <v>250.0</v>
      </c>
      <c r="J693" s="222">
        <v>5000.0</v>
      </c>
      <c r="K693" s="222">
        <v>0.0</v>
      </c>
      <c r="L693" s="223">
        <v>46342.0</v>
      </c>
      <c r="M693" s="223">
        <v>46372.0</v>
      </c>
      <c r="N693" s="220">
        <v>1.0</v>
      </c>
      <c r="O693" s="220">
        <v>-1255.0</v>
      </c>
      <c r="P693" s="220">
        <v>1285.0</v>
      </c>
      <c r="Q693" s="209"/>
      <c r="R693" s="196" t="s">
        <v>2143</v>
      </c>
      <c r="S693" s="45"/>
      <c r="T693" s="220">
        <v>48.0</v>
      </c>
      <c r="U693" s="198"/>
    </row>
    <row r="694" ht="22.5" customHeight="1">
      <c r="A694" s="199"/>
      <c r="B694" s="212" t="s">
        <v>239</v>
      </c>
      <c r="C694" s="213" t="s">
        <v>136</v>
      </c>
      <c r="D694" s="214" t="s">
        <v>1472</v>
      </c>
      <c r="E694" s="212" t="s">
        <v>15</v>
      </c>
      <c r="F694" s="215">
        <v>1.0</v>
      </c>
      <c r="G694" s="210"/>
      <c r="H694" s="216">
        <v>150.0</v>
      </c>
      <c r="I694" s="216">
        <v>150.0</v>
      </c>
      <c r="J694" s="216">
        <v>3000.0</v>
      </c>
      <c r="K694" s="216">
        <v>0.0</v>
      </c>
      <c r="L694" s="217">
        <v>46329.0</v>
      </c>
      <c r="M694" s="217">
        <v>46359.0</v>
      </c>
      <c r="N694" s="215">
        <v>1.0</v>
      </c>
      <c r="O694" s="215">
        <v>-1268.0</v>
      </c>
      <c r="P694" s="215">
        <v>1298.0</v>
      </c>
      <c r="Q694" s="203"/>
      <c r="R694" s="218" t="s">
        <v>2144</v>
      </c>
      <c r="S694" s="186"/>
      <c r="T694" s="215">
        <v>49.0</v>
      </c>
      <c r="U694" s="204"/>
    </row>
    <row r="695" ht="22.5" customHeight="1">
      <c r="A695" s="205"/>
      <c r="B695" s="193" t="s">
        <v>237</v>
      </c>
      <c r="C695" s="226" t="s">
        <v>136</v>
      </c>
      <c r="D695" s="194" t="s">
        <v>2018</v>
      </c>
      <c r="E695" s="193" t="s">
        <v>15</v>
      </c>
      <c r="F695" s="220">
        <v>3.0</v>
      </c>
      <c r="G695" s="221"/>
      <c r="H695" s="222">
        <v>130.0</v>
      </c>
      <c r="I695" s="222">
        <v>100.0</v>
      </c>
      <c r="J695" s="222">
        <v>2000.0</v>
      </c>
      <c r="K695" s="222">
        <v>0.0</v>
      </c>
      <c r="L695" s="223">
        <v>46329.0</v>
      </c>
      <c r="M695" s="223">
        <v>46359.0</v>
      </c>
      <c r="N695" s="220">
        <v>1.0</v>
      </c>
      <c r="O695" s="220">
        <v>-1268.0</v>
      </c>
      <c r="P695" s="220">
        <v>1298.0</v>
      </c>
      <c r="Q695" s="209"/>
      <c r="R695" s="196" t="s">
        <v>2145</v>
      </c>
      <c r="S695" s="45"/>
      <c r="T695" s="220">
        <v>50.0</v>
      </c>
      <c r="U695" s="198"/>
    </row>
    <row r="696" ht="22.5" customHeight="1">
      <c r="A696" s="211" t="s">
        <v>2146</v>
      </c>
      <c r="B696" s="212" t="s">
        <v>233</v>
      </c>
      <c r="C696" s="213" t="s">
        <v>136</v>
      </c>
      <c r="D696" s="214" t="s">
        <v>2018</v>
      </c>
      <c r="E696" s="212" t="s">
        <v>15</v>
      </c>
      <c r="F696" s="215">
        <v>4.0</v>
      </c>
      <c r="G696" s="210"/>
      <c r="H696" s="216">
        <v>100.0</v>
      </c>
      <c r="I696" s="216">
        <v>400.0</v>
      </c>
      <c r="J696" s="216">
        <v>8000.0</v>
      </c>
      <c r="K696" s="216">
        <v>8000.0</v>
      </c>
      <c r="L696" s="217">
        <v>46334.0</v>
      </c>
      <c r="M696" s="217">
        <v>46364.0</v>
      </c>
      <c r="N696" s="215">
        <v>0.0</v>
      </c>
      <c r="O696" s="215">
        <v>-1263.0</v>
      </c>
      <c r="P696" s="215">
        <v>1293.0</v>
      </c>
      <c r="Q696" s="203"/>
      <c r="R696" s="218" t="s">
        <v>2147</v>
      </c>
      <c r="S696" s="186"/>
      <c r="T696" s="215">
        <v>51.0</v>
      </c>
      <c r="U696" s="204"/>
    </row>
    <row r="697" ht="22.5" customHeight="1">
      <c r="A697" s="192">
        <v>1.0</v>
      </c>
      <c r="B697" s="193" t="s">
        <v>217</v>
      </c>
      <c r="C697" s="226" t="s">
        <v>136</v>
      </c>
      <c r="D697" s="194" t="s">
        <v>1760</v>
      </c>
      <c r="E697" s="193" t="s">
        <v>15</v>
      </c>
      <c r="F697" s="220">
        <v>5.0</v>
      </c>
      <c r="G697" s="150"/>
      <c r="H697" s="222">
        <v>100.0</v>
      </c>
      <c r="I697" s="222">
        <v>500.0</v>
      </c>
      <c r="J697" s="222">
        <v>10000.0</v>
      </c>
      <c r="K697" s="222">
        <v>0.0</v>
      </c>
      <c r="L697" s="223">
        <v>46335.0</v>
      </c>
      <c r="M697" s="223">
        <v>46365.0</v>
      </c>
      <c r="N697" s="220">
        <v>1.0</v>
      </c>
      <c r="O697" s="220">
        <v>-1262.0</v>
      </c>
      <c r="P697" s="220">
        <v>1292.0</v>
      </c>
      <c r="Q697" s="209"/>
      <c r="R697" s="196" t="s">
        <v>2148</v>
      </c>
      <c r="S697" s="45"/>
      <c r="T697" s="220">
        <v>52.0</v>
      </c>
      <c r="U697" s="198"/>
    </row>
    <row r="698" ht="22.5" customHeight="1">
      <c r="A698" s="211">
        <v>1.0</v>
      </c>
      <c r="B698" s="212" t="s">
        <v>198</v>
      </c>
      <c r="C698" s="213" t="s">
        <v>136</v>
      </c>
      <c r="D698" s="214" t="s">
        <v>2101</v>
      </c>
      <c r="E698" s="212" t="s">
        <v>17</v>
      </c>
      <c r="F698" s="215">
        <v>3.0</v>
      </c>
      <c r="G698" s="147"/>
      <c r="H698" s="216">
        <v>1500.0</v>
      </c>
      <c r="I698" s="216">
        <v>4500.0</v>
      </c>
      <c r="J698" s="216">
        <v>4500.0</v>
      </c>
      <c r="K698" s="216">
        <v>0.0</v>
      </c>
      <c r="L698" s="217">
        <v>46346.0</v>
      </c>
      <c r="M698" s="217">
        <v>46376.0</v>
      </c>
      <c r="N698" s="215">
        <v>1.0</v>
      </c>
      <c r="O698" s="215">
        <v>-1251.0</v>
      </c>
      <c r="P698" s="215">
        <v>1281.0</v>
      </c>
      <c r="Q698" s="203"/>
      <c r="R698" s="218" t="s">
        <v>2149</v>
      </c>
      <c r="S698" s="186"/>
      <c r="T698" s="215">
        <v>53.0</v>
      </c>
      <c r="U698" s="204"/>
    </row>
    <row r="699" ht="22.5" customHeight="1">
      <c r="A699" s="192">
        <v>1.0</v>
      </c>
      <c r="B699" s="193" t="s">
        <v>223</v>
      </c>
      <c r="C699" s="226" t="s">
        <v>136</v>
      </c>
      <c r="D699" s="194" t="s">
        <v>1760</v>
      </c>
      <c r="E699" s="193" t="s">
        <v>15</v>
      </c>
      <c r="F699" s="220">
        <v>5.0</v>
      </c>
      <c r="G699" s="221"/>
      <c r="H699" s="222">
        <v>100.0</v>
      </c>
      <c r="I699" s="222">
        <v>500.0</v>
      </c>
      <c r="J699" s="222">
        <v>10000.0</v>
      </c>
      <c r="K699" s="197" t="s">
        <v>1909</v>
      </c>
      <c r="L699" s="223">
        <v>46350.0</v>
      </c>
      <c r="M699" s="223">
        <v>46380.0</v>
      </c>
      <c r="N699" s="220">
        <v>0.0</v>
      </c>
      <c r="O699" s="220">
        <v>-1247.0</v>
      </c>
      <c r="P699" s="220">
        <v>1277.0</v>
      </c>
      <c r="Q699" s="238">
        <v>46255.0</v>
      </c>
      <c r="R699" s="196" t="s">
        <v>2150</v>
      </c>
      <c r="S699" s="45"/>
      <c r="T699" s="220">
        <v>54.0</v>
      </c>
      <c r="U699" s="198"/>
    </row>
    <row r="700" ht="22.5" customHeight="1">
      <c r="A700" s="211">
        <v>1.0</v>
      </c>
      <c r="B700" s="212" t="s">
        <v>221</v>
      </c>
      <c r="C700" s="213" t="s">
        <v>136</v>
      </c>
      <c r="D700" s="214" t="s">
        <v>1760</v>
      </c>
      <c r="E700" s="212" t="s">
        <v>15</v>
      </c>
      <c r="F700" s="215">
        <v>5.0</v>
      </c>
      <c r="G700" s="147"/>
      <c r="H700" s="216">
        <v>100.0</v>
      </c>
      <c r="I700" s="216">
        <v>500.0</v>
      </c>
      <c r="J700" s="216">
        <v>10000.0</v>
      </c>
      <c r="K700" s="216">
        <v>0.0</v>
      </c>
      <c r="L700" s="217">
        <v>46351.0</v>
      </c>
      <c r="M700" s="217">
        <v>46381.0</v>
      </c>
      <c r="N700" s="215">
        <v>1.0</v>
      </c>
      <c r="O700" s="215">
        <v>-1246.0</v>
      </c>
      <c r="P700" s="215">
        <v>1276.0</v>
      </c>
      <c r="Q700" s="232">
        <v>46255.0</v>
      </c>
      <c r="R700" s="218" t="s">
        <v>2151</v>
      </c>
      <c r="S700" s="186"/>
      <c r="T700" s="215">
        <v>55.0</v>
      </c>
      <c r="U700" s="204"/>
    </row>
    <row r="701" ht="22.5" customHeight="1">
      <c r="A701" s="192">
        <v>1.0</v>
      </c>
      <c r="B701" s="193" t="s">
        <v>194</v>
      </c>
      <c r="C701" s="226" t="s">
        <v>136</v>
      </c>
      <c r="D701" s="194" t="s">
        <v>2018</v>
      </c>
      <c r="E701" s="193" t="s">
        <v>15</v>
      </c>
      <c r="F701" s="220">
        <v>3.0</v>
      </c>
      <c r="G701" s="150"/>
      <c r="H701" s="222">
        <v>100.0</v>
      </c>
      <c r="I701" s="222">
        <v>300.0</v>
      </c>
      <c r="J701" s="222">
        <v>6000.0</v>
      </c>
      <c r="K701" s="222">
        <v>6000.0</v>
      </c>
      <c r="L701" s="223">
        <v>46348.0</v>
      </c>
      <c r="M701" s="223">
        <v>46378.0</v>
      </c>
      <c r="N701" s="220">
        <v>0.0</v>
      </c>
      <c r="O701" s="220">
        <v>-1249.0</v>
      </c>
      <c r="P701" s="220">
        <v>1279.0</v>
      </c>
      <c r="Q701" s="209"/>
      <c r="R701" s="196" t="s">
        <v>2152</v>
      </c>
      <c r="S701" s="45"/>
      <c r="T701" s="220">
        <v>56.0</v>
      </c>
      <c r="U701" s="198"/>
    </row>
    <row r="702" ht="22.5" customHeight="1">
      <c r="A702" s="211" t="s">
        <v>1773</v>
      </c>
      <c r="B702" s="212" t="s">
        <v>209</v>
      </c>
      <c r="C702" s="213" t="s">
        <v>136</v>
      </c>
      <c r="D702" s="214" t="s">
        <v>2101</v>
      </c>
      <c r="E702" s="212" t="s">
        <v>17</v>
      </c>
      <c r="F702" s="215">
        <v>3.0</v>
      </c>
      <c r="G702" s="147"/>
      <c r="H702" s="216">
        <v>2000.0</v>
      </c>
      <c r="I702" s="216">
        <v>6000.0</v>
      </c>
      <c r="J702" s="216">
        <v>6000.0</v>
      </c>
      <c r="K702" s="201"/>
      <c r="L702" s="217">
        <v>46336.0</v>
      </c>
      <c r="M702" s="217">
        <v>46366.0</v>
      </c>
      <c r="N702" s="147"/>
      <c r="O702" s="215">
        <v>-1261.0</v>
      </c>
      <c r="P702" s="215">
        <v>1291.0</v>
      </c>
      <c r="Q702" s="203"/>
      <c r="R702" s="218" t="s">
        <v>2153</v>
      </c>
      <c r="S702" s="186"/>
      <c r="T702" s="215">
        <v>57.0</v>
      </c>
      <c r="U702" s="204"/>
    </row>
    <row r="703" ht="22.5" customHeight="1">
      <c r="A703" s="205"/>
      <c r="B703" s="193" t="s">
        <v>229</v>
      </c>
      <c r="C703" s="226" t="s">
        <v>136</v>
      </c>
      <c r="D703" s="194" t="s">
        <v>1760</v>
      </c>
      <c r="E703" s="193" t="s">
        <v>15</v>
      </c>
      <c r="F703" s="220">
        <v>5.0</v>
      </c>
      <c r="G703" s="221"/>
      <c r="H703" s="222">
        <v>100.0</v>
      </c>
      <c r="I703" s="222">
        <v>500.0</v>
      </c>
      <c r="J703" s="222">
        <v>10000.0</v>
      </c>
      <c r="K703" s="222">
        <v>10000.0</v>
      </c>
      <c r="L703" s="223">
        <v>46354.0</v>
      </c>
      <c r="M703" s="223">
        <v>46384.0</v>
      </c>
      <c r="N703" s="220">
        <v>0.0</v>
      </c>
      <c r="O703" s="220">
        <v>-1243.0</v>
      </c>
      <c r="P703" s="220">
        <v>1273.0</v>
      </c>
      <c r="Q703" s="209"/>
      <c r="R703" s="196" t="s">
        <v>2154</v>
      </c>
      <c r="S703" s="45"/>
      <c r="T703" s="220">
        <v>58.0</v>
      </c>
      <c r="U703" s="198"/>
    </row>
    <row r="704" ht="22.5" customHeight="1">
      <c r="A704" s="211" t="s">
        <v>1773</v>
      </c>
      <c r="B704" s="212" t="s">
        <v>231</v>
      </c>
      <c r="C704" s="200"/>
      <c r="D704" s="214" t="s">
        <v>1782</v>
      </c>
      <c r="E704" s="200"/>
      <c r="F704" s="215">
        <v>6.0</v>
      </c>
      <c r="G704" s="210"/>
      <c r="H704" s="216">
        <v>100.0</v>
      </c>
      <c r="I704" s="201"/>
      <c r="J704" s="201"/>
      <c r="K704" s="201"/>
      <c r="L704" s="217">
        <v>46356.0</v>
      </c>
      <c r="M704" s="217">
        <v>46386.0</v>
      </c>
      <c r="N704" s="147"/>
      <c r="O704" s="215">
        <v>-1241.0</v>
      </c>
      <c r="P704" s="215">
        <v>1271.0</v>
      </c>
      <c r="Q704" s="203"/>
      <c r="R704" s="218" t="s">
        <v>2155</v>
      </c>
      <c r="S704" s="186"/>
      <c r="T704" s="215">
        <v>59.0</v>
      </c>
      <c r="U704" s="204"/>
    </row>
    <row r="705" ht="22.5" customHeight="1">
      <c r="A705" s="192">
        <v>1.0</v>
      </c>
      <c r="B705" s="193" t="s">
        <v>215</v>
      </c>
      <c r="C705" s="226" t="s">
        <v>136</v>
      </c>
      <c r="D705" s="194" t="s">
        <v>1760</v>
      </c>
      <c r="E705" s="193" t="s">
        <v>15</v>
      </c>
      <c r="F705" s="220">
        <v>5.0</v>
      </c>
      <c r="G705" s="150"/>
      <c r="H705" s="222">
        <v>120.0</v>
      </c>
      <c r="I705" s="222">
        <v>500.0</v>
      </c>
      <c r="J705" s="222">
        <v>10000.0</v>
      </c>
      <c r="K705" s="222">
        <v>0.0</v>
      </c>
      <c r="L705" s="223">
        <v>46335.0</v>
      </c>
      <c r="M705" s="223">
        <v>46365.0</v>
      </c>
      <c r="N705" s="220">
        <v>1.0</v>
      </c>
      <c r="O705" s="220">
        <v>-1262.0</v>
      </c>
      <c r="P705" s="220">
        <v>1292.0</v>
      </c>
      <c r="Q705" s="209"/>
      <c r="R705" s="196" t="s">
        <v>2156</v>
      </c>
      <c r="S705" s="45"/>
      <c r="T705" s="220">
        <v>60.0</v>
      </c>
      <c r="U705" s="198"/>
    </row>
    <row r="706" ht="22.5" customHeight="1">
      <c r="A706" s="199"/>
      <c r="B706" s="212" t="s">
        <v>235</v>
      </c>
      <c r="C706" s="213" t="s">
        <v>136</v>
      </c>
      <c r="D706" s="214" t="s">
        <v>2101</v>
      </c>
      <c r="E706" s="212" t="s">
        <v>17</v>
      </c>
      <c r="F706" s="215">
        <v>3.0</v>
      </c>
      <c r="G706" s="210"/>
      <c r="H706" s="216">
        <v>2500.0</v>
      </c>
      <c r="I706" s="216">
        <v>7500.0</v>
      </c>
      <c r="J706" s="216">
        <v>0.0</v>
      </c>
      <c r="K706" s="216">
        <v>0.0</v>
      </c>
      <c r="L706" s="217">
        <v>46327.0</v>
      </c>
      <c r="M706" s="217">
        <v>46357.0</v>
      </c>
      <c r="N706" s="215">
        <v>1.0</v>
      </c>
      <c r="O706" s="215">
        <v>-1270.0</v>
      </c>
      <c r="P706" s="215">
        <v>1300.0</v>
      </c>
      <c r="Q706" s="203"/>
      <c r="R706" s="218" t="s">
        <v>2157</v>
      </c>
      <c r="S706" s="186"/>
      <c r="T706" s="215">
        <v>61.0</v>
      </c>
      <c r="U706" s="204"/>
    </row>
    <row r="707" ht="22.5" customHeight="1">
      <c r="A707" s="192">
        <v>1.0</v>
      </c>
      <c r="B707" s="193" t="s">
        <v>192</v>
      </c>
      <c r="C707" s="226" t="s">
        <v>136</v>
      </c>
      <c r="D707" s="194" t="s">
        <v>2101</v>
      </c>
      <c r="E707" s="193" t="s">
        <v>17</v>
      </c>
      <c r="F707" s="220">
        <v>3.0</v>
      </c>
      <c r="G707" s="150"/>
      <c r="H707" s="222">
        <v>2000.0</v>
      </c>
      <c r="I707" s="222">
        <v>6000.0</v>
      </c>
      <c r="J707" s="222">
        <v>6000.0</v>
      </c>
      <c r="K707" s="197" t="s">
        <v>2158</v>
      </c>
      <c r="L707" s="223">
        <v>46336.0</v>
      </c>
      <c r="M707" s="223">
        <v>46366.0</v>
      </c>
      <c r="N707" s="220">
        <v>1.0</v>
      </c>
      <c r="O707" s="220">
        <v>-1261.0</v>
      </c>
      <c r="P707" s="220">
        <v>1291.0</v>
      </c>
      <c r="Q707" s="209"/>
      <c r="R707" s="196" t="s">
        <v>2159</v>
      </c>
      <c r="S707" s="45"/>
      <c r="T707" s="220">
        <v>62.0</v>
      </c>
      <c r="U707" s="198"/>
    </row>
    <row r="708" ht="22.5" customHeight="1">
      <c r="A708" s="211" t="s">
        <v>2134</v>
      </c>
      <c r="B708" s="212" t="s">
        <v>227</v>
      </c>
      <c r="C708" s="213" t="s">
        <v>136</v>
      </c>
      <c r="D708" s="214" t="s">
        <v>1760</v>
      </c>
      <c r="E708" s="212" t="s">
        <v>15</v>
      </c>
      <c r="F708" s="215">
        <v>5.0</v>
      </c>
      <c r="G708" s="210"/>
      <c r="H708" s="216">
        <v>100.0</v>
      </c>
      <c r="I708" s="216">
        <v>500.0</v>
      </c>
      <c r="J708" s="216">
        <v>10000.0</v>
      </c>
      <c r="K708" s="216">
        <v>0.0</v>
      </c>
      <c r="L708" s="217">
        <v>46356.0</v>
      </c>
      <c r="M708" s="217">
        <v>46386.0</v>
      </c>
      <c r="N708" s="215">
        <v>1.0</v>
      </c>
      <c r="O708" s="215">
        <v>-1241.0</v>
      </c>
      <c r="P708" s="215">
        <v>1271.0</v>
      </c>
      <c r="Q708" s="203"/>
      <c r="R708" s="218" t="s">
        <v>2160</v>
      </c>
      <c r="S708" s="186"/>
      <c r="T708" s="215">
        <v>63.0</v>
      </c>
      <c r="U708" s="204"/>
    </row>
    <row r="709" ht="22.5" customHeight="1">
      <c r="A709" s="192">
        <v>1.0</v>
      </c>
      <c r="B709" s="193" t="s">
        <v>142</v>
      </c>
      <c r="C709" s="226" t="s">
        <v>136</v>
      </c>
      <c r="D709" s="194" t="s">
        <v>1760</v>
      </c>
      <c r="E709" s="193" t="s">
        <v>15</v>
      </c>
      <c r="F709" s="220">
        <v>5.0</v>
      </c>
      <c r="G709" s="150"/>
      <c r="H709" s="222">
        <v>120.0</v>
      </c>
      <c r="I709" s="222">
        <v>500.0</v>
      </c>
      <c r="J709" s="222">
        <v>10000.0</v>
      </c>
      <c r="K709" s="222">
        <v>0.0</v>
      </c>
      <c r="L709" s="223">
        <v>46328.0</v>
      </c>
      <c r="M709" s="223">
        <v>46358.0</v>
      </c>
      <c r="N709" s="220">
        <v>1.0</v>
      </c>
      <c r="O709" s="220">
        <v>-1269.0</v>
      </c>
      <c r="P709" s="220">
        <v>1299.0</v>
      </c>
      <c r="Q709" s="209"/>
      <c r="R709" s="196" t="s">
        <v>2161</v>
      </c>
      <c r="S709" s="45"/>
      <c r="T709" s="220">
        <v>64.0</v>
      </c>
      <c r="U709" s="198"/>
    </row>
    <row r="710" ht="22.5" customHeight="1">
      <c r="A710" s="199"/>
      <c r="B710" s="212" t="s">
        <v>211</v>
      </c>
      <c r="C710" s="213" t="s">
        <v>136</v>
      </c>
      <c r="D710" s="214" t="s">
        <v>2137</v>
      </c>
      <c r="E710" s="212" t="s">
        <v>15</v>
      </c>
      <c r="F710" s="215">
        <v>1.0</v>
      </c>
      <c r="G710" s="147"/>
      <c r="H710" s="216">
        <v>150.0</v>
      </c>
      <c r="I710" s="216">
        <v>150.0</v>
      </c>
      <c r="J710" s="216">
        <v>3000.0</v>
      </c>
      <c r="K710" s="216">
        <v>0.0</v>
      </c>
      <c r="L710" s="217">
        <v>46308.0</v>
      </c>
      <c r="M710" s="217">
        <v>46339.0</v>
      </c>
      <c r="N710" s="215">
        <v>1.0</v>
      </c>
      <c r="O710" s="215">
        <v>-1288.0</v>
      </c>
      <c r="P710" s="215">
        <v>1318.0</v>
      </c>
      <c r="Q710" s="203"/>
      <c r="R710" s="218" t="s">
        <v>2162</v>
      </c>
      <c r="S710" s="186"/>
      <c r="T710" s="215">
        <v>23.0</v>
      </c>
      <c r="U710" s="204"/>
    </row>
    <row r="711" ht="22.5" customHeight="1">
      <c r="A711" s="205"/>
      <c r="B711" s="193" t="s">
        <v>225</v>
      </c>
      <c r="C711" s="226" t="s">
        <v>136</v>
      </c>
      <c r="D711" s="194" t="s">
        <v>2107</v>
      </c>
      <c r="E711" s="194" t="s">
        <v>17</v>
      </c>
      <c r="F711" s="220">
        <v>2.0</v>
      </c>
      <c r="G711" s="221"/>
      <c r="H711" s="222">
        <v>2500.0</v>
      </c>
      <c r="I711" s="222">
        <v>5000.0</v>
      </c>
      <c r="J711" s="222">
        <v>5000.0</v>
      </c>
      <c r="K711" s="222">
        <v>0.0</v>
      </c>
      <c r="L711" s="223">
        <v>46304.0</v>
      </c>
      <c r="M711" s="223">
        <v>46335.0</v>
      </c>
      <c r="N711" s="220">
        <v>1.0</v>
      </c>
      <c r="O711" s="220">
        <v>-1292.0</v>
      </c>
      <c r="P711" s="220">
        <v>1322.0</v>
      </c>
      <c r="Q711" s="209"/>
      <c r="R711" s="196" t="s">
        <v>2163</v>
      </c>
      <c r="S711" s="45"/>
      <c r="T711" s="220">
        <v>24.0</v>
      </c>
      <c r="U711" s="198"/>
    </row>
    <row r="712" ht="22.5" customHeight="1">
      <c r="A712" s="199"/>
      <c r="B712" s="212" t="s">
        <v>207</v>
      </c>
      <c r="C712" s="213" t="s">
        <v>136</v>
      </c>
      <c r="D712" s="214" t="s">
        <v>1983</v>
      </c>
      <c r="E712" s="214" t="s">
        <v>17</v>
      </c>
      <c r="F712" s="215">
        <v>5.0</v>
      </c>
      <c r="G712" s="147"/>
      <c r="H712" s="216">
        <v>1350.0</v>
      </c>
      <c r="I712" s="216">
        <v>6750.0</v>
      </c>
      <c r="J712" s="216">
        <v>6750.0</v>
      </c>
      <c r="K712" s="216">
        <v>0.0</v>
      </c>
      <c r="L712" s="217">
        <v>46312.0</v>
      </c>
      <c r="M712" s="217">
        <v>46343.0</v>
      </c>
      <c r="N712" s="215">
        <v>1.0</v>
      </c>
      <c r="O712" s="215">
        <v>-1284.0</v>
      </c>
      <c r="P712" s="215">
        <v>1314.0</v>
      </c>
      <c r="Q712" s="203"/>
      <c r="R712" s="218" t="s">
        <v>2164</v>
      </c>
      <c r="S712" s="186"/>
      <c r="T712" s="215">
        <v>25.0</v>
      </c>
      <c r="U712" s="204"/>
    </row>
    <row r="713" ht="22.5" customHeight="1">
      <c r="A713" s="205"/>
      <c r="B713" s="193" t="s">
        <v>201</v>
      </c>
      <c r="C713" s="226" t="s">
        <v>136</v>
      </c>
      <c r="D713" s="194" t="s">
        <v>2077</v>
      </c>
      <c r="E713" s="193" t="s">
        <v>17</v>
      </c>
      <c r="F713" s="220">
        <v>4.0</v>
      </c>
      <c r="G713" s="150"/>
      <c r="H713" s="222">
        <v>2000.0</v>
      </c>
      <c r="I713" s="222">
        <v>8000.0</v>
      </c>
      <c r="J713" s="222">
        <v>8000.0</v>
      </c>
      <c r="K713" s="222">
        <v>0.0</v>
      </c>
      <c r="L713" s="223">
        <v>46304.0</v>
      </c>
      <c r="M713" s="223">
        <v>46335.0</v>
      </c>
      <c r="N713" s="220">
        <v>1.0</v>
      </c>
      <c r="O713" s="220">
        <v>-1292.0</v>
      </c>
      <c r="P713" s="220">
        <v>1322.0</v>
      </c>
      <c r="Q713" s="209"/>
      <c r="R713" s="196" t="s">
        <v>2165</v>
      </c>
      <c r="S713" s="45"/>
      <c r="T713" s="220">
        <v>26.0</v>
      </c>
      <c r="U713" s="198"/>
    </row>
    <row r="714" ht="22.5" customHeight="1">
      <c r="A714" s="199"/>
      <c r="B714" s="212" t="s">
        <v>186</v>
      </c>
      <c r="C714" s="213" t="s">
        <v>136</v>
      </c>
      <c r="D714" s="214" t="s">
        <v>2030</v>
      </c>
      <c r="E714" s="212" t="s">
        <v>187</v>
      </c>
      <c r="F714" s="215">
        <v>2.0</v>
      </c>
      <c r="G714" s="210"/>
      <c r="H714" s="237" t="s">
        <v>2031</v>
      </c>
      <c r="I714" s="216">
        <v>2000.0</v>
      </c>
      <c r="J714" s="216">
        <v>10600.0</v>
      </c>
      <c r="K714" s="237" t="s">
        <v>2166</v>
      </c>
      <c r="L714" s="217">
        <v>46305.0</v>
      </c>
      <c r="M714" s="217">
        <v>46336.0</v>
      </c>
      <c r="N714" s="215">
        <v>0.0</v>
      </c>
      <c r="O714" s="215">
        <v>-1291.0</v>
      </c>
      <c r="P714" s="215">
        <v>1321.0</v>
      </c>
      <c r="Q714" s="232">
        <v>46255.0</v>
      </c>
      <c r="R714" s="218" t="s">
        <v>2167</v>
      </c>
      <c r="S714" s="186"/>
      <c r="T714" s="215">
        <v>27.0</v>
      </c>
      <c r="U714" s="204"/>
    </row>
    <row r="715" ht="22.5" customHeight="1">
      <c r="A715" s="205"/>
      <c r="B715" s="193" t="s">
        <v>219</v>
      </c>
      <c r="C715" s="226" t="s">
        <v>136</v>
      </c>
      <c r="D715" s="194" t="s">
        <v>1760</v>
      </c>
      <c r="E715" s="193" t="s">
        <v>15</v>
      </c>
      <c r="F715" s="220">
        <v>5.0</v>
      </c>
      <c r="G715" s="150"/>
      <c r="H715" s="222">
        <v>100.0</v>
      </c>
      <c r="I715" s="222">
        <v>250.0</v>
      </c>
      <c r="J715" s="222">
        <v>5000.0</v>
      </c>
      <c r="K715" s="222">
        <v>0.0</v>
      </c>
      <c r="L715" s="223">
        <v>46311.0</v>
      </c>
      <c r="M715" s="223">
        <v>46342.0</v>
      </c>
      <c r="N715" s="220">
        <v>1.0</v>
      </c>
      <c r="O715" s="220">
        <v>-1285.0</v>
      </c>
      <c r="P715" s="220">
        <v>1315.0</v>
      </c>
      <c r="Q715" s="209"/>
      <c r="R715" s="196" t="s">
        <v>2168</v>
      </c>
      <c r="S715" s="45"/>
      <c r="T715" s="220">
        <v>28.0</v>
      </c>
      <c r="U715" s="198"/>
    </row>
    <row r="716" ht="22.5" customHeight="1">
      <c r="A716" s="199"/>
      <c r="B716" s="212" t="s">
        <v>217</v>
      </c>
      <c r="C716" s="213" t="s">
        <v>136</v>
      </c>
      <c r="D716" s="214" t="s">
        <v>1760</v>
      </c>
      <c r="E716" s="212" t="s">
        <v>15</v>
      </c>
      <c r="F716" s="215">
        <v>5.0</v>
      </c>
      <c r="G716" s="147"/>
      <c r="H716" s="216">
        <v>100.0</v>
      </c>
      <c r="I716" s="216">
        <v>500.0</v>
      </c>
      <c r="J716" s="216">
        <v>10000.0</v>
      </c>
      <c r="K716" s="216">
        <v>0.0</v>
      </c>
      <c r="L716" s="217">
        <v>46304.0</v>
      </c>
      <c r="M716" s="217">
        <v>46335.0</v>
      </c>
      <c r="N716" s="215">
        <v>1.0</v>
      </c>
      <c r="O716" s="215">
        <v>-1292.0</v>
      </c>
      <c r="P716" s="215">
        <v>1322.0</v>
      </c>
      <c r="Q716" s="203"/>
      <c r="R716" s="218" t="s">
        <v>2169</v>
      </c>
      <c r="S716" s="186"/>
      <c r="T716" s="215">
        <v>29.0</v>
      </c>
      <c r="U716" s="204"/>
    </row>
    <row r="717" ht="22.5" customHeight="1">
      <c r="A717" s="205"/>
      <c r="B717" s="193" t="s">
        <v>198</v>
      </c>
      <c r="C717" s="226" t="s">
        <v>136</v>
      </c>
      <c r="D717" s="194" t="s">
        <v>2101</v>
      </c>
      <c r="E717" s="193" t="s">
        <v>17</v>
      </c>
      <c r="F717" s="220">
        <v>3.0</v>
      </c>
      <c r="G717" s="150"/>
      <c r="H717" s="222">
        <v>1500.0</v>
      </c>
      <c r="I717" s="222">
        <v>4500.0</v>
      </c>
      <c r="J717" s="222">
        <v>4500.0</v>
      </c>
      <c r="K717" s="222">
        <v>0.0</v>
      </c>
      <c r="L717" s="223">
        <v>46315.0</v>
      </c>
      <c r="M717" s="223">
        <v>46346.0</v>
      </c>
      <c r="N717" s="220">
        <v>1.0</v>
      </c>
      <c r="O717" s="220">
        <v>-1281.0</v>
      </c>
      <c r="P717" s="220">
        <v>1311.0</v>
      </c>
      <c r="Q717" s="209"/>
      <c r="R717" s="196" t="s">
        <v>2170</v>
      </c>
      <c r="S717" s="45"/>
      <c r="T717" s="220">
        <v>30.0</v>
      </c>
      <c r="U717" s="198"/>
    </row>
    <row r="718" ht="22.5" customHeight="1">
      <c r="A718" s="211" t="s">
        <v>2171</v>
      </c>
      <c r="B718" s="212" t="s">
        <v>223</v>
      </c>
      <c r="C718" s="213" t="s">
        <v>136</v>
      </c>
      <c r="D718" s="214" t="s">
        <v>1760</v>
      </c>
      <c r="E718" s="212" t="s">
        <v>15</v>
      </c>
      <c r="F718" s="228" t="s">
        <v>2172</v>
      </c>
      <c r="G718" s="210"/>
      <c r="H718" s="216">
        <v>100.0</v>
      </c>
      <c r="I718" s="216">
        <v>500.0</v>
      </c>
      <c r="J718" s="216">
        <v>10000.0</v>
      </c>
      <c r="K718" s="237" t="s">
        <v>2173</v>
      </c>
      <c r="L718" s="217">
        <v>46319.0</v>
      </c>
      <c r="M718" s="217">
        <v>46350.0</v>
      </c>
      <c r="N718" s="215">
        <v>0.0</v>
      </c>
      <c r="O718" s="215">
        <v>-1277.0</v>
      </c>
      <c r="P718" s="215">
        <v>1307.0</v>
      </c>
      <c r="Q718" s="232">
        <v>46255.0</v>
      </c>
      <c r="R718" s="218" t="s">
        <v>2174</v>
      </c>
      <c r="S718" s="186"/>
      <c r="T718" s="215">
        <v>31.0</v>
      </c>
      <c r="U718" s="204"/>
    </row>
    <row r="719" ht="22.5" customHeight="1">
      <c r="A719" s="205"/>
      <c r="B719" s="193" t="s">
        <v>221</v>
      </c>
      <c r="C719" s="226" t="s">
        <v>136</v>
      </c>
      <c r="D719" s="194" t="s">
        <v>1760</v>
      </c>
      <c r="E719" s="193" t="s">
        <v>15</v>
      </c>
      <c r="F719" s="220">
        <v>5.0</v>
      </c>
      <c r="G719" s="150"/>
      <c r="H719" s="222">
        <v>100.0</v>
      </c>
      <c r="I719" s="222">
        <v>500.0</v>
      </c>
      <c r="J719" s="222">
        <v>10000.0</v>
      </c>
      <c r="K719" s="222">
        <v>0.0</v>
      </c>
      <c r="L719" s="223">
        <v>46320.0</v>
      </c>
      <c r="M719" s="223">
        <v>46351.0</v>
      </c>
      <c r="N719" s="220">
        <v>1.0</v>
      </c>
      <c r="O719" s="220">
        <v>-1276.0</v>
      </c>
      <c r="P719" s="220">
        <v>1306.0</v>
      </c>
      <c r="Q719" s="238">
        <v>46255.0</v>
      </c>
      <c r="R719" s="196" t="s">
        <v>2175</v>
      </c>
      <c r="S719" s="45"/>
      <c r="T719" s="220">
        <v>32.0</v>
      </c>
      <c r="U719" s="198"/>
    </row>
    <row r="720" ht="22.5" customHeight="1">
      <c r="A720" s="199"/>
      <c r="B720" s="212" t="s">
        <v>203</v>
      </c>
      <c r="C720" s="213" t="s">
        <v>136</v>
      </c>
      <c r="D720" s="214" t="s">
        <v>1676</v>
      </c>
      <c r="E720" s="212" t="s">
        <v>17</v>
      </c>
      <c r="F720" s="215">
        <v>2.0</v>
      </c>
      <c r="G720" s="147"/>
      <c r="H720" s="216">
        <v>2250.0</v>
      </c>
      <c r="I720" s="216">
        <v>4500.0</v>
      </c>
      <c r="J720" s="216">
        <v>1000.0</v>
      </c>
      <c r="K720" s="216">
        <v>0.0</v>
      </c>
      <c r="L720" s="217">
        <v>46322.0</v>
      </c>
      <c r="M720" s="217">
        <v>46353.0</v>
      </c>
      <c r="N720" s="215">
        <v>1.0</v>
      </c>
      <c r="O720" s="215">
        <v>-1274.0</v>
      </c>
      <c r="P720" s="215">
        <v>1304.0</v>
      </c>
      <c r="Q720" s="203"/>
      <c r="R720" s="218" t="s">
        <v>2176</v>
      </c>
      <c r="S720" s="186"/>
      <c r="T720" s="215">
        <v>33.0</v>
      </c>
      <c r="U720" s="204"/>
    </row>
    <row r="721" ht="22.5" customHeight="1">
      <c r="A721" s="205"/>
      <c r="B721" s="193" t="s">
        <v>194</v>
      </c>
      <c r="C721" s="226" t="s">
        <v>136</v>
      </c>
      <c r="D721" s="194" t="s">
        <v>2177</v>
      </c>
      <c r="E721" s="193" t="s">
        <v>15</v>
      </c>
      <c r="F721" s="220">
        <v>4.0</v>
      </c>
      <c r="G721" s="150"/>
      <c r="H721" s="222">
        <v>100.0</v>
      </c>
      <c r="I721" s="222">
        <v>400.0</v>
      </c>
      <c r="J721" s="222">
        <v>8000.0</v>
      </c>
      <c r="K721" s="222">
        <v>0.0</v>
      </c>
      <c r="L721" s="223">
        <v>46317.0</v>
      </c>
      <c r="M721" s="223">
        <v>46348.0</v>
      </c>
      <c r="N721" s="220">
        <v>1.0</v>
      </c>
      <c r="O721" s="220">
        <v>-1279.0</v>
      </c>
      <c r="P721" s="220">
        <v>1309.0</v>
      </c>
      <c r="Q721" s="209"/>
      <c r="R721" s="196" t="s">
        <v>2178</v>
      </c>
      <c r="S721" s="45"/>
      <c r="T721" s="220">
        <v>34.0</v>
      </c>
      <c r="U721" s="198"/>
    </row>
    <row r="722" ht="22.5" customHeight="1">
      <c r="A722" s="199"/>
      <c r="B722" s="212" t="s">
        <v>209</v>
      </c>
      <c r="C722" s="213" t="s">
        <v>136</v>
      </c>
      <c r="D722" s="214" t="s">
        <v>2101</v>
      </c>
      <c r="E722" s="212" t="s">
        <v>17</v>
      </c>
      <c r="F722" s="215">
        <v>3.0</v>
      </c>
      <c r="G722" s="147"/>
      <c r="H722" s="216">
        <v>2000.0</v>
      </c>
      <c r="I722" s="216">
        <v>6000.0</v>
      </c>
      <c r="J722" s="216">
        <v>6000.0</v>
      </c>
      <c r="K722" s="237" t="s">
        <v>2179</v>
      </c>
      <c r="L722" s="217">
        <v>46305.0</v>
      </c>
      <c r="M722" s="217">
        <v>46336.0</v>
      </c>
      <c r="N722" s="215">
        <v>1.0</v>
      </c>
      <c r="O722" s="215">
        <v>-1291.0</v>
      </c>
      <c r="P722" s="215">
        <v>1321.0</v>
      </c>
      <c r="Q722" s="203"/>
      <c r="R722" s="218" t="s">
        <v>2180</v>
      </c>
      <c r="S722" s="186"/>
      <c r="T722" s="215">
        <v>35.0</v>
      </c>
      <c r="U722" s="204"/>
    </row>
    <row r="723" ht="22.5" customHeight="1">
      <c r="A723" s="205"/>
      <c r="B723" s="193" t="s">
        <v>229</v>
      </c>
      <c r="C723" s="226" t="s">
        <v>136</v>
      </c>
      <c r="D723" s="194" t="s">
        <v>1760</v>
      </c>
      <c r="E723" s="193" t="s">
        <v>15</v>
      </c>
      <c r="F723" s="220">
        <v>5.0</v>
      </c>
      <c r="G723" s="221"/>
      <c r="H723" s="222">
        <v>100.0</v>
      </c>
      <c r="I723" s="222">
        <v>500.0</v>
      </c>
      <c r="J723" s="222">
        <v>10000.0</v>
      </c>
      <c r="K723" s="197" t="s">
        <v>1909</v>
      </c>
      <c r="L723" s="223">
        <v>46323.0</v>
      </c>
      <c r="M723" s="223">
        <v>46354.0</v>
      </c>
      <c r="N723" s="220">
        <v>0.0</v>
      </c>
      <c r="O723" s="220">
        <v>-1273.0</v>
      </c>
      <c r="P723" s="220">
        <v>1303.0</v>
      </c>
      <c r="Q723" s="209"/>
      <c r="R723" s="196" t="s">
        <v>2181</v>
      </c>
      <c r="S723" s="45"/>
      <c r="T723" s="220">
        <v>36.0</v>
      </c>
      <c r="U723" s="198"/>
    </row>
    <row r="724" ht="22.5" customHeight="1">
      <c r="A724" s="199"/>
      <c r="B724" s="212" t="s">
        <v>231</v>
      </c>
      <c r="C724" s="213" t="s">
        <v>136</v>
      </c>
      <c r="D724" s="214" t="s">
        <v>1782</v>
      </c>
      <c r="E724" s="212" t="s">
        <v>15</v>
      </c>
      <c r="F724" s="215">
        <v>1.0</v>
      </c>
      <c r="G724" s="210"/>
      <c r="H724" s="216">
        <v>100.0</v>
      </c>
      <c r="I724" s="216">
        <v>150.0</v>
      </c>
      <c r="J724" s="216">
        <v>3000.0</v>
      </c>
      <c r="K724" s="216">
        <v>0.0</v>
      </c>
      <c r="L724" s="217">
        <v>46325.0</v>
      </c>
      <c r="M724" s="217">
        <v>46356.0</v>
      </c>
      <c r="N724" s="215">
        <v>1.0</v>
      </c>
      <c r="O724" s="215">
        <v>-1271.0</v>
      </c>
      <c r="P724" s="215">
        <v>1301.0</v>
      </c>
      <c r="Q724" s="203"/>
      <c r="R724" s="218" t="s">
        <v>2182</v>
      </c>
      <c r="S724" s="186"/>
      <c r="T724" s="215">
        <v>37.0</v>
      </c>
      <c r="U724" s="204"/>
    </row>
    <row r="725" ht="22.5" customHeight="1">
      <c r="A725" s="205"/>
      <c r="B725" s="193" t="s">
        <v>184</v>
      </c>
      <c r="C725" s="226" t="s">
        <v>136</v>
      </c>
      <c r="D725" s="194" t="s">
        <v>1760</v>
      </c>
      <c r="E725" s="193" t="s">
        <v>15</v>
      </c>
      <c r="F725" s="220">
        <v>5.0</v>
      </c>
      <c r="G725" s="150"/>
      <c r="H725" s="222">
        <v>100.0</v>
      </c>
      <c r="I725" s="222">
        <v>475.0</v>
      </c>
      <c r="J725" s="222">
        <v>0.0</v>
      </c>
      <c r="K725" s="222">
        <v>0.0</v>
      </c>
      <c r="L725" s="223">
        <v>46316.0</v>
      </c>
      <c r="M725" s="223">
        <v>46347.0</v>
      </c>
      <c r="N725" s="220">
        <v>1.0</v>
      </c>
      <c r="O725" s="220">
        <v>-1280.0</v>
      </c>
      <c r="P725" s="220">
        <v>1310.0</v>
      </c>
      <c r="Q725" s="209"/>
      <c r="R725" s="196" t="s">
        <v>2183</v>
      </c>
      <c r="S725" s="45"/>
      <c r="T725" s="220">
        <v>38.0</v>
      </c>
      <c r="U725" s="198"/>
    </row>
    <row r="726" ht="22.5" customHeight="1">
      <c r="A726" s="199"/>
      <c r="B726" s="212" t="s">
        <v>215</v>
      </c>
      <c r="C726" s="213" t="s">
        <v>136</v>
      </c>
      <c r="D726" s="214" t="s">
        <v>1760</v>
      </c>
      <c r="E726" s="212" t="s">
        <v>15</v>
      </c>
      <c r="F726" s="215">
        <v>5.0</v>
      </c>
      <c r="G726" s="147"/>
      <c r="H726" s="216">
        <v>120.0</v>
      </c>
      <c r="I726" s="216">
        <v>500.0</v>
      </c>
      <c r="J726" s="216">
        <v>10000.0</v>
      </c>
      <c r="K726" s="216">
        <v>0.0</v>
      </c>
      <c r="L726" s="217">
        <v>46304.0</v>
      </c>
      <c r="M726" s="217">
        <v>46335.0</v>
      </c>
      <c r="N726" s="215">
        <v>1.0</v>
      </c>
      <c r="O726" s="215">
        <v>-1292.0</v>
      </c>
      <c r="P726" s="215">
        <v>1322.0</v>
      </c>
      <c r="Q726" s="203"/>
      <c r="R726" s="218" t="s">
        <v>2184</v>
      </c>
      <c r="S726" s="186"/>
      <c r="T726" s="215">
        <v>39.0</v>
      </c>
      <c r="U726" s="204"/>
    </row>
    <row r="727" ht="22.5" customHeight="1">
      <c r="A727" s="205"/>
      <c r="B727" s="193" t="s">
        <v>192</v>
      </c>
      <c r="C727" s="226" t="s">
        <v>136</v>
      </c>
      <c r="D727" s="194" t="s">
        <v>2101</v>
      </c>
      <c r="E727" s="193" t="s">
        <v>17</v>
      </c>
      <c r="F727" s="220">
        <v>3.0</v>
      </c>
      <c r="G727" s="150"/>
      <c r="H727" s="222">
        <v>2000.0</v>
      </c>
      <c r="I727" s="222">
        <v>6000.0</v>
      </c>
      <c r="J727" s="222">
        <v>6000.0</v>
      </c>
      <c r="K727" s="197" t="s">
        <v>2185</v>
      </c>
      <c r="L727" s="223">
        <v>46305.0</v>
      </c>
      <c r="M727" s="208"/>
      <c r="N727" s="220">
        <v>1.0</v>
      </c>
      <c r="O727" s="150"/>
      <c r="P727" s="220">
        <v>30.0</v>
      </c>
      <c r="Q727" s="209"/>
      <c r="R727" s="196" t="s">
        <v>2186</v>
      </c>
      <c r="S727" s="45"/>
      <c r="T727" s="220">
        <v>40.0</v>
      </c>
      <c r="U727" s="198"/>
    </row>
    <row r="728" ht="22.5" customHeight="1">
      <c r="A728" s="199"/>
      <c r="B728" s="212" t="s">
        <v>227</v>
      </c>
      <c r="C728" s="213" t="s">
        <v>136</v>
      </c>
      <c r="D728" s="214" t="s">
        <v>1760</v>
      </c>
      <c r="E728" s="212" t="s">
        <v>15</v>
      </c>
      <c r="F728" s="215">
        <v>5.0</v>
      </c>
      <c r="G728" s="210"/>
      <c r="H728" s="216">
        <v>100.0</v>
      </c>
      <c r="I728" s="216">
        <v>500.0</v>
      </c>
      <c r="J728" s="216">
        <v>10000.0</v>
      </c>
      <c r="K728" s="216">
        <v>0.0</v>
      </c>
      <c r="L728" s="217">
        <v>46325.0</v>
      </c>
      <c r="M728" s="217">
        <v>46356.0</v>
      </c>
      <c r="N728" s="215">
        <v>1.0</v>
      </c>
      <c r="O728" s="215">
        <v>-1271.0</v>
      </c>
      <c r="P728" s="215">
        <v>1301.0</v>
      </c>
      <c r="Q728" s="203"/>
      <c r="R728" s="218" t="s">
        <v>2187</v>
      </c>
      <c r="S728" s="186"/>
      <c r="T728" s="215">
        <v>41.0</v>
      </c>
      <c r="U728" s="204"/>
    </row>
    <row r="729" ht="22.5" customHeight="1">
      <c r="A729" s="205"/>
      <c r="B729" s="193" t="s">
        <v>142</v>
      </c>
      <c r="C729" s="226" t="s">
        <v>136</v>
      </c>
      <c r="D729" s="194" t="s">
        <v>1965</v>
      </c>
      <c r="E729" s="193" t="s">
        <v>15</v>
      </c>
      <c r="F729" s="220">
        <v>6.0</v>
      </c>
      <c r="G729" s="150"/>
      <c r="H729" s="222">
        <v>120.0</v>
      </c>
      <c r="I729" s="222">
        <v>600.0</v>
      </c>
      <c r="J729" s="222">
        <v>12000.0</v>
      </c>
      <c r="K729" s="222">
        <v>0.0</v>
      </c>
      <c r="L729" s="223">
        <v>46297.0</v>
      </c>
      <c r="M729" s="223">
        <v>46328.0</v>
      </c>
      <c r="N729" s="220">
        <v>1.0</v>
      </c>
      <c r="O729" s="220">
        <v>-1299.0</v>
      </c>
      <c r="P729" s="220">
        <v>1329.0</v>
      </c>
      <c r="Q729" s="209"/>
      <c r="R729" s="196" t="s">
        <v>2188</v>
      </c>
      <c r="S729" s="45"/>
      <c r="T729" s="220">
        <v>42.0</v>
      </c>
      <c r="U729" s="198"/>
    </row>
    <row r="730" ht="22.5" customHeight="1">
      <c r="A730" s="199"/>
      <c r="B730" s="212" t="s">
        <v>211</v>
      </c>
      <c r="C730" s="213" t="s">
        <v>136</v>
      </c>
      <c r="D730" s="214" t="s">
        <v>2137</v>
      </c>
      <c r="E730" s="212" t="s">
        <v>15</v>
      </c>
      <c r="F730" s="215">
        <v>1.0</v>
      </c>
      <c r="G730" s="147"/>
      <c r="H730" s="216">
        <v>150.0</v>
      </c>
      <c r="I730" s="216">
        <v>150.0</v>
      </c>
      <c r="J730" s="216">
        <v>3000.0</v>
      </c>
      <c r="K730" s="216">
        <v>0.0</v>
      </c>
      <c r="L730" s="217">
        <v>46278.0</v>
      </c>
      <c r="M730" s="217">
        <v>46308.0</v>
      </c>
      <c r="N730" s="215">
        <v>1.0</v>
      </c>
      <c r="O730" s="215">
        <v>-1319.0</v>
      </c>
      <c r="P730" s="215">
        <v>1349.0</v>
      </c>
      <c r="Q730" s="203"/>
      <c r="R730" s="218" t="s">
        <v>2189</v>
      </c>
      <c r="S730" s="186"/>
      <c r="T730" s="215">
        <v>13.0</v>
      </c>
      <c r="U730" s="204"/>
    </row>
    <row r="731" ht="22.5" customHeight="1">
      <c r="A731" s="205"/>
      <c r="B731" s="193" t="s">
        <v>207</v>
      </c>
      <c r="C731" s="226" t="s">
        <v>136</v>
      </c>
      <c r="D731" s="194" t="s">
        <v>1983</v>
      </c>
      <c r="E731" s="194" t="s">
        <v>17</v>
      </c>
      <c r="F731" s="220">
        <v>5.0</v>
      </c>
      <c r="G731" s="150"/>
      <c r="H731" s="222">
        <v>1350.0</v>
      </c>
      <c r="I731" s="222">
        <v>6750.0</v>
      </c>
      <c r="J731" s="222">
        <v>6750.0</v>
      </c>
      <c r="K731" s="222">
        <v>0.0</v>
      </c>
      <c r="L731" s="223">
        <v>46282.0</v>
      </c>
      <c r="M731" s="223">
        <v>46312.0</v>
      </c>
      <c r="N731" s="220">
        <v>1.0</v>
      </c>
      <c r="O731" s="220">
        <v>-1315.0</v>
      </c>
      <c r="P731" s="220">
        <v>1345.0</v>
      </c>
      <c r="Q731" s="209"/>
      <c r="R731" s="196" t="s">
        <v>2190</v>
      </c>
      <c r="S731" s="45"/>
      <c r="T731" s="220">
        <v>14.0</v>
      </c>
      <c r="U731" s="198"/>
    </row>
    <row r="732" ht="22.5" customHeight="1">
      <c r="A732" s="199"/>
      <c r="B732" s="212" t="s">
        <v>201</v>
      </c>
      <c r="C732" s="213" t="s">
        <v>136</v>
      </c>
      <c r="D732" s="214" t="s">
        <v>2077</v>
      </c>
      <c r="E732" s="212" t="s">
        <v>17</v>
      </c>
      <c r="F732" s="215">
        <v>4.0</v>
      </c>
      <c r="G732" s="147"/>
      <c r="H732" s="216">
        <v>2000.0</v>
      </c>
      <c r="I732" s="216">
        <v>8000.0</v>
      </c>
      <c r="J732" s="216">
        <v>8000.0</v>
      </c>
      <c r="K732" s="216">
        <v>0.0</v>
      </c>
      <c r="L732" s="217">
        <v>46274.0</v>
      </c>
      <c r="M732" s="217">
        <v>46304.0</v>
      </c>
      <c r="N732" s="215">
        <v>1.0</v>
      </c>
      <c r="O732" s="215">
        <v>-1323.0</v>
      </c>
      <c r="P732" s="215">
        <v>1353.0</v>
      </c>
      <c r="Q732" s="203"/>
      <c r="R732" s="218" t="s">
        <v>2191</v>
      </c>
      <c r="S732" s="186"/>
      <c r="T732" s="215">
        <v>15.0</v>
      </c>
      <c r="U732" s="204"/>
    </row>
    <row r="733" ht="22.5" customHeight="1">
      <c r="A733" s="205"/>
      <c r="B733" s="193" t="s">
        <v>186</v>
      </c>
      <c r="C733" s="226" t="s">
        <v>136</v>
      </c>
      <c r="D733" s="194" t="s">
        <v>2030</v>
      </c>
      <c r="E733" s="193" t="s">
        <v>187</v>
      </c>
      <c r="F733" s="220">
        <v>2.0</v>
      </c>
      <c r="G733" s="221"/>
      <c r="H733" s="197" t="s">
        <v>2031</v>
      </c>
      <c r="I733" s="222">
        <v>2000.0</v>
      </c>
      <c r="J733" s="222">
        <v>10600.0</v>
      </c>
      <c r="K733" s="197" t="s">
        <v>2192</v>
      </c>
      <c r="L733" s="223">
        <v>46275.0</v>
      </c>
      <c r="M733" s="223">
        <v>46305.0</v>
      </c>
      <c r="N733" s="220">
        <v>1.0</v>
      </c>
      <c r="O733" s="220">
        <v>-1322.0</v>
      </c>
      <c r="P733" s="220">
        <v>1352.0</v>
      </c>
      <c r="Q733" s="238">
        <v>46255.0</v>
      </c>
      <c r="R733" s="196" t="s">
        <v>2193</v>
      </c>
      <c r="S733" s="45"/>
      <c r="T733" s="220">
        <v>16.0</v>
      </c>
      <c r="U733" s="198"/>
    </row>
    <row r="734" ht="22.5" customHeight="1">
      <c r="A734" s="199"/>
      <c r="B734" s="212" t="s">
        <v>198</v>
      </c>
      <c r="C734" s="213" t="s">
        <v>136</v>
      </c>
      <c r="D734" s="214" t="s">
        <v>2194</v>
      </c>
      <c r="E734" s="212" t="s">
        <v>17</v>
      </c>
      <c r="F734" s="215">
        <v>4.0</v>
      </c>
      <c r="G734" s="147"/>
      <c r="H734" s="216">
        <v>1500.0</v>
      </c>
      <c r="I734" s="216">
        <v>6000.0</v>
      </c>
      <c r="J734" s="216">
        <v>6000.0</v>
      </c>
      <c r="K734" s="216">
        <v>0.0</v>
      </c>
      <c r="L734" s="217">
        <v>46285.0</v>
      </c>
      <c r="M734" s="217">
        <v>46315.0</v>
      </c>
      <c r="N734" s="215">
        <v>1.0</v>
      </c>
      <c r="O734" s="215">
        <v>-1312.0</v>
      </c>
      <c r="P734" s="215">
        <v>1342.0</v>
      </c>
      <c r="Q734" s="203"/>
      <c r="R734" s="218" t="s">
        <v>2195</v>
      </c>
      <c r="S734" s="186"/>
      <c r="T734" s="215">
        <v>17.0</v>
      </c>
      <c r="U734" s="204"/>
    </row>
    <row r="735" ht="22.5" customHeight="1">
      <c r="A735" s="205"/>
      <c r="B735" s="193" t="s">
        <v>203</v>
      </c>
      <c r="C735" s="226" t="s">
        <v>136</v>
      </c>
      <c r="D735" s="194" t="s">
        <v>1676</v>
      </c>
      <c r="E735" s="193" t="s">
        <v>17</v>
      </c>
      <c r="F735" s="220">
        <v>2.0</v>
      </c>
      <c r="G735" s="150"/>
      <c r="H735" s="222">
        <v>2250.0</v>
      </c>
      <c r="I735" s="222">
        <v>4000.0</v>
      </c>
      <c r="J735" s="222">
        <v>4000.0</v>
      </c>
      <c r="K735" s="222">
        <v>0.0</v>
      </c>
      <c r="L735" s="223">
        <v>46292.0</v>
      </c>
      <c r="M735" s="223">
        <v>46322.0</v>
      </c>
      <c r="N735" s="220">
        <v>1.0</v>
      </c>
      <c r="O735" s="220">
        <v>-1305.0</v>
      </c>
      <c r="P735" s="220">
        <v>1335.0</v>
      </c>
      <c r="Q735" s="209"/>
      <c r="R735" s="196" t="s">
        <v>2196</v>
      </c>
      <c r="S735" s="45"/>
      <c r="T735" s="220">
        <v>18.0</v>
      </c>
      <c r="U735" s="198"/>
    </row>
    <row r="736" ht="22.5" customHeight="1">
      <c r="A736" s="199"/>
      <c r="B736" s="212" t="s">
        <v>194</v>
      </c>
      <c r="C736" s="213" t="s">
        <v>136</v>
      </c>
      <c r="D736" s="214" t="s">
        <v>2177</v>
      </c>
      <c r="E736" s="212" t="s">
        <v>15</v>
      </c>
      <c r="F736" s="215">
        <v>4.0</v>
      </c>
      <c r="G736" s="147"/>
      <c r="H736" s="216">
        <v>100.0</v>
      </c>
      <c r="I736" s="216">
        <v>400.0</v>
      </c>
      <c r="J736" s="216">
        <v>8200.0</v>
      </c>
      <c r="K736" s="216">
        <v>0.0</v>
      </c>
      <c r="L736" s="217">
        <v>46287.0</v>
      </c>
      <c r="M736" s="217">
        <v>46317.0</v>
      </c>
      <c r="N736" s="215">
        <v>1.0</v>
      </c>
      <c r="O736" s="215">
        <v>-1310.0</v>
      </c>
      <c r="P736" s="215">
        <v>1340.0</v>
      </c>
      <c r="Q736" s="203"/>
      <c r="R736" s="218" t="s">
        <v>2197</v>
      </c>
      <c r="S736" s="186"/>
      <c r="T736" s="215">
        <v>19.0</v>
      </c>
      <c r="U736" s="204"/>
    </row>
    <row r="737" ht="22.5" customHeight="1">
      <c r="A737" s="192" t="s">
        <v>2198</v>
      </c>
      <c r="B737" s="193" t="s">
        <v>209</v>
      </c>
      <c r="C737" s="219" t="s">
        <v>684</v>
      </c>
      <c r="D737" s="194" t="s">
        <v>2101</v>
      </c>
      <c r="E737" s="193" t="s">
        <v>17</v>
      </c>
      <c r="F737" s="220">
        <v>3.0</v>
      </c>
      <c r="G737" s="150"/>
      <c r="H737" s="222">
        <v>2000.0</v>
      </c>
      <c r="I737" s="222">
        <v>6000.0</v>
      </c>
      <c r="J737" s="207"/>
      <c r="K737" s="207"/>
      <c r="L737" s="223">
        <v>46287.0</v>
      </c>
      <c r="M737" s="223">
        <v>46317.0</v>
      </c>
      <c r="N737" s="150"/>
      <c r="O737" s="220">
        <v>-1310.0</v>
      </c>
      <c r="P737" s="220">
        <v>1340.0</v>
      </c>
      <c r="Q737" s="209"/>
      <c r="R737" s="196" t="s">
        <v>2199</v>
      </c>
      <c r="S737" s="45"/>
      <c r="T737" s="220">
        <v>20.0</v>
      </c>
      <c r="U737" s="198"/>
    </row>
    <row r="738" ht="22.5" customHeight="1">
      <c r="A738" s="199"/>
      <c r="B738" s="212" t="s">
        <v>192</v>
      </c>
      <c r="C738" s="213" t="s">
        <v>136</v>
      </c>
      <c r="D738" s="214" t="s">
        <v>2101</v>
      </c>
      <c r="E738" s="212" t="s">
        <v>17</v>
      </c>
      <c r="F738" s="215">
        <v>3.0</v>
      </c>
      <c r="G738" s="147"/>
      <c r="H738" s="216">
        <v>2000.0</v>
      </c>
      <c r="I738" s="216">
        <v>6000.0</v>
      </c>
      <c r="J738" s="216">
        <v>6000.0</v>
      </c>
      <c r="K738" s="216">
        <v>0.0</v>
      </c>
      <c r="L738" s="217">
        <v>46275.0</v>
      </c>
      <c r="M738" s="217">
        <v>46305.0</v>
      </c>
      <c r="N738" s="215">
        <v>1.0</v>
      </c>
      <c r="O738" s="215">
        <v>-1322.0</v>
      </c>
      <c r="P738" s="215">
        <v>1352.0</v>
      </c>
      <c r="Q738" s="203"/>
      <c r="R738" s="218" t="s">
        <v>2200</v>
      </c>
      <c r="S738" s="186"/>
      <c r="T738" s="215">
        <v>21.0</v>
      </c>
      <c r="U738" s="204"/>
    </row>
    <row r="739" ht="22.5" customHeight="1">
      <c r="A739" s="205"/>
      <c r="B739" s="193" t="s">
        <v>142</v>
      </c>
      <c r="C739" s="226" t="s">
        <v>136</v>
      </c>
      <c r="D739" s="194" t="s">
        <v>1965</v>
      </c>
      <c r="E739" s="193" t="s">
        <v>15</v>
      </c>
      <c r="F739" s="220">
        <v>6.0</v>
      </c>
      <c r="G739" s="150"/>
      <c r="H739" s="222">
        <v>120.0</v>
      </c>
      <c r="I739" s="222">
        <v>598.0</v>
      </c>
      <c r="J739" s="222">
        <v>11960.0</v>
      </c>
      <c r="K739" s="222">
        <v>0.0</v>
      </c>
      <c r="L739" s="223">
        <v>46267.0</v>
      </c>
      <c r="M739" s="223">
        <v>46297.0</v>
      </c>
      <c r="N739" s="220">
        <v>1.0</v>
      </c>
      <c r="O739" s="220">
        <v>-1330.0</v>
      </c>
      <c r="P739" s="220">
        <v>1360.0</v>
      </c>
      <c r="Q739" s="209"/>
      <c r="R739" s="196" t="s">
        <v>2201</v>
      </c>
      <c r="S739" s="45"/>
      <c r="T739" s="220">
        <v>22.0</v>
      </c>
      <c r="U739" s="198"/>
    </row>
    <row r="740" ht="22.5" customHeight="1">
      <c r="A740" s="211">
        <v>1.0</v>
      </c>
      <c r="B740" s="212" t="s">
        <v>205</v>
      </c>
      <c r="C740" s="213" t="s">
        <v>136</v>
      </c>
      <c r="D740" s="214" t="s">
        <v>2202</v>
      </c>
      <c r="E740" s="212" t="s">
        <v>17</v>
      </c>
      <c r="F740" s="215">
        <v>4.0</v>
      </c>
      <c r="G740" s="147"/>
      <c r="H740" s="216">
        <v>2000.0</v>
      </c>
      <c r="I740" s="216">
        <v>9000.0</v>
      </c>
      <c r="J740" s="216">
        <v>9000.0</v>
      </c>
      <c r="K740" s="216">
        <v>0.0</v>
      </c>
      <c r="L740" s="217">
        <v>46250.0</v>
      </c>
      <c r="M740" s="217">
        <v>46281.0</v>
      </c>
      <c r="N740" s="215">
        <v>1.0</v>
      </c>
      <c r="O740" s="215">
        <v>-1346.0</v>
      </c>
      <c r="P740" s="215">
        <v>1376.0</v>
      </c>
      <c r="Q740" s="203"/>
      <c r="R740" s="218" t="s">
        <v>2203</v>
      </c>
      <c r="S740" s="186"/>
      <c r="T740" s="215">
        <v>1.0</v>
      </c>
      <c r="U740" s="204"/>
    </row>
    <row r="741" ht="22.5" customHeight="1">
      <c r="A741" s="192">
        <v>1.0</v>
      </c>
      <c r="B741" s="193" t="s">
        <v>207</v>
      </c>
      <c r="C741" s="226" t="s">
        <v>136</v>
      </c>
      <c r="D741" s="194" t="s">
        <v>1983</v>
      </c>
      <c r="E741" s="194" t="s">
        <v>17</v>
      </c>
      <c r="F741" s="220">
        <v>5.0</v>
      </c>
      <c r="G741" s="150"/>
      <c r="H741" s="222">
        <v>1350.0</v>
      </c>
      <c r="I741" s="222">
        <v>6750.0</v>
      </c>
      <c r="J741" s="222">
        <v>6750.0</v>
      </c>
      <c r="K741" s="222">
        <v>0.0</v>
      </c>
      <c r="L741" s="223">
        <v>46251.0</v>
      </c>
      <c r="M741" s="223">
        <v>46282.0</v>
      </c>
      <c r="N741" s="220">
        <v>1.0</v>
      </c>
      <c r="O741" s="220">
        <v>-1345.0</v>
      </c>
      <c r="P741" s="220">
        <v>1375.0</v>
      </c>
      <c r="Q741" s="209"/>
      <c r="R741" s="196" t="s">
        <v>2204</v>
      </c>
      <c r="S741" s="45"/>
      <c r="T741" s="220">
        <v>2.0</v>
      </c>
      <c r="U741" s="198"/>
    </row>
    <row r="742" ht="22.5" customHeight="1">
      <c r="A742" s="211">
        <v>1.0</v>
      </c>
      <c r="B742" s="212" t="s">
        <v>201</v>
      </c>
      <c r="C742" s="213" t="s">
        <v>136</v>
      </c>
      <c r="D742" s="214" t="s">
        <v>2101</v>
      </c>
      <c r="E742" s="212" t="s">
        <v>17</v>
      </c>
      <c r="F742" s="215">
        <v>3.0</v>
      </c>
      <c r="G742" s="147"/>
      <c r="H742" s="216">
        <v>2000.0</v>
      </c>
      <c r="I742" s="216">
        <v>6000.0</v>
      </c>
      <c r="J742" s="216">
        <v>6000.0</v>
      </c>
      <c r="K742" s="216">
        <v>0.0</v>
      </c>
      <c r="L742" s="217">
        <v>46243.0</v>
      </c>
      <c r="M742" s="217">
        <v>46274.0</v>
      </c>
      <c r="N742" s="215">
        <v>1.0</v>
      </c>
      <c r="O742" s="215">
        <v>-1353.0</v>
      </c>
      <c r="P742" s="215">
        <v>1383.0</v>
      </c>
      <c r="Q742" s="203"/>
      <c r="R742" s="218" t="s">
        <v>2205</v>
      </c>
      <c r="S742" s="186"/>
      <c r="T742" s="215">
        <v>3.0</v>
      </c>
      <c r="U742" s="204"/>
    </row>
    <row r="743" ht="22.5" customHeight="1">
      <c r="A743" s="205"/>
      <c r="B743" s="193" t="s">
        <v>186</v>
      </c>
      <c r="C743" s="226" t="s">
        <v>136</v>
      </c>
      <c r="D743" s="194" t="s">
        <v>2030</v>
      </c>
      <c r="E743" s="193" t="s">
        <v>187</v>
      </c>
      <c r="F743" s="220">
        <v>2.0</v>
      </c>
      <c r="G743" s="221"/>
      <c r="H743" s="197" t="s">
        <v>2031</v>
      </c>
      <c r="I743" s="222">
        <v>2000.0</v>
      </c>
      <c r="J743" s="222">
        <v>10600.0</v>
      </c>
      <c r="K743" s="197" t="s">
        <v>2192</v>
      </c>
      <c r="L743" s="223">
        <v>46244.0</v>
      </c>
      <c r="M743" s="223">
        <v>46275.0</v>
      </c>
      <c r="N743" s="220">
        <v>1.0</v>
      </c>
      <c r="O743" s="220">
        <v>-1352.0</v>
      </c>
      <c r="P743" s="220">
        <v>1382.0</v>
      </c>
      <c r="Q743" s="238">
        <v>46255.0</v>
      </c>
      <c r="R743" s="196" t="s">
        <v>2206</v>
      </c>
      <c r="S743" s="45"/>
      <c r="T743" s="220">
        <v>4.0</v>
      </c>
      <c r="U743" s="198"/>
    </row>
    <row r="744" ht="22.5" customHeight="1">
      <c r="A744" s="211" t="s">
        <v>2207</v>
      </c>
      <c r="B744" s="212" t="s">
        <v>196</v>
      </c>
      <c r="C744" s="213" t="s">
        <v>136</v>
      </c>
      <c r="D744" s="214" t="s">
        <v>2101</v>
      </c>
      <c r="E744" s="212" t="s">
        <v>17</v>
      </c>
      <c r="F744" s="215">
        <v>3.0</v>
      </c>
      <c r="G744" s="147"/>
      <c r="H744" s="216">
        <v>2100.0</v>
      </c>
      <c r="I744" s="216">
        <v>6300.0</v>
      </c>
      <c r="J744" s="216">
        <v>6300.0</v>
      </c>
      <c r="K744" s="216">
        <v>0.0</v>
      </c>
      <c r="L744" s="217">
        <v>46257.0</v>
      </c>
      <c r="M744" s="217">
        <v>46288.0</v>
      </c>
      <c r="N744" s="215">
        <v>1.0</v>
      </c>
      <c r="O744" s="215">
        <v>-1339.0</v>
      </c>
      <c r="P744" s="215">
        <v>1369.0</v>
      </c>
      <c r="Q744" s="203"/>
      <c r="R744" s="218" t="s">
        <v>2208</v>
      </c>
      <c r="S744" s="186"/>
      <c r="T744" s="215">
        <v>5.0</v>
      </c>
      <c r="U744" s="204"/>
    </row>
    <row r="745" ht="22.5" customHeight="1">
      <c r="A745" s="192">
        <v>1.0</v>
      </c>
      <c r="B745" s="193" t="s">
        <v>198</v>
      </c>
      <c r="C745" s="226" t="s">
        <v>136</v>
      </c>
      <c r="D745" s="194" t="s">
        <v>2101</v>
      </c>
      <c r="E745" s="193" t="s">
        <v>17</v>
      </c>
      <c r="F745" s="220">
        <v>3.0</v>
      </c>
      <c r="G745" s="150"/>
      <c r="H745" s="222">
        <v>2000.0</v>
      </c>
      <c r="I745" s="222">
        <v>6000.0</v>
      </c>
      <c r="J745" s="222">
        <v>3825.0</v>
      </c>
      <c r="K745" s="222">
        <v>0.0</v>
      </c>
      <c r="L745" s="223">
        <v>46254.0</v>
      </c>
      <c r="M745" s="223">
        <v>46285.0</v>
      </c>
      <c r="N745" s="220">
        <v>1.0</v>
      </c>
      <c r="O745" s="220">
        <v>-1342.0</v>
      </c>
      <c r="P745" s="220">
        <v>1372.0</v>
      </c>
      <c r="Q745" s="209"/>
      <c r="R745" s="196" t="s">
        <v>2209</v>
      </c>
      <c r="S745" s="45"/>
      <c r="T745" s="220">
        <v>6.0</v>
      </c>
      <c r="U745" s="198"/>
    </row>
    <row r="746" ht="22.5" customHeight="1">
      <c r="A746" s="211">
        <v>1.0</v>
      </c>
      <c r="B746" s="212" t="s">
        <v>203</v>
      </c>
      <c r="C746" s="213" t="s">
        <v>136</v>
      </c>
      <c r="D746" s="214" t="s">
        <v>1676</v>
      </c>
      <c r="E746" s="212" t="s">
        <v>17</v>
      </c>
      <c r="F746" s="215">
        <v>2.0</v>
      </c>
      <c r="G746" s="147"/>
      <c r="H746" s="216">
        <v>2250.0</v>
      </c>
      <c r="I746" s="216">
        <v>4500.0</v>
      </c>
      <c r="J746" s="216">
        <v>4000.0</v>
      </c>
      <c r="K746" s="216">
        <v>0.0</v>
      </c>
      <c r="L746" s="217">
        <v>46261.0</v>
      </c>
      <c r="M746" s="217">
        <v>46292.0</v>
      </c>
      <c r="N746" s="215">
        <v>1.0</v>
      </c>
      <c r="O746" s="215">
        <v>-1335.0</v>
      </c>
      <c r="P746" s="215">
        <v>1365.0</v>
      </c>
      <c r="Q746" s="203"/>
      <c r="R746" s="218" t="s">
        <v>2210</v>
      </c>
      <c r="S746" s="186"/>
      <c r="T746" s="215">
        <v>7.0</v>
      </c>
      <c r="U746" s="204"/>
    </row>
    <row r="747" ht="22.5" customHeight="1">
      <c r="A747" s="192">
        <v>1.0</v>
      </c>
      <c r="B747" s="193" t="s">
        <v>194</v>
      </c>
      <c r="C747" s="226" t="s">
        <v>136</v>
      </c>
      <c r="D747" s="194" t="s">
        <v>2177</v>
      </c>
      <c r="E747" s="193" t="s">
        <v>15</v>
      </c>
      <c r="F747" s="220">
        <v>4.0</v>
      </c>
      <c r="G747" s="150"/>
      <c r="H747" s="222">
        <v>100.0</v>
      </c>
      <c r="I747" s="222">
        <v>375.0</v>
      </c>
      <c r="J747" s="222">
        <v>7687.5</v>
      </c>
      <c r="K747" s="222">
        <v>7687.5</v>
      </c>
      <c r="L747" s="223">
        <v>46256.0</v>
      </c>
      <c r="M747" s="223">
        <v>46287.0</v>
      </c>
      <c r="N747" s="220">
        <v>0.0</v>
      </c>
      <c r="O747" s="220">
        <v>-1340.0</v>
      </c>
      <c r="P747" s="220">
        <v>1370.0</v>
      </c>
      <c r="Q747" s="209"/>
      <c r="R747" s="196" t="s">
        <v>2211</v>
      </c>
      <c r="S747" s="45"/>
      <c r="T747" s="220">
        <v>8.0</v>
      </c>
      <c r="U747" s="198"/>
    </row>
    <row r="748" ht="22.5" customHeight="1">
      <c r="A748" s="211">
        <v>1.0</v>
      </c>
      <c r="B748" s="212" t="s">
        <v>209</v>
      </c>
      <c r="C748" s="213" t="s">
        <v>136</v>
      </c>
      <c r="D748" s="214" t="s">
        <v>2101</v>
      </c>
      <c r="E748" s="212" t="s">
        <v>17</v>
      </c>
      <c r="F748" s="215">
        <v>3.0</v>
      </c>
      <c r="G748" s="147"/>
      <c r="H748" s="216">
        <v>2000.0</v>
      </c>
      <c r="I748" s="216">
        <v>6000.0</v>
      </c>
      <c r="J748" s="216">
        <v>6000.0</v>
      </c>
      <c r="K748" s="216">
        <v>0.0</v>
      </c>
      <c r="L748" s="217">
        <v>46256.0</v>
      </c>
      <c r="M748" s="217">
        <v>46287.0</v>
      </c>
      <c r="N748" s="215">
        <v>1.0</v>
      </c>
      <c r="O748" s="215">
        <v>-1340.0</v>
      </c>
      <c r="P748" s="215">
        <v>1370.0</v>
      </c>
      <c r="Q748" s="203"/>
      <c r="R748" s="218" t="s">
        <v>2212</v>
      </c>
      <c r="S748" s="186"/>
      <c r="T748" s="215">
        <v>9.0</v>
      </c>
      <c r="U748" s="204"/>
    </row>
    <row r="749" ht="22.5" customHeight="1">
      <c r="A749" s="192">
        <v>1.0</v>
      </c>
      <c r="B749" s="193" t="s">
        <v>192</v>
      </c>
      <c r="C749" s="226" t="s">
        <v>136</v>
      </c>
      <c r="D749" s="194" t="s">
        <v>2101</v>
      </c>
      <c r="E749" s="193" t="s">
        <v>17</v>
      </c>
      <c r="F749" s="220">
        <v>3.0</v>
      </c>
      <c r="G749" s="150"/>
      <c r="H749" s="222">
        <v>1600.0</v>
      </c>
      <c r="I749" s="222">
        <v>4800.0</v>
      </c>
      <c r="J749" s="222">
        <v>4800.0</v>
      </c>
      <c r="K749" s="222">
        <v>0.0</v>
      </c>
      <c r="L749" s="223">
        <v>46244.0</v>
      </c>
      <c r="M749" s="223">
        <v>46275.0</v>
      </c>
      <c r="N749" s="220">
        <v>1.0</v>
      </c>
      <c r="O749" s="220">
        <v>-1352.0</v>
      </c>
      <c r="P749" s="220">
        <v>1382.0</v>
      </c>
      <c r="Q749" s="209"/>
      <c r="R749" s="196" t="s">
        <v>2213</v>
      </c>
      <c r="S749" s="45"/>
      <c r="T749" s="220">
        <v>10.0</v>
      </c>
      <c r="U749" s="198"/>
    </row>
    <row r="750" ht="22.5" customHeight="1">
      <c r="A750" s="199"/>
      <c r="B750" s="212" t="s">
        <v>189</v>
      </c>
      <c r="C750" s="214" t="s">
        <v>489</v>
      </c>
      <c r="D750" s="200"/>
      <c r="E750" s="200"/>
      <c r="F750" s="147"/>
      <c r="G750" s="147"/>
      <c r="H750" s="201"/>
      <c r="I750" s="201"/>
      <c r="J750" s="201"/>
      <c r="K750" s="201"/>
      <c r="L750" s="202"/>
      <c r="M750" s="217">
        <v>46052.0</v>
      </c>
      <c r="N750" s="147"/>
      <c r="O750" s="215">
        <v>-46135.0</v>
      </c>
      <c r="P750" s="147"/>
      <c r="Q750" s="203"/>
      <c r="R750" s="218" t="s">
        <v>2214</v>
      </c>
      <c r="S750" s="186"/>
      <c r="T750" s="215">
        <v>11.0</v>
      </c>
      <c r="U750" s="204"/>
    </row>
    <row r="751" ht="22.5" customHeight="1">
      <c r="A751" s="192">
        <v>1.0</v>
      </c>
      <c r="B751" s="193" t="s">
        <v>142</v>
      </c>
      <c r="C751" s="226" t="s">
        <v>136</v>
      </c>
      <c r="D751" s="194" t="s">
        <v>1760</v>
      </c>
      <c r="E751" s="193" t="s">
        <v>15</v>
      </c>
      <c r="F751" s="220">
        <v>5.0</v>
      </c>
      <c r="G751" s="150"/>
      <c r="H751" s="222">
        <v>120.0</v>
      </c>
      <c r="I751" s="222">
        <v>498.0</v>
      </c>
      <c r="J751" s="222">
        <v>9960.0</v>
      </c>
      <c r="K751" s="222">
        <v>0.0</v>
      </c>
      <c r="L751" s="223">
        <v>46236.0</v>
      </c>
      <c r="M751" s="223">
        <v>46267.0</v>
      </c>
      <c r="N751" s="220">
        <v>1.0</v>
      </c>
      <c r="O751" s="220">
        <v>-1360.0</v>
      </c>
      <c r="P751" s="220">
        <v>1390.0</v>
      </c>
      <c r="Q751" s="209"/>
      <c r="R751" s="196" t="s">
        <v>2215</v>
      </c>
      <c r="S751" s="45"/>
      <c r="T751" s="220">
        <v>12.0</v>
      </c>
      <c r="U751" s="198"/>
    </row>
    <row r="752" ht="22.5" customHeight="1">
      <c r="A752" s="259"/>
      <c r="B752" s="264">
        <f>COUNTA(Student_Invoices[Students])</f>
        <v>750</v>
      </c>
      <c r="C752" s="261"/>
      <c r="D752" s="261"/>
      <c r="E752" s="261"/>
      <c r="F752" s="261"/>
      <c r="G752" s="261"/>
      <c r="H752" s="261"/>
      <c r="I752" s="261"/>
      <c r="J752" s="265">
        <f>SUM(Student_Invoices[INR])</f>
        <v>5480669.63</v>
      </c>
      <c r="K752" s="265">
        <f>SUM(Student_Invoices[Due])</f>
        <v>1298112.53</v>
      </c>
      <c r="L752" s="261"/>
      <c r="M752" s="261"/>
      <c r="N752" s="261"/>
      <c r="O752" s="261"/>
      <c r="P752" s="261"/>
      <c r="Q752" s="261"/>
      <c r="R752" s="261"/>
      <c r="S752" s="261"/>
      <c r="T752" s="261"/>
      <c r="U752" s="263"/>
    </row>
  </sheetData>
  <dataValidations>
    <dataValidation type="list" allowBlank="1" sqref="D2:E751">
      <formula1>#REF!</formula1>
    </dataValidation>
    <dataValidation type="custom" allowBlank="1" showDropDown="1" sqref="L2:M751 Q2:Q751">
      <formula1>OR(NOT(ISERROR(DATEVALUE(L2))), AND(ISNUMBER(L2), LEFT(CELL("format", L2))="D"))</formula1>
    </dataValidation>
    <dataValidation type="custom" allowBlank="1" showDropDown="1" sqref="F2:F751 H2:K751 N2:P751 T2:T751">
      <formula1>AND(ISNUMBER(F2),(NOT(OR(NOT(ISERROR(DATEVALUE(F2))), AND(ISNUMBER(F2), LEFT(CELL("format", F2))="D")))))</formula1>
    </dataValidation>
    <dataValidation allowBlank="1" showDropDown="1" sqref="B2:B751"/>
    <dataValidation type="list" allowBlank="1" sqref="C2:C751">
      <formula1>"Active,Paused,Cancelled,NA,Invoice made,Invoice sent,Warning sent"</formula1>
    </dataValidation>
  </dataValidations>
  <hyperlinks>
    <hyperlink r:id="rId1" ref="S4"/>
    <hyperlink r:id="rId2" ref="S5"/>
    <hyperlink r:id="rId3" ref="S9"/>
    <hyperlink r:id="rId4" ref="S16"/>
    <hyperlink r:id="rId5" ref="S17"/>
    <hyperlink r:id="rId6" ref="S19"/>
    <hyperlink r:id="rId7" ref="S20"/>
    <hyperlink r:id="rId8" ref="S22"/>
    <hyperlink r:id="rId9" ref="S23"/>
    <hyperlink r:id="rId10" ref="S24"/>
    <hyperlink r:id="rId11" ref="S26"/>
    <hyperlink r:id="rId12" ref="S27"/>
    <hyperlink r:id="rId13" ref="S28"/>
    <hyperlink r:id="rId14" ref="S29"/>
    <hyperlink r:id="rId15" ref="S31"/>
    <hyperlink r:id="rId16" ref="S32"/>
    <hyperlink r:id="rId17" ref="S34"/>
    <hyperlink r:id="rId18" ref="S37"/>
    <hyperlink r:id="rId19" ref="S38"/>
    <hyperlink r:id="rId20" ref="S40"/>
    <hyperlink r:id="rId21" ref="S41"/>
    <hyperlink r:id="rId22" ref="S42"/>
    <hyperlink r:id="rId23" ref="S43"/>
    <hyperlink r:id="rId24" ref="S44"/>
    <hyperlink r:id="rId25" ref="S46"/>
    <hyperlink r:id="rId26" ref="S47"/>
    <hyperlink r:id="rId27" ref="S49"/>
    <hyperlink r:id="rId28" ref="S52"/>
    <hyperlink r:id="rId29" ref="S53"/>
    <hyperlink r:id="rId30" ref="S55"/>
    <hyperlink r:id="rId31" ref="S56"/>
    <hyperlink r:id="rId32" ref="S57"/>
    <hyperlink r:id="rId33" ref="S59"/>
    <hyperlink r:id="rId34" ref="S61"/>
    <hyperlink r:id="rId35" ref="S62"/>
    <hyperlink r:id="rId36" ref="S64"/>
    <hyperlink r:id="rId37" ref="S68"/>
    <hyperlink r:id="rId38" ref="S70"/>
    <hyperlink r:id="rId39" ref="S71"/>
    <hyperlink r:id="rId40" ref="S72"/>
    <hyperlink r:id="rId41" ref="S74"/>
    <hyperlink r:id="rId42" ref="S77"/>
    <hyperlink r:id="rId43" ref="S78"/>
    <hyperlink r:id="rId44" ref="S79"/>
    <hyperlink r:id="rId45" ref="S80"/>
    <hyperlink r:id="rId46" ref="S83"/>
    <hyperlink r:id="rId47" ref="S86"/>
    <hyperlink r:id="rId48" ref="S87"/>
    <hyperlink r:id="rId49" ref="S89"/>
    <hyperlink r:id="rId50" ref="S90"/>
    <hyperlink r:id="rId51" ref="S92"/>
    <hyperlink r:id="rId52" ref="S93"/>
    <hyperlink r:id="rId53" ref="S94"/>
    <hyperlink r:id="rId54" ref="S95"/>
    <hyperlink r:id="rId55" ref="S97"/>
    <hyperlink r:id="rId56" ref="S101"/>
    <hyperlink r:id="rId57" ref="S102"/>
    <hyperlink r:id="rId58" ref="S104"/>
    <hyperlink r:id="rId59" ref="S105"/>
    <hyperlink r:id="rId60" ref="S107"/>
    <hyperlink r:id="rId61" ref="S108"/>
    <hyperlink r:id="rId62" ref="S109"/>
    <hyperlink r:id="rId63" ref="S110"/>
    <hyperlink r:id="rId64" ref="S112"/>
    <hyperlink r:id="rId65" ref="S114"/>
    <hyperlink r:id="rId66" ref="S116"/>
    <hyperlink r:id="rId67" ref="S117"/>
    <hyperlink r:id="rId68" ref="S118"/>
    <hyperlink r:id="rId69" ref="S119"/>
    <hyperlink r:id="rId70" ref="S120"/>
    <hyperlink r:id="rId71" ref="S122"/>
    <hyperlink r:id="rId72" ref="S124"/>
    <hyperlink r:id="rId73" ref="S126"/>
    <hyperlink r:id="rId74" ref="S127"/>
    <hyperlink r:id="rId75" ref="S129"/>
    <hyperlink r:id="rId76" ref="S130"/>
    <hyperlink r:id="rId77" ref="S131"/>
    <hyperlink r:id="rId78" ref="S132"/>
    <hyperlink r:id="rId79" ref="S133"/>
    <hyperlink r:id="rId80" ref="S134"/>
    <hyperlink r:id="rId81" ref="S135"/>
    <hyperlink r:id="rId82" ref="S137"/>
    <hyperlink r:id="rId83" ref="S139"/>
    <hyperlink r:id="rId84" ref="S142"/>
    <hyperlink r:id="rId85" ref="S146"/>
    <hyperlink r:id="rId86" ref="S147"/>
    <hyperlink r:id="rId87" ref="S149"/>
    <hyperlink r:id="rId88" ref="S150"/>
    <hyperlink r:id="rId89" ref="S151"/>
    <hyperlink r:id="rId90" ref="S152"/>
    <hyperlink r:id="rId91" ref="S154"/>
    <hyperlink r:id="rId92" ref="S157"/>
    <hyperlink r:id="rId93" ref="S161"/>
    <hyperlink r:id="rId94" ref="S162"/>
    <hyperlink r:id="rId95" ref="S164"/>
    <hyperlink r:id="rId96" ref="S165"/>
    <hyperlink r:id="rId97" ref="S166"/>
    <hyperlink r:id="rId98" ref="S167"/>
    <hyperlink r:id="rId99" ref="S171"/>
    <hyperlink r:id="rId100" ref="S172"/>
    <hyperlink r:id="rId101" ref="S173"/>
    <hyperlink r:id="rId102" ref="S174"/>
    <hyperlink r:id="rId103" ref="S175"/>
    <hyperlink r:id="rId104" ref="S176"/>
    <hyperlink r:id="rId105" ref="S177"/>
    <hyperlink r:id="rId106" ref="S185"/>
    <hyperlink r:id="rId107" ref="S186"/>
    <hyperlink r:id="rId108" ref="S187"/>
    <hyperlink r:id="rId109" ref="S188"/>
    <hyperlink r:id="rId110" ref="S189"/>
    <hyperlink r:id="rId111" ref="S191"/>
    <hyperlink r:id="rId112" ref="S192"/>
    <hyperlink r:id="rId113" ref="S195"/>
    <hyperlink r:id="rId114" ref="S196"/>
    <hyperlink r:id="rId115" ref="S197"/>
    <hyperlink r:id="rId116" ref="S198"/>
    <hyperlink r:id="rId117" ref="S202"/>
    <hyperlink r:id="rId118" ref="S204"/>
    <hyperlink r:id="rId119" ref="S206"/>
    <hyperlink r:id="rId120" ref="S207"/>
    <hyperlink r:id="rId121" ref="S208"/>
    <hyperlink r:id="rId122" ref="S210"/>
    <hyperlink r:id="rId123" ref="S212"/>
    <hyperlink r:id="rId124" ref="S213"/>
    <hyperlink r:id="rId125" ref="S214"/>
    <hyperlink r:id="rId126" ref="S215"/>
    <hyperlink r:id="rId127" ref="S217"/>
    <hyperlink r:id="rId128" ref="S220"/>
    <hyperlink r:id="rId129" ref="S221"/>
    <hyperlink r:id="rId130" ref="S222"/>
    <hyperlink r:id="rId131" ref="S224"/>
    <hyperlink r:id="rId132" ref="S226"/>
    <hyperlink r:id="rId133" ref="S227"/>
    <hyperlink r:id="rId134" ref="S228"/>
    <hyperlink r:id="rId135" ref="S229"/>
    <hyperlink r:id="rId136" ref="S230"/>
    <hyperlink r:id="rId137" ref="S231"/>
    <hyperlink r:id="rId138" ref="S233"/>
    <hyperlink r:id="rId139" ref="S234"/>
    <hyperlink r:id="rId140" ref="S236"/>
    <hyperlink r:id="rId141" ref="S237"/>
    <hyperlink r:id="rId142" ref="S238"/>
    <hyperlink r:id="rId143" ref="S240"/>
    <hyperlink r:id="rId144" ref="S241"/>
    <hyperlink r:id="rId145" ref="S242"/>
    <hyperlink r:id="rId146" ref="S243"/>
    <hyperlink r:id="rId147" ref="S244"/>
    <hyperlink r:id="rId148" ref="S245"/>
    <hyperlink r:id="rId149" ref="S246"/>
    <hyperlink r:id="rId150" ref="S247"/>
    <hyperlink r:id="rId151" ref="S248"/>
    <hyperlink r:id="rId152" ref="S249"/>
    <hyperlink r:id="rId153" ref="S250"/>
    <hyperlink r:id="rId154" ref="S251"/>
    <hyperlink r:id="rId155" ref="S252"/>
    <hyperlink r:id="rId156" ref="S253"/>
    <hyperlink r:id="rId157" ref="S254"/>
    <hyperlink r:id="rId158" ref="S255"/>
    <hyperlink r:id="rId159" ref="S256"/>
    <hyperlink r:id="rId160" ref="S257"/>
    <hyperlink r:id="rId161" ref="S260"/>
    <hyperlink r:id="rId162" ref="S261"/>
    <hyperlink r:id="rId163" ref="S262"/>
    <hyperlink r:id="rId164" ref="S263"/>
    <hyperlink r:id="rId165" ref="S264"/>
    <hyperlink r:id="rId166" ref="S265"/>
    <hyperlink r:id="rId167" ref="S266"/>
    <hyperlink r:id="rId168" ref="S267"/>
    <hyperlink r:id="rId169" ref="S268"/>
    <hyperlink r:id="rId170" ref="S269"/>
    <hyperlink r:id="rId171" ref="S270"/>
    <hyperlink r:id="rId172" ref="S271"/>
    <hyperlink r:id="rId173" ref="S272"/>
    <hyperlink r:id="rId174" ref="S273"/>
    <hyperlink r:id="rId175" ref="S274"/>
    <hyperlink r:id="rId176" ref="S275"/>
    <hyperlink r:id="rId177" ref="S276"/>
    <hyperlink r:id="rId178" ref="S278"/>
    <hyperlink r:id="rId179" ref="S279"/>
    <hyperlink r:id="rId180" ref="S280"/>
    <hyperlink r:id="rId181" ref="S281"/>
    <hyperlink r:id="rId182" ref="S282"/>
    <hyperlink r:id="rId183" ref="S283"/>
    <hyperlink r:id="rId184" ref="S284"/>
    <hyperlink r:id="rId185" ref="S285"/>
    <hyperlink r:id="rId186" ref="S286"/>
    <hyperlink r:id="rId187" ref="S287"/>
    <hyperlink r:id="rId188" ref="S288"/>
    <hyperlink r:id="rId189" ref="S289"/>
    <hyperlink r:id="rId190" ref="S290"/>
    <hyperlink r:id="rId191" ref="S291"/>
    <hyperlink r:id="rId192" ref="S292"/>
    <hyperlink r:id="rId193" ref="S293"/>
    <hyperlink r:id="rId194" ref="S294"/>
    <hyperlink r:id="rId195" ref="S295"/>
    <hyperlink r:id="rId196" ref="S297"/>
    <hyperlink r:id="rId197" ref="S298"/>
    <hyperlink r:id="rId198" ref="S299"/>
    <hyperlink r:id="rId199" ref="S300"/>
    <hyperlink r:id="rId200" ref="S301"/>
    <hyperlink r:id="rId201" ref="S302"/>
    <hyperlink r:id="rId202" ref="S303"/>
    <hyperlink r:id="rId203" ref="S305"/>
    <hyperlink r:id="rId204" ref="S306"/>
    <hyperlink r:id="rId205" ref="S307"/>
    <hyperlink r:id="rId206" ref="S308"/>
    <hyperlink r:id="rId207" ref="S309"/>
    <hyperlink r:id="rId208" ref="S310"/>
    <hyperlink r:id="rId209" ref="S311"/>
    <hyperlink r:id="rId210" ref="S312"/>
    <hyperlink r:id="rId211" ref="S313"/>
    <hyperlink r:id="rId212" ref="S314"/>
    <hyperlink r:id="rId213" ref="S315"/>
  </hyperlinks>
  <drawing r:id="rId214"/>
  <tableParts count="1">
    <tablePart r:id="rId21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7.5"/>
    <col customWidth="1" min="4" max="4" width="13.5"/>
    <col customWidth="1" min="8" max="9" width="15.88"/>
    <col customWidth="1" min="10" max="26" width="13.5"/>
  </cols>
  <sheetData>
    <row r="1" ht="22.5" customHeight="1">
      <c r="A1" s="266" t="s">
        <v>181</v>
      </c>
      <c r="B1" s="266" t="s">
        <v>2216</v>
      </c>
      <c r="C1" s="267" t="s">
        <v>131</v>
      </c>
      <c r="D1" s="267" t="s">
        <v>2217</v>
      </c>
      <c r="E1" s="267" t="s">
        <v>8</v>
      </c>
      <c r="F1" s="267" t="s">
        <v>873</v>
      </c>
      <c r="G1" s="267" t="s">
        <v>17</v>
      </c>
      <c r="H1" s="267" t="s">
        <v>874</v>
      </c>
      <c r="I1" s="268" t="s">
        <v>2218</v>
      </c>
      <c r="J1" s="268" t="s">
        <v>876</v>
      </c>
      <c r="K1" s="266" t="s">
        <v>877</v>
      </c>
      <c r="L1" s="267" t="s">
        <v>878</v>
      </c>
      <c r="M1" s="269" t="s">
        <v>2219</v>
      </c>
      <c r="N1" s="266" t="s">
        <v>2220</v>
      </c>
      <c r="O1" s="266" t="s">
        <v>2221</v>
      </c>
      <c r="P1" s="266" t="s">
        <v>2222</v>
      </c>
      <c r="Q1" s="266" t="s">
        <v>2223</v>
      </c>
      <c r="R1" s="266" t="s">
        <v>2224</v>
      </c>
      <c r="S1" s="266" t="s">
        <v>2225</v>
      </c>
      <c r="T1" s="266" t="s">
        <v>2226</v>
      </c>
      <c r="U1" s="266" t="s">
        <v>2227</v>
      </c>
      <c r="V1" s="266" t="s">
        <v>2228</v>
      </c>
      <c r="W1" s="266" t="s">
        <v>2229</v>
      </c>
      <c r="X1" s="266" t="s">
        <v>2230</v>
      </c>
      <c r="Y1" s="266" t="s">
        <v>2231</v>
      </c>
      <c r="Z1" s="266" t="s">
        <v>2232</v>
      </c>
    </row>
    <row r="2" ht="22.5" hidden="1" customHeight="1">
      <c r="C2" s="270"/>
      <c r="D2" s="270"/>
      <c r="E2" s="270"/>
      <c r="F2" s="270"/>
      <c r="G2" s="270"/>
      <c r="H2" s="270"/>
      <c r="I2" s="271"/>
      <c r="J2" s="271"/>
      <c r="K2" s="270"/>
      <c r="M2" s="272"/>
    </row>
    <row r="3" ht="22.5" hidden="1" customHeight="1">
      <c r="C3" s="270"/>
      <c r="D3" s="270"/>
      <c r="E3" s="270"/>
      <c r="F3" s="270"/>
      <c r="G3" s="270"/>
      <c r="H3" s="270"/>
      <c r="I3" s="271"/>
      <c r="J3" s="271"/>
      <c r="K3" s="270"/>
      <c r="M3" s="272"/>
    </row>
    <row r="4" ht="22.5" hidden="1" customHeight="1">
      <c r="C4" s="270"/>
      <c r="D4" s="270"/>
      <c r="E4" s="270"/>
      <c r="F4" s="270"/>
      <c r="G4" s="270"/>
      <c r="H4" s="270"/>
      <c r="I4" s="271"/>
      <c r="J4" s="271"/>
      <c r="M4" s="272"/>
    </row>
    <row r="5" ht="22.5" hidden="1" customHeight="1">
      <c r="C5" s="270"/>
      <c r="D5" s="270"/>
      <c r="E5" s="270"/>
      <c r="F5" s="270"/>
      <c r="G5" s="270"/>
      <c r="H5" s="270"/>
      <c r="I5" s="271"/>
      <c r="J5" s="271"/>
      <c r="L5" s="270"/>
      <c r="M5" s="272"/>
    </row>
    <row r="6" ht="22.5" hidden="1" customHeight="1">
      <c r="C6" s="270"/>
      <c r="D6" s="270"/>
      <c r="E6" s="270"/>
      <c r="F6" s="270"/>
      <c r="G6" s="270"/>
      <c r="H6" s="270"/>
      <c r="I6" s="271"/>
      <c r="J6" s="271" t="s">
        <v>2233</v>
      </c>
      <c r="K6" s="273">
        <v>46167.0</v>
      </c>
      <c r="L6" s="270"/>
      <c r="M6" s="272"/>
    </row>
    <row r="7" ht="22.5" hidden="1" customHeight="1">
      <c r="A7" s="274" t="s">
        <v>181</v>
      </c>
      <c r="B7" s="274" t="s">
        <v>2216</v>
      </c>
      <c r="C7" s="270" t="s">
        <v>131</v>
      </c>
      <c r="D7" s="270" t="s">
        <v>2217</v>
      </c>
      <c r="E7" s="270" t="s">
        <v>8</v>
      </c>
      <c r="F7" s="270" t="s">
        <v>873</v>
      </c>
      <c r="G7" s="270" t="s">
        <v>17</v>
      </c>
      <c r="H7" s="270" t="s">
        <v>874</v>
      </c>
      <c r="I7" s="271" t="s">
        <v>2218</v>
      </c>
      <c r="J7" s="271" t="s">
        <v>876</v>
      </c>
      <c r="K7" s="274" t="s">
        <v>877</v>
      </c>
      <c r="L7" s="270" t="s">
        <v>878</v>
      </c>
      <c r="M7" s="272" t="s">
        <v>2219</v>
      </c>
      <c r="N7" s="274" t="s">
        <v>2220</v>
      </c>
    </row>
    <row r="8" ht="22.5" customHeight="1">
      <c r="A8" s="274" t="s">
        <v>2234</v>
      </c>
      <c r="B8" s="274" t="s">
        <v>2235</v>
      </c>
      <c r="C8" s="270" t="s">
        <v>2236</v>
      </c>
      <c r="D8" s="270">
        <v>2.5</v>
      </c>
      <c r="E8" s="270">
        <v>100.0</v>
      </c>
      <c r="F8" s="270">
        <v>250.0</v>
      </c>
      <c r="G8" s="270">
        <v>0.0</v>
      </c>
      <c r="H8" s="270">
        <v>0.0</v>
      </c>
      <c r="I8" s="271">
        <v>45280.0</v>
      </c>
      <c r="J8" s="271">
        <v>45311.0</v>
      </c>
      <c r="K8" s="274">
        <v>1.0</v>
      </c>
      <c r="L8" s="270">
        <v>-856.0</v>
      </c>
      <c r="M8" s="272">
        <v>45335.0</v>
      </c>
    </row>
    <row r="9" ht="22.5" customHeight="1">
      <c r="A9" s="274" t="s">
        <v>825</v>
      </c>
      <c r="B9" s="274" t="s">
        <v>2237</v>
      </c>
      <c r="C9" s="270" t="s">
        <v>2236</v>
      </c>
      <c r="D9" s="270">
        <v>1.0</v>
      </c>
      <c r="E9" s="270">
        <v>5.0</v>
      </c>
      <c r="F9" s="270">
        <v>5.0</v>
      </c>
      <c r="G9" s="270">
        <v>0.0</v>
      </c>
      <c r="H9" s="270">
        <v>0.0</v>
      </c>
      <c r="I9" s="271">
        <v>45288.0</v>
      </c>
      <c r="J9" s="271">
        <v>45292.0</v>
      </c>
      <c r="K9" s="274">
        <v>1.0</v>
      </c>
      <c r="L9" s="270">
        <v>-875.0</v>
      </c>
      <c r="M9" s="272">
        <v>45339.0</v>
      </c>
      <c r="N9" s="270">
        <v>1397.0</v>
      </c>
    </row>
    <row r="10" ht="22.5" customHeight="1">
      <c r="A10" s="274" t="s">
        <v>2238</v>
      </c>
      <c r="B10" s="274" t="s">
        <v>2239</v>
      </c>
      <c r="C10" s="270" t="s">
        <v>2236</v>
      </c>
      <c r="D10" s="270">
        <v>1.0</v>
      </c>
      <c r="E10" s="270">
        <v>3.0</v>
      </c>
      <c r="F10" s="270">
        <v>3.0</v>
      </c>
      <c r="G10" s="270">
        <v>0.0</v>
      </c>
      <c r="H10" s="270">
        <v>0.0</v>
      </c>
      <c r="I10" s="271">
        <v>45288.0</v>
      </c>
      <c r="J10" s="271">
        <v>45292.0</v>
      </c>
      <c r="K10" s="274">
        <v>1.0</v>
      </c>
      <c r="L10" s="270">
        <v>-875.0</v>
      </c>
      <c r="M10" s="272">
        <v>45339.0</v>
      </c>
      <c r="N10" s="274">
        <v>838.2</v>
      </c>
    </row>
    <row r="11" ht="22.5" customHeight="1">
      <c r="B11" s="274" t="s">
        <v>2240</v>
      </c>
      <c r="C11" s="270" t="s">
        <v>2236</v>
      </c>
      <c r="D11" s="270">
        <v>0.0</v>
      </c>
      <c r="E11" s="270">
        <v>1500.0</v>
      </c>
      <c r="F11" s="270">
        <v>0.0</v>
      </c>
      <c r="G11" s="270">
        <v>0.0</v>
      </c>
      <c r="H11" s="270">
        <v>0.0</v>
      </c>
      <c r="I11" s="271"/>
      <c r="J11" s="271"/>
      <c r="K11" s="274" t="s">
        <v>2236</v>
      </c>
      <c r="L11" s="270" t="s">
        <v>2236</v>
      </c>
      <c r="M11" s="272"/>
    </row>
    <row r="12" ht="22.5" customHeight="1">
      <c r="B12" s="274" t="s">
        <v>2241</v>
      </c>
      <c r="C12" s="270" t="s">
        <v>2236</v>
      </c>
      <c r="D12" s="270">
        <v>0.0</v>
      </c>
      <c r="E12" s="270">
        <v>500.0</v>
      </c>
      <c r="F12" s="270">
        <v>0.0</v>
      </c>
      <c r="G12" s="270">
        <v>0.0</v>
      </c>
      <c r="H12" s="270">
        <v>0.0</v>
      </c>
      <c r="I12" s="271"/>
      <c r="J12" s="271"/>
      <c r="K12" s="274" t="s">
        <v>2236</v>
      </c>
      <c r="L12" s="270" t="s">
        <v>2236</v>
      </c>
      <c r="M12" s="272"/>
    </row>
    <row r="13" ht="22.5" customHeight="1">
      <c r="B13" s="274" t="s">
        <v>2242</v>
      </c>
      <c r="C13" s="270" t="s">
        <v>2236</v>
      </c>
      <c r="D13" s="270">
        <v>5.0</v>
      </c>
      <c r="E13" s="270">
        <v>22.0</v>
      </c>
      <c r="F13" s="270">
        <v>110.0</v>
      </c>
      <c r="G13" s="270">
        <v>0.0</v>
      </c>
      <c r="H13" s="270">
        <v>0.0</v>
      </c>
      <c r="I13" s="271">
        <v>45267.0</v>
      </c>
      <c r="J13" s="271">
        <v>45292.0</v>
      </c>
      <c r="K13" s="274">
        <v>1.0</v>
      </c>
      <c r="L13" s="270">
        <v>-875.0</v>
      </c>
      <c r="M13" s="272">
        <v>45323.0</v>
      </c>
    </row>
    <row r="14" ht="22.5" customHeight="1">
      <c r="B14" s="274" t="s">
        <v>2243</v>
      </c>
      <c r="C14" s="270" t="s">
        <v>2236</v>
      </c>
      <c r="D14" s="270">
        <v>0.0</v>
      </c>
      <c r="E14" s="270">
        <v>110.0</v>
      </c>
      <c r="F14" s="270">
        <v>0.0</v>
      </c>
      <c r="G14" s="270">
        <v>0.0</v>
      </c>
      <c r="H14" s="270">
        <v>0.0</v>
      </c>
      <c r="I14" s="271"/>
      <c r="J14" s="271"/>
      <c r="K14" s="274" t="s">
        <v>2236</v>
      </c>
      <c r="L14" s="270" t="s">
        <v>2236</v>
      </c>
      <c r="M14" s="272"/>
    </row>
    <row r="15" ht="22.5" customHeight="1">
      <c r="B15" s="274" t="s">
        <v>2244</v>
      </c>
      <c r="C15" s="270" t="s">
        <v>2236</v>
      </c>
      <c r="D15" s="270">
        <v>1.0</v>
      </c>
      <c r="E15" s="270">
        <v>15000.0</v>
      </c>
      <c r="F15" s="270">
        <v>15000.0</v>
      </c>
      <c r="G15" s="270">
        <v>0.0</v>
      </c>
      <c r="H15" s="270">
        <v>0.0</v>
      </c>
      <c r="I15" s="271">
        <v>45273.0</v>
      </c>
      <c r="J15" s="271">
        <v>45304.0</v>
      </c>
      <c r="K15" s="274">
        <v>1.0</v>
      </c>
      <c r="L15" s="270">
        <v>-863.0</v>
      </c>
      <c r="M15" s="272"/>
      <c r="N15" s="274">
        <v>13500.0</v>
      </c>
    </row>
    <row r="16" ht="22.5" customHeight="1">
      <c r="B16" s="274" t="s">
        <v>2245</v>
      </c>
      <c r="C16" s="270" t="s">
        <v>2236</v>
      </c>
      <c r="D16" s="270">
        <v>0.0</v>
      </c>
      <c r="E16" s="270">
        <v>0.0</v>
      </c>
      <c r="F16" s="270">
        <v>0.0</v>
      </c>
      <c r="G16" s="270">
        <v>0.0</v>
      </c>
      <c r="H16" s="270">
        <v>0.0</v>
      </c>
      <c r="I16" s="271"/>
      <c r="J16" s="271"/>
      <c r="K16" s="274" t="s">
        <v>2236</v>
      </c>
      <c r="L16" s="270" t="s">
        <v>2236</v>
      </c>
      <c r="M16" s="272"/>
    </row>
    <row r="17" ht="22.5" hidden="1" customHeight="1">
      <c r="C17" s="270" t="s">
        <v>2236</v>
      </c>
      <c r="D17" s="270"/>
      <c r="E17" s="270"/>
      <c r="F17" s="270"/>
      <c r="G17" s="270"/>
      <c r="H17" s="270"/>
      <c r="I17" s="271"/>
      <c r="J17" s="271"/>
      <c r="L17" s="270"/>
      <c r="M17" s="272"/>
    </row>
    <row r="18" ht="22.5" hidden="1" customHeight="1">
      <c r="C18" s="270" t="s">
        <v>2236</v>
      </c>
      <c r="D18" s="270"/>
      <c r="E18" s="270"/>
      <c r="F18" s="270"/>
      <c r="G18" s="270"/>
      <c r="H18" s="270"/>
      <c r="I18" s="271"/>
      <c r="J18" s="271"/>
      <c r="L18" s="270"/>
      <c r="M18" s="272"/>
    </row>
    <row r="19" ht="22.5" hidden="1" customHeight="1">
      <c r="C19" s="270" t="s">
        <v>2236</v>
      </c>
      <c r="D19" s="270"/>
      <c r="E19" s="270"/>
      <c r="F19" s="270"/>
      <c r="G19" s="270"/>
      <c r="H19" s="270"/>
      <c r="I19" s="271"/>
      <c r="J19" s="271"/>
      <c r="L19" s="270"/>
      <c r="M19" s="272"/>
    </row>
    <row r="20" ht="22.5" hidden="1" customHeight="1">
      <c r="C20" s="270" t="s">
        <v>2236</v>
      </c>
      <c r="D20" s="270"/>
      <c r="E20" s="270"/>
      <c r="F20" s="270"/>
      <c r="G20" s="270"/>
      <c r="H20" s="270"/>
      <c r="I20" s="271"/>
      <c r="J20" s="271"/>
      <c r="L20" s="270"/>
      <c r="M20" s="272"/>
    </row>
    <row r="21" ht="22.5" hidden="1" customHeight="1">
      <c r="C21" s="270" t="s">
        <v>2236</v>
      </c>
      <c r="D21" s="270"/>
      <c r="E21" s="270"/>
      <c r="F21" s="270"/>
      <c r="G21" s="270"/>
      <c r="H21" s="270"/>
      <c r="I21" s="271"/>
      <c r="J21" s="271"/>
      <c r="L21" s="270"/>
      <c r="M21" s="272"/>
    </row>
    <row r="22" ht="22.5" hidden="1" customHeight="1">
      <c r="C22" s="270" t="s">
        <v>2236</v>
      </c>
      <c r="D22" s="270"/>
      <c r="E22" s="270"/>
      <c r="F22" s="270"/>
      <c r="G22" s="270"/>
      <c r="H22" s="270"/>
      <c r="I22" s="271"/>
      <c r="J22" s="271"/>
      <c r="L22" s="270"/>
      <c r="M22" s="272"/>
    </row>
    <row r="23" ht="22.5" hidden="1" customHeight="1">
      <c r="C23" s="270" t="s">
        <v>2236</v>
      </c>
      <c r="D23" s="270"/>
      <c r="E23" s="270"/>
      <c r="F23" s="270"/>
      <c r="G23" s="270"/>
      <c r="H23" s="270"/>
      <c r="I23" s="271"/>
      <c r="J23" s="271"/>
      <c r="L23" s="270"/>
      <c r="M23" s="272"/>
    </row>
    <row r="24" ht="22.5" hidden="1" customHeight="1">
      <c r="B24" s="274" t="s">
        <v>2246</v>
      </c>
      <c r="C24" s="274">
        <v>0.0</v>
      </c>
      <c r="D24" s="270"/>
      <c r="E24" s="270"/>
      <c r="F24" s="270" t="s">
        <v>874</v>
      </c>
      <c r="G24" s="270">
        <v>0.0</v>
      </c>
      <c r="H24" s="270">
        <v>0.0</v>
      </c>
      <c r="I24" s="271"/>
      <c r="J24" s="271"/>
      <c r="L24" s="270"/>
      <c r="M24" s="272"/>
    </row>
    <row r="25" ht="22.5" hidden="1" customHeight="1">
      <c r="C25" s="270"/>
      <c r="D25" s="270"/>
      <c r="E25" s="270"/>
      <c r="F25" s="270" t="s">
        <v>2247</v>
      </c>
      <c r="G25" s="270"/>
      <c r="H25" s="270">
        <v>0.0</v>
      </c>
      <c r="I25" s="271"/>
      <c r="J25" s="271"/>
      <c r="L25" s="270"/>
      <c r="M25" s="272"/>
    </row>
    <row r="26" ht="22.5" hidden="1" customHeight="1">
      <c r="C26" s="270"/>
      <c r="D26" s="270"/>
      <c r="E26" s="270"/>
      <c r="F26" s="270"/>
      <c r="G26" s="270"/>
      <c r="H26" s="270"/>
      <c r="I26" s="271"/>
      <c r="J26" s="271"/>
      <c r="L26" s="270"/>
      <c r="M26" s="272"/>
    </row>
    <row r="27" ht="22.5" hidden="1" customHeight="1">
      <c r="C27" s="270"/>
      <c r="D27" s="270"/>
      <c r="E27" s="270"/>
      <c r="F27" s="270"/>
      <c r="G27" s="270"/>
      <c r="H27" s="270"/>
      <c r="I27" s="271"/>
      <c r="J27" s="271"/>
      <c r="L27" s="270"/>
      <c r="M27" s="272"/>
    </row>
    <row r="28" ht="22.5" hidden="1" customHeight="1">
      <c r="C28" s="270"/>
      <c r="D28" s="270"/>
      <c r="E28" s="270"/>
      <c r="F28" s="270"/>
      <c r="G28" s="270"/>
      <c r="H28" s="270"/>
      <c r="I28" s="271"/>
      <c r="J28" s="271" t="s">
        <v>2233</v>
      </c>
      <c r="K28" s="273">
        <v>46167.0</v>
      </c>
      <c r="L28" s="270"/>
      <c r="M28" s="272"/>
    </row>
    <row r="29" ht="22.5" hidden="1" customHeight="1">
      <c r="A29" s="274" t="s">
        <v>181</v>
      </c>
      <c r="B29" s="274" t="s">
        <v>2216</v>
      </c>
      <c r="C29" s="270" t="s">
        <v>131</v>
      </c>
      <c r="D29" s="270" t="s">
        <v>2217</v>
      </c>
      <c r="E29" s="270" t="s">
        <v>8</v>
      </c>
      <c r="F29" s="270" t="s">
        <v>873</v>
      </c>
      <c r="G29" s="270" t="s">
        <v>17</v>
      </c>
      <c r="H29" s="270" t="s">
        <v>874</v>
      </c>
      <c r="I29" s="271" t="s">
        <v>2218</v>
      </c>
      <c r="J29" s="271" t="s">
        <v>876</v>
      </c>
      <c r="K29" s="274" t="s">
        <v>877</v>
      </c>
      <c r="L29" s="270" t="s">
        <v>878</v>
      </c>
      <c r="M29" s="272" t="s">
        <v>2219</v>
      </c>
      <c r="N29" s="274" t="s">
        <v>2220</v>
      </c>
    </row>
    <row r="30" ht="22.5" customHeight="1">
      <c r="A30" s="274" t="s">
        <v>2248</v>
      </c>
      <c r="B30" s="274" t="s">
        <v>2249</v>
      </c>
      <c r="C30" s="270" t="s">
        <v>2236</v>
      </c>
      <c r="D30" s="270">
        <v>3.0</v>
      </c>
      <c r="E30" s="270">
        <v>100.0</v>
      </c>
      <c r="F30" s="270">
        <v>250.0</v>
      </c>
      <c r="G30" s="270">
        <v>0.0</v>
      </c>
      <c r="H30" s="270">
        <v>0.0</v>
      </c>
      <c r="I30" s="271">
        <v>45311.0</v>
      </c>
      <c r="J30" s="271">
        <v>45342.0</v>
      </c>
      <c r="K30" s="274">
        <v>1.0</v>
      </c>
      <c r="L30" s="270">
        <v>-825.0</v>
      </c>
      <c r="M30" s="272"/>
    </row>
    <row r="31" ht="22.5" customHeight="1">
      <c r="A31" s="274" t="s">
        <v>2250</v>
      </c>
      <c r="B31" s="274" t="s">
        <v>2251</v>
      </c>
      <c r="C31" s="270" t="s">
        <v>2236</v>
      </c>
      <c r="D31" s="270">
        <v>12.0</v>
      </c>
      <c r="E31" s="270">
        <v>5.0</v>
      </c>
      <c r="F31" s="270">
        <v>60.0</v>
      </c>
      <c r="G31" s="270">
        <v>0.0</v>
      </c>
      <c r="H31" s="270">
        <v>0.0</v>
      </c>
      <c r="I31" s="271">
        <v>45292.0</v>
      </c>
      <c r="J31" s="271">
        <v>45323.0</v>
      </c>
      <c r="K31" s="274">
        <v>1.0</v>
      </c>
      <c r="L31" s="270">
        <v>-844.0</v>
      </c>
      <c r="M31" s="272">
        <v>45339.0</v>
      </c>
      <c r="N31" s="274" t="s">
        <v>2252</v>
      </c>
    </row>
    <row r="32" ht="22.5" customHeight="1">
      <c r="A32" s="274" t="s">
        <v>2253</v>
      </c>
      <c r="B32" s="274" t="s">
        <v>2254</v>
      </c>
      <c r="C32" s="270" t="s">
        <v>2236</v>
      </c>
      <c r="D32" s="270">
        <v>7.0</v>
      </c>
      <c r="E32" s="270">
        <v>3.0</v>
      </c>
      <c r="F32" s="270">
        <v>21.0</v>
      </c>
      <c r="G32" s="270">
        <v>0.0</v>
      </c>
      <c r="H32" s="270">
        <v>0.0</v>
      </c>
      <c r="I32" s="271">
        <v>45292.0</v>
      </c>
      <c r="J32" s="271">
        <v>45323.0</v>
      </c>
      <c r="K32" s="274">
        <v>1.0</v>
      </c>
      <c r="L32" s="270">
        <v>-844.0</v>
      </c>
      <c r="M32" s="272">
        <v>45339.0</v>
      </c>
      <c r="N32" s="274">
        <v>5867.4</v>
      </c>
    </row>
    <row r="33" ht="22.5" customHeight="1">
      <c r="A33" s="274" t="s">
        <v>1350</v>
      </c>
      <c r="B33" s="274" t="s">
        <v>2255</v>
      </c>
      <c r="C33" s="270" t="s">
        <v>2236</v>
      </c>
      <c r="D33" s="270">
        <v>0.0</v>
      </c>
      <c r="E33" s="270">
        <v>1500.0</v>
      </c>
      <c r="F33" s="270">
        <v>0.0</v>
      </c>
      <c r="G33" s="270">
        <v>0.0</v>
      </c>
      <c r="H33" s="270">
        <v>0.0</v>
      </c>
      <c r="I33" s="271"/>
      <c r="J33" s="271"/>
      <c r="K33" s="274" t="s">
        <v>2236</v>
      </c>
      <c r="L33" s="270" t="s">
        <v>2236</v>
      </c>
      <c r="M33" s="272"/>
    </row>
    <row r="34" ht="22.5" customHeight="1">
      <c r="B34" s="274" t="s">
        <v>2256</v>
      </c>
      <c r="C34" s="270" t="s">
        <v>2236</v>
      </c>
      <c r="D34" s="270">
        <v>0.0</v>
      </c>
      <c r="E34" s="270">
        <v>500.0</v>
      </c>
      <c r="F34" s="270">
        <v>0.0</v>
      </c>
      <c r="G34" s="270">
        <v>0.0</v>
      </c>
      <c r="H34" s="270">
        <v>0.0</v>
      </c>
      <c r="I34" s="271"/>
      <c r="J34" s="271"/>
      <c r="K34" s="274" t="s">
        <v>2236</v>
      </c>
      <c r="L34" s="270" t="s">
        <v>2236</v>
      </c>
      <c r="M34" s="272"/>
    </row>
    <row r="35" ht="22.5" customHeight="1">
      <c r="B35" s="274" t="s">
        <v>2257</v>
      </c>
      <c r="C35" s="270" t="s">
        <v>2236</v>
      </c>
      <c r="D35" s="270">
        <v>10.0</v>
      </c>
      <c r="E35" s="270">
        <v>22.0</v>
      </c>
      <c r="F35" s="270">
        <v>220.0</v>
      </c>
      <c r="G35" s="270">
        <v>0.0</v>
      </c>
      <c r="H35" s="270">
        <v>0.0</v>
      </c>
      <c r="I35" s="271">
        <v>45292.0</v>
      </c>
      <c r="J35" s="271">
        <v>45323.0</v>
      </c>
      <c r="K35" s="274">
        <v>1.0</v>
      </c>
      <c r="L35" s="270">
        <v>-844.0</v>
      </c>
      <c r="M35" s="272">
        <v>45323.0</v>
      </c>
    </row>
    <row r="36" ht="22.5" customHeight="1">
      <c r="B36" s="274" t="s">
        <v>2258</v>
      </c>
      <c r="C36" s="270" t="s">
        <v>2236</v>
      </c>
      <c r="D36" s="270">
        <v>1.0</v>
      </c>
      <c r="E36" s="270">
        <v>110.0</v>
      </c>
      <c r="F36" s="270">
        <v>110.0</v>
      </c>
      <c r="G36" s="270">
        <v>0.0</v>
      </c>
      <c r="H36" s="270">
        <v>0.0</v>
      </c>
      <c r="I36" s="271">
        <v>45303.0</v>
      </c>
      <c r="J36" s="271">
        <v>45334.0</v>
      </c>
      <c r="K36" s="274">
        <v>1.0</v>
      </c>
      <c r="L36" s="270">
        <v>-833.0</v>
      </c>
      <c r="M36" s="272"/>
    </row>
    <row r="37" ht="22.5" customHeight="1">
      <c r="B37" s="274" t="s">
        <v>2259</v>
      </c>
      <c r="C37" s="270" t="s">
        <v>2236</v>
      </c>
      <c r="D37" s="270">
        <v>1.0</v>
      </c>
      <c r="E37" s="270">
        <v>15000.0</v>
      </c>
      <c r="F37" s="270">
        <v>15000.0</v>
      </c>
      <c r="G37" s="270">
        <v>0.0</v>
      </c>
      <c r="H37" s="270">
        <v>0.0</v>
      </c>
      <c r="I37" s="271">
        <v>45304.0</v>
      </c>
      <c r="J37" s="271">
        <v>45335.0</v>
      </c>
      <c r="K37" s="274">
        <v>1.0</v>
      </c>
      <c r="L37" s="270">
        <v>-832.0</v>
      </c>
      <c r="M37" s="272"/>
      <c r="N37" s="274">
        <v>15000.0</v>
      </c>
    </row>
    <row r="38" ht="22.5" hidden="1" customHeight="1">
      <c r="C38" s="270" t="s">
        <v>2236</v>
      </c>
      <c r="D38" s="270"/>
      <c r="E38" s="270"/>
      <c r="F38" s="270"/>
      <c r="G38" s="270"/>
      <c r="H38" s="270"/>
      <c r="I38" s="271"/>
      <c r="J38" s="271"/>
      <c r="K38" s="270"/>
      <c r="M38" s="272"/>
    </row>
    <row r="39" ht="22.5" hidden="1" customHeight="1">
      <c r="C39" s="270" t="s">
        <v>2236</v>
      </c>
      <c r="D39" s="270"/>
      <c r="E39" s="270"/>
      <c r="F39" s="270"/>
      <c r="G39" s="270"/>
      <c r="H39" s="270"/>
      <c r="I39" s="271"/>
      <c r="J39" s="271"/>
      <c r="K39" s="270"/>
      <c r="M39" s="272"/>
    </row>
    <row r="40" ht="22.5" hidden="1" customHeight="1">
      <c r="C40" s="270" t="s">
        <v>2236</v>
      </c>
      <c r="D40" s="270"/>
      <c r="E40" s="270"/>
      <c r="F40" s="270"/>
      <c r="G40" s="270"/>
      <c r="H40" s="270"/>
      <c r="I40" s="271"/>
      <c r="J40" s="271"/>
      <c r="K40" s="270"/>
      <c r="M40" s="272"/>
    </row>
    <row r="41" ht="22.5" hidden="1" customHeight="1">
      <c r="C41" s="270" t="s">
        <v>2236</v>
      </c>
      <c r="D41" s="270"/>
      <c r="E41" s="270"/>
      <c r="F41" s="270"/>
      <c r="G41" s="270"/>
      <c r="H41" s="270"/>
      <c r="I41" s="271"/>
      <c r="J41" s="271"/>
      <c r="K41" s="270"/>
      <c r="M41" s="272"/>
    </row>
    <row r="42" ht="22.5" hidden="1" customHeight="1">
      <c r="C42" s="270" t="s">
        <v>2236</v>
      </c>
      <c r="D42" s="270"/>
      <c r="E42" s="270"/>
      <c r="F42" s="270"/>
      <c r="G42" s="270"/>
      <c r="H42" s="270"/>
      <c r="I42" s="271"/>
      <c r="J42" s="271"/>
      <c r="K42" s="270"/>
      <c r="M42" s="272"/>
    </row>
    <row r="43" ht="22.5" hidden="1" customHeight="1">
      <c r="C43" s="270" t="s">
        <v>2236</v>
      </c>
      <c r="D43" s="270"/>
      <c r="E43" s="270"/>
      <c r="F43" s="270"/>
      <c r="G43" s="270"/>
      <c r="H43" s="270"/>
      <c r="I43" s="271"/>
      <c r="J43" s="271"/>
      <c r="K43" s="270"/>
      <c r="M43" s="272"/>
    </row>
    <row r="44" ht="22.5" hidden="1" customHeight="1">
      <c r="C44" s="270" t="s">
        <v>2236</v>
      </c>
      <c r="D44" s="270"/>
      <c r="E44" s="270"/>
      <c r="F44" s="270"/>
      <c r="G44" s="270"/>
      <c r="H44" s="270"/>
      <c r="I44" s="271"/>
      <c r="J44" s="271"/>
      <c r="K44" s="270"/>
      <c r="M44" s="272"/>
    </row>
    <row r="45" ht="22.5" hidden="1" customHeight="1">
      <c r="B45" s="274" t="s">
        <v>2246</v>
      </c>
      <c r="C45" s="274">
        <v>0.0</v>
      </c>
      <c r="D45" s="270"/>
      <c r="E45" s="270"/>
      <c r="F45" s="270" t="s">
        <v>874</v>
      </c>
      <c r="G45" s="270">
        <v>0.0</v>
      </c>
      <c r="H45" s="270">
        <v>0.0</v>
      </c>
      <c r="I45" s="271"/>
      <c r="J45" s="271"/>
      <c r="K45" s="270"/>
      <c r="M45" s="272"/>
    </row>
    <row r="46" ht="22.5" hidden="1" customHeight="1">
      <c r="C46" s="270" t="s">
        <v>2236</v>
      </c>
      <c r="D46" s="270"/>
      <c r="E46" s="270"/>
      <c r="F46" s="270" t="s">
        <v>2247</v>
      </c>
      <c r="G46" s="270"/>
      <c r="H46" s="270">
        <v>0.0</v>
      </c>
      <c r="I46" s="271"/>
      <c r="J46" s="271"/>
      <c r="K46" s="270"/>
      <c r="M46" s="272"/>
    </row>
    <row r="47" ht="22.5" hidden="1" customHeight="1">
      <c r="C47" s="270"/>
      <c r="D47" s="270"/>
      <c r="E47" s="270"/>
      <c r="F47" s="270"/>
      <c r="G47" s="270"/>
      <c r="H47" s="270"/>
      <c r="I47" s="271"/>
      <c r="J47" s="271"/>
      <c r="L47" s="270"/>
      <c r="M47" s="272"/>
    </row>
    <row r="48" ht="22.5" hidden="1" customHeight="1">
      <c r="C48" s="270"/>
      <c r="D48" s="270"/>
      <c r="E48" s="270"/>
      <c r="F48" s="270"/>
      <c r="G48" s="270"/>
      <c r="H48" s="270"/>
      <c r="I48" s="271"/>
      <c r="J48" s="271"/>
      <c r="L48" s="270"/>
      <c r="M48" s="272"/>
    </row>
    <row r="49" ht="22.5" hidden="1" customHeight="1">
      <c r="C49" s="270"/>
      <c r="D49" s="270"/>
      <c r="E49" s="270"/>
      <c r="F49" s="270"/>
      <c r="G49" s="270"/>
      <c r="H49" s="270"/>
      <c r="I49" s="271"/>
      <c r="J49" s="271" t="s">
        <v>2233</v>
      </c>
      <c r="K49" s="273">
        <v>46167.0</v>
      </c>
      <c r="L49" s="270"/>
      <c r="M49" s="272"/>
    </row>
    <row r="50" ht="22.5" hidden="1" customHeight="1">
      <c r="A50" s="274" t="s">
        <v>181</v>
      </c>
      <c r="B50" s="274" t="s">
        <v>2216</v>
      </c>
      <c r="C50" s="270" t="s">
        <v>131</v>
      </c>
      <c r="D50" s="270" t="s">
        <v>2217</v>
      </c>
      <c r="E50" s="270" t="s">
        <v>8</v>
      </c>
      <c r="F50" s="270" t="s">
        <v>873</v>
      </c>
      <c r="G50" s="270" t="s">
        <v>17</v>
      </c>
      <c r="H50" s="270" t="s">
        <v>874</v>
      </c>
      <c r="I50" s="271" t="s">
        <v>2218</v>
      </c>
      <c r="J50" s="271" t="s">
        <v>876</v>
      </c>
      <c r="K50" s="274" t="s">
        <v>877</v>
      </c>
      <c r="L50" s="270" t="s">
        <v>878</v>
      </c>
      <c r="M50" s="272" t="s">
        <v>2219</v>
      </c>
      <c r="N50" s="274" t="s">
        <v>2220</v>
      </c>
    </row>
    <row r="51" ht="22.5" customHeight="1">
      <c r="B51" s="274" t="s">
        <v>2249</v>
      </c>
      <c r="C51" s="270" t="s">
        <v>2236</v>
      </c>
      <c r="D51" s="270">
        <v>3.0</v>
      </c>
      <c r="E51" s="270">
        <v>100.0</v>
      </c>
      <c r="F51" s="270">
        <v>300.0</v>
      </c>
      <c r="G51" s="270">
        <v>0.0</v>
      </c>
      <c r="H51" s="270">
        <v>0.0</v>
      </c>
      <c r="I51" s="271">
        <v>45342.0</v>
      </c>
      <c r="J51" s="271">
        <v>45371.0</v>
      </c>
      <c r="K51" s="274">
        <v>1.0</v>
      </c>
      <c r="L51" s="270">
        <v>-796.0</v>
      </c>
      <c r="M51" s="272">
        <v>45405.0</v>
      </c>
      <c r="N51" s="274" t="s">
        <v>2260</v>
      </c>
    </row>
    <row r="52" ht="22.5" customHeight="1">
      <c r="A52" s="274" t="s">
        <v>2261</v>
      </c>
      <c r="B52" s="274" t="s">
        <v>2251</v>
      </c>
      <c r="C52" s="270" t="s">
        <v>2236</v>
      </c>
      <c r="D52" s="270">
        <v>0.0</v>
      </c>
      <c r="E52" s="270">
        <v>0.0</v>
      </c>
      <c r="F52" s="270">
        <v>0.0</v>
      </c>
      <c r="G52" s="270">
        <v>0.0</v>
      </c>
      <c r="H52" s="270">
        <v>0.0</v>
      </c>
      <c r="I52" s="271">
        <v>45323.0</v>
      </c>
      <c r="J52" s="271">
        <v>45352.0</v>
      </c>
      <c r="K52" s="274">
        <v>1.0</v>
      </c>
      <c r="L52" s="270">
        <v>-815.0</v>
      </c>
      <c r="M52" s="272"/>
    </row>
    <row r="53" ht="22.5" customHeight="1">
      <c r="B53" s="274" t="s">
        <v>2254</v>
      </c>
      <c r="C53" s="270" t="s">
        <v>2236</v>
      </c>
      <c r="D53" s="270">
        <v>8.0</v>
      </c>
      <c r="E53" s="270">
        <v>3.0</v>
      </c>
      <c r="F53" s="270">
        <v>24.0</v>
      </c>
      <c r="G53" s="270">
        <v>0.0</v>
      </c>
      <c r="H53" s="270">
        <v>0.0</v>
      </c>
      <c r="I53" s="271">
        <v>45323.0</v>
      </c>
      <c r="J53" s="271">
        <v>45352.0</v>
      </c>
      <c r="K53" s="274">
        <v>1.0</v>
      </c>
      <c r="L53" s="270">
        <v>-815.0</v>
      </c>
      <c r="M53" s="272">
        <v>45388.0</v>
      </c>
    </row>
    <row r="54" ht="22.5" customHeight="1">
      <c r="A54" s="274" t="s">
        <v>1350</v>
      </c>
      <c r="B54" s="274" t="s">
        <v>2255</v>
      </c>
      <c r="C54" s="270" t="s">
        <v>2236</v>
      </c>
      <c r="D54" s="270">
        <v>0.0</v>
      </c>
      <c r="E54" s="270">
        <v>0.0</v>
      </c>
      <c r="F54" s="270">
        <v>0.0</v>
      </c>
      <c r="G54" s="270">
        <v>0.0</v>
      </c>
      <c r="H54" s="270">
        <v>0.0</v>
      </c>
      <c r="I54" s="271"/>
      <c r="J54" s="271"/>
      <c r="K54" s="274" t="s">
        <v>2236</v>
      </c>
      <c r="L54" s="270" t="s">
        <v>2236</v>
      </c>
      <c r="M54" s="272"/>
    </row>
    <row r="55" ht="22.5" customHeight="1">
      <c r="A55" s="274" t="s">
        <v>1350</v>
      </c>
      <c r="B55" s="274" t="s">
        <v>2256</v>
      </c>
      <c r="C55" s="270" t="s">
        <v>2236</v>
      </c>
      <c r="D55" s="270">
        <v>0.0</v>
      </c>
      <c r="E55" s="270">
        <v>0.0</v>
      </c>
      <c r="F55" s="270">
        <v>0.0</v>
      </c>
      <c r="G55" s="270">
        <v>0.0</v>
      </c>
      <c r="H55" s="270">
        <v>0.0</v>
      </c>
      <c r="I55" s="271"/>
      <c r="J55" s="271"/>
      <c r="K55" s="274" t="s">
        <v>2236</v>
      </c>
      <c r="L55" s="270" t="s">
        <v>2236</v>
      </c>
      <c r="M55" s="272"/>
    </row>
    <row r="56" ht="22.5" customHeight="1">
      <c r="B56" s="274" t="s">
        <v>2257</v>
      </c>
      <c r="C56" s="270" t="s">
        <v>2236</v>
      </c>
      <c r="D56" s="270">
        <v>6.0</v>
      </c>
      <c r="E56" s="270">
        <v>22.0</v>
      </c>
      <c r="F56" s="270">
        <v>132.0</v>
      </c>
      <c r="G56" s="270">
        <v>0.0</v>
      </c>
      <c r="H56" s="270">
        <v>0.0</v>
      </c>
      <c r="I56" s="271">
        <v>45323.0</v>
      </c>
      <c r="J56" s="271">
        <v>45352.0</v>
      </c>
      <c r="K56" s="274">
        <v>1.0</v>
      </c>
      <c r="L56" s="270">
        <v>-815.0</v>
      </c>
      <c r="M56" s="272">
        <v>45383.0</v>
      </c>
    </row>
    <row r="57" ht="22.5" customHeight="1">
      <c r="A57" s="274" t="s">
        <v>1350</v>
      </c>
      <c r="B57" s="274" t="s">
        <v>2258</v>
      </c>
      <c r="C57" s="270" t="s">
        <v>2236</v>
      </c>
      <c r="D57" s="270">
        <v>1.0</v>
      </c>
      <c r="E57" s="270">
        <v>0.0</v>
      </c>
      <c r="F57" s="270">
        <v>0.0</v>
      </c>
      <c r="G57" s="270">
        <v>0.0</v>
      </c>
      <c r="H57" s="270">
        <v>0.0</v>
      </c>
      <c r="I57" s="271">
        <v>45334.0</v>
      </c>
      <c r="J57" s="271">
        <v>45363.0</v>
      </c>
      <c r="K57" s="274">
        <v>1.0</v>
      </c>
      <c r="L57" s="270">
        <v>-804.0</v>
      </c>
      <c r="M57" s="272"/>
    </row>
    <row r="58" ht="22.5" customHeight="1">
      <c r="B58" s="274" t="s">
        <v>2259</v>
      </c>
      <c r="C58" s="270" t="s">
        <v>2236</v>
      </c>
      <c r="D58" s="270">
        <v>1.0</v>
      </c>
      <c r="E58" s="270">
        <v>15000.0</v>
      </c>
      <c r="F58" s="270">
        <v>15000.0</v>
      </c>
      <c r="G58" s="270">
        <v>0.0</v>
      </c>
      <c r="H58" s="270">
        <v>0.0</v>
      </c>
      <c r="I58" s="271">
        <v>45335.0</v>
      </c>
      <c r="J58" s="271">
        <v>45364.0</v>
      </c>
      <c r="K58" s="274">
        <v>1.0</v>
      </c>
      <c r="L58" s="270">
        <v>-803.0</v>
      </c>
      <c r="M58" s="272"/>
    </row>
    <row r="59" ht="22.5" hidden="1" customHeight="1">
      <c r="C59" s="270" t="s">
        <v>2236</v>
      </c>
      <c r="D59" s="270"/>
      <c r="E59" s="270"/>
      <c r="F59" s="270"/>
      <c r="G59" s="270"/>
      <c r="H59" s="270"/>
      <c r="I59" s="271"/>
      <c r="J59" s="271"/>
      <c r="M59" s="272"/>
    </row>
    <row r="60" ht="22.5" hidden="1" customHeight="1">
      <c r="C60" s="270" t="s">
        <v>2236</v>
      </c>
      <c r="D60" s="270"/>
      <c r="E60" s="270"/>
      <c r="F60" s="270"/>
      <c r="G60" s="270"/>
      <c r="H60" s="270"/>
      <c r="I60" s="271"/>
      <c r="J60" s="271"/>
      <c r="K60" s="270"/>
      <c r="M60" s="272"/>
    </row>
    <row r="61" ht="22.5" hidden="1" customHeight="1">
      <c r="C61" s="270" t="s">
        <v>2236</v>
      </c>
      <c r="D61" s="270"/>
      <c r="E61" s="270"/>
      <c r="F61" s="270"/>
      <c r="G61" s="270"/>
      <c r="H61" s="270"/>
      <c r="I61" s="271"/>
      <c r="J61" s="271"/>
      <c r="K61" s="270"/>
      <c r="M61" s="272"/>
    </row>
    <row r="62" ht="22.5" hidden="1" customHeight="1">
      <c r="C62" s="270" t="s">
        <v>2236</v>
      </c>
      <c r="D62" s="270"/>
      <c r="E62" s="270"/>
      <c r="F62" s="270"/>
      <c r="G62" s="270"/>
      <c r="H62" s="270"/>
      <c r="I62" s="271"/>
      <c r="J62" s="271"/>
      <c r="K62" s="270"/>
      <c r="M62" s="272"/>
    </row>
    <row r="63" ht="22.5" hidden="1" customHeight="1">
      <c r="C63" s="270" t="s">
        <v>2236</v>
      </c>
      <c r="D63" s="270"/>
      <c r="E63" s="270"/>
      <c r="F63" s="270"/>
      <c r="G63" s="270"/>
      <c r="H63" s="270"/>
      <c r="I63" s="271"/>
      <c r="J63" s="271"/>
      <c r="K63" s="270"/>
      <c r="M63" s="272"/>
    </row>
    <row r="64" ht="22.5" hidden="1" customHeight="1">
      <c r="C64" s="270" t="s">
        <v>2236</v>
      </c>
      <c r="D64" s="270"/>
      <c r="E64" s="270"/>
      <c r="F64" s="270"/>
      <c r="G64" s="270"/>
      <c r="H64" s="270"/>
      <c r="I64" s="271"/>
      <c r="J64" s="271"/>
      <c r="K64" s="270"/>
      <c r="M64" s="272"/>
    </row>
    <row r="65" ht="22.5" hidden="1" customHeight="1">
      <c r="C65" s="270" t="s">
        <v>2236</v>
      </c>
      <c r="D65" s="270"/>
      <c r="E65" s="270"/>
      <c r="F65" s="270"/>
      <c r="G65" s="270"/>
      <c r="H65" s="270"/>
      <c r="I65" s="271"/>
      <c r="J65" s="271"/>
      <c r="K65" s="270"/>
      <c r="M65" s="272"/>
    </row>
    <row r="66" ht="22.5" hidden="1" customHeight="1">
      <c r="B66" s="274" t="s">
        <v>2246</v>
      </c>
      <c r="C66" s="274">
        <v>0.0</v>
      </c>
      <c r="D66" s="270"/>
      <c r="E66" s="270"/>
      <c r="F66" s="270" t="s">
        <v>874</v>
      </c>
      <c r="G66" s="270">
        <v>0.0</v>
      </c>
      <c r="H66" s="270">
        <v>0.0</v>
      </c>
      <c r="I66" s="271"/>
      <c r="J66" s="271"/>
      <c r="K66" s="270"/>
      <c r="M66" s="272"/>
    </row>
    <row r="67" ht="22.5" hidden="1" customHeight="1">
      <c r="C67" s="270" t="s">
        <v>2236</v>
      </c>
      <c r="D67" s="270"/>
      <c r="E67" s="270"/>
      <c r="F67" s="270" t="s">
        <v>2247</v>
      </c>
      <c r="G67" s="270"/>
      <c r="H67" s="270">
        <v>0.0</v>
      </c>
      <c r="I67" s="271"/>
      <c r="J67" s="271"/>
      <c r="M67" s="272"/>
    </row>
    <row r="68" ht="22.5" hidden="1" customHeight="1">
      <c r="C68" s="270"/>
      <c r="D68" s="270"/>
      <c r="E68" s="270"/>
      <c r="F68" s="270"/>
      <c r="G68" s="270"/>
      <c r="H68" s="270"/>
      <c r="I68" s="271"/>
      <c r="J68" s="271"/>
      <c r="L68" s="270"/>
      <c r="M68" s="272"/>
    </row>
    <row r="69" ht="22.5" hidden="1" customHeight="1">
      <c r="C69" s="270"/>
      <c r="D69" s="270"/>
      <c r="E69" s="270"/>
      <c r="F69" s="270"/>
      <c r="G69" s="270"/>
      <c r="H69" s="270"/>
      <c r="I69" s="271"/>
      <c r="J69" s="271"/>
      <c r="L69" s="270"/>
      <c r="M69" s="272"/>
    </row>
    <row r="70" ht="22.5" hidden="1" customHeight="1">
      <c r="C70" s="270"/>
      <c r="D70" s="270"/>
      <c r="E70" s="270"/>
      <c r="F70" s="270"/>
      <c r="G70" s="270"/>
      <c r="H70" s="270"/>
      <c r="I70" s="271"/>
      <c r="J70" s="271" t="s">
        <v>2233</v>
      </c>
      <c r="K70" s="273">
        <v>46167.0</v>
      </c>
      <c r="L70" s="270"/>
      <c r="M70" s="272"/>
    </row>
    <row r="71" ht="22.5" hidden="1" customHeight="1">
      <c r="A71" s="274" t="s">
        <v>181</v>
      </c>
      <c r="B71" s="274" t="s">
        <v>2216</v>
      </c>
      <c r="C71" s="270" t="s">
        <v>131</v>
      </c>
      <c r="D71" s="270" t="s">
        <v>2217</v>
      </c>
      <c r="E71" s="270" t="s">
        <v>8</v>
      </c>
      <c r="F71" s="270" t="s">
        <v>873</v>
      </c>
      <c r="G71" s="270" t="s">
        <v>17</v>
      </c>
      <c r="H71" s="270" t="s">
        <v>874</v>
      </c>
      <c r="I71" s="271" t="s">
        <v>2218</v>
      </c>
      <c r="J71" s="271" t="s">
        <v>876</v>
      </c>
      <c r="K71" s="274" t="s">
        <v>877</v>
      </c>
      <c r="L71" s="270" t="s">
        <v>878</v>
      </c>
      <c r="M71" s="272" t="s">
        <v>2219</v>
      </c>
      <c r="N71" s="274" t="s">
        <v>2220</v>
      </c>
    </row>
    <row r="72" ht="22.5" customHeight="1">
      <c r="A72" s="274" t="s">
        <v>1350</v>
      </c>
      <c r="B72" s="274" t="s">
        <v>2249</v>
      </c>
      <c r="C72" s="270" t="s">
        <v>2236</v>
      </c>
      <c r="D72" s="270">
        <v>0.0</v>
      </c>
      <c r="E72" s="270">
        <v>100.0</v>
      </c>
      <c r="F72" s="270">
        <v>0.0</v>
      </c>
      <c r="G72" s="270">
        <v>0.0</v>
      </c>
      <c r="H72" s="270">
        <v>0.0</v>
      </c>
      <c r="I72" s="271">
        <v>45371.0</v>
      </c>
      <c r="J72" s="271">
        <v>45402.0</v>
      </c>
      <c r="K72" s="274">
        <v>1.0</v>
      </c>
      <c r="L72" s="270">
        <v>-765.0</v>
      </c>
      <c r="M72" s="272"/>
    </row>
    <row r="73" ht="22.5" customHeight="1">
      <c r="A73" s="274" t="s">
        <v>1350</v>
      </c>
      <c r="B73" s="274" t="s">
        <v>2251</v>
      </c>
      <c r="C73" s="270" t="s">
        <v>2236</v>
      </c>
      <c r="D73" s="270">
        <v>0.0</v>
      </c>
      <c r="E73" s="270">
        <v>5.0</v>
      </c>
      <c r="F73" s="270">
        <v>0.0</v>
      </c>
      <c r="G73" s="270">
        <v>0.0</v>
      </c>
      <c r="H73" s="270">
        <v>0.0</v>
      </c>
      <c r="I73" s="271">
        <v>45352.0</v>
      </c>
      <c r="J73" s="271">
        <v>45383.0</v>
      </c>
      <c r="K73" s="274">
        <v>1.0</v>
      </c>
      <c r="L73" s="270">
        <v>-784.0</v>
      </c>
      <c r="M73" s="272"/>
    </row>
    <row r="74" ht="22.5" customHeight="1">
      <c r="A74" s="274" t="s">
        <v>1350</v>
      </c>
      <c r="B74" s="274" t="s">
        <v>2254</v>
      </c>
      <c r="C74" s="270" t="s">
        <v>2236</v>
      </c>
      <c r="D74" s="270">
        <v>0.0</v>
      </c>
      <c r="E74" s="270">
        <v>3.0</v>
      </c>
      <c r="F74" s="270">
        <v>0.0</v>
      </c>
      <c r="G74" s="270">
        <v>0.0</v>
      </c>
      <c r="H74" s="270">
        <v>0.0</v>
      </c>
      <c r="I74" s="271">
        <v>45352.0</v>
      </c>
      <c r="J74" s="271">
        <v>45383.0</v>
      </c>
      <c r="K74" s="274">
        <v>1.0</v>
      </c>
      <c r="L74" s="270">
        <v>-784.0</v>
      </c>
      <c r="M74" s="272"/>
    </row>
    <row r="75" ht="22.5" customHeight="1">
      <c r="A75" s="274" t="s">
        <v>1350</v>
      </c>
      <c r="B75" s="274" t="s">
        <v>2255</v>
      </c>
      <c r="C75" s="270" t="s">
        <v>2236</v>
      </c>
      <c r="D75" s="270">
        <v>0.0</v>
      </c>
      <c r="E75" s="270">
        <v>1500.0</v>
      </c>
      <c r="F75" s="270">
        <v>0.0</v>
      </c>
      <c r="G75" s="270">
        <v>0.0</v>
      </c>
      <c r="H75" s="270">
        <v>0.0</v>
      </c>
      <c r="I75" s="271"/>
      <c r="J75" s="271"/>
      <c r="K75" s="274" t="s">
        <v>2236</v>
      </c>
      <c r="L75" s="270" t="s">
        <v>2236</v>
      </c>
      <c r="M75" s="272"/>
    </row>
    <row r="76" ht="22.5" customHeight="1">
      <c r="A76" s="274" t="s">
        <v>1350</v>
      </c>
      <c r="B76" s="274" t="s">
        <v>2256</v>
      </c>
      <c r="C76" s="270" t="s">
        <v>2236</v>
      </c>
      <c r="D76" s="270">
        <v>0.0</v>
      </c>
      <c r="E76" s="270">
        <v>500.0</v>
      </c>
      <c r="F76" s="270">
        <v>0.0</v>
      </c>
      <c r="G76" s="270">
        <v>0.0</v>
      </c>
      <c r="H76" s="270">
        <v>0.0</v>
      </c>
      <c r="I76" s="271"/>
      <c r="J76" s="271"/>
      <c r="K76" s="274" t="s">
        <v>2236</v>
      </c>
      <c r="L76" s="270" t="s">
        <v>2236</v>
      </c>
      <c r="M76" s="272"/>
    </row>
    <row r="77" ht="22.5" customHeight="1">
      <c r="B77" s="274" t="s">
        <v>2257</v>
      </c>
      <c r="C77" s="270" t="s">
        <v>2236</v>
      </c>
      <c r="D77" s="270">
        <v>13.5</v>
      </c>
      <c r="E77" s="270">
        <v>22.0</v>
      </c>
      <c r="F77" s="270">
        <v>297.0</v>
      </c>
      <c r="G77" s="270">
        <v>0.0</v>
      </c>
      <c r="H77" s="270">
        <v>0.0</v>
      </c>
      <c r="I77" s="271">
        <v>45352.0</v>
      </c>
      <c r="J77" s="271">
        <v>45383.0</v>
      </c>
      <c r="K77" s="274">
        <v>1.0</v>
      </c>
      <c r="L77" s="270">
        <v>-784.0</v>
      </c>
      <c r="M77" s="272">
        <v>45383.0</v>
      </c>
    </row>
    <row r="78" ht="22.5" customHeight="1">
      <c r="A78" s="274" t="s">
        <v>2261</v>
      </c>
      <c r="B78" s="274" t="s">
        <v>2258</v>
      </c>
      <c r="C78" s="270" t="s">
        <v>2236</v>
      </c>
      <c r="D78" s="270">
        <v>0.0</v>
      </c>
      <c r="E78" s="270">
        <v>22.0</v>
      </c>
      <c r="F78" s="270">
        <v>0.0</v>
      </c>
      <c r="G78" s="270">
        <v>0.0</v>
      </c>
      <c r="H78" s="270">
        <v>0.0</v>
      </c>
      <c r="I78" s="271">
        <v>45363.0</v>
      </c>
      <c r="J78" s="271">
        <v>45394.0</v>
      </c>
      <c r="K78" s="274">
        <v>1.0</v>
      </c>
      <c r="L78" s="270">
        <v>-773.0</v>
      </c>
      <c r="M78" s="272"/>
    </row>
    <row r="79" ht="22.5" customHeight="1">
      <c r="B79" s="274" t="s">
        <v>2259</v>
      </c>
      <c r="C79" s="270" t="s">
        <v>1350</v>
      </c>
      <c r="D79" s="270">
        <v>1.0</v>
      </c>
      <c r="E79" s="270">
        <v>15000.0</v>
      </c>
      <c r="F79" s="270">
        <v>15000.0</v>
      </c>
      <c r="G79" s="270">
        <v>4500.0</v>
      </c>
      <c r="H79" s="270">
        <v>0.0</v>
      </c>
      <c r="I79" s="271">
        <v>45364.0</v>
      </c>
      <c r="J79" s="271">
        <v>45395.0</v>
      </c>
      <c r="K79" s="274">
        <v>1.0</v>
      </c>
      <c r="L79" s="270">
        <v>-772.0</v>
      </c>
      <c r="M79" s="272">
        <v>45413.0</v>
      </c>
      <c r="N79" s="274" t="s">
        <v>2262</v>
      </c>
    </row>
    <row r="80" ht="22.5" customHeight="1">
      <c r="B80" s="274" t="s">
        <v>2263</v>
      </c>
      <c r="C80" s="270" t="s">
        <v>1350</v>
      </c>
      <c r="D80" s="270">
        <v>1.0</v>
      </c>
      <c r="E80" s="270">
        <v>6660.0</v>
      </c>
      <c r="F80" s="270">
        <v>6660.0</v>
      </c>
      <c r="G80" s="270">
        <v>1745.0</v>
      </c>
      <c r="H80" s="270">
        <v>0.0</v>
      </c>
      <c r="I80" s="271"/>
      <c r="J80" s="271">
        <v>45388.0</v>
      </c>
      <c r="K80" s="274">
        <v>1.0</v>
      </c>
      <c r="L80" s="270">
        <v>-779.0</v>
      </c>
      <c r="M80" s="272">
        <v>45413.0</v>
      </c>
      <c r="N80" s="274" t="s">
        <v>2264</v>
      </c>
    </row>
    <row r="81" ht="22.5" hidden="1" customHeight="1">
      <c r="C81" s="270" t="s">
        <v>2236</v>
      </c>
      <c r="D81" s="270"/>
      <c r="E81" s="270"/>
      <c r="F81" s="270"/>
      <c r="G81" s="270"/>
      <c r="H81" s="270"/>
      <c r="I81" s="271"/>
      <c r="J81" s="271"/>
      <c r="K81" s="270"/>
      <c r="L81" s="270" t="s">
        <v>2236</v>
      </c>
      <c r="M81" s="272"/>
    </row>
    <row r="82" ht="22.5" hidden="1" customHeight="1">
      <c r="C82" s="270" t="s">
        <v>2236</v>
      </c>
      <c r="D82" s="270"/>
      <c r="E82" s="270"/>
      <c r="F82" s="270"/>
      <c r="G82" s="270"/>
      <c r="H82" s="270"/>
      <c r="I82" s="271"/>
      <c r="J82" s="271"/>
      <c r="K82" s="270"/>
      <c r="L82" s="270" t="s">
        <v>2236</v>
      </c>
      <c r="M82" s="272"/>
    </row>
    <row r="83" ht="22.5" hidden="1" customHeight="1">
      <c r="C83" s="270" t="s">
        <v>2236</v>
      </c>
      <c r="D83" s="270"/>
      <c r="E83" s="270"/>
      <c r="F83" s="270"/>
      <c r="G83" s="270"/>
      <c r="H83" s="270"/>
      <c r="I83" s="271"/>
      <c r="J83" s="271"/>
      <c r="K83" s="270"/>
      <c r="L83" s="270" t="s">
        <v>2236</v>
      </c>
      <c r="M83" s="272"/>
    </row>
    <row r="84" ht="22.5" hidden="1" customHeight="1">
      <c r="C84" s="270" t="s">
        <v>2236</v>
      </c>
      <c r="D84" s="270"/>
      <c r="E84" s="270"/>
      <c r="F84" s="270"/>
      <c r="G84" s="270"/>
      <c r="H84" s="270"/>
      <c r="I84" s="271"/>
      <c r="J84" s="271"/>
      <c r="K84" s="270"/>
      <c r="L84" s="270" t="s">
        <v>2236</v>
      </c>
      <c r="M84" s="272"/>
    </row>
    <row r="85" ht="22.5" hidden="1" customHeight="1">
      <c r="C85" s="270" t="s">
        <v>2236</v>
      </c>
      <c r="D85" s="270"/>
      <c r="E85" s="270"/>
      <c r="F85" s="270"/>
      <c r="G85" s="270"/>
      <c r="H85" s="270"/>
      <c r="I85" s="271"/>
      <c r="J85" s="271"/>
      <c r="K85" s="270"/>
      <c r="L85" s="270" t="s">
        <v>2236</v>
      </c>
      <c r="M85" s="272"/>
    </row>
    <row r="86" ht="22.5" hidden="1" customHeight="1">
      <c r="C86" s="270" t="s">
        <v>2236</v>
      </c>
      <c r="D86" s="270"/>
      <c r="E86" s="270"/>
      <c r="F86" s="270"/>
      <c r="G86" s="270"/>
      <c r="H86" s="270"/>
      <c r="I86" s="271"/>
      <c r="J86" s="271"/>
      <c r="K86" s="270"/>
      <c r="L86" s="270" t="s">
        <v>2236</v>
      </c>
      <c r="M86" s="272"/>
    </row>
    <row r="87" ht="22.5" hidden="1" customHeight="1">
      <c r="B87" s="274" t="s">
        <v>2246</v>
      </c>
      <c r="C87" s="274">
        <v>2.0</v>
      </c>
      <c r="D87" s="270"/>
      <c r="E87" s="270"/>
      <c r="F87" s="270" t="s">
        <v>874</v>
      </c>
      <c r="G87" s="270">
        <v>6245.0</v>
      </c>
      <c r="H87" s="270">
        <v>0.0</v>
      </c>
      <c r="I87" s="271"/>
      <c r="J87" s="271"/>
      <c r="K87" s="270"/>
      <c r="M87" s="272"/>
    </row>
    <row r="88" ht="22.5" hidden="1" customHeight="1">
      <c r="C88" s="270" t="s">
        <v>2236</v>
      </c>
      <c r="D88" s="270"/>
      <c r="E88" s="270"/>
      <c r="F88" s="270" t="s">
        <v>2247</v>
      </c>
      <c r="G88" s="270"/>
      <c r="H88" s="270">
        <v>0.0</v>
      </c>
      <c r="I88" s="271"/>
      <c r="J88" s="271"/>
      <c r="K88" s="270"/>
      <c r="M88" s="272"/>
    </row>
    <row r="89" ht="22.5" hidden="1" customHeight="1">
      <c r="C89" s="270"/>
      <c r="D89" s="270"/>
      <c r="E89" s="270"/>
      <c r="F89" s="270"/>
      <c r="G89" s="270"/>
      <c r="H89" s="270"/>
      <c r="I89" s="271"/>
      <c r="J89" s="271"/>
      <c r="K89" s="270"/>
      <c r="M89" s="272"/>
    </row>
    <row r="90" ht="22.5" hidden="1" customHeight="1">
      <c r="C90" s="270"/>
      <c r="D90" s="270"/>
      <c r="E90" s="270"/>
      <c r="F90" s="270"/>
      <c r="G90" s="270"/>
      <c r="H90" s="270"/>
      <c r="I90" s="271"/>
      <c r="J90" s="271"/>
      <c r="L90" s="270"/>
      <c r="M90" s="272"/>
    </row>
    <row r="91" ht="22.5" hidden="1" customHeight="1">
      <c r="C91" s="270"/>
      <c r="D91" s="270"/>
      <c r="E91" s="270"/>
      <c r="F91" s="270"/>
      <c r="G91" s="270"/>
      <c r="H91" s="270"/>
      <c r="I91" s="271"/>
      <c r="J91" s="271" t="s">
        <v>2233</v>
      </c>
      <c r="K91" s="273">
        <v>46167.0</v>
      </c>
      <c r="L91" s="270"/>
      <c r="M91" s="272"/>
    </row>
    <row r="92" ht="22.5" hidden="1" customHeight="1">
      <c r="A92" s="274" t="s">
        <v>181</v>
      </c>
      <c r="B92" s="274" t="s">
        <v>2216</v>
      </c>
      <c r="C92" s="270" t="s">
        <v>131</v>
      </c>
      <c r="D92" s="270" t="s">
        <v>2217</v>
      </c>
      <c r="E92" s="270" t="s">
        <v>8</v>
      </c>
      <c r="F92" s="270" t="s">
        <v>873</v>
      </c>
      <c r="G92" s="270" t="s">
        <v>17</v>
      </c>
      <c r="H92" s="270" t="s">
        <v>874</v>
      </c>
      <c r="I92" s="271" t="s">
        <v>2218</v>
      </c>
      <c r="J92" s="271" t="s">
        <v>876</v>
      </c>
      <c r="K92" s="274" t="s">
        <v>877</v>
      </c>
      <c r="L92" s="270" t="s">
        <v>878</v>
      </c>
      <c r="M92" s="272" t="s">
        <v>2219</v>
      </c>
      <c r="N92" s="274" t="s">
        <v>2220</v>
      </c>
    </row>
    <row r="93" ht="22.5" customHeight="1">
      <c r="A93" s="274" t="s">
        <v>1350</v>
      </c>
      <c r="B93" s="274" t="s">
        <v>2249</v>
      </c>
      <c r="C93" s="270" t="s">
        <v>2236</v>
      </c>
      <c r="D93" s="270">
        <v>0.0</v>
      </c>
      <c r="E93" s="270">
        <v>100.0</v>
      </c>
      <c r="F93" s="270">
        <v>0.0</v>
      </c>
      <c r="G93" s="270">
        <v>0.0</v>
      </c>
      <c r="H93" s="270">
        <v>0.0</v>
      </c>
      <c r="I93" s="271">
        <v>45402.0</v>
      </c>
      <c r="J93" s="271">
        <v>45432.0</v>
      </c>
      <c r="K93" s="274">
        <v>1.0</v>
      </c>
      <c r="L93" s="270">
        <v>-735.0</v>
      </c>
      <c r="M93" s="272"/>
    </row>
    <row r="94" ht="22.5" customHeight="1">
      <c r="B94" s="274" t="s">
        <v>2251</v>
      </c>
      <c r="C94" s="270" t="s">
        <v>2236</v>
      </c>
      <c r="D94" s="270">
        <v>3.0</v>
      </c>
      <c r="E94" s="270">
        <v>5.0</v>
      </c>
      <c r="F94" s="270">
        <v>15.0</v>
      </c>
      <c r="G94" s="270">
        <v>0.0</v>
      </c>
      <c r="H94" s="270">
        <v>0.0</v>
      </c>
      <c r="I94" s="271">
        <v>45383.0</v>
      </c>
      <c r="J94" s="271">
        <v>45413.0</v>
      </c>
      <c r="K94" s="274">
        <v>1.0</v>
      </c>
      <c r="L94" s="270">
        <v>-754.0</v>
      </c>
      <c r="M94" s="272">
        <v>45413.0</v>
      </c>
      <c r="N94" s="274" t="s">
        <v>2265</v>
      </c>
    </row>
    <row r="95" ht="22.5" customHeight="1">
      <c r="A95" s="274" t="s">
        <v>1350</v>
      </c>
      <c r="B95" s="274" t="s">
        <v>2254</v>
      </c>
      <c r="C95" s="270" t="s">
        <v>2236</v>
      </c>
      <c r="D95" s="270">
        <v>0.0</v>
      </c>
      <c r="E95" s="270">
        <v>3.0</v>
      </c>
      <c r="F95" s="270">
        <v>0.0</v>
      </c>
      <c r="G95" s="270">
        <v>0.0</v>
      </c>
      <c r="H95" s="270">
        <v>0.0</v>
      </c>
      <c r="I95" s="271">
        <v>45383.0</v>
      </c>
      <c r="J95" s="271">
        <v>45413.0</v>
      </c>
      <c r="K95" s="274">
        <v>1.0</v>
      </c>
      <c r="L95" s="270">
        <v>-754.0</v>
      </c>
      <c r="M95" s="272"/>
    </row>
    <row r="96" ht="22.5" customHeight="1">
      <c r="A96" s="274" t="s">
        <v>1350</v>
      </c>
      <c r="B96" s="274" t="s">
        <v>2255</v>
      </c>
      <c r="C96" s="270" t="s">
        <v>2236</v>
      </c>
      <c r="D96" s="270">
        <v>0.0</v>
      </c>
      <c r="E96" s="270">
        <v>1500.0</v>
      </c>
      <c r="F96" s="270">
        <v>0.0</v>
      </c>
      <c r="G96" s="270">
        <v>0.0</v>
      </c>
      <c r="H96" s="270">
        <v>0.0</v>
      </c>
      <c r="I96" s="271"/>
      <c r="J96" s="271"/>
      <c r="K96" s="274" t="s">
        <v>2236</v>
      </c>
      <c r="L96" s="270" t="s">
        <v>2236</v>
      </c>
      <c r="M96" s="272"/>
    </row>
    <row r="97" ht="22.5" customHeight="1">
      <c r="A97" s="274" t="s">
        <v>1350</v>
      </c>
      <c r="B97" s="274" t="s">
        <v>2256</v>
      </c>
      <c r="C97" s="270" t="s">
        <v>2236</v>
      </c>
      <c r="D97" s="270">
        <v>0.0</v>
      </c>
      <c r="E97" s="270">
        <v>500.0</v>
      </c>
      <c r="F97" s="270">
        <v>0.0</v>
      </c>
      <c r="G97" s="270">
        <v>0.0</v>
      </c>
      <c r="H97" s="270">
        <v>0.0</v>
      </c>
      <c r="I97" s="271"/>
      <c r="J97" s="271"/>
      <c r="K97" s="274" t="s">
        <v>2236</v>
      </c>
      <c r="L97" s="270" t="s">
        <v>2236</v>
      </c>
      <c r="M97" s="272"/>
    </row>
    <row r="98" ht="22.5" customHeight="1">
      <c r="B98" s="274" t="s">
        <v>2257</v>
      </c>
      <c r="C98" s="270" t="s">
        <v>2236</v>
      </c>
      <c r="D98" s="270">
        <v>16.5</v>
      </c>
      <c r="E98" s="270">
        <v>22.0</v>
      </c>
      <c r="F98" s="270">
        <v>363.0</v>
      </c>
      <c r="G98" s="270">
        <v>0.0</v>
      </c>
      <c r="H98" s="270">
        <v>0.0</v>
      </c>
      <c r="I98" s="271"/>
      <c r="J98" s="271"/>
      <c r="K98" s="274" t="s">
        <v>2236</v>
      </c>
      <c r="L98" s="270" t="s">
        <v>2236</v>
      </c>
      <c r="M98" s="272" t="s">
        <v>2266</v>
      </c>
    </row>
    <row r="99" ht="22.5" customHeight="1">
      <c r="A99" s="274" t="s">
        <v>2261</v>
      </c>
      <c r="B99" s="274" t="s">
        <v>2258</v>
      </c>
      <c r="C99" s="270" t="s">
        <v>2236</v>
      </c>
      <c r="D99" s="270">
        <v>0.0</v>
      </c>
      <c r="E99" s="270">
        <v>0.0</v>
      </c>
      <c r="F99" s="270">
        <v>0.0</v>
      </c>
      <c r="G99" s="270">
        <v>0.0</v>
      </c>
      <c r="H99" s="270">
        <v>0.0</v>
      </c>
      <c r="I99" s="271">
        <v>45394.0</v>
      </c>
      <c r="J99" s="271">
        <v>45424.0</v>
      </c>
      <c r="K99" s="274">
        <v>1.0</v>
      </c>
      <c r="L99" s="270">
        <v>-743.0</v>
      </c>
      <c r="M99" s="272"/>
    </row>
    <row r="100" ht="22.5" customHeight="1">
      <c r="B100" s="274" t="s">
        <v>2259</v>
      </c>
      <c r="C100" s="270" t="s">
        <v>2236</v>
      </c>
      <c r="D100" s="270">
        <v>1.0</v>
      </c>
      <c r="E100" s="270">
        <v>15000.0</v>
      </c>
      <c r="F100" s="270">
        <v>15000.0</v>
      </c>
      <c r="G100" s="270">
        <v>0.0</v>
      </c>
      <c r="H100" s="270">
        <v>0.0</v>
      </c>
      <c r="I100" s="271">
        <v>45395.0</v>
      </c>
      <c r="J100" s="271">
        <v>45425.0</v>
      </c>
      <c r="K100" s="274">
        <v>1.0</v>
      </c>
      <c r="L100" s="270">
        <v>-742.0</v>
      </c>
      <c r="M100" s="272"/>
    </row>
    <row r="101" ht="22.5" customHeight="1">
      <c r="B101" s="274" t="s">
        <v>2267</v>
      </c>
      <c r="C101" s="270" t="s">
        <v>2236</v>
      </c>
      <c r="D101" s="270">
        <v>3.0</v>
      </c>
      <c r="E101" s="270">
        <v>3000.0</v>
      </c>
      <c r="F101" s="270">
        <v>9000.0</v>
      </c>
      <c r="G101" s="270">
        <v>0.0</v>
      </c>
      <c r="H101" s="270">
        <v>0.0</v>
      </c>
      <c r="I101" s="271"/>
      <c r="J101" s="271"/>
      <c r="K101" s="274" t="s">
        <v>2236</v>
      </c>
      <c r="L101" s="270" t="s">
        <v>2236</v>
      </c>
      <c r="M101" s="272" t="s">
        <v>2268</v>
      </c>
    </row>
    <row r="102" ht="22.5" customHeight="1">
      <c r="B102" s="274" t="s">
        <v>2263</v>
      </c>
      <c r="C102" s="270" t="s">
        <v>2236</v>
      </c>
      <c r="D102" s="270">
        <v>1.0</v>
      </c>
      <c r="E102" s="270">
        <v>-13340.0</v>
      </c>
      <c r="F102" s="270">
        <v>-13340.0</v>
      </c>
      <c r="G102" s="270">
        <v>0.0</v>
      </c>
      <c r="H102" s="270">
        <v>0.0</v>
      </c>
      <c r="I102" s="271"/>
      <c r="J102" s="271"/>
      <c r="K102" s="274" t="s">
        <v>2236</v>
      </c>
      <c r="L102" s="270" t="s">
        <v>2236</v>
      </c>
      <c r="M102" s="272"/>
    </row>
    <row r="103" ht="22.5" hidden="1" customHeight="1">
      <c r="C103" s="270" t="s">
        <v>2236</v>
      </c>
      <c r="D103" s="270"/>
      <c r="E103" s="270"/>
      <c r="F103" s="270"/>
      <c r="G103" s="270"/>
      <c r="H103" s="270"/>
      <c r="I103" s="271"/>
      <c r="J103" s="271"/>
      <c r="K103" s="270"/>
      <c r="L103" s="270" t="s">
        <v>2236</v>
      </c>
      <c r="M103" s="272"/>
    </row>
    <row r="104" ht="22.5" hidden="1" customHeight="1">
      <c r="C104" s="270" t="s">
        <v>2236</v>
      </c>
      <c r="D104" s="270"/>
      <c r="E104" s="270"/>
      <c r="F104" s="270"/>
      <c r="G104" s="270"/>
      <c r="H104" s="270"/>
      <c r="I104" s="271"/>
      <c r="J104" s="271"/>
      <c r="K104" s="270"/>
      <c r="L104" s="270" t="s">
        <v>2236</v>
      </c>
      <c r="M104" s="272"/>
    </row>
    <row r="105" ht="22.5" hidden="1" customHeight="1">
      <c r="C105" s="270" t="s">
        <v>2236</v>
      </c>
      <c r="D105" s="270"/>
      <c r="E105" s="270"/>
      <c r="F105" s="270"/>
      <c r="G105" s="270"/>
      <c r="H105" s="270"/>
      <c r="I105" s="271"/>
      <c r="J105" s="271"/>
      <c r="K105" s="270"/>
      <c r="L105" s="270" t="s">
        <v>2236</v>
      </c>
      <c r="M105" s="272"/>
    </row>
    <row r="106" ht="22.5" hidden="1" customHeight="1">
      <c r="C106" s="270" t="s">
        <v>2236</v>
      </c>
      <c r="D106" s="270"/>
      <c r="E106" s="270"/>
      <c r="F106" s="270"/>
      <c r="G106" s="270"/>
      <c r="H106" s="270"/>
      <c r="I106" s="271"/>
      <c r="J106" s="271"/>
      <c r="K106" s="270"/>
      <c r="L106" s="270" t="s">
        <v>2236</v>
      </c>
      <c r="M106" s="272"/>
    </row>
    <row r="107" ht="22.5" hidden="1" customHeight="1">
      <c r="C107" s="270" t="s">
        <v>2236</v>
      </c>
      <c r="D107" s="270"/>
      <c r="E107" s="270"/>
      <c r="F107" s="270"/>
      <c r="G107" s="270"/>
      <c r="H107" s="270"/>
      <c r="I107" s="271"/>
      <c r="J107" s="271"/>
      <c r="K107" s="270"/>
      <c r="L107" s="270" t="s">
        <v>2236</v>
      </c>
      <c r="M107" s="272"/>
    </row>
    <row r="108" ht="22.5" hidden="1" customHeight="1">
      <c r="B108" s="274" t="s">
        <v>2246</v>
      </c>
      <c r="C108" s="274">
        <v>0.0</v>
      </c>
      <c r="D108" s="270"/>
      <c r="E108" s="270"/>
      <c r="F108" s="270" t="s">
        <v>874</v>
      </c>
      <c r="G108" s="270">
        <v>0.0</v>
      </c>
      <c r="H108" s="270">
        <v>0.0</v>
      </c>
      <c r="I108" s="271"/>
      <c r="J108" s="271"/>
      <c r="K108" s="270"/>
      <c r="M108" s="272"/>
    </row>
    <row r="109" ht="22.5" hidden="1" customHeight="1">
      <c r="C109" s="270" t="s">
        <v>2236</v>
      </c>
      <c r="D109" s="270"/>
      <c r="E109" s="270"/>
      <c r="F109" s="270" t="s">
        <v>2247</v>
      </c>
      <c r="G109" s="270"/>
      <c r="H109" s="270">
        <v>0.0</v>
      </c>
      <c r="I109" s="271"/>
      <c r="J109" s="271"/>
      <c r="K109" s="270"/>
      <c r="M109" s="272"/>
    </row>
    <row r="110" ht="22.5" hidden="1" customHeight="1">
      <c r="C110" s="270"/>
      <c r="D110" s="270"/>
      <c r="E110" s="270"/>
      <c r="F110" s="270"/>
      <c r="G110" s="270"/>
      <c r="H110" s="270"/>
      <c r="I110" s="271"/>
      <c r="J110" s="271"/>
      <c r="K110" s="270"/>
      <c r="M110" s="272"/>
    </row>
    <row r="111" ht="22.5" hidden="1" customHeight="1">
      <c r="C111" s="270"/>
      <c r="D111" s="270"/>
      <c r="E111" s="270"/>
      <c r="F111" s="270"/>
      <c r="G111" s="270"/>
      <c r="H111" s="270"/>
      <c r="I111" s="271"/>
      <c r="J111" s="271"/>
      <c r="K111" s="270"/>
      <c r="M111" s="272"/>
    </row>
    <row r="112" ht="22.5" hidden="1" customHeight="1">
      <c r="C112" s="270"/>
      <c r="D112" s="270"/>
      <c r="E112" s="270"/>
      <c r="F112" s="270"/>
      <c r="G112" s="270"/>
      <c r="H112" s="270"/>
      <c r="I112" s="271"/>
      <c r="J112" s="271" t="s">
        <v>2233</v>
      </c>
      <c r="K112" s="273">
        <v>46167.0</v>
      </c>
      <c r="L112" s="270"/>
      <c r="M112" s="272"/>
    </row>
    <row r="113" ht="22.5" hidden="1" customHeight="1">
      <c r="A113" s="274" t="s">
        <v>181</v>
      </c>
      <c r="B113" s="274" t="s">
        <v>2216</v>
      </c>
      <c r="C113" s="270" t="s">
        <v>131</v>
      </c>
      <c r="D113" s="270" t="s">
        <v>2217</v>
      </c>
      <c r="E113" s="270" t="s">
        <v>8</v>
      </c>
      <c r="F113" s="270" t="s">
        <v>873</v>
      </c>
      <c r="G113" s="270" t="s">
        <v>17</v>
      </c>
      <c r="H113" s="270" t="s">
        <v>874</v>
      </c>
      <c r="I113" s="271" t="s">
        <v>2218</v>
      </c>
      <c r="J113" s="271" t="s">
        <v>876</v>
      </c>
      <c r="K113" s="274" t="s">
        <v>877</v>
      </c>
      <c r="L113" s="270" t="s">
        <v>878</v>
      </c>
      <c r="M113" s="272" t="s">
        <v>2219</v>
      </c>
      <c r="N113" s="274" t="s">
        <v>2220</v>
      </c>
    </row>
    <row r="114" ht="22.5" customHeight="1">
      <c r="B114" s="274" t="s">
        <v>2249</v>
      </c>
      <c r="C114" s="270" t="s">
        <v>2236</v>
      </c>
      <c r="D114" s="270">
        <v>3.0</v>
      </c>
      <c r="E114" s="270">
        <v>100.0</v>
      </c>
      <c r="F114" s="270">
        <v>300.0</v>
      </c>
      <c r="G114" s="270">
        <v>0.0</v>
      </c>
      <c r="H114" s="270">
        <v>0.0</v>
      </c>
      <c r="I114" s="271">
        <v>45432.0</v>
      </c>
      <c r="J114" s="271">
        <v>45463.0</v>
      </c>
      <c r="K114" s="274">
        <v>1.0</v>
      </c>
      <c r="L114" s="270">
        <v>-704.0</v>
      </c>
      <c r="M114" s="272"/>
    </row>
    <row r="115" ht="22.5" customHeight="1">
      <c r="B115" s="274" t="s">
        <v>2251</v>
      </c>
      <c r="C115" s="270" t="s">
        <v>2236</v>
      </c>
      <c r="D115" s="270">
        <v>7.0</v>
      </c>
      <c r="E115" s="270">
        <v>5.0</v>
      </c>
      <c r="F115" s="270">
        <v>35.0</v>
      </c>
      <c r="G115" s="270">
        <v>0.0</v>
      </c>
      <c r="H115" s="270">
        <v>0.0</v>
      </c>
      <c r="I115" s="271">
        <v>45413.0</v>
      </c>
      <c r="J115" s="271">
        <v>45444.0</v>
      </c>
      <c r="K115" s="274">
        <v>1.0</v>
      </c>
      <c r="L115" s="270">
        <v>-723.0</v>
      </c>
      <c r="M115" s="272">
        <v>45458.0</v>
      </c>
    </row>
    <row r="116" ht="22.5" customHeight="1">
      <c r="B116" s="274" t="s">
        <v>2254</v>
      </c>
      <c r="C116" s="270" t="s">
        <v>2236</v>
      </c>
      <c r="D116" s="270">
        <v>6.0</v>
      </c>
      <c r="E116" s="270">
        <v>3.0</v>
      </c>
      <c r="F116" s="270">
        <v>18.0</v>
      </c>
      <c r="G116" s="270">
        <v>0.0</v>
      </c>
      <c r="H116" s="270">
        <v>0.0</v>
      </c>
      <c r="I116" s="271">
        <v>45413.0</v>
      </c>
      <c r="J116" s="271">
        <v>45444.0</v>
      </c>
      <c r="K116" s="274">
        <v>1.0</v>
      </c>
      <c r="L116" s="270">
        <v>-723.0</v>
      </c>
      <c r="M116" s="272">
        <v>45458.0</v>
      </c>
    </row>
    <row r="117" ht="22.5" customHeight="1">
      <c r="B117" s="274" t="s">
        <v>2255</v>
      </c>
      <c r="C117" s="270" t="s">
        <v>2236</v>
      </c>
      <c r="D117" s="270">
        <v>0.0</v>
      </c>
      <c r="E117" s="270">
        <v>1500.0</v>
      </c>
      <c r="F117" s="270">
        <v>0.0</v>
      </c>
      <c r="G117" s="270">
        <v>0.0</v>
      </c>
      <c r="H117" s="270">
        <v>0.0</v>
      </c>
      <c r="I117" s="271"/>
      <c r="J117" s="271"/>
      <c r="K117" s="274" t="s">
        <v>2236</v>
      </c>
      <c r="L117" s="270" t="s">
        <v>2236</v>
      </c>
      <c r="M117" s="272"/>
    </row>
    <row r="118" ht="22.5" customHeight="1">
      <c r="B118" s="274" t="s">
        <v>2256</v>
      </c>
      <c r="C118" s="270" t="s">
        <v>2236</v>
      </c>
      <c r="D118" s="270">
        <v>0.0</v>
      </c>
      <c r="E118" s="270">
        <v>500.0</v>
      </c>
      <c r="F118" s="270">
        <v>0.0</v>
      </c>
      <c r="G118" s="270">
        <v>0.0</v>
      </c>
      <c r="H118" s="270">
        <v>0.0</v>
      </c>
      <c r="I118" s="271"/>
      <c r="J118" s="271"/>
      <c r="K118" s="274" t="s">
        <v>2236</v>
      </c>
      <c r="L118" s="270" t="s">
        <v>2236</v>
      </c>
      <c r="M118" s="272"/>
    </row>
    <row r="119" ht="22.5" customHeight="1">
      <c r="A119" s="274" t="s">
        <v>2269</v>
      </c>
      <c r="B119" s="274" t="s">
        <v>2257</v>
      </c>
      <c r="C119" s="270" t="s">
        <v>2236</v>
      </c>
      <c r="D119" s="270">
        <v>24.0</v>
      </c>
      <c r="E119" s="270">
        <v>22.0</v>
      </c>
      <c r="F119" s="270">
        <v>462.0</v>
      </c>
      <c r="G119" s="270">
        <v>0.0</v>
      </c>
      <c r="H119" s="270">
        <v>0.0</v>
      </c>
      <c r="I119" s="271">
        <v>45413.0</v>
      </c>
      <c r="J119" s="271">
        <v>45444.0</v>
      </c>
      <c r="K119" s="274">
        <v>1.0</v>
      </c>
      <c r="L119" s="270">
        <v>-723.0</v>
      </c>
      <c r="M119" s="272">
        <v>45458.0</v>
      </c>
    </row>
    <row r="120" ht="22.5" customHeight="1">
      <c r="B120" s="274" t="s">
        <v>2258</v>
      </c>
      <c r="C120" s="270" t="s">
        <v>2236</v>
      </c>
      <c r="D120" s="270">
        <v>0.0</v>
      </c>
      <c r="E120" s="270">
        <v>0.0</v>
      </c>
      <c r="F120" s="270">
        <v>0.0</v>
      </c>
      <c r="G120" s="270">
        <v>0.0</v>
      </c>
      <c r="H120" s="270">
        <v>0.0</v>
      </c>
      <c r="I120" s="271">
        <v>45424.0</v>
      </c>
      <c r="J120" s="271">
        <v>45455.0</v>
      </c>
      <c r="K120" s="274">
        <v>1.0</v>
      </c>
      <c r="L120" s="270">
        <v>-712.0</v>
      </c>
      <c r="M120" s="272"/>
    </row>
    <row r="121" ht="22.5" customHeight="1">
      <c r="B121" s="274" t="s">
        <v>2259</v>
      </c>
      <c r="C121" s="270" t="s">
        <v>2236</v>
      </c>
      <c r="D121" s="270">
        <v>1.0</v>
      </c>
      <c r="E121" s="270">
        <v>15000.0</v>
      </c>
      <c r="F121" s="270">
        <v>15000.0</v>
      </c>
      <c r="G121" s="270">
        <v>0.0</v>
      </c>
      <c r="H121" s="270">
        <v>0.0</v>
      </c>
      <c r="I121" s="271">
        <v>45425.0</v>
      </c>
      <c r="J121" s="271">
        <v>45456.0</v>
      </c>
      <c r="K121" s="274">
        <v>1.0</v>
      </c>
      <c r="L121" s="270">
        <v>-711.0</v>
      </c>
      <c r="M121" s="272">
        <v>45458.0</v>
      </c>
    </row>
    <row r="122" ht="22.5" customHeight="1">
      <c r="B122" s="274" t="s">
        <v>2267</v>
      </c>
      <c r="C122" s="270" t="s">
        <v>2236</v>
      </c>
      <c r="D122" s="270">
        <v>0.0</v>
      </c>
      <c r="E122" s="270">
        <v>3000.0</v>
      </c>
      <c r="F122" s="270">
        <v>0.0</v>
      </c>
      <c r="G122" s="270">
        <v>0.0</v>
      </c>
      <c r="H122" s="270">
        <v>0.0</v>
      </c>
      <c r="I122" s="271"/>
      <c r="J122" s="271"/>
      <c r="K122" s="274" t="s">
        <v>2236</v>
      </c>
      <c r="L122" s="270" t="s">
        <v>2236</v>
      </c>
      <c r="M122" s="272"/>
    </row>
    <row r="123" ht="22.5" hidden="1" customHeight="1">
      <c r="C123" s="270" t="s">
        <v>2236</v>
      </c>
      <c r="D123" s="270"/>
      <c r="E123" s="270"/>
      <c r="F123" s="270"/>
      <c r="G123" s="270"/>
      <c r="H123" s="270"/>
      <c r="I123" s="271"/>
      <c r="J123" s="271"/>
      <c r="L123" s="270" t="s">
        <v>2236</v>
      </c>
      <c r="M123" s="272"/>
    </row>
    <row r="124" ht="22.5" hidden="1" customHeight="1">
      <c r="C124" s="270" t="s">
        <v>2236</v>
      </c>
      <c r="D124" s="270"/>
      <c r="E124" s="270"/>
      <c r="F124" s="270"/>
      <c r="G124" s="270"/>
      <c r="H124" s="270"/>
      <c r="I124" s="271"/>
      <c r="J124" s="271"/>
      <c r="K124" s="270"/>
      <c r="L124" s="270" t="s">
        <v>2236</v>
      </c>
      <c r="M124" s="272"/>
    </row>
    <row r="125" ht="22.5" hidden="1" customHeight="1">
      <c r="C125" s="270" t="s">
        <v>2236</v>
      </c>
      <c r="D125" s="270"/>
      <c r="E125" s="270"/>
      <c r="F125" s="270"/>
      <c r="G125" s="270"/>
      <c r="H125" s="270"/>
      <c r="I125" s="271"/>
      <c r="J125" s="271"/>
      <c r="K125" s="270"/>
      <c r="L125" s="270" t="s">
        <v>2236</v>
      </c>
      <c r="M125" s="272"/>
    </row>
    <row r="126" ht="22.5" hidden="1" customHeight="1">
      <c r="C126" s="270" t="s">
        <v>2236</v>
      </c>
      <c r="D126" s="270"/>
      <c r="E126" s="270"/>
      <c r="F126" s="270"/>
      <c r="G126" s="270"/>
      <c r="H126" s="270"/>
      <c r="I126" s="271"/>
      <c r="J126" s="271"/>
      <c r="K126" s="270"/>
      <c r="L126" s="270" t="s">
        <v>2236</v>
      </c>
      <c r="M126" s="272"/>
    </row>
    <row r="127" ht="22.5" hidden="1" customHeight="1">
      <c r="C127" s="270" t="s">
        <v>2236</v>
      </c>
      <c r="D127" s="270"/>
      <c r="E127" s="270"/>
      <c r="F127" s="270"/>
      <c r="G127" s="270"/>
      <c r="H127" s="270"/>
      <c r="I127" s="271"/>
      <c r="J127" s="271"/>
      <c r="K127" s="270"/>
      <c r="L127" s="270" t="s">
        <v>2236</v>
      </c>
      <c r="M127" s="272"/>
    </row>
    <row r="128" ht="22.5" hidden="1" customHeight="1">
      <c r="C128" s="270" t="s">
        <v>2236</v>
      </c>
      <c r="D128" s="270"/>
      <c r="E128" s="270"/>
      <c r="F128" s="270"/>
      <c r="G128" s="270"/>
      <c r="H128" s="270"/>
      <c r="I128" s="271"/>
      <c r="J128" s="271"/>
      <c r="K128" s="270"/>
      <c r="L128" s="270" t="s">
        <v>2236</v>
      </c>
      <c r="M128" s="272"/>
    </row>
    <row r="129" ht="22.5" hidden="1" customHeight="1">
      <c r="B129" s="274" t="s">
        <v>2246</v>
      </c>
      <c r="C129" s="274">
        <v>0.0</v>
      </c>
      <c r="D129" s="270"/>
      <c r="E129" s="270"/>
      <c r="F129" s="270" t="s">
        <v>874</v>
      </c>
      <c r="G129" s="270">
        <v>0.0</v>
      </c>
      <c r="H129" s="270">
        <v>0.0</v>
      </c>
      <c r="I129" s="271"/>
      <c r="J129" s="271"/>
      <c r="K129" s="270"/>
      <c r="M129" s="272"/>
    </row>
    <row r="130" ht="22.5" hidden="1" customHeight="1">
      <c r="C130" s="270" t="s">
        <v>2236</v>
      </c>
      <c r="D130" s="270"/>
      <c r="E130" s="270"/>
      <c r="F130" s="270" t="s">
        <v>2247</v>
      </c>
      <c r="G130" s="270"/>
      <c r="H130" s="270">
        <v>0.0</v>
      </c>
      <c r="I130" s="271"/>
      <c r="J130" s="271"/>
      <c r="K130" s="270"/>
      <c r="M130" s="272"/>
    </row>
    <row r="131" ht="22.5" hidden="1" customHeight="1">
      <c r="C131" s="270"/>
      <c r="D131" s="270"/>
      <c r="E131" s="270"/>
      <c r="F131" s="270"/>
      <c r="G131" s="270"/>
      <c r="H131" s="270"/>
      <c r="I131" s="271"/>
      <c r="J131" s="271"/>
      <c r="K131" s="270"/>
      <c r="M131" s="272"/>
    </row>
    <row r="132" ht="22.5" hidden="1" customHeight="1">
      <c r="C132" s="270"/>
      <c r="D132" s="270"/>
      <c r="E132" s="270"/>
      <c r="F132" s="270"/>
      <c r="G132" s="270"/>
      <c r="H132" s="270"/>
      <c r="I132" s="271"/>
      <c r="J132" s="271"/>
      <c r="K132" s="270"/>
      <c r="M132" s="272"/>
    </row>
    <row r="133" ht="22.5" hidden="1" customHeight="1">
      <c r="C133" s="270"/>
      <c r="D133" s="270"/>
      <c r="E133" s="270"/>
      <c r="F133" s="270"/>
      <c r="G133" s="270"/>
      <c r="H133" s="270"/>
      <c r="I133" s="271"/>
      <c r="J133" s="271" t="s">
        <v>2233</v>
      </c>
      <c r="K133" s="273">
        <v>46167.0</v>
      </c>
      <c r="L133" s="270"/>
      <c r="M133" s="272"/>
    </row>
    <row r="134" ht="22.5" hidden="1" customHeight="1">
      <c r="A134" s="274" t="s">
        <v>181</v>
      </c>
      <c r="B134" s="274" t="s">
        <v>2216</v>
      </c>
      <c r="C134" s="270" t="s">
        <v>131</v>
      </c>
      <c r="D134" s="270" t="s">
        <v>2217</v>
      </c>
      <c r="E134" s="270" t="s">
        <v>8</v>
      </c>
      <c r="F134" s="270" t="s">
        <v>873</v>
      </c>
      <c r="G134" s="270" t="s">
        <v>17</v>
      </c>
      <c r="H134" s="270" t="s">
        <v>874</v>
      </c>
      <c r="I134" s="271" t="s">
        <v>2218</v>
      </c>
      <c r="J134" s="271" t="s">
        <v>876</v>
      </c>
      <c r="K134" s="274" t="s">
        <v>877</v>
      </c>
      <c r="L134" s="270" t="s">
        <v>878</v>
      </c>
      <c r="M134" s="272" t="s">
        <v>2219</v>
      </c>
      <c r="N134" s="274" t="s">
        <v>2220</v>
      </c>
    </row>
    <row r="135" ht="22.5" customHeight="1">
      <c r="A135" s="274" t="s">
        <v>2270</v>
      </c>
      <c r="B135" s="274" t="s">
        <v>2249</v>
      </c>
      <c r="C135" s="270" t="s">
        <v>2236</v>
      </c>
      <c r="D135" s="270">
        <v>3.0</v>
      </c>
      <c r="E135" s="270">
        <v>100.0</v>
      </c>
      <c r="F135" s="270">
        <v>347.5</v>
      </c>
      <c r="G135" s="270">
        <v>0.0</v>
      </c>
      <c r="H135" s="270">
        <v>0.0</v>
      </c>
      <c r="I135" s="271">
        <v>45463.0</v>
      </c>
      <c r="J135" s="271">
        <v>45493.0</v>
      </c>
      <c r="K135" s="274">
        <v>1.0</v>
      </c>
      <c r="L135" s="270">
        <v>-674.0</v>
      </c>
      <c r="M135" s="272"/>
    </row>
    <row r="136" ht="22.5" customHeight="1">
      <c r="B136" s="274" t="s">
        <v>2251</v>
      </c>
      <c r="C136" s="270" t="s">
        <v>2236</v>
      </c>
      <c r="D136" s="270">
        <v>0.0</v>
      </c>
      <c r="E136" s="270">
        <v>5.0</v>
      </c>
      <c r="F136" s="270">
        <v>0.0</v>
      </c>
      <c r="G136" s="270">
        <v>0.0</v>
      </c>
      <c r="H136" s="270">
        <v>0.0</v>
      </c>
      <c r="I136" s="271">
        <v>45444.0</v>
      </c>
      <c r="J136" s="271">
        <v>45474.0</v>
      </c>
      <c r="K136" s="274">
        <v>1.0</v>
      </c>
      <c r="L136" s="270">
        <v>-693.0</v>
      </c>
      <c r="M136" s="272"/>
      <c r="N136" s="274" t="s">
        <v>2265</v>
      </c>
    </row>
    <row r="137" ht="22.5" customHeight="1">
      <c r="B137" s="274" t="s">
        <v>2254</v>
      </c>
      <c r="C137" s="270" t="s">
        <v>2236</v>
      </c>
      <c r="D137" s="270">
        <v>4.0</v>
      </c>
      <c r="E137" s="270">
        <v>3.0</v>
      </c>
      <c r="F137" s="270">
        <v>12.0</v>
      </c>
      <c r="G137" s="270">
        <v>0.0</v>
      </c>
      <c r="H137" s="270">
        <v>0.0</v>
      </c>
      <c r="I137" s="271">
        <v>45444.0</v>
      </c>
      <c r="J137" s="271">
        <v>45474.0</v>
      </c>
      <c r="K137" s="274">
        <v>1.0</v>
      </c>
      <c r="L137" s="270">
        <v>-693.0</v>
      </c>
      <c r="M137" s="272">
        <v>45518.0</v>
      </c>
    </row>
    <row r="138" ht="22.5" customHeight="1">
      <c r="B138" s="274" t="s">
        <v>2255</v>
      </c>
      <c r="C138" s="270" t="s">
        <v>2236</v>
      </c>
      <c r="D138" s="270">
        <v>0.0</v>
      </c>
      <c r="E138" s="270">
        <v>1500.0</v>
      </c>
      <c r="F138" s="270">
        <v>0.0</v>
      </c>
      <c r="G138" s="270">
        <v>0.0</v>
      </c>
      <c r="H138" s="270">
        <v>0.0</v>
      </c>
      <c r="I138" s="271"/>
      <c r="J138" s="271"/>
      <c r="K138" s="274" t="s">
        <v>2236</v>
      </c>
      <c r="L138" s="270" t="s">
        <v>2236</v>
      </c>
      <c r="M138" s="272"/>
    </row>
    <row r="139" ht="22.5" customHeight="1">
      <c r="B139" s="274" t="s">
        <v>2256</v>
      </c>
      <c r="C139" s="270" t="s">
        <v>2236</v>
      </c>
      <c r="D139" s="270">
        <v>0.0</v>
      </c>
      <c r="E139" s="270">
        <v>500.0</v>
      </c>
      <c r="F139" s="270">
        <v>0.0</v>
      </c>
      <c r="G139" s="270">
        <v>0.0</v>
      </c>
      <c r="H139" s="270">
        <v>0.0</v>
      </c>
      <c r="I139" s="271"/>
      <c r="J139" s="271"/>
      <c r="K139" s="274" t="s">
        <v>2236</v>
      </c>
      <c r="L139" s="270" t="s">
        <v>2236</v>
      </c>
      <c r="M139" s="272"/>
    </row>
    <row r="140" ht="22.5" customHeight="1">
      <c r="B140" s="274" t="s">
        <v>2257</v>
      </c>
      <c r="C140" s="270" t="s">
        <v>2236</v>
      </c>
      <c r="D140" s="270">
        <v>21.0</v>
      </c>
      <c r="E140" s="270">
        <v>22.0</v>
      </c>
      <c r="F140" s="270">
        <v>462.0</v>
      </c>
      <c r="G140" s="270">
        <v>0.0</v>
      </c>
      <c r="H140" s="270">
        <v>0.0</v>
      </c>
      <c r="I140" s="271">
        <v>45444.0</v>
      </c>
      <c r="J140" s="271">
        <v>45474.0</v>
      </c>
      <c r="K140" s="274">
        <v>1.0</v>
      </c>
      <c r="L140" s="270">
        <v>-693.0</v>
      </c>
      <c r="M140" s="272" t="s">
        <v>2271</v>
      </c>
      <c r="N140" s="274" t="s">
        <v>2272</v>
      </c>
    </row>
    <row r="141" ht="22.5" customHeight="1">
      <c r="B141" s="274" t="s">
        <v>2258</v>
      </c>
      <c r="C141" s="270" t="s">
        <v>2236</v>
      </c>
      <c r="D141" s="270">
        <v>0.0</v>
      </c>
      <c r="E141" s="270">
        <v>0.0</v>
      </c>
      <c r="F141" s="270">
        <v>0.0</v>
      </c>
      <c r="G141" s="270">
        <v>0.0</v>
      </c>
      <c r="H141" s="270">
        <v>0.0</v>
      </c>
      <c r="I141" s="271">
        <v>45455.0</v>
      </c>
      <c r="J141" s="271">
        <v>45485.0</v>
      </c>
      <c r="K141" s="274">
        <v>1.0</v>
      </c>
      <c r="L141" s="270">
        <v>-682.0</v>
      </c>
      <c r="M141" s="272"/>
    </row>
    <row r="142" ht="22.5" customHeight="1">
      <c r="B142" s="274" t="s">
        <v>2259</v>
      </c>
      <c r="C142" s="270" t="s">
        <v>2236</v>
      </c>
      <c r="D142" s="270">
        <v>1.0</v>
      </c>
      <c r="E142" s="270">
        <v>15000.0</v>
      </c>
      <c r="F142" s="270">
        <v>15000.0</v>
      </c>
      <c r="G142" s="270">
        <v>0.0</v>
      </c>
      <c r="H142" s="270">
        <v>0.0</v>
      </c>
      <c r="I142" s="271">
        <v>45456.0</v>
      </c>
      <c r="J142" s="271">
        <v>45486.0</v>
      </c>
      <c r="K142" s="274">
        <v>1.0</v>
      </c>
      <c r="L142" s="270">
        <v>-681.0</v>
      </c>
      <c r="M142" s="272">
        <v>45458.0</v>
      </c>
    </row>
    <row r="143" ht="22.5" customHeight="1">
      <c r="B143" s="274" t="s">
        <v>2267</v>
      </c>
      <c r="C143" s="270" t="s">
        <v>2236</v>
      </c>
      <c r="D143" s="270">
        <v>0.0</v>
      </c>
      <c r="E143" s="270">
        <v>3000.0</v>
      </c>
      <c r="F143" s="270">
        <v>0.0</v>
      </c>
      <c r="G143" s="270">
        <v>0.0</v>
      </c>
      <c r="H143" s="270">
        <v>0.0</v>
      </c>
      <c r="I143" s="271"/>
      <c r="J143" s="271"/>
      <c r="K143" s="274" t="s">
        <v>2236</v>
      </c>
      <c r="L143" s="270" t="s">
        <v>2236</v>
      </c>
      <c r="M143" s="272">
        <v>45457.0</v>
      </c>
    </row>
    <row r="144" ht="22.5" customHeight="1">
      <c r="B144" s="274" t="s">
        <v>2263</v>
      </c>
      <c r="C144" s="270" t="s">
        <v>2236</v>
      </c>
      <c r="D144" s="270">
        <v>1.0</v>
      </c>
      <c r="E144" s="270">
        <v>-13340.0</v>
      </c>
      <c r="F144" s="270">
        <v>-16426.0</v>
      </c>
      <c r="G144" s="270">
        <v>0.0</v>
      </c>
      <c r="H144" s="270">
        <v>0.0</v>
      </c>
      <c r="I144" s="271"/>
      <c r="J144" s="271"/>
      <c r="K144" s="274" t="s">
        <v>2236</v>
      </c>
      <c r="L144" s="270" t="s">
        <v>2236</v>
      </c>
      <c r="M144" s="272"/>
    </row>
    <row r="145" ht="22.5" hidden="1" customHeight="1">
      <c r="C145" s="270" t="s">
        <v>2236</v>
      </c>
      <c r="D145" s="270"/>
      <c r="E145" s="270"/>
      <c r="F145" s="270"/>
      <c r="G145" s="270"/>
      <c r="H145" s="270"/>
      <c r="I145" s="271"/>
      <c r="J145" s="271"/>
      <c r="K145" s="274" t="s">
        <v>2236</v>
      </c>
      <c r="L145" s="270" t="s">
        <v>2236</v>
      </c>
      <c r="M145" s="272">
        <v>45516.0</v>
      </c>
    </row>
    <row r="146" ht="22.5" customHeight="1">
      <c r="A146" s="275" t="s">
        <v>2273</v>
      </c>
      <c r="B146" s="274" t="s">
        <v>2274</v>
      </c>
      <c r="C146" s="270" t="s">
        <v>2236</v>
      </c>
      <c r="D146" s="270">
        <v>1.0</v>
      </c>
      <c r="E146" s="270">
        <v>21477.0</v>
      </c>
      <c r="F146" s="270">
        <v>-21477.0</v>
      </c>
      <c r="G146" s="270">
        <v>0.0</v>
      </c>
      <c r="H146" s="270"/>
      <c r="I146" s="271">
        <v>45458.0</v>
      </c>
      <c r="J146" s="271">
        <v>45458.0</v>
      </c>
      <c r="K146" s="274">
        <v>1.0</v>
      </c>
      <c r="L146" s="270">
        <v>-709.0</v>
      </c>
      <c r="M146" s="272">
        <v>45458.0</v>
      </c>
    </row>
    <row r="147" ht="22.5" hidden="1" customHeight="1">
      <c r="C147" s="270" t="s">
        <v>2236</v>
      </c>
      <c r="D147" s="270"/>
      <c r="E147" s="270"/>
      <c r="F147" s="270"/>
      <c r="G147" s="270"/>
      <c r="H147" s="270"/>
      <c r="I147" s="271"/>
      <c r="J147" s="271"/>
      <c r="L147" s="270" t="s">
        <v>2236</v>
      </c>
      <c r="M147" s="272"/>
    </row>
    <row r="148" ht="22.5" hidden="1" customHeight="1">
      <c r="C148" s="270" t="s">
        <v>2236</v>
      </c>
      <c r="D148" s="270"/>
      <c r="E148" s="270"/>
      <c r="F148" s="270"/>
      <c r="G148" s="270"/>
      <c r="H148" s="270"/>
      <c r="I148" s="271"/>
      <c r="J148" s="271"/>
      <c r="K148" s="270"/>
      <c r="L148" s="270" t="s">
        <v>2236</v>
      </c>
      <c r="M148" s="272"/>
    </row>
    <row r="149" ht="22.5" hidden="1" customHeight="1">
      <c r="C149" s="270" t="s">
        <v>2236</v>
      </c>
      <c r="D149" s="270"/>
      <c r="E149" s="270"/>
      <c r="F149" s="270"/>
      <c r="G149" s="270"/>
      <c r="H149" s="270"/>
      <c r="I149" s="271"/>
      <c r="J149" s="271"/>
      <c r="K149" s="270"/>
      <c r="L149" s="270" t="s">
        <v>2236</v>
      </c>
      <c r="M149" s="272"/>
    </row>
    <row r="150" ht="22.5" hidden="1" customHeight="1">
      <c r="C150" s="270" t="s">
        <v>2236</v>
      </c>
      <c r="D150" s="270"/>
      <c r="E150" s="270"/>
      <c r="F150" s="270"/>
      <c r="G150" s="270"/>
      <c r="H150" s="270"/>
      <c r="I150" s="271"/>
      <c r="J150" s="271"/>
      <c r="K150" s="270"/>
      <c r="M150" s="272"/>
    </row>
    <row r="151" ht="22.5" hidden="1" customHeight="1">
      <c r="C151" s="270" t="s">
        <v>2236</v>
      </c>
      <c r="D151" s="270"/>
      <c r="E151" s="270"/>
      <c r="F151" s="270"/>
      <c r="G151" s="270"/>
      <c r="H151" s="270"/>
      <c r="I151" s="271"/>
      <c r="J151" s="271"/>
      <c r="K151" s="270"/>
      <c r="M151" s="272"/>
    </row>
    <row r="152" ht="22.5" hidden="1" customHeight="1">
      <c r="C152" s="270"/>
      <c r="D152" s="270"/>
      <c r="E152" s="270"/>
      <c r="F152" s="270"/>
      <c r="G152" s="270"/>
      <c r="H152" s="270"/>
      <c r="I152" s="271"/>
      <c r="J152" s="271"/>
      <c r="K152" s="270"/>
      <c r="M152" s="272"/>
    </row>
    <row r="153" ht="22.5" hidden="1" customHeight="1">
      <c r="B153" s="274" t="s">
        <v>2246</v>
      </c>
      <c r="C153" s="274">
        <v>0.0</v>
      </c>
      <c r="D153" s="270"/>
      <c r="E153" s="270"/>
      <c r="F153" s="270" t="s">
        <v>874</v>
      </c>
      <c r="G153" s="270">
        <v>0.0</v>
      </c>
      <c r="H153" s="270">
        <v>0.0</v>
      </c>
      <c r="I153" s="271"/>
      <c r="J153" s="271"/>
      <c r="K153" s="270"/>
      <c r="M153" s="272"/>
    </row>
    <row r="154" ht="22.5" hidden="1" customHeight="1">
      <c r="C154" s="270"/>
      <c r="D154" s="270"/>
      <c r="E154" s="270"/>
      <c r="F154" s="270" t="s">
        <v>2247</v>
      </c>
      <c r="G154" s="270"/>
      <c r="H154" s="270">
        <v>0.0</v>
      </c>
      <c r="I154" s="271"/>
      <c r="J154" s="271"/>
      <c r="K154" s="270"/>
      <c r="M154" s="272"/>
    </row>
    <row r="155" ht="22.5" hidden="1" customHeight="1">
      <c r="C155" s="270"/>
      <c r="D155" s="270"/>
      <c r="E155" s="270"/>
      <c r="F155" s="270"/>
      <c r="G155" s="270"/>
      <c r="H155" s="270"/>
      <c r="I155" s="271"/>
      <c r="J155" s="271"/>
      <c r="K155" s="270"/>
      <c r="M155" s="272"/>
    </row>
    <row r="156" ht="22.5" hidden="1" customHeight="1">
      <c r="C156" s="270"/>
      <c r="D156" s="270"/>
      <c r="E156" s="270"/>
      <c r="F156" s="270"/>
      <c r="G156" s="270"/>
      <c r="H156" s="270"/>
      <c r="I156" s="271"/>
      <c r="J156" s="271"/>
      <c r="K156" s="270"/>
      <c r="M156" s="272"/>
    </row>
    <row r="157" ht="22.5" hidden="1" customHeight="1">
      <c r="C157" s="270"/>
      <c r="D157" s="270"/>
      <c r="E157" s="270"/>
      <c r="F157" s="270"/>
      <c r="G157" s="270"/>
      <c r="H157" s="270"/>
      <c r="I157" s="271"/>
      <c r="J157" s="271" t="s">
        <v>2233</v>
      </c>
      <c r="K157" s="273">
        <v>46167.0</v>
      </c>
      <c r="L157" s="270"/>
      <c r="M157" s="272"/>
    </row>
    <row r="158" ht="22.5" hidden="1" customHeight="1">
      <c r="A158" s="274" t="s">
        <v>181</v>
      </c>
      <c r="B158" s="274" t="s">
        <v>2216</v>
      </c>
      <c r="C158" s="270" t="s">
        <v>131</v>
      </c>
      <c r="D158" s="270" t="s">
        <v>2217</v>
      </c>
      <c r="E158" s="270" t="s">
        <v>8</v>
      </c>
      <c r="F158" s="270" t="s">
        <v>873</v>
      </c>
      <c r="G158" s="270" t="s">
        <v>17</v>
      </c>
      <c r="H158" s="270" t="s">
        <v>874</v>
      </c>
      <c r="I158" s="271" t="s">
        <v>2218</v>
      </c>
      <c r="J158" s="271" t="s">
        <v>876</v>
      </c>
      <c r="K158" s="274" t="s">
        <v>877</v>
      </c>
      <c r="L158" s="270" t="s">
        <v>878</v>
      </c>
      <c r="M158" s="272" t="s">
        <v>2219</v>
      </c>
      <c r="N158" s="274" t="s">
        <v>2220</v>
      </c>
    </row>
    <row r="159" ht="22.5" customHeight="1">
      <c r="B159" s="274" t="s">
        <v>2249</v>
      </c>
      <c r="C159" s="270" t="s">
        <v>2236</v>
      </c>
      <c r="D159" s="270">
        <v>0.0</v>
      </c>
      <c r="E159" s="270">
        <v>100.0</v>
      </c>
      <c r="F159" s="270">
        <v>0.0</v>
      </c>
      <c r="G159" s="270">
        <v>0.0</v>
      </c>
      <c r="H159" s="270">
        <v>0.0</v>
      </c>
      <c r="I159" s="271"/>
      <c r="J159" s="271"/>
      <c r="K159" s="274" t="s">
        <v>2236</v>
      </c>
      <c r="L159" s="270" t="s">
        <v>2236</v>
      </c>
      <c r="M159" s="272"/>
    </row>
    <row r="160" ht="22.5" customHeight="1">
      <c r="B160" s="274" t="s">
        <v>2251</v>
      </c>
      <c r="C160" s="270" t="s">
        <v>2236</v>
      </c>
      <c r="D160" s="270">
        <v>3.0</v>
      </c>
      <c r="E160" s="270">
        <v>5.0</v>
      </c>
      <c r="F160" s="270">
        <v>15.0</v>
      </c>
      <c r="G160" s="270">
        <v>0.0</v>
      </c>
      <c r="H160" s="270">
        <v>0.0</v>
      </c>
      <c r="I160" s="271">
        <v>45474.0</v>
      </c>
      <c r="J160" s="271">
        <v>45505.0</v>
      </c>
      <c r="K160" s="274">
        <v>1.0</v>
      </c>
      <c r="L160" s="270">
        <v>-662.0</v>
      </c>
      <c r="M160" s="272"/>
    </row>
    <row r="161" ht="22.5" customHeight="1">
      <c r="B161" s="274" t="s">
        <v>2254</v>
      </c>
      <c r="C161" s="270" t="s">
        <v>2236</v>
      </c>
      <c r="D161" s="270">
        <v>8.0</v>
      </c>
      <c r="E161" s="270">
        <v>3.0</v>
      </c>
      <c r="F161" s="270">
        <v>24.0</v>
      </c>
      <c r="G161" s="270">
        <v>0.0</v>
      </c>
      <c r="H161" s="270">
        <v>0.0</v>
      </c>
      <c r="I161" s="271">
        <v>45474.0</v>
      </c>
      <c r="J161" s="271">
        <v>45505.0</v>
      </c>
      <c r="K161" s="274">
        <v>1.0</v>
      </c>
      <c r="L161" s="270">
        <v>-662.0</v>
      </c>
      <c r="M161" s="272">
        <v>45518.0</v>
      </c>
      <c r="N161" s="274" t="s">
        <v>2275</v>
      </c>
    </row>
    <row r="162" ht="22.5" customHeight="1">
      <c r="B162" s="274" t="s">
        <v>2255</v>
      </c>
      <c r="C162" s="270" t="s">
        <v>2236</v>
      </c>
      <c r="D162" s="270">
        <v>0.0</v>
      </c>
      <c r="E162" s="270">
        <v>1500.0</v>
      </c>
      <c r="F162" s="270">
        <v>0.0</v>
      </c>
      <c r="G162" s="270">
        <v>0.0</v>
      </c>
      <c r="H162" s="270">
        <v>0.0</v>
      </c>
      <c r="I162" s="271"/>
      <c r="J162" s="271"/>
      <c r="K162" s="274" t="s">
        <v>2236</v>
      </c>
      <c r="L162" s="270" t="s">
        <v>2236</v>
      </c>
      <c r="M162" s="272"/>
    </row>
    <row r="163" ht="22.5" customHeight="1">
      <c r="B163" s="274" t="s">
        <v>2256</v>
      </c>
      <c r="C163" s="270" t="s">
        <v>2236</v>
      </c>
      <c r="D163" s="270">
        <v>0.0</v>
      </c>
      <c r="E163" s="270">
        <v>500.0</v>
      </c>
      <c r="F163" s="270">
        <v>0.0</v>
      </c>
      <c r="G163" s="270">
        <v>0.0</v>
      </c>
      <c r="H163" s="270">
        <v>0.0</v>
      </c>
      <c r="I163" s="271"/>
      <c r="J163" s="271"/>
      <c r="K163" s="274" t="s">
        <v>2236</v>
      </c>
      <c r="L163" s="270" t="s">
        <v>2236</v>
      </c>
      <c r="M163" s="272"/>
    </row>
    <row r="164" ht="22.5" customHeight="1">
      <c r="A164" s="274" t="s">
        <v>2276</v>
      </c>
      <c r="B164" s="274" t="s">
        <v>2257</v>
      </c>
      <c r="C164" s="270" t="s">
        <v>2236</v>
      </c>
      <c r="D164" s="270">
        <v>21.5</v>
      </c>
      <c r="E164" s="270">
        <v>22.0</v>
      </c>
      <c r="F164" s="270">
        <v>473.0</v>
      </c>
      <c r="G164" s="270">
        <v>0.0</v>
      </c>
      <c r="H164" s="270">
        <v>0.0</v>
      </c>
      <c r="I164" s="271">
        <v>45474.0</v>
      </c>
      <c r="J164" s="271">
        <v>45505.0</v>
      </c>
      <c r="K164" s="274">
        <v>1.0</v>
      </c>
      <c r="L164" s="270">
        <v>-662.0</v>
      </c>
      <c r="M164" s="272" t="s">
        <v>2277</v>
      </c>
    </row>
    <row r="165" ht="22.5" customHeight="1">
      <c r="B165" s="274" t="s">
        <v>2258</v>
      </c>
      <c r="C165" s="270" t="s">
        <v>2236</v>
      </c>
      <c r="D165" s="270">
        <v>0.0</v>
      </c>
      <c r="E165" s="270">
        <v>0.0</v>
      </c>
      <c r="F165" s="270">
        <v>0.0</v>
      </c>
      <c r="G165" s="270">
        <v>0.0</v>
      </c>
      <c r="H165" s="270">
        <v>0.0</v>
      </c>
      <c r="I165" s="271">
        <v>45485.0</v>
      </c>
      <c r="J165" s="271">
        <v>45516.0</v>
      </c>
      <c r="K165" s="274">
        <v>1.0</v>
      </c>
      <c r="L165" s="270">
        <v>-651.0</v>
      </c>
      <c r="M165" s="272"/>
    </row>
    <row r="166" ht="22.5" customHeight="1">
      <c r="B166" s="274" t="s">
        <v>2259</v>
      </c>
      <c r="C166" s="270" t="s">
        <v>2236</v>
      </c>
      <c r="D166" s="270">
        <v>1.0</v>
      </c>
      <c r="E166" s="270">
        <v>15000.0</v>
      </c>
      <c r="F166" s="270">
        <v>15000.0</v>
      </c>
      <c r="G166" s="270">
        <v>0.0</v>
      </c>
      <c r="H166" s="270">
        <v>0.0</v>
      </c>
      <c r="I166" s="271">
        <v>45486.0</v>
      </c>
      <c r="J166" s="271">
        <v>45517.0</v>
      </c>
      <c r="K166" s="274">
        <v>1.0</v>
      </c>
      <c r="L166" s="270">
        <v>-650.0</v>
      </c>
      <c r="M166" s="272">
        <v>45560.0</v>
      </c>
    </row>
    <row r="167" ht="22.5" customHeight="1">
      <c r="B167" s="274" t="s">
        <v>2267</v>
      </c>
      <c r="C167" s="270" t="s">
        <v>2236</v>
      </c>
      <c r="D167" s="270">
        <v>3.0</v>
      </c>
      <c r="E167" s="270">
        <v>3000.0</v>
      </c>
      <c r="F167" s="270">
        <v>9000.0</v>
      </c>
      <c r="G167" s="270">
        <v>0.0</v>
      </c>
      <c r="H167" s="270">
        <v>0.0</v>
      </c>
      <c r="I167" s="271"/>
      <c r="J167" s="271"/>
      <c r="K167" s="274" t="s">
        <v>2236</v>
      </c>
      <c r="L167" s="270" t="s">
        <v>2236</v>
      </c>
      <c r="M167" s="272"/>
    </row>
    <row r="168" ht="22.5" customHeight="1">
      <c r="B168" s="274" t="s">
        <v>2263</v>
      </c>
      <c r="C168" s="270" t="s">
        <v>2236</v>
      </c>
      <c r="D168" s="270">
        <v>1.0</v>
      </c>
      <c r="E168" s="270">
        <v>-13340.0</v>
      </c>
      <c r="F168" s="270">
        <v>-16426.0</v>
      </c>
      <c r="G168" s="270">
        <v>0.0</v>
      </c>
      <c r="H168" s="270">
        <v>0.0</v>
      </c>
      <c r="I168" s="271"/>
      <c r="J168" s="271"/>
      <c r="K168" s="274" t="s">
        <v>2236</v>
      </c>
      <c r="L168" s="270" t="s">
        <v>2236</v>
      </c>
      <c r="M168" s="272"/>
    </row>
    <row r="169" ht="22.5" customHeight="1">
      <c r="A169" s="274" t="s">
        <v>2278</v>
      </c>
      <c r="B169" s="274" t="s">
        <v>2279</v>
      </c>
      <c r="C169" s="270" t="s">
        <v>2236</v>
      </c>
      <c r="D169" s="270">
        <v>1.0</v>
      </c>
      <c r="E169" s="270">
        <v>5015.0</v>
      </c>
      <c r="F169" s="270">
        <v>5015.0</v>
      </c>
      <c r="G169" s="270">
        <v>0.0</v>
      </c>
      <c r="H169" s="270">
        <v>0.0</v>
      </c>
      <c r="I169" s="271">
        <v>45482.0</v>
      </c>
      <c r="J169" s="271">
        <v>45513.0</v>
      </c>
      <c r="K169" s="274">
        <v>1.0</v>
      </c>
      <c r="L169" s="270">
        <v>-654.0</v>
      </c>
      <c r="M169" s="272">
        <v>45478.0</v>
      </c>
    </row>
    <row r="170" ht="22.5" customHeight="1">
      <c r="A170" s="275" t="s">
        <v>2273</v>
      </c>
      <c r="B170" s="274" t="s">
        <v>2274</v>
      </c>
      <c r="C170" s="270" t="s">
        <v>2236</v>
      </c>
      <c r="D170" s="270">
        <v>1.0</v>
      </c>
      <c r="E170" s="270">
        <v>21477.0</v>
      </c>
      <c r="F170" s="270">
        <v>-16462.0</v>
      </c>
      <c r="G170" s="270">
        <v>0.0</v>
      </c>
      <c r="H170" s="270">
        <v>0.0</v>
      </c>
      <c r="I170" s="271">
        <v>45478.0</v>
      </c>
      <c r="J170" s="271">
        <v>45478.0</v>
      </c>
      <c r="K170" s="274">
        <v>1.0</v>
      </c>
      <c r="L170" s="270">
        <v>-689.0</v>
      </c>
      <c r="M170" s="272">
        <v>45478.0</v>
      </c>
    </row>
    <row r="171" ht="22.5" hidden="1" customHeight="1">
      <c r="C171" s="270" t="s">
        <v>2236</v>
      </c>
      <c r="D171" s="270"/>
      <c r="E171" s="270"/>
      <c r="F171" s="270"/>
      <c r="G171" s="270"/>
      <c r="H171" s="270"/>
      <c r="I171" s="271"/>
      <c r="J171" s="271"/>
      <c r="K171" s="270"/>
      <c r="L171" s="270" t="s">
        <v>2236</v>
      </c>
      <c r="M171" s="272"/>
    </row>
    <row r="172" ht="22.5" hidden="1" customHeight="1">
      <c r="C172" s="270" t="s">
        <v>2236</v>
      </c>
      <c r="D172" s="270"/>
      <c r="E172" s="270"/>
      <c r="F172" s="270"/>
      <c r="G172" s="270"/>
      <c r="H172" s="270"/>
      <c r="I172" s="271"/>
      <c r="J172" s="271"/>
      <c r="K172" s="270"/>
      <c r="L172" s="270" t="s">
        <v>2236</v>
      </c>
      <c r="M172" s="272"/>
    </row>
    <row r="173" ht="22.5" hidden="1" customHeight="1">
      <c r="C173" s="270" t="s">
        <v>2236</v>
      </c>
      <c r="D173" s="270"/>
      <c r="E173" s="270"/>
      <c r="F173" s="270"/>
      <c r="G173" s="270"/>
      <c r="H173" s="270"/>
      <c r="I173" s="271"/>
      <c r="J173" s="271"/>
      <c r="K173" s="270"/>
      <c r="L173" s="270" t="s">
        <v>2236</v>
      </c>
      <c r="M173" s="272"/>
    </row>
    <row r="174" ht="22.5" hidden="1" customHeight="1">
      <c r="C174" s="270" t="s">
        <v>2236</v>
      </c>
      <c r="D174" s="270"/>
      <c r="E174" s="270"/>
      <c r="F174" s="270"/>
      <c r="G174" s="270"/>
      <c r="H174" s="270"/>
      <c r="I174" s="271"/>
      <c r="J174" s="271"/>
      <c r="K174" s="270"/>
      <c r="M174" s="272"/>
    </row>
    <row r="175" ht="22.5" hidden="1" customHeight="1">
      <c r="C175" s="270" t="s">
        <v>2236</v>
      </c>
      <c r="D175" s="270"/>
      <c r="E175" s="270"/>
      <c r="F175" s="270"/>
      <c r="G175" s="270"/>
      <c r="H175" s="270"/>
      <c r="I175" s="271"/>
      <c r="J175" s="271"/>
      <c r="K175" s="270"/>
      <c r="M175" s="272"/>
    </row>
    <row r="176" ht="22.5" hidden="1" customHeight="1">
      <c r="C176" s="270"/>
      <c r="D176" s="270"/>
      <c r="E176" s="270"/>
      <c r="F176" s="270"/>
      <c r="G176" s="270"/>
      <c r="H176" s="270"/>
      <c r="I176" s="271"/>
      <c r="J176" s="271"/>
      <c r="K176" s="270"/>
      <c r="M176" s="272"/>
    </row>
    <row r="177" ht="22.5" hidden="1" customHeight="1">
      <c r="B177" s="274" t="s">
        <v>2246</v>
      </c>
      <c r="C177" s="274">
        <v>0.0</v>
      </c>
      <c r="D177" s="270"/>
      <c r="E177" s="270"/>
      <c r="F177" s="270" t="s">
        <v>874</v>
      </c>
      <c r="G177" s="270">
        <v>0.0</v>
      </c>
      <c r="H177" s="270">
        <v>0.0</v>
      </c>
      <c r="I177" s="271"/>
      <c r="J177" s="271"/>
      <c r="K177" s="270"/>
      <c r="M177" s="272"/>
    </row>
    <row r="178" ht="22.5" hidden="1" customHeight="1">
      <c r="C178" s="270"/>
      <c r="D178" s="270"/>
      <c r="E178" s="270"/>
      <c r="F178" s="270" t="s">
        <v>2247</v>
      </c>
      <c r="G178" s="270"/>
      <c r="H178" s="270">
        <v>0.0</v>
      </c>
      <c r="I178" s="271"/>
      <c r="J178" s="271"/>
      <c r="K178" s="270"/>
      <c r="M178" s="272"/>
    </row>
    <row r="179" ht="22.5" hidden="1" customHeight="1">
      <c r="C179" s="270"/>
      <c r="D179" s="270"/>
      <c r="E179" s="270"/>
      <c r="F179" s="270"/>
      <c r="G179" s="270"/>
      <c r="H179" s="270"/>
      <c r="I179" s="271"/>
      <c r="J179" s="271"/>
      <c r="K179" s="270"/>
      <c r="M179" s="272"/>
    </row>
    <row r="180" ht="22.5" hidden="1" customHeight="1">
      <c r="C180" s="270"/>
      <c r="D180" s="270"/>
      <c r="E180" s="270"/>
      <c r="F180" s="270"/>
      <c r="G180" s="270"/>
      <c r="H180" s="270"/>
      <c r="I180" s="271"/>
      <c r="J180" s="271"/>
      <c r="K180" s="270"/>
      <c r="M180" s="272"/>
    </row>
    <row r="181" ht="22.5" hidden="1" customHeight="1">
      <c r="C181" s="270"/>
      <c r="D181" s="270"/>
      <c r="E181" s="270"/>
      <c r="F181" s="270"/>
      <c r="G181" s="270"/>
      <c r="H181" s="270"/>
      <c r="I181" s="271"/>
      <c r="J181" s="271" t="s">
        <v>2233</v>
      </c>
      <c r="K181" s="273">
        <v>46167.0</v>
      </c>
      <c r="L181" s="270"/>
      <c r="M181" s="272"/>
    </row>
    <row r="182" ht="22.5" hidden="1" customHeight="1">
      <c r="A182" s="274" t="s">
        <v>181</v>
      </c>
      <c r="B182" s="274" t="s">
        <v>2216</v>
      </c>
      <c r="C182" s="270" t="s">
        <v>131</v>
      </c>
      <c r="D182" s="270" t="s">
        <v>2217</v>
      </c>
      <c r="E182" s="270" t="s">
        <v>8</v>
      </c>
      <c r="F182" s="270" t="s">
        <v>873</v>
      </c>
      <c r="G182" s="270" t="s">
        <v>17</v>
      </c>
      <c r="H182" s="270" t="s">
        <v>874</v>
      </c>
      <c r="I182" s="271" t="s">
        <v>2218</v>
      </c>
      <c r="J182" s="271" t="s">
        <v>876</v>
      </c>
      <c r="K182" s="274" t="s">
        <v>877</v>
      </c>
      <c r="L182" s="270" t="s">
        <v>878</v>
      </c>
      <c r="M182" s="272" t="s">
        <v>2219</v>
      </c>
      <c r="N182" s="274" t="s">
        <v>2220</v>
      </c>
    </row>
    <row r="183" ht="22.5" customHeight="1">
      <c r="B183" s="274" t="s">
        <v>2249</v>
      </c>
      <c r="C183" s="270" t="s">
        <v>2236</v>
      </c>
      <c r="D183" s="270">
        <v>0.0</v>
      </c>
      <c r="E183" s="270">
        <v>100.0</v>
      </c>
      <c r="F183" s="270">
        <v>0.0</v>
      </c>
      <c r="G183" s="270">
        <v>0.0</v>
      </c>
      <c r="H183" s="270">
        <v>0.0</v>
      </c>
      <c r="I183" s="271"/>
      <c r="J183" s="271"/>
      <c r="K183" s="274" t="s">
        <v>2236</v>
      </c>
      <c r="L183" s="270" t="s">
        <v>2236</v>
      </c>
      <c r="M183" s="272"/>
    </row>
    <row r="184" ht="22.5" customHeight="1">
      <c r="B184" s="274" t="s">
        <v>2251</v>
      </c>
      <c r="C184" s="270" t="s">
        <v>2236</v>
      </c>
      <c r="D184" s="270">
        <v>0.0</v>
      </c>
      <c r="E184" s="270">
        <v>5.0</v>
      </c>
      <c r="F184" s="270">
        <v>15.0</v>
      </c>
      <c r="G184" s="270">
        <v>0.0</v>
      </c>
      <c r="H184" s="270">
        <v>0.0</v>
      </c>
      <c r="I184" s="271">
        <v>45505.0</v>
      </c>
      <c r="J184" s="271">
        <v>45536.0</v>
      </c>
      <c r="K184" s="274">
        <v>1.0</v>
      </c>
      <c r="L184" s="270">
        <v>-631.0</v>
      </c>
      <c r="M184" s="272"/>
    </row>
    <row r="185" ht="22.5" customHeight="1">
      <c r="B185" s="274" t="s">
        <v>2254</v>
      </c>
      <c r="C185" s="270" t="s">
        <v>2236</v>
      </c>
      <c r="D185" s="270">
        <v>8.0</v>
      </c>
      <c r="E185" s="270">
        <v>3.0</v>
      </c>
      <c r="F185" s="270">
        <v>24.0</v>
      </c>
      <c r="G185" s="270">
        <v>0.0</v>
      </c>
      <c r="H185" s="270">
        <v>0.0</v>
      </c>
      <c r="I185" s="271">
        <v>45505.0</v>
      </c>
      <c r="J185" s="271">
        <v>45536.0</v>
      </c>
      <c r="K185" s="274">
        <v>1.0</v>
      </c>
      <c r="L185" s="270">
        <v>-631.0</v>
      </c>
      <c r="M185" s="272">
        <v>45560.0</v>
      </c>
    </row>
    <row r="186" ht="22.5" customHeight="1">
      <c r="B186" s="274" t="s">
        <v>2255</v>
      </c>
      <c r="C186" s="270" t="s">
        <v>2236</v>
      </c>
      <c r="D186" s="270">
        <v>0.0</v>
      </c>
      <c r="E186" s="270">
        <v>1500.0</v>
      </c>
      <c r="F186" s="270">
        <v>0.0</v>
      </c>
      <c r="G186" s="270">
        <v>0.0</v>
      </c>
      <c r="H186" s="270">
        <v>0.0</v>
      </c>
      <c r="I186" s="271"/>
      <c r="J186" s="271"/>
      <c r="K186" s="274" t="s">
        <v>2236</v>
      </c>
      <c r="L186" s="270" t="s">
        <v>2236</v>
      </c>
      <c r="M186" s="272"/>
    </row>
    <row r="187" ht="22.5" customHeight="1">
      <c r="B187" s="274" t="s">
        <v>2256</v>
      </c>
      <c r="C187" s="270" t="s">
        <v>2236</v>
      </c>
      <c r="D187" s="270">
        <v>0.0</v>
      </c>
      <c r="E187" s="270">
        <v>500.0</v>
      </c>
      <c r="F187" s="270">
        <v>0.0</v>
      </c>
      <c r="G187" s="270">
        <v>0.0</v>
      </c>
      <c r="H187" s="270">
        <v>0.0</v>
      </c>
      <c r="I187" s="271"/>
      <c r="J187" s="271"/>
      <c r="K187" s="274" t="s">
        <v>2236</v>
      </c>
      <c r="L187" s="270" t="s">
        <v>2236</v>
      </c>
      <c r="M187" s="272"/>
    </row>
    <row r="188" ht="22.5" customHeight="1">
      <c r="A188" s="274" t="s">
        <v>2280</v>
      </c>
      <c r="B188" s="274" t="s">
        <v>2257</v>
      </c>
      <c r="C188" s="270" t="s">
        <v>2236</v>
      </c>
      <c r="D188" s="270">
        <v>25.0</v>
      </c>
      <c r="E188" s="270">
        <v>22.0</v>
      </c>
      <c r="F188" s="270">
        <v>550.0</v>
      </c>
      <c r="G188" s="270">
        <v>0.0</v>
      </c>
      <c r="H188" s="270">
        <v>0.0</v>
      </c>
      <c r="I188" s="271">
        <v>45505.0</v>
      </c>
      <c r="J188" s="271">
        <v>45536.0</v>
      </c>
      <c r="K188" s="274">
        <v>1.0</v>
      </c>
      <c r="L188" s="270">
        <v>-631.0</v>
      </c>
      <c r="M188" s="272" t="s">
        <v>2281</v>
      </c>
      <c r="N188" s="274" t="s">
        <v>2282</v>
      </c>
    </row>
    <row r="189" ht="22.5" customHeight="1">
      <c r="B189" s="274" t="s">
        <v>2258</v>
      </c>
      <c r="C189" s="270" t="s">
        <v>2236</v>
      </c>
      <c r="D189" s="270">
        <v>0.0</v>
      </c>
      <c r="E189" s="270">
        <v>0.0</v>
      </c>
      <c r="F189" s="270">
        <v>0.0</v>
      </c>
      <c r="G189" s="270">
        <v>0.0</v>
      </c>
      <c r="H189" s="270">
        <v>0.0</v>
      </c>
      <c r="I189" s="271">
        <v>45516.0</v>
      </c>
      <c r="J189" s="271">
        <v>45547.0</v>
      </c>
      <c r="K189" s="274">
        <v>1.0</v>
      </c>
      <c r="L189" s="270">
        <v>-620.0</v>
      </c>
      <c r="M189" s="272"/>
    </row>
    <row r="190" ht="22.5" customHeight="1">
      <c r="B190" s="274" t="s">
        <v>2259</v>
      </c>
      <c r="C190" s="270" t="s">
        <v>2236</v>
      </c>
      <c r="D190" s="270">
        <v>1.0</v>
      </c>
      <c r="E190" s="270">
        <v>15000.0</v>
      </c>
      <c r="F190" s="270">
        <v>15000.0</v>
      </c>
      <c r="G190" s="270">
        <v>0.0</v>
      </c>
      <c r="H190" s="270">
        <v>0.0</v>
      </c>
      <c r="I190" s="271">
        <v>45517.0</v>
      </c>
      <c r="J190" s="271">
        <v>45548.0</v>
      </c>
      <c r="K190" s="274">
        <v>1.0</v>
      </c>
      <c r="L190" s="270">
        <v>-619.0</v>
      </c>
      <c r="M190" s="272">
        <v>45560.0</v>
      </c>
    </row>
    <row r="191" ht="22.5" customHeight="1">
      <c r="B191" s="274" t="s">
        <v>2267</v>
      </c>
      <c r="C191" s="270" t="s">
        <v>2236</v>
      </c>
      <c r="D191" s="270">
        <v>0.0</v>
      </c>
      <c r="E191" s="270">
        <v>3000.0</v>
      </c>
      <c r="F191" s="270">
        <v>0.0</v>
      </c>
      <c r="G191" s="270">
        <v>0.0</v>
      </c>
      <c r="H191" s="270">
        <v>0.0</v>
      </c>
      <c r="I191" s="271"/>
      <c r="J191" s="271"/>
      <c r="K191" s="274" t="s">
        <v>2236</v>
      </c>
      <c r="L191" s="270" t="s">
        <v>2236</v>
      </c>
      <c r="M191" s="272"/>
    </row>
    <row r="192" ht="22.5" customHeight="1">
      <c r="B192" s="274" t="s">
        <v>2279</v>
      </c>
      <c r="C192" s="270" t="s">
        <v>2236</v>
      </c>
      <c r="D192" s="270">
        <v>1.0</v>
      </c>
      <c r="E192" s="270">
        <v>5015.0</v>
      </c>
      <c r="F192" s="270">
        <v>5015.0</v>
      </c>
      <c r="G192" s="270">
        <v>0.0</v>
      </c>
      <c r="H192" s="270">
        <v>0.0</v>
      </c>
      <c r="I192" s="271">
        <v>45513.0</v>
      </c>
      <c r="J192" s="271">
        <v>45544.0</v>
      </c>
      <c r="K192" s="274">
        <v>1.0</v>
      </c>
      <c r="L192" s="270">
        <v>-623.0</v>
      </c>
      <c r="M192" s="272">
        <v>45516.0</v>
      </c>
    </row>
    <row r="193" ht="22.5" customHeight="1">
      <c r="B193" s="274" t="s">
        <v>2263</v>
      </c>
      <c r="C193" s="270" t="s">
        <v>2236</v>
      </c>
      <c r="D193" s="270">
        <v>1.0</v>
      </c>
      <c r="E193" s="270">
        <v>21477.0</v>
      </c>
      <c r="F193" s="270">
        <v>-11477.0</v>
      </c>
      <c r="G193" s="270">
        <v>0.0</v>
      </c>
      <c r="H193" s="270">
        <v>0.0</v>
      </c>
      <c r="I193" s="271">
        <v>45516.0</v>
      </c>
      <c r="J193" s="271">
        <v>45516.0</v>
      </c>
      <c r="K193" s="274">
        <v>1.0</v>
      </c>
      <c r="L193" s="270">
        <v>-651.0</v>
      </c>
      <c r="M193" s="272">
        <v>45516.0</v>
      </c>
    </row>
    <row r="194" ht="22.5" customHeight="1">
      <c r="B194" s="274" t="s">
        <v>2263</v>
      </c>
      <c r="C194" s="270" t="s">
        <v>2236</v>
      </c>
      <c r="D194" s="270">
        <v>1.0</v>
      </c>
      <c r="E194" s="270">
        <v>21477.0</v>
      </c>
      <c r="F194" s="270">
        <v>-1379.0</v>
      </c>
      <c r="G194" s="270">
        <v>0.0</v>
      </c>
      <c r="H194" s="270">
        <v>0.0</v>
      </c>
      <c r="I194" s="271">
        <v>45516.0</v>
      </c>
      <c r="J194" s="271">
        <v>45516.0</v>
      </c>
      <c r="K194" s="274">
        <v>1.0</v>
      </c>
      <c r="L194" s="270">
        <v>-651.0</v>
      </c>
      <c r="M194" s="272">
        <v>45516.0</v>
      </c>
    </row>
    <row r="195" ht="22.5" hidden="1" customHeight="1">
      <c r="C195" s="270" t="s">
        <v>2236</v>
      </c>
      <c r="D195" s="270"/>
      <c r="E195" s="270"/>
      <c r="F195" s="270"/>
      <c r="G195" s="270"/>
      <c r="H195" s="270"/>
      <c r="I195" s="271"/>
      <c r="J195" s="271"/>
      <c r="K195" s="270"/>
      <c r="L195" s="270" t="s">
        <v>2236</v>
      </c>
      <c r="M195" s="272"/>
    </row>
    <row r="196" ht="22.5" hidden="1" customHeight="1">
      <c r="C196" s="270" t="s">
        <v>2236</v>
      </c>
      <c r="D196" s="270"/>
      <c r="E196" s="270"/>
      <c r="F196" s="270"/>
      <c r="G196" s="270"/>
      <c r="H196" s="270"/>
      <c r="I196" s="271"/>
      <c r="J196" s="271"/>
      <c r="K196" s="270"/>
      <c r="L196" s="270" t="s">
        <v>2236</v>
      </c>
      <c r="M196" s="272"/>
    </row>
    <row r="197" ht="22.5" hidden="1" customHeight="1">
      <c r="C197" s="270" t="s">
        <v>2236</v>
      </c>
      <c r="D197" s="270"/>
      <c r="E197" s="270"/>
      <c r="F197" s="270"/>
      <c r="G197" s="270"/>
      <c r="H197" s="270"/>
      <c r="I197" s="271"/>
      <c r="J197" s="271"/>
      <c r="K197" s="270"/>
      <c r="L197" s="270" t="s">
        <v>2236</v>
      </c>
      <c r="M197" s="272"/>
    </row>
    <row r="198" ht="22.5" hidden="1" customHeight="1">
      <c r="C198" s="270" t="s">
        <v>2236</v>
      </c>
      <c r="D198" s="270"/>
      <c r="E198" s="270"/>
      <c r="F198" s="270"/>
      <c r="G198" s="270"/>
      <c r="H198" s="270"/>
      <c r="I198" s="271"/>
      <c r="J198" s="271"/>
      <c r="K198" s="270"/>
      <c r="M198" s="272"/>
    </row>
    <row r="199" ht="22.5" hidden="1" customHeight="1">
      <c r="C199" s="270" t="s">
        <v>2236</v>
      </c>
      <c r="D199" s="270"/>
      <c r="E199" s="270"/>
      <c r="F199" s="270"/>
      <c r="G199" s="270"/>
      <c r="H199" s="270"/>
      <c r="I199" s="271"/>
      <c r="J199" s="271"/>
      <c r="K199" s="270"/>
      <c r="M199" s="272"/>
    </row>
    <row r="200" ht="22.5" hidden="1" customHeight="1">
      <c r="B200" s="274" t="s">
        <v>2246</v>
      </c>
      <c r="C200" s="274">
        <v>0.0</v>
      </c>
      <c r="D200" s="270"/>
      <c r="E200" s="270"/>
      <c r="F200" s="270" t="s">
        <v>874</v>
      </c>
      <c r="G200" s="270">
        <v>0.0</v>
      </c>
      <c r="H200" s="270">
        <v>0.0</v>
      </c>
      <c r="I200" s="271"/>
      <c r="J200" s="271"/>
      <c r="K200" s="270"/>
      <c r="M200" s="272"/>
    </row>
    <row r="201" ht="22.5" hidden="1" customHeight="1">
      <c r="C201" s="270"/>
      <c r="D201" s="270"/>
      <c r="E201" s="270"/>
      <c r="F201" s="270" t="s">
        <v>2247</v>
      </c>
      <c r="G201" s="270"/>
      <c r="H201" s="270">
        <v>0.0</v>
      </c>
      <c r="I201" s="271"/>
      <c r="J201" s="271"/>
      <c r="K201" s="270"/>
      <c r="M201" s="272"/>
    </row>
    <row r="202" ht="22.5" hidden="1" customHeight="1">
      <c r="C202" s="270"/>
      <c r="D202" s="270"/>
      <c r="E202" s="270"/>
      <c r="F202" s="270"/>
      <c r="G202" s="270"/>
      <c r="H202" s="270"/>
      <c r="I202" s="271"/>
      <c r="J202" s="271"/>
      <c r="K202" s="270"/>
      <c r="M202" s="272"/>
    </row>
    <row r="203" ht="22.5" hidden="1" customHeight="1">
      <c r="C203" s="270"/>
      <c r="D203" s="270"/>
      <c r="E203" s="270"/>
      <c r="F203" s="270"/>
      <c r="G203" s="270"/>
      <c r="H203" s="270"/>
      <c r="I203" s="271"/>
      <c r="J203" s="271"/>
      <c r="K203" s="270"/>
      <c r="M203" s="272"/>
    </row>
    <row r="204" ht="22.5" hidden="1" customHeight="1">
      <c r="C204" s="270"/>
      <c r="D204" s="270"/>
      <c r="E204" s="270"/>
      <c r="F204" s="270"/>
      <c r="G204" s="270"/>
      <c r="H204" s="270"/>
      <c r="I204" s="271"/>
      <c r="J204" s="271"/>
      <c r="K204" s="270"/>
      <c r="M204" s="272"/>
    </row>
    <row r="205" ht="22.5" hidden="1" customHeight="1">
      <c r="C205" s="270"/>
      <c r="D205" s="270"/>
      <c r="E205" s="270"/>
      <c r="F205" s="270"/>
      <c r="G205" s="270"/>
      <c r="H205" s="270"/>
      <c r="I205" s="271"/>
      <c r="J205" s="271" t="s">
        <v>2233</v>
      </c>
      <c r="K205" s="273">
        <v>46167.0</v>
      </c>
      <c r="L205" s="270"/>
      <c r="M205" s="272"/>
    </row>
    <row r="206" ht="22.5" hidden="1" customHeight="1">
      <c r="A206" s="274" t="s">
        <v>181</v>
      </c>
      <c r="B206" s="274" t="s">
        <v>2216</v>
      </c>
      <c r="C206" s="270" t="s">
        <v>131</v>
      </c>
      <c r="D206" s="270" t="s">
        <v>2217</v>
      </c>
      <c r="E206" s="270" t="s">
        <v>8</v>
      </c>
      <c r="F206" s="270" t="s">
        <v>873</v>
      </c>
      <c r="G206" s="270" t="s">
        <v>17</v>
      </c>
      <c r="H206" s="270" t="s">
        <v>874</v>
      </c>
      <c r="I206" s="271" t="s">
        <v>2218</v>
      </c>
      <c r="J206" s="271" t="s">
        <v>876</v>
      </c>
      <c r="K206" s="274" t="s">
        <v>877</v>
      </c>
      <c r="L206" s="270" t="s">
        <v>878</v>
      </c>
      <c r="M206" s="272" t="s">
        <v>2219</v>
      </c>
      <c r="N206" s="274" t="s">
        <v>2220</v>
      </c>
    </row>
    <row r="207" ht="22.5" customHeight="1">
      <c r="B207" s="274" t="s">
        <v>2249</v>
      </c>
      <c r="C207" s="270" t="s">
        <v>2236</v>
      </c>
      <c r="D207" s="270">
        <v>0.0</v>
      </c>
      <c r="E207" s="270">
        <v>100.0</v>
      </c>
      <c r="F207" s="270">
        <v>0.0</v>
      </c>
      <c r="G207" s="270">
        <v>0.0</v>
      </c>
      <c r="H207" s="270">
        <v>0.0</v>
      </c>
      <c r="I207" s="271"/>
      <c r="J207" s="271"/>
      <c r="K207" s="274" t="s">
        <v>2236</v>
      </c>
      <c r="L207" s="270" t="s">
        <v>2236</v>
      </c>
      <c r="M207" s="272"/>
    </row>
    <row r="208" ht="22.5" customHeight="1">
      <c r="B208" s="274" t="s">
        <v>2251</v>
      </c>
      <c r="C208" s="270" t="s">
        <v>2236</v>
      </c>
      <c r="D208" s="270">
        <v>0.0</v>
      </c>
      <c r="E208" s="270">
        <v>5.0</v>
      </c>
      <c r="F208" s="270">
        <v>15.0</v>
      </c>
      <c r="G208" s="270">
        <v>0.0</v>
      </c>
      <c r="H208" s="270">
        <v>0.0</v>
      </c>
      <c r="I208" s="271">
        <v>45536.0</v>
      </c>
      <c r="J208" s="271">
        <v>45566.0</v>
      </c>
      <c r="K208" s="274">
        <v>1.0</v>
      </c>
      <c r="L208" s="270">
        <v>-601.0</v>
      </c>
      <c r="M208" s="272"/>
    </row>
    <row r="209" ht="22.5" customHeight="1">
      <c r="A209" s="274" t="s">
        <v>1930</v>
      </c>
      <c r="B209" s="274" t="s">
        <v>2254</v>
      </c>
      <c r="C209" s="270" t="s">
        <v>2236</v>
      </c>
      <c r="D209" s="270">
        <v>6.0</v>
      </c>
      <c r="E209" s="270">
        <v>3.0</v>
      </c>
      <c r="F209" s="270">
        <v>18.0</v>
      </c>
      <c r="G209" s="270">
        <v>0.0</v>
      </c>
      <c r="H209" s="270">
        <v>0.0</v>
      </c>
      <c r="I209" s="271">
        <v>45536.0</v>
      </c>
      <c r="J209" s="271">
        <v>45566.0</v>
      </c>
      <c r="K209" s="274">
        <v>1.0</v>
      </c>
      <c r="L209" s="270">
        <v>-601.0</v>
      </c>
      <c r="M209" s="272" t="s">
        <v>2283</v>
      </c>
      <c r="N209" s="274" t="s">
        <v>2284</v>
      </c>
    </row>
    <row r="210" ht="22.5" customHeight="1">
      <c r="B210" s="274" t="s">
        <v>2255</v>
      </c>
      <c r="C210" s="270" t="s">
        <v>2236</v>
      </c>
      <c r="D210" s="270">
        <v>0.0</v>
      </c>
      <c r="E210" s="270">
        <v>1500.0</v>
      </c>
      <c r="F210" s="270">
        <v>0.0</v>
      </c>
      <c r="G210" s="270">
        <v>0.0</v>
      </c>
      <c r="H210" s="270">
        <v>0.0</v>
      </c>
      <c r="I210" s="271"/>
      <c r="J210" s="271"/>
      <c r="K210" s="274" t="s">
        <v>2236</v>
      </c>
      <c r="L210" s="270" t="s">
        <v>2236</v>
      </c>
      <c r="M210" s="272"/>
    </row>
    <row r="211" ht="22.5" customHeight="1">
      <c r="B211" s="274" t="s">
        <v>2256</v>
      </c>
      <c r="C211" s="270" t="s">
        <v>2236</v>
      </c>
      <c r="D211" s="270">
        <v>0.0</v>
      </c>
      <c r="E211" s="270">
        <v>500.0</v>
      </c>
      <c r="F211" s="270">
        <v>0.0</v>
      </c>
      <c r="G211" s="270">
        <v>0.0</v>
      </c>
      <c r="H211" s="270">
        <v>0.0</v>
      </c>
      <c r="I211" s="271"/>
      <c r="J211" s="271"/>
      <c r="K211" s="274" t="s">
        <v>2236</v>
      </c>
      <c r="L211" s="270" t="s">
        <v>2236</v>
      </c>
      <c r="M211" s="272"/>
    </row>
    <row r="212" ht="22.5" customHeight="1">
      <c r="A212" s="274" t="s">
        <v>2285</v>
      </c>
      <c r="B212" s="274" t="s">
        <v>2257</v>
      </c>
      <c r="C212" s="270" t="s">
        <v>2236</v>
      </c>
      <c r="D212" s="270">
        <v>13.5</v>
      </c>
      <c r="E212" s="270">
        <v>22.0</v>
      </c>
      <c r="F212" s="270">
        <v>297.0</v>
      </c>
      <c r="G212" s="270">
        <v>0.0</v>
      </c>
      <c r="H212" s="270">
        <v>0.0</v>
      </c>
      <c r="I212" s="271">
        <v>45536.0</v>
      </c>
      <c r="J212" s="271">
        <v>45566.0</v>
      </c>
      <c r="K212" s="274">
        <v>1.0</v>
      </c>
      <c r="L212" s="270">
        <v>-601.0</v>
      </c>
      <c r="M212" s="272">
        <v>45631.0</v>
      </c>
    </row>
    <row r="213" ht="22.5" customHeight="1">
      <c r="B213" s="274" t="s">
        <v>2258</v>
      </c>
      <c r="C213" s="270" t="s">
        <v>2236</v>
      </c>
      <c r="D213" s="270">
        <v>0.0</v>
      </c>
      <c r="E213" s="270">
        <v>0.0</v>
      </c>
      <c r="F213" s="270">
        <v>0.0</v>
      </c>
      <c r="G213" s="270">
        <v>0.0</v>
      </c>
      <c r="H213" s="270">
        <v>0.0</v>
      </c>
      <c r="I213" s="271">
        <v>45547.0</v>
      </c>
      <c r="J213" s="271">
        <v>45577.0</v>
      </c>
      <c r="K213" s="274">
        <v>1.0</v>
      </c>
      <c r="L213" s="270">
        <v>-590.0</v>
      </c>
      <c r="M213" s="272"/>
    </row>
    <row r="214" ht="22.5" customHeight="1">
      <c r="B214" s="274" t="s">
        <v>2259</v>
      </c>
      <c r="C214" s="270" t="s">
        <v>2236</v>
      </c>
      <c r="D214" s="270">
        <v>1.0</v>
      </c>
      <c r="E214" s="270">
        <v>15000.0</v>
      </c>
      <c r="F214" s="270">
        <v>15000.0</v>
      </c>
      <c r="G214" s="270">
        <v>0.0</v>
      </c>
      <c r="H214" s="270">
        <v>0.0</v>
      </c>
      <c r="I214" s="271">
        <v>45548.0</v>
      </c>
      <c r="J214" s="271">
        <v>45578.0</v>
      </c>
      <c r="K214" s="274">
        <v>1.0</v>
      </c>
      <c r="L214" s="270">
        <v>-589.0</v>
      </c>
      <c r="M214" s="272">
        <v>45686.0</v>
      </c>
      <c r="N214" s="276"/>
    </row>
    <row r="215" ht="22.5" customHeight="1">
      <c r="B215" s="274" t="s">
        <v>2267</v>
      </c>
      <c r="C215" s="270" t="s">
        <v>2236</v>
      </c>
      <c r="D215" s="270">
        <v>0.0</v>
      </c>
      <c r="E215" s="270">
        <v>3000.0</v>
      </c>
      <c r="F215" s="270">
        <v>0.0</v>
      </c>
      <c r="G215" s="270">
        <v>0.0</v>
      </c>
      <c r="H215" s="270">
        <v>0.0</v>
      </c>
      <c r="I215" s="271"/>
      <c r="J215" s="271"/>
      <c r="K215" s="274" t="s">
        <v>2236</v>
      </c>
      <c r="L215" s="270" t="s">
        <v>2236</v>
      </c>
      <c r="M215" s="272"/>
    </row>
    <row r="216" ht="22.5" customHeight="1">
      <c r="B216" s="274" t="s">
        <v>2279</v>
      </c>
      <c r="C216" s="270" t="s">
        <v>2236</v>
      </c>
      <c r="D216" s="270">
        <v>1.0</v>
      </c>
      <c r="E216" s="270">
        <v>5000.0</v>
      </c>
      <c r="F216" s="270">
        <v>5000.0</v>
      </c>
      <c r="G216" s="270">
        <v>0.0</v>
      </c>
      <c r="H216" s="270">
        <v>0.0</v>
      </c>
      <c r="I216" s="271">
        <v>45544.0</v>
      </c>
      <c r="J216" s="271">
        <v>45574.0</v>
      </c>
      <c r="K216" s="274">
        <v>1.0</v>
      </c>
      <c r="L216" s="270">
        <v>-593.0</v>
      </c>
      <c r="M216" s="272">
        <v>45560.0</v>
      </c>
    </row>
    <row r="217" ht="22.5" customHeight="1">
      <c r="B217" s="274" t="s">
        <v>2263</v>
      </c>
      <c r="C217" s="270" t="s">
        <v>2236</v>
      </c>
      <c r="D217" s="270">
        <v>1.0</v>
      </c>
      <c r="E217" s="270">
        <v>15500.0</v>
      </c>
      <c r="F217" s="270">
        <v>3860.0</v>
      </c>
      <c r="G217" s="270">
        <v>0.0</v>
      </c>
      <c r="H217" s="270">
        <v>0.0</v>
      </c>
      <c r="I217" s="271">
        <v>45560.0</v>
      </c>
      <c r="J217" s="271"/>
      <c r="K217" s="274" t="s">
        <v>2236</v>
      </c>
      <c r="L217" s="270" t="s">
        <v>2236</v>
      </c>
      <c r="M217" s="272">
        <v>45560.0</v>
      </c>
    </row>
    <row r="218" ht="22.5" hidden="1" customHeight="1">
      <c r="C218" s="270"/>
      <c r="D218" s="270"/>
      <c r="E218" s="270"/>
      <c r="F218" s="270"/>
      <c r="G218" s="270"/>
      <c r="H218" s="270"/>
      <c r="I218" s="271"/>
      <c r="J218" s="271"/>
      <c r="L218" s="270"/>
      <c r="M218" s="272"/>
    </row>
    <row r="219" ht="22.5" hidden="1" customHeight="1">
      <c r="C219" s="270" t="s">
        <v>2236</v>
      </c>
      <c r="D219" s="270"/>
      <c r="E219" s="270"/>
      <c r="F219" s="270"/>
      <c r="G219" s="270"/>
      <c r="H219" s="270"/>
      <c r="I219" s="271"/>
      <c r="J219" s="271"/>
      <c r="K219" s="270"/>
      <c r="L219" s="270" t="s">
        <v>2236</v>
      </c>
      <c r="M219" s="272"/>
    </row>
    <row r="220" ht="22.5" hidden="1" customHeight="1">
      <c r="C220" s="270" t="s">
        <v>2236</v>
      </c>
      <c r="D220" s="270"/>
      <c r="E220" s="270"/>
      <c r="F220" s="270"/>
      <c r="G220" s="270"/>
      <c r="H220" s="270"/>
      <c r="I220" s="271"/>
      <c r="J220" s="271"/>
      <c r="K220" s="270"/>
      <c r="L220" s="270" t="s">
        <v>2236</v>
      </c>
      <c r="M220" s="272"/>
    </row>
    <row r="221" ht="22.5" hidden="1" customHeight="1">
      <c r="C221" s="270" t="s">
        <v>2236</v>
      </c>
      <c r="D221" s="270"/>
      <c r="E221" s="270"/>
      <c r="F221" s="270"/>
      <c r="G221" s="270"/>
      <c r="H221" s="270"/>
      <c r="I221" s="271"/>
      <c r="J221" s="271"/>
      <c r="K221" s="270"/>
      <c r="L221" s="270" t="s">
        <v>2236</v>
      </c>
      <c r="M221" s="272"/>
    </row>
    <row r="222" ht="22.5" hidden="1" customHeight="1">
      <c r="C222" s="270" t="s">
        <v>2236</v>
      </c>
      <c r="D222" s="270"/>
      <c r="E222" s="270"/>
      <c r="F222" s="270"/>
      <c r="G222" s="270"/>
      <c r="H222" s="270"/>
      <c r="I222" s="271"/>
      <c r="J222" s="271"/>
      <c r="K222" s="270"/>
      <c r="M222" s="272"/>
    </row>
    <row r="223" ht="22.5" hidden="1" customHeight="1">
      <c r="C223" s="270" t="s">
        <v>2236</v>
      </c>
      <c r="D223" s="270"/>
      <c r="E223" s="270"/>
      <c r="F223" s="270"/>
      <c r="G223" s="270"/>
      <c r="H223" s="270"/>
      <c r="I223" s="271"/>
      <c r="J223" s="271"/>
      <c r="K223" s="270"/>
      <c r="M223" s="272"/>
    </row>
    <row r="224" ht="22.5" hidden="1" customHeight="1">
      <c r="B224" s="274" t="s">
        <v>2246</v>
      </c>
      <c r="C224" s="274">
        <v>0.0</v>
      </c>
      <c r="D224" s="270"/>
      <c r="E224" s="270"/>
      <c r="F224" s="270" t="s">
        <v>874</v>
      </c>
      <c r="G224" s="270">
        <v>0.0</v>
      </c>
      <c r="H224" s="270">
        <v>0.0</v>
      </c>
      <c r="I224" s="271"/>
      <c r="J224" s="271"/>
      <c r="K224" s="270"/>
      <c r="M224" s="272"/>
    </row>
    <row r="225" ht="22.5" hidden="1" customHeight="1">
      <c r="C225" s="270"/>
      <c r="D225" s="270"/>
      <c r="E225" s="270"/>
      <c r="F225" s="270" t="s">
        <v>2247</v>
      </c>
      <c r="G225" s="270"/>
      <c r="H225" s="270">
        <v>0.0</v>
      </c>
      <c r="I225" s="271"/>
      <c r="J225" s="271"/>
      <c r="K225" s="270"/>
      <c r="M225" s="272"/>
    </row>
    <row r="226" ht="22.5" hidden="1" customHeight="1">
      <c r="C226" s="270"/>
      <c r="D226" s="270"/>
      <c r="E226" s="270"/>
      <c r="F226" s="270"/>
      <c r="G226" s="270"/>
      <c r="H226" s="270"/>
      <c r="I226" s="271"/>
      <c r="J226" s="271"/>
      <c r="K226" s="270"/>
      <c r="M226" s="272"/>
    </row>
    <row r="227" ht="22.5" hidden="1" customHeight="1">
      <c r="C227" s="270"/>
      <c r="D227" s="270"/>
      <c r="E227" s="270"/>
      <c r="F227" s="270"/>
      <c r="G227" s="270"/>
      <c r="H227" s="270"/>
      <c r="I227" s="271"/>
      <c r="J227" s="271"/>
      <c r="K227" s="270"/>
      <c r="M227" s="272"/>
    </row>
    <row r="228" ht="22.5" hidden="1" customHeight="1">
      <c r="C228" s="270"/>
      <c r="D228" s="270"/>
      <c r="E228" s="270"/>
      <c r="F228" s="270"/>
      <c r="G228" s="270"/>
      <c r="H228" s="270"/>
      <c r="I228" s="271"/>
      <c r="J228" s="271"/>
      <c r="K228" s="270"/>
      <c r="M228" s="272"/>
    </row>
    <row r="229" ht="22.5" hidden="1" customHeight="1">
      <c r="C229" s="270"/>
      <c r="D229" s="270"/>
      <c r="E229" s="270"/>
      <c r="F229" s="270"/>
      <c r="G229" s="270"/>
      <c r="H229" s="270"/>
      <c r="I229" s="271"/>
      <c r="J229" s="271" t="s">
        <v>2233</v>
      </c>
      <c r="K229" s="273">
        <v>46167.0</v>
      </c>
      <c r="L229" s="270"/>
      <c r="M229" s="272"/>
    </row>
    <row r="230" ht="22.5" hidden="1" customHeight="1">
      <c r="A230" s="274" t="s">
        <v>181</v>
      </c>
      <c r="B230" s="274" t="s">
        <v>2216</v>
      </c>
      <c r="C230" s="270" t="s">
        <v>131</v>
      </c>
      <c r="D230" s="270" t="s">
        <v>2217</v>
      </c>
      <c r="E230" s="270" t="s">
        <v>8</v>
      </c>
      <c r="F230" s="270" t="s">
        <v>873</v>
      </c>
      <c r="G230" s="270" t="s">
        <v>17</v>
      </c>
      <c r="H230" s="270" t="s">
        <v>874</v>
      </c>
      <c r="I230" s="271" t="s">
        <v>2218</v>
      </c>
      <c r="J230" s="271" t="s">
        <v>876</v>
      </c>
      <c r="K230" s="274" t="s">
        <v>877</v>
      </c>
      <c r="L230" s="270" t="s">
        <v>878</v>
      </c>
      <c r="M230" s="272" t="s">
        <v>2219</v>
      </c>
      <c r="N230" s="274" t="s">
        <v>2220</v>
      </c>
    </row>
    <row r="231" ht="22.5" customHeight="1">
      <c r="B231" s="274" t="s">
        <v>2249</v>
      </c>
      <c r="C231" s="270" t="s">
        <v>2236</v>
      </c>
      <c r="D231" s="270">
        <v>0.0</v>
      </c>
      <c r="E231" s="270">
        <v>100.0</v>
      </c>
      <c r="F231" s="270">
        <v>0.0</v>
      </c>
      <c r="G231" s="270">
        <v>0.0</v>
      </c>
      <c r="H231" s="270">
        <v>0.0</v>
      </c>
      <c r="I231" s="271"/>
      <c r="J231" s="271"/>
      <c r="K231" s="274" t="s">
        <v>2236</v>
      </c>
      <c r="L231" s="270" t="s">
        <v>2236</v>
      </c>
      <c r="M231" s="272"/>
    </row>
    <row r="232" ht="22.5" customHeight="1">
      <c r="B232" s="274" t="s">
        <v>2251</v>
      </c>
      <c r="C232" s="270" t="s">
        <v>2236</v>
      </c>
      <c r="D232" s="270">
        <v>0.0</v>
      </c>
      <c r="E232" s="270">
        <v>5.0</v>
      </c>
      <c r="F232" s="270">
        <v>15.0</v>
      </c>
      <c r="G232" s="270">
        <v>0.0</v>
      </c>
      <c r="H232" s="270">
        <v>0.0</v>
      </c>
      <c r="I232" s="271">
        <v>45566.0</v>
      </c>
      <c r="J232" s="271">
        <v>45597.0</v>
      </c>
      <c r="K232" s="274">
        <v>1.0</v>
      </c>
      <c r="L232" s="270">
        <v>-570.0</v>
      </c>
      <c r="M232" s="272"/>
    </row>
    <row r="233" ht="22.5" customHeight="1">
      <c r="B233" s="274" t="s">
        <v>2254</v>
      </c>
      <c r="C233" s="270" t="s">
        <v>2236</v>
      </c>
      <c r="D233" s="270">
        <v>11.0</v>
      </c>
      <c r="E233" s="270">
        <v>3.0</v>
      </c>
      <c r="F233" s="270">
        <v>33.0</v>
      </c>
      <c r="G233" s="270">
        <v>0.0</v>
      </c>
      <c r="H233" s="270">
        <v>0.0</v>
      </c>
      <c r="I233" s="271">
        <v>45566.0</v>
      </c>
      <c r="J233" s="271">
        <v>45597.0</v>
      </c>
      <c r="K233" s="274">
        <v>1.0</v>
      </c>
      <c r="L233" s="270">
        <v>-570.0</v>
      </c>
      <c r="M233" s="272" t="s">
        <v>2286</v>
      </c>
    </row>
    <row r="234" ht="22.5" customHeight="1">
      <c r="B234" s="274" t="s">
        <v>2255</v>
      </c>
      <c r="C234" s="270" t="s">
        <v>2236</v>
      </c>
      <c r="D234" s="270">
        <v>0.0</v>
      </c>
      <c r="E234" s="270">
        <v>1500.0</v>
      </c>
      <c r="F234" s="270">
        <v>0.0</v>
      </c>
      <c r="G234" s="270">
        <v>0.0</v>
      </c>
      <c r="H234" s="270">
        <v>0.0</v>
      </c>
      <c r="I234" s="271"/>
      <c r="J234" s="271"/>
      <c r="K234" s="274" t="s">
        <v>2236</v>
      </c>
      <c r="L234" s="270" t="s">
        <v>2236</v>
      </c>
      <c r="M234" s="272"/>
    </row>
    <row r="235" ht="22.5" customHeight="1">
      <c r="B235" s="274" t="s">
        <v>2256</v>
      </c>
      <c r="C235" s="270" t="s">
        <v>2236</v>
      </c>
      <c r="D235" s="270">
        <v>0.0</v>
      </c>
      <c r="E235" s="270">
        <v>500.0</v>
      </c>
      <c r="F235" s="270">
        <v>0.0</v>
      </c>
      <c r="G235" s="270">
        <v>0.0</v>
      </c>
      <c r="H235" s="270">
        <v>0.0</v>
      </c>
      <c r="I235" s="271"/>
      <c r="J235" s="271"/>
      <c r="K235" s="274" t="s">
        <v>2236</v>
      </c>
      <c r="L235" s="270" t="s">
        <v>2236</v>
      </c>
      <c r="M235" s="272"/>
    </row>
    <row r="236" ht="22.5" customHeight="1">
      <c r="A236" s="274" t="s">
        <v>2287</v>
      </c>
      <c r="B236" s="274" t="s">
        <v>2257</v>
      </c>
      <c r="C236" s="270" t="s">
        <v>2236</v>
      </c>
      <c r="D236" s="270">
        <v>24.0</v>
      </c>
      <c r="E236" s="270">
        <v>22.0</v>
      </c>
      <c r="F236" s="270">
        <v>528.0</v>
      </c>
      <c r="G236" s="270">
        <v>0.0</v>
      </c>
      <c r="H236" s="270">
        <v>0.0</v>
      </c>
      <c r="I236" s="271">
        <v>45566.0</v>
      </c>
      <c r="J236" s="271">
        <v>45597.0</v>
      </c>
      <c r="K236" s="274">
        <v>1.0</v>
      </c>
      <c r="L236" s="270">
        <v>-570.0</v>
      </c>
      <c r="M236" s="272">
        <v>45686.0</v>
      </c>
    </row>
    <row r="237" ht="22.5" customHeight="1">
      <c r="B237" s="274" t="s">
        <v>2258</v>
      </c>
      <c r="C237" s="270" t="s">
        <v>2236</v>
      </c>
      <c r="D237" s="270">
        <v>0.0</v>
      </c>
      <c r="E237" s="270">
        <v>0.0</v>
      </c>
      <c r="F237" s="270">
        <v>0.0</v>
      </c>
      <c r="G237" s="270">
        <v>0.0</v>
      </c>
      <c r="H237" s="270">
        <v>0.0</v>
      </c>
      <c r="I237" s="271"/>
      <c r="J237" s="271"/>
      <c r="K237" s="274" t="s">
        <v>2236</v>
      </c>
      <c r="L237" s="270" t="s">
        <v>2236</v>
      </c>
      <c r="M237" s="272"/>
    </row>
    <row r="238" ht="22.5" customHeight="1">
      <c r="B238" s="274" t="s">
        <v>2259</v>
      </c>
      <c r="C238" s="270" t="s">
        <v>2236</v>
      </c>
      <c r="D238" s="270">
        <v>1.0</v>
      </c>
      <c r="E238" s="270">
        <v>15000.0</v>
      </c>
      <c r="F238" s="270">
        <v>15000.0</v>
      </c>
      <c r="G238" s="270">
        <v>0.0</v>
      </c>
      <c r="H238" s="270">
        <v>0.0</v>
      </c>
      <c r="I238" s="271">
        <v>45578.0</v>
      </c>
      <c r="J238" s="271">
        <v>45609.0</v>
      </c>
      <c r="K238" s="274">
        <v>1.0</v>
      </c>
      <c r="L238" s="270">
        <v>-558.0</v>
      </c>
      <c r="M238" s="272">
        <v>45788.0</v>
      </c>
    </row>
    <row r="239" ht="22.5" customHeight="1">
      <c r="B239" s="274" t="s">
        <v>2267</v>
      </c>
      <c r="C239" s="270" t="s">
        <v>2236</v>
      </c>
      <c r="D239" s="270">
        <v>0.0</v>
      </c>
      <c r="E239" s="270">
        <v>3000.0</v>
      </c>
      <c r="F239" s="270">
        <v>0.0</v>
      </c>
      <c r="G239" s="270">
        <v>0.0</v>
      </c>
      <c r="H239" s="270">
        <v>0.0</v>
      </c>
      <c r="I239" s="271"/>
      <c r="J239" s="271"/>
      <c r="K239" s="274" t="s">
        <v>2236</v>
      </c>
      <c r="L239" s="270" t="s">
        <v>2236</v>
      </c>
      <c r="M239" s="272"/>
    </row>
    <row r="240" ht="22.5" customHeight="1">
      <c r="A240" s="274" t="s">
        <v>2288</v>
      </c>
      <c r="B240" s="274" t="s">
        <v>2279</v>
      </c>
      <c r="C240" s="270" t="s">
        <v>2236</v>
      </c>
      <c r="D240" s="270">
        <v>0.0</v>
      </c>
      <c r="E240" s="270">
        <v>5000.0</v>
      </c>
      <c r="F240" s="270">
        <v>0.0</v>
      </c>
      <c r="G240" s="270">
        <v>0.0</v>
      </c>
      <c r="H240" s="270">
        <v>0.0</v>
      </c>
      <c r="I240" s="271"/>
      <c r="J240" s="271"/>
      <c r="K240" s="274" t="s">
        <v>2236</v>
      </c>
      <c r="L240" s="270" t="s">
        <v>2236</v>
      </c>
      <c r="M240" s="272"/>
    </row>
    <row r="241" ht="22.5" customHeight="1">
      <c r="B241" s="274" t="s">
        <v>2263</v>
      </c>
      <c r="C241" s="270" t="s">
        <v>2236</v>
      </c>
      <c r="D241" s="270">
        <v>1.0</v>
      </c>
      <c r="E241" s="270"/>
      <c r="F241" s="270"/>
      <c r="G241" s="270">
        <v>0.0</v>
      </c>
      <c r="H241" s="270">
        <v>0.0</v>
      </c>
      <c r="I241" s="271"/>
      <c r="J241" s="271"/>
      <c r="K241" s="274" t="s">
        <v>2236</v>
      </c>
      <c r="L241" s="270" t="s">
        <v>2236</v>
      </c>
      <c r="M241" s="272"/>
    </row>
    <row r="242" ht="22.5" customHeight="1">
      <c r="B242" s="274" t="s">
        <v>2289</v>
      </c>
      <c r="C242" s="270" t="s">
        <v>1350</v>
      </c>
      <c r="D242" s="270">
        <v>1.0</v>
      </c>
      <c r="E242" s="270">
        <v>5000.0</v>
      </c>
      <c r="F242" s="270">
        <v>5000.0</v>
      </c>
      <c r="G242" s="270" t="s">
        <v>2290</v>
      </c>
      <c r="H242" s="270" t="s">
        <v>2290</v>
      </c>
      <c r="I242" s="271">
        <v>45589.0</v>
      </c>
      <c r="J242" s="271">
        <v>45620.0</v>
      </c>
      <c r="K242" s="274">
        <v>0.0</v>
      </c>
      <c r="L242" s="270">
        <v>-547.0</v>
      </c>
      <c r="M242" s="272"/>
    </row>
    <row r="243" ht="22.5" customHeight="1">
      <c r="A243" s="274" t="s">
        <v>2291</v>
      </c>
      <c r="B243" s="274" t="s">
        <v>2292</v>
      </c>
      <c r="C243" s="270" t="s">
        <v>1350</v>
      </c>
      <c r="D243" s="270">
        <v>1.0</v>
      </c>
      <c r="E243" s="270">
        <v>5000.0</v>
      </c>
      <c r="F243" s="270">
        <v>5000.0</v>
      </c>
      <c r="G243" s="270" t="s">
        <v>2290</v>
      </c>
      <c r="H243" s="270" t="s">
        <v>2290</v>
      </c>
      <c r="I243" s="271">
        <v>45562.0</v>
      </c>
      <c r="J243" s="271">
        <v>45603.0</v>
      </c>
      <c r="K243" s="274">
        <v>0.0</v>
      </c>
      <c r="L243" s="270">
        <v>-564.0</v>
      </c>
      <c r="M243" s="272"/>
    </row>
    <row r="244" ht="22.5" hidden="1" customHeight="1">
      <c r="C244" s="270" t="s">
        <v>2236</v>
      </c>
      <c r="D244" s="270"/>
      <c r="E244" s="270"/>
      <c r="F244" s="270"/>
      <c r="G244" s="270"/>
      <c r="H244" s="270"/>
      <c r="I244" s="271"/>
      <c r="J244" s="271"/>
      <c r="K244" s="270"/>
      <c r="L244" s="270" t="s">
        <v>2236</v>
      </c>
      <c r="M244" s="272"/>
    </row>
    <row r="245" ht="22.5" hidden="1" customHeight="1">
      <c r="C245" s="270" t="s">
        <v>2236</v>
      </c>
      <c r="D245" s="270"/>
      <c r="E245" s="270"/>
      <c r="F245" s="270"/>
      <c r="G245" s="270"/>
      <c r="H245" s="270"/>
      <c r="I245" s="271"/>
      <c r="J245" s="271"/>
      <c r="K245" s="270"/>
      <c r="L245" s="270" t="s">
        <v>2236</v>
      </c>
      <c r="M245" s="272"/>
    </row>
    <row r="246" ht="22.5" hidden="1" customHeight="1">
      <c r="C246" s="270" t="s">
        <v>2236</v>
      </c>
      <c r="D246" s="270"/>
      <c r="E246" s="270"/>
      <c r="F246" s="270"/>
      <c r="G246" s="270"/>
      <c r="H246" s="270"/>
      <c r="I246" s="271"/>
      <c r="J246" s="271"/>
      <c r="K246" s="270"/>
      <c r="M246" s="272"/>
    </row>
    <row r="247" ht="22.5" hidden="1" customHeight="1">
      <c r="C247" s="270" t="s">
        <v>2236</v>
      </c>
      <c r="D247" s="270"/>
      <c r="E247" s="270"/>
      <c r="F247" s="270"/>
      <c r="G247" s="270"/>
      <c r="H247" s="270"/>
      <c r="I247" s="271"/>
      <c r="J247" s="271"/>
      <c r="K247" s="270"/>
      <c r="M247" s="272"/>
    </row>
    <row r="248" ht="22.5" hidden="1" customHeight="1">
      <c r="B248" s="274" t="s">
        <v>2246</v>
      </c>
      <c r="C248" s="274">
        <v>2.0</v>
      </c>
      <c r="D248" s="270"/>
      <c r="E248" s="270"/>
      <c r="F248" s="270" t="s">
        <v>874</v>
      </c>
      <c r="G248" s="270">
        <v>0.0</v>
      </c>
      <c r="H248" s="270">
        <v>0.0</v>
      </c>
      <c r="I248" s="271"/>
      <c r="J248" s="271"/>
      <c r="K248" s="270"/>
      <c r="M248" s="272"/>
    </row>
    <row r="249" ht="22.5" hidden="1" customHeight="1">
      <c r="C249" s="270"/>
      <c r="D249" s="270"/>
      <c r="E249" s="270"/>
      <c r="F249" s="270" t="s">
        <v>2247</v>
      </c>
      <c r="G249" s="270"/>
      <c r="H249" s="270">
        <v>0.0</v>
      </c>
      <c r="I249" s="271"/>
      <c r="J249" s="271"/>
      <c r="K249" s="270"/>
      <c r="M249" s="272"/>
    </row>
    <row r="250" ht="22.5" hidden="1" customHeight="1">
      <c r="C250" s="270"/>
      <c r="D250" s="270"/>
      <c r="E250" s="270"/>
      <c r="F250" s="270"/>
      <c r="G250" s="270"/>
      <c r="H250" s="270"/>
      <c r="I250" s="271"/>
      <c r="J250" s="271"/>
      <c r="K250" s="270"/>
      <c r="M250" s="272"/>
    </row>
    <row r="251" ht="22.5" hidden="1" customHeight="1">
      <c r="C251" s="270"/>
      <c r="D251" s="270"/>
      <c r="E251" s="270"/>
      <c r="F251" s="270"/>
      <c r="G251" s="270"/>
      <c r="H251" s="270"/>
      <c r="I251" s="271"/>
      <c r="J251" s="271"/>
      <c r="K251" s="270"/>
      <c r="M251" s="272"/>
    </row>
    <row r="252" ht="22.5" hidden="1" customHeight="1">
      <c r="C252" s="270"/>
      <c r="D252" s="270"/>
      <c r="E252" s="270"/>
      <c r="F252" s="270"/>
      <c r="G252" s="270"/>
      <c r="H252" s="270"/>
      <c r="I252" s="271"/>
      <c r="J252" s="271"/>
      <c r="K252" s="270"/>
      <c r="M252" s="272"/>
    </row>
    <row r="253" ht="22.5" hidden="1" customHeight="1">
      <c r="C253" s="270"/>
      <c r="D253" s="270"/>
      <c r="E253" s="270"/>
      <c r="F253" s="270"/>
      <c r="G253" s="270"/>
      <c r="H253" s="270"/>
      <c r="I253" s="271"/>
      <c r="J253" s="271" t="s">
        <v>2233</v>
      </c>
      <c r="K253" s="273">
        <v>46167.0</v>
      </c>
      <c r="L253" s="270"/>
      <c r="M253" s="272"/>
    </row>
    <row r="254" ht="22.5" hidden="1" customHeight="1">
      <c r="A254" s="274" t="s">
        <v>181</v>
      </c>
      <c r="B254" s="274" t="s">
        <v>2216</v>
      </c>
      <c r="C254" s="270" t="s">
        <v>131</v>
      </c>
      <c r="D254" s="270" t="s">
        <v>2217</v>
      </c>
      <c r="E254" s="270" t="s">
        <v>8</v>
      </c>
      <c r="F254" s="270" t="s">
        <v>873</v>
      </c>
      <c r="G254" s="270" t="s">
        <v>17</v>
      </c>
      <c r="H254" s="270" t="s">
        <v>874</v>
      </c>
      <c r="I254" s="271" t="s">
        <v>2218</v>
      </c>
      <c r="J254" s="271" t="s">
        <v>876</v>
      </c>
      <c r="K254" s="274" t="s">
        <v>877</v>
      </c>
      <c r="L254" s="270" t="s">
        <v>878</v>
      </c>
      <c r="M254" s="272" t="s">
        <v>2219</v>
      </c>
      <c r="N254" s="274" t="s">
        <v>2220</v>
      </c>
    </row>
    <row r="255" ht="22.5" customHeight="1">
      <c r="B255" s="274" t="s">
        <v>2249</v>
      </c>
      <c r="C255" s="270" t="s">
        <v>2236</v>
      </c>
      <c r="D255" s="270">
        <v>0.0</v>
      </c>
      <c r="E255" s="270">
        <v>100.0</v>
      </c>
      <c r="F255" s="270">
        <v>0.0</v>
      </c>
      <c r="G255" s="270">
        <v>0.0</v>
      </c>
      <c r="H255" s="270">
        <v>0.0</v>
      </c>
      <c r="I255" s="271">
        <v>45616.0</v>
      </c>
      <c r="J255" s="271">
        <v>45646.0</v>
      </c>
      <c r="K255" s="274">
        <v>1.0</v>
      </c>
      <c r="L255" s="270">
        <v>-521.0</v>
      </c>
      <c r="M255" s="272"/>
    </row>
    <row r="256" ht="22.5" customHeight="1">
      <c r="B256" s="274" t="s">
        <v>2251</v>
      </c>
      <c r="C256" s="270" t="s">
        <v>2236</v>
      </c>
      <c r="D256" s="270">
        <v>0.0</v>
      </c>
      <c r="E256" s="270">
        <v>5.0</v>
      </c>
      <c r="F256" s="270">
        <v>15.0</v>
      </c>
      <c r="G256" s="270">
        <v>0.0</v>
      </c>
      <c r="H256" s="270">
        <v>0.0</v>
      </c>
      <c r="I256" s="271">
        <v>45597.0</v>
      </c>
      <c r="J256" s="271">
        <v>45627.0</v>
      </c>
      <c r="K256" s="274">
        <v>1.0</v>
      </c>
      <c r="L256" s="270">
        <v>-540.0</v>
      </c>
      <c r="M256" s="272"/>
    </row>
    <row r="257" ht="22.5" customHeight="1">
      <c r="A257" s="274" t="s">
        <v>2293</v>
      </c>
      <c r="B257" s="274" t="s">
        <v>2294</v>
      </c>
      <c r="C257" s="270" t="s">
        <v>2236</v>
      </c>
      <c r="D257" s="270">
        <v>9.0</v>
      </c>
      <c r="E257" s="270">
        <v>3.0</v>
      </c>
      <c r="F257" s="270">
        <v>27.0</v>
      </c>
      <c r="G257" s="270">
        <v>0.0</v>
      </c>
      <c r="H257" s="270">
        <v>0.0</v>
      </c>
      <c r="I257" s="271">
        <v>45597.0</v>
      </c>
      <c r="J257" s="271">
        <v>45627.0</v>
      </c>
      <c r="K257" s="274">
        <v>1.0</v>
      </c>
      <c r="L257" s="270">
        <v>-540.0</v>
      </c>
      <c r="M257" s="272">
        <v>45727.0</v>
      </c>
    </row>
    <row r="258" ht="22.5" customHeight="1">
      <c r="B258" s="274" t="s">
        <v>2255</v>
      </c>
      <c r="C258" s="270" t="s">
        <v>2236</v>
      </c>
      <c r="D258" s="270">
        <v>0.0</v>
      </c>
      <c r="E258" s="270">
        <v>1500.0</v>
      </c>
      <c r="F258" s="270">
        <v>0.0</v>
      </c>
      <c r="G258" s="270">
        <v>0.0</v>
      </c>
      <c r="H258" s="270">
        <v>0.0</v>
      </c>
      <c r="I258" s="271"/>
      <c r="J258" s="271"/>
      <c r="K258" s="274" t="s">
        <v>2236</v>
      </c>
      <c r="L258" s="270" t="s">
        <v>2236</v>
      </c>
      <c r="M258" s="272"/>
    </row>
    <row r="259" ht="22.5" customHeight="1">
      <c r="B259" s="274" t="s">
        <v>2256</v>
      </c>
      <c r="C259" s="270" t="s">
        <v>2236</v>
      </c>
      <c r="D259" s="270">
        <v>0.0</v>
      </c>
      <c r="E259" s="270">
        <v>500.0</v>
      </c>
      <c r="F259" s="270">
        <v>0.0</v>
      </c>
      <c r="G259" s="270">
        <v>0.0</v>
      </c>
      <c r="H259" s="270">
        <v>0.0</v>
      </c>
      <c r="I259" s="271"/>
      <c r="J259" s="271"/>
      <c r="K259" s="274" t="s">
        <v>2236</v>
      </c>
      <c r="L259" s="270" t="s">
        <v>2236</v>
      </c>
      <c r="M259" s="272"/>
    </row>
    <row r="260" ht="22.5" customHeight="1">
      <c r="A260" s="274" t="s">
        <v>2295</v>
      </c>
      <c r="B260" s="274" t="s">
        <v>2257</v>
      </c>
      <c r="C260" s="270" t="s">
        <v>2236</v>
      </c>
      <c r="D260" s="270">
        <v>24.0</v>
      </c>
      <c r="E260" s="270">
        <v>22.0</v>
      </c>
      <c r="F260" s="270">
        <v>528.0</v>
      </c>
      <c r="G260" s="270">
        <v>0.0</v>
      </c>
      <c r="H260" s="270">
        <v>0.0</v>
      </c>
      <c r="I260" s="271">
        <v>45597.0</v>
      </c>
      <c r="J260" s="271">
        <v>45627.0</v>
      </c>
      <c r="K260" s="274">
        <v>1.0</v>
      </c>
      <c r="L260" s="270">
        <v>-540.0</v>
      </c>
      <c r="M260" s="272">
        <v>45778.0</v>
      </c>
      <c r="N260" s="274" t="s">
        <v>2296</v>
      </c>
    </row>
    <row r="261" ht="22.5" customHeight="1">
      <c r="B261" s="274" t="s">
        <v>2258</v>
      </c>
      <c r="C261" s="270" t="s">
        <v>2236</v>
      </c>
      <c r="D261" s="270">
        <v>0.0</v>
      </c>
      <c r="E261" s="270">
        <v>0.0</v>
      </c>
      <c r="F261" s="270">
        <v>0.0</v>
      </c>
      <c r="G261" s="270">
        <v>0.0</v>
      </c>
      <c r="H261" s="270">
        <v>0.0</v>
      </c>
      <c r="I261" s="271">
        <v>45608.0</v>
      </c>
      <c r="J261" s="271">
        <v>45638.0</v>
      </c>
      <c r="K261" s="274">
        <v>1.0</v>
      </c>
      <c r="L261" s="270">
        <v>-529.0</v>
      </c>
      <c r="M261" s="272"/>
    </row>
    <row r="262" ht="22.5" customHeight="1">
      <c r="B262" s="274" t="s">
        <v>2259</v>
      </c>
      <c r="C262" s="270" t="s">
        <v>2236</v>
      </c>
      <c r="D262" s="270">
        <v>1.0</v>
      </c>
      <c r="E262" s="270">
        <v>15000.0</v>
      </c>
      <c r="F262" s="270">
        <v>15000.0</v>
      </c>
      <c r="G262" s="270">
        <v>0.0</v>
      </c>
      <c r="H262" s="270">
        <v>0.0</v>
      </c>
      <c r="I262" s="271">
        <v>45609.0</v>
      </c>
      <c r="J262" s="271">
        <v>45639.0</v>
      </c>
      <c r="K262" s="274">
        <v>1.0</v>
      </c>
      <c r="L262" s="270">
        <v>-528.0</v>
      </c>
      <c r="M262" s="272">
        <v>45788.0</v>
      </c>
    </row>
    <row r="263" ht="22.5" customHeight="1">
      <c r="B263" s="274" t="s">
        <v>2267</v>
      </c>
      <c r="C263" s="270" t="s">
        <v>2236</v>
      </c>
      <c r="D263" s="270">
        <v>0.0</v>
      </c>
      <c r="E263" s="270">
        <v>3000.0</v>
      </c>
      <c r="F263" s="270">
        <v>0.0</v>
      </c>
      <c r="G263" s="270">
        <v>0.0</v>
      </c>
      <c r="H263" s="270">
        <v>0.0</v>
      </c>
      <c r="I263" s="271"/>
      <c r="J263" s="271"/>
      <c r="K263" s="274" t="s">
        <v>2236</v>
      </c>
      <c r="L263" s="270" t="s">
        <v>2236</v>
      </c>
      <c r="M263" s="272"/>
    </row>
    <row r="264" ht="22.5" customHeight="1">
      <c r="B264" s="274" t="s">
        <v>2279</v>
      </c>
      <c r="C264" s="270" t="s">
        <v>2236</v>
      </c>
      <c r="D264" s="270">
        <v>0.0</v>
      </c>
      <c r="E264" s="270">
        <v>5000.0</v>
      </c>
      <c r="F264" s="270">
        <v>0.0</v>
      </c>
      <c r="G264" s="270">
        <v>0.0</v>
      </c>
      <c r="H264" s="270">
        <v>0.0</v>
      </c>
      <c r="I264" s="271"/>
      <c r="J264" s="271"/>
      <c r="K264" s="274" t="s">
        <v>2236</v>
      </c>
      <c r="L264" s="270" t="s">
        <v>2236</v>
      </c>
      <c r="M264" s="272"/>
    </row>
    <row r="265" ht="22.5" customHeight="1">
      <c r="B265" s="274" t="s">
        <v>2263</v>
      </c>
      <c r="C265" s="270" t="s">
        <v>2236</v>
      </c>
      <c r="D265" s="270">
        <v>1.0</v>
      </c>
      <c r="E265" s="270"/>
      <c r="F265" s="270"/>
      <c r="G265" s="270">
        <v>0.0</v>
      </c>
      <c r="H265" s="270">
        <v>0.0</v>
      </c>
      <c r="I265" s="271"/>
      <c r="J265" s="271"/>
      <c r="K265" s="274" t="s">
        <v>2236</v>
      </c>
      <c r="L265" s="270" t="s">
        <v>2236</v>
      </c>
      <c r="M265" s="272"/>
    </row>
    <row r="266" ht="22.5" customHeight="1">
      <c r="B266" s="274" t="s">
        <v>2289</v>
      </c>
      <c r="C266" s="270" t="s">
        <v>2236</v>
      </c>
      <c r="D266" s="270">
        <v>1.0</v>
      </c>
      <c r="E266" s="270">
        <v>5000.0</v>
      </c>
      <c r="F266" s="270">
        <v>5000.0</v>
      </c>
      <c r="G266" s="270">
        <v>0.0</v>
      </c>
      <c r="H266" s="270">
        <v>0.0</v>
      </c>
      <c r="I266" s="271">
        <v>45620.0</v>
      </c>
      <c r="J266" s="271">
        <v>45650.0</v>
      </c>
      <c r="K266" s="274">
        <v>1.0</v>
      </c>
      <c r="L266" s="270">
        <v>-517.0</v>
      </c>
      <c r="M266" s="272" t="s">
        <v>2297</v>
      </c>
    </row>
    <row r="267" ht="22.5" customHeight="1">
      <c r="A267" s="274" t="s">
        <v>2291</v>
      </c>
      <c r="B267" s="274" t="s">
        <v>2292</v>
      </c>
      <c r="C267" s="270" t="s">
        <v>2236</v>
      </c>
      <c r="D267" s="270">
        <v>1.0</v>
      </c>
      <c r="E267" s="270">
        <v>5000.0</v>
      </c>
      <c r="F267" s="270">
        <v>5000.0</v>
      </c>
      <c r="G267" s="270">
        <v>0.0</v>
      </c>
      <c r="H267" s="270">
        <v>0.0</v>
      </c>
      <c r="I267" s="271">
        <v>45603.0</v>
      </c>
      <c r="J267" s="271">
        <v>45633.0</v>
      </c>
      <c r="K267" s="274">
        <v>1.0</v>
      </c>
      <c r="L267" s="270">
        <v>-534.0</v>
      </c>
      <c r="M267" s="272" t="s">
        <v>2297</v>
      </c>
    </row>
    <row r="268" ht="22.5" customHeight="1">
      <c r="B268" s="274" t="s">
        <v>2298</v>
      </c>
      <c r="C268" s="270" t="s">
        <v>2236</v>
      </c>
      <c r="D268" s="270">
        <v>12.0</v>
      </c>
      <c r="E268" s="270">
        <v>6.0</v>
      </c>
      <c r="F268" s="270">
        <v>72.0</v>
      </c>
      <c r="G268" s="270">
        <v>0.0</v>
      </c>
      <c r="H268" s="270">
        <v>0.0</v>
      </c>
      <c r="I268" s="271">
        <v>45621.0</v>
      </c>
      <c r="J268" s="271">
        <v>45651.0</v>
      </c>
      <c r="K268" s="274">
        <v>1.0</v>
      </c>
      <c r="L268" s="270">
        <v>-516.0</v>
      </c>
      <c r="M268" s="272" t="s">
        <v>2299</v>
      </c>
    </row>
    <row r="269" ht="22.5" hidden="1" customHeight="1">
      <c r="C269" s="270" t="s">
        <v>2236</v>
      </c>
      <c r="D269" s="270"/>
      <c r="E269" s="270"/>
      <c r="F269" s="270"/>
      <c r="G269" s="270"/>
      <c r="H269" s="270"/>
      <c r="I269" s="271"/>
      <c r="J269" s="271"/>
      <c r="K269" s="270"/>
      <c r="L269" s="270" t="s">
        <v>2236</v>
      </c>
      <c r="M269" s="272"/>
    </row>
    <row r="270" ht="22.5" hidden="1" customHeight="1">
      <c r="C270" s="270" t="s">
        <v>2236</v>
      </c>
      <c r="D270" s="270"/>
      <c r="E270" s="270"/>
      <c r="F270" s="270"/>
      <c r="G270" s="270"/>
      <c r="H270" s="270"/>
      <c r="I270" s="271"/>
      <c r="J270" s="271"/>
      <c r="K270" s="270"/>
      <c r="M270" s="272"/>
    </row>
    <row r="271" ht="22.5" hidden="1" customHeight="1">
      <c r="C271" s="270" t="s">
        <v>2236</v>
      </c>
      <c r="D271" s="270"/>
      <c r="E271" s="270"/>
      <c r="F271" s="270"/>
      <c r="G271" s="270"/>
      <c r="H271" s="270"/>
      <c r="I271" s="271"/>
      <c r="J271" s="271"/>
      <c r="K271" s="270"/>
      <c r="M271" s="272"/>
    </row>
    <row r="272" ht="22.5" hidden="1" customHeight="1">
      <c r="B272" s="274" t="s">
        <v>2246</v>
      </c>
      <c r="C272" s="274">
        <v>0.0</v>
      </c>
      <c r="D272" s="270"/>
      <c r="E272" s="270"/>
      <c r="F272" s="270" t="s">
        <v>874</v>
      </c>
      <c r="G272" s="270">
        <v>0.0</v>
      </c>
      <c r="H272" s="270">
        <v>0.0</v>
      </c>
      <c r="I272" s="271"/>
      <c r="J272" s="271"/>
      <c r="K272" s="270"/>
      <c r="M272" s="272"/>
    </row>
    <row r="273" ht="22.5" hidden="1" customHeight="1">
      <c r="C273" s="270"/>
      <c r="D273" s="270"/>
      <c r="E273" s="270"/>
      <c r="F273" s="270" t="s">
        <v>2247</v>
      </c>
      <c r="G273" s="270"/>
      <c r="H273" s="270">
        <v>0.0</v>
      </c>
      <c r="I273" s="271"/>
      <c r="J273" s="271"/>
      <c r="K273" s="270"/>
      <c r="M273" s="272"/>
    </row>
    <row r="274" ht="22.5" hidden="1" customHeight="1">
      <c r="C274" s="270"/>
      <c r="D274" s="270"/>
      <c r="E274" s="270"/>
      <c r="F274" s="270"/>
      <c r="G274" s="270"/>
      <c r="H274" s="270"/>
      <c r="I274" s="271"/>
      <c r="J274" s="271"/>
      <c r="K274" s="270"/>
      <c r="M274" s="272"/>
    </row>
    <row r="275" ht="22.5" hidden="1" customHeight="1">
      <c r="C275" s="270"/>
      <c r="D275" s="270"/>
      <c r="E275" s="270"/>
      <c r="F275" s="270"/>
      <c r="G275" s="270"/>
      <c r="H275" s="270"/>
      <c r="I275" s="271"/>
      <c r="J275" s="271"/>
      <c r="K275" s="270"/>
      <c r="M275" s="272"/>
    </row>
    <row r="276" ht="22.5" hidden="1" customHeight="1">
      <c r="C276" s="270"/>
      <c r="D276" s="270"/>
      <c r="E276" s="270"/>
      <c r="F276" s="270"/>
      <c r="G276" s="270"/>
      <c r="H276" s="270"/>
      <c r="I276" s="271"/>
      <c r="J276" s="271"/>
      <c r="K276" s="270"/>
      <c r="M276" s="272"/>
    </row>
    <row r="277" ht="22.5" hidden="1" customHeight="1">
      <c r="C277" s="270"/>
      <c r="D277" s="270"/>
      <c r="E277" s="270"/>
      <c r="F277" s="270"/>
      <c r="G277" s="270"/>
      <c r="H277" s="270"/>
      <c r="I277" s="271"/>
      <c r="J277" s="271" t="s">
        <v>2233</v>
      </c>
      <c r="K277" s="273">
        <v>46167.0</v>
      </c>
      <c r="L277" s="270"/>
      <c r="M277" s="272"/>
    </row>
    <row r="278" ht="22.5" hidden="1" customHeight="1">
      <c r="A278" s="274" t="s">
        <v>181</v>
      </c>
      <c r="B278" s="274" t="s">
        <v>2216</v>
      </c>
      <c r="C278" s="270" t="s">
        <v>131</v>
      </c>
      <c r="D278" s="270" t="s">
        <v>2217</v>
      </c>
      <c r="E278" s="270" t="s">
        <v>8</v>
      </c>
      <c r="F278" s="270" t="s">
        <v>873</v>
      </c>
      <c r="G278" s="270" t="s">
        <v>17</v>
      </c>
      <c r="H278" s="270" t="s">
        <v>874</v>
      </c>
      <c r="I278" s="271" t="s">
        <v>2218</v>
      </c>
      <c r="J278" s="271" t="s">
        <v>876</v>
      </c>
      <c r="K278" s="274" t="s">
        <v>877</v>
      </c>
      <c r="L278" s="270" t="s">
        <v>878</v>
      </c>
      <c r="M278" s="272" t="s">
        <v>2219</v>
      </c>
      <c r="N278" s="274" t="s">
        <v>2220</v>
      </c>
    </row>
    <row r="279" ht="22.5" customHeight="1">
      <c r="B279" s="274" t="s">
        <v>2249</v>
      </c>
      <c r="C279" s="270" t="s">
        <v>2236</v>
      </c>
      <c r="D279" s="270">
        <v>0.0</v>
      </c>
      <c r="E279" s="270">
        <v>100.0</v>
      </c>
      <c r="F279" s="270">
        <v>0.0</v>
      </c>
      <c r="G279" s="270">
        <v>0.0</v>
      </c>
      <c r="H279" s="270">
        <v>0.0</v>
      </c>
      <c r="I279" s="271">
        <v>45646.0</v>
      </c>
      <c r="J279" s="271">
        <v>45677.0</v>
      </c>
      <c r="K279" s="274">
        <v>1.0</v>
      </c>
      <c r="L279" s="270">
        <v>-490.0</v>
      </c>
      <c r="M279" s="272"/>
    </row>
    <row r="280" ht="22.5" customHeight="1">
      <c r="B280" s="274" t="s">
        <v>2251</v>
      </c>
      <c r="C280" s="270" t="s">
        <v>2236</v>
      </c>
      <c r="D280" s="270">
        <v>0.0</v>
      </c>
      <c r="E280" s="270">
        <v>5.0</v>
      </c>
      <c r="F280" s="270">
        <v>15.0</v>
      </c>
      <c r="G280" s="270">
        <v>0.0</v>
      </c>
      <c r="H280" s="270">
        <v>0.0</v>
      </c>
      <c r="I280" s="271">
        <v>45627.0</v>
      </c>
      <c r="J280" s="271">
        <v>45658.0</v>
      </c>
      <c r="K280" s="274">
        <v>1.0</v>
      </c>
      <c r="L280" s="270">
        <v>-509.0</v>
      </c>
      <c r="M280" s="272"/>
    </row>
    <row r="281" ht="22.5" customHeight="1">
      <c r="A281" s="274" t="s">
        <v>2300</v>
      </c>
      <c r="B281" s="274" t="s">
        <v>2254</v>
      </c>
      <c r="C281" s="270" t="s">
        <v>1350</v>
      </c>
      <c r="D281" s="270">
        <v>15.0</v>
      </c>
      <c r="E281" s="270">
        <v>3.0</v>
      </c>
      <c r="F281" s="270">
        <v>45.0</v>
      </c>
      <c r="G281" s="270">
        <v>0.0</v>
      </c>
      <c r="H281" s="270">
        <v>0.0</v>
      </c>
      <c r="I281" s="271">
        <v>45627.0</v>
      </c>
      <c r="J281" s="271">
        <v>45658.0</v>
      </c>
      <c r="K281" s="274">
        <v>1.0</v>
      </c>
      <c r="L281" s="270">
        <v>-509.0</v>
      </c>
      <c r="M281" s="272">
        <v>45727.0</v>
      </c>
    </row>
    <row r="282" ht="22.5" customHeight="1">
      <c r="B282" s="274" t="s">
        <v>2255</v>
      </c>
      <c r="C282" s="270" t="s">
        <v>2236</v>
      </c>
      <c r="D282" s="270">
        <v>0.0</v>
      </c>
      <c r="E282" s="270">
        <v>1500.0</v>
      </c>
      <c r="F282" s="270">
        <v>0.0</v>
      </c>
      <c r="G282" s="270">
        <v>0.0</v>
      </c>
      <c r="H282" s="270">
        <v>0.0</v>
      </c>
      <c r="I282" s="271"/>
      <c r="J282" s="271"/>
      <c r="K282" s="274" t="s">
        <v>2236</v>
      </c>
      <c r="L282" s="270" t="s">
        <v>2236</v>
      </c>
      <c r="M282" s="272"/>
    </row>
    <row r="283" ht="22.5" customHeight="1">
      <c r="B283" s="274" t="s">
        <v>2256</v>
      </c>
      <c r="C283" s="270" t="s">
        <v>2236</v>
      </c>
      <c r="D283" s="270">
        <v>0.0</v>
      </c>
      <c r="E283" s="270">
        <v>500.0</v>
      </c>
      <c r="F283" s="270">
        <v>0.0</v>
      </c>
      <c r="G283" s="270">
        <v>0.0</v>
      </c>
      <c r="H283" s="270">
        <v>0.0</v>
      </c>
      <c r="I283" s="271"/>
      <c r="J283" s="271"/>
      <c r="K283" s="274" t="s">
        <v>2236</v>
      </c>
      <c r="L283" s="270" t="s">
        <v>2236</v>
      </c>
      <c r="M283" s="272"/>
    </row>
    <row r="284" ht="22.5" customHeight="1">
      <c r="A284" s="274" t="s">
        <v>2301</v>
      </c>
      <c r="B284" s="274" t="s">
        <v>2257</v>
      </c>
      <c r="C284" s="270" t="s">
        <v>2236</v>
      </c>
      <c r="D284" s="270">
        <v>18.0</v>
      </c>
      <c r="E284" s="270">
        <v>22.0</v>
      </c>
      <c r="F284" s="270">
        <v>396.0</v>
      </c>
      <c r="G284" s="270">
        <v>0.0</v>
      </c>
      <c r="H284" s="270">
        <v>0.0</v>
      </c>
      <c r="I284" s="271">
        <v>45627.0</v>
      </c>
      <c r="J284" s="271">
        <v>45658.0</v>
      </c>
      <c r="K284" s="274">
        <v>1.0</v>
      </c>
      <c r="L284" s="270">
        <v>-509.0</v>
      </c>
      <c r="M284" s="272">
        <v>45811.0</v>
      </c>
    </row>
    <row r="285" ht="22.5" customHeight="1">
      <c r="B285" s="274" t="s">
        <v>2258</v>
      </c>
      <c r="C285" s="270" t="s">
        <v>2236</v>
      </c>
      <c r="D285" s="270">
        <v>0.0</v>
      </c>
      <c r="E285" s="270">
        <v>0.0</v>
      </c>
      <c r="F285" s="270">
        <v>0.0</v>
      </c>
      <c r="G285" s="270">
        <v>0.0</v>
      </c>
      <c r="H285" s="270">
        <v>0.0</v>
      </c>
      <c r="I285" s="271">
        <v>31.0</v>
      </c>
      <c r="J285" s="271">
        <v>60.0</v>
      </c>
      <c r="K285" s="274">
        <v>1.0</v>
      </c>
      <c r="L285" s="270">
        <v>-46107.0</v>
      </c>
      <c r="M285" s="272"/>
    </row>
    <row r="286" ht="22.5" customHeight="1">
      <c r="B286" s="274" t="s">
        <v>2259</v>
      </c>
      <c r="C286" s="270" t="s">
        <v>2236</v>
      </c>
      <c r="D286" s="270">
        <v>1.0</v>
      </c>
      <c r="E286" s="270">
        <v>15000.0</v>
      </c>
      <c r="F286" s="270">
        <v>15000.0</v>
      </c>
      <c r="G286" s="270">
        <v>0.0</v>
      </c>
      <c r="H286" s="270">
        <v>0.0</v>
      </c>
      <c r="I286" s="271">
        <v>45639.0</v>
      </c>
      <c r="J286" s="271">
        <v>45670.0</v>
      </c>
      <c r="K286" s="274">
        <v>1.0</v>
      </c>
      <c r="L286" s="270">
        <v>-497.0</v>
      </c>
      <c r="M286" s="272"/>
    </row>
    <row r="287" ht="22.5" customHeight="1">
      <c r="B287" s="274" t="s">
        <v>2267</v>
      </c>
      <c r="C287" s="270" t="s">
        <v>2236</v>
      </c>
      <c r="D287" s="270">
        <v>0.0</v>
      </c>
      <c r="E287" s="270">
        <v>3000.0</v>
      </c>
      <c r="F287" s="270">
        <v>0.0</v>
      </c>
      <c r="G287" s="270">
        <v>0.0</v>
      </c>
      <c r="H287" s="270">
        <v>0.0</v>
      </c>
      <c r="I287" s="271"/>
      <c r="J287" s="271"/>
      <c r="K287" s="274" t="s">
        <v>2236</v>
      </c>
      <c r="L287" s="270" t="s">
        <v>2236</v>
      </c>
      <c r="M287" s="272"/>
    </row>
    <row r="288" ht="22.5" customHeight="1">
      <c r="B288" s="274" t="s">
        <v>2279</v>
      </c>
      <c r="C288" s="270" t="s">
        <v>2236</v>
      </c>
      <c r="D288" s="270">
        <v>0.0</v>
      </c>
      <c r="E288" s="270">
        <v>5000.0</v>
      </c>
      <c r="F288" s="270">
        <v>0.0</v>
      </c>
      <c r="G288" s="270">
        <v>0.0</v>
      </c>
      <c r="H288" s="270">
        <v>0.0</v>
      </c>
      <c r="I288" s="271"/>
      <c r="J288" s="271"/>
      <c r="K288" s="274" t="s">
        <v>2236</v>
      </c>
      <c r="L288" s="270" t="s">
        <v>2236</v>
      </c>
      <c r="M288" s="272"/>
    </row>
    <row r="289" ht="22.5" customHeight="1">
      <c r="A289" s="274" t="s">
        <v>2302</v>
      </c>
      <c r="B289" s="274" t="s">
        <v>2263</v>
      </c>
      <c r="C289" s="270" t="s">
        <v>2236</v>
      </c>
      <c r="D289" s="270">
        <v>1.0</v>
      </c>
      <c r="E289" s="270">
        <v>44488.0</v>
      </c>
      <c r="F289" s="270">
        <v>44488.0</v>
      </c>
      <c r="G289" s="270"/>
      <c r="H289" s="270"/>
      <c r="I289" s="271"/>
      <c r="J289" s="271"/>
      <c r="K289" s="274" t="s">
        <v>2236</v>
      </c>
      <c r="L289" s="270" t="s">
        <v>2236</v>
      </c>
      <c r="M289" s="272">
        <v>45686.0</v>
      </c>
    </row>
    <row r="290" ht="22.5" customHeight="1">
      <c r="B290" s="274" t="s">
        <v>2289</v>
      </c>
      <c r="C290" s="270" t="s">
        <v>2236</v>
      </c>
      <c r="D290" s="270">
        <v>1.0</v>
      </c>
      <c r="E290" s="270">
        <v>5000.0</v>
      </c>
      <c r="F290" s="270">
        <v>5000.0</v>
      </c>
      <c r="G290" s="270">
        <v>0.0</v>
      </c>
      <c r="H290" s="270">
        <v>0.0</v>
      </c>
      <c r="I290" s="271">
        <v>45650.0</v>
      </c>
      <c r="J290" s="271">
        <v>45681.0</v>
      </c>
      <c r="K290" s="274">
        <v>1.0</v>
      </c>
      <c r="L290" s="270">
        <v>-486.0</v>
      </c>
      <c r="M290" s="272">
        <v>45686.0</v>
      </c>
    </row>
    <row r="291" ht="22.5" customHeight="1">
      <c r="A291" s="274" t="s">
        <v>2291</v>
      </c>
      <c r="B291" s="274" t="s">
        <v>2292</v>
      </c>
      <c r="C291" s="270" t="s">
        <v>2236</v>
      </c>
      <c r="D291" s="270">
        <v>1.0</v>
      </c>
      <c r="E291" s="270">
        <v>5000.0</v>
      </c>
      <c r="F291" s="270">
        <v>5000.0</v>
      </c>
      <c r="G291" s="270">
        <v>0.0</v>
      </c>
      <c r="H291" s="270">
        <v>0.0</v>
      </c>
      <c r="I291" s="271">
        <v>45633.0</v>
      </c>
      <c r="J291" s="271">
        <v>45664.0</v>
      </c>
      <c r="K291" s="274">
        <v>1.0</v>
      </c>
      <c r="L291" s="270">
        <v>-503.0</v>
      </c>
      <c r="M291" s="272">
        <v>45686.0</v>
      </c>
    </row>
    <row r="292" ht="22.5" customHeight="1">
      <c r="A292" s="274" t="s">
        <v>2303</v>
      </c>
      <c r="B292" s="274" t="s">
        <v>2298</v>
      </c>
      <c r="C292" s="270" t="s">
        <v>2236</v>
      </c>
      <c r="D292" s="270">
        <v>12.0</v>
      </c>
      <c r="E292" s="270">
        <v>6.0</v>
      </c>
      <c r="F292" s="270">
        <v>72.0</v>
      </c>
      <c r="G292" s="270">
        <v>0.0</v>
      </c>
      <c r="H292" s="270">
        <v>0.0</v>
      </c>
      <c r="I292" s="271">
        <v>45651.0</v>
      </c>
      <c r="J292" s="271">
        <v>45682.0</v>
      </c>
      <c r="K292" s="274">
        <v>1.0</v>
      </c>
      <c r="L292" s="270">
        <v>-485.0</v>
      </c>
      <c r="M292" s="272">
        <v>45686.0</v>
      </c>
    </row>
    <row r="293" ht="22.5" hidden="1" customHeight="1">
      <c r="C293" s="270" t="s">
        <v>2236</v>
      </c>
      <c r="D293" s="270"/>
      <c r="E293" s="270"/>
      <c r="F293" s="270"/>
      <c r="G293" s="270"/>
      <c r="H293" s="270"/>
      <c r="I293" s="271"/>
      <c r="J293" s="271"/>
      <c r="K293" s="270"/>
      <c r="L293" s="270" t="s">
        <v>2236</v>
      </c>
      <c r="M293" s="272"/>
    </row>
    <row r="294" ht="22.5" hidden="1" customHeight="1">
      <c r="C294" s="270" t="s">
        <v>2236</v>
      </c>
      <c r="D294" s="270"/>
      <c r="E294" s="270"/>
      <c r="F294" s="270"/>
      <c r="G294" s="270"/>
      <c r="H294" s="270"/>
      <c r="I294" s="271"/>
      <c r="J294" s="271"/>
      <c r="K294" s="270"/>
      <c r="M294" s="272"/>
    </row>
    <row r="295" ht="22.5" hidden="1" customHeight="1">
      <c r="C295" s="270" t="s">
        <v>2236</v>
      </c>
      <c r="D295" s="270"/>
      <c r="E295" s="270"/>
      <c r="F295" s="270"/>
      <c r="G295" s="270"/>
      <c r="H295" s="270"/>
      <c r="I295" s="271"/>
      <c r="J295" s="271"/>
      <c r="K295" s="270"/>
      <c r="M295" s="272"/>
    </row>
    <row r="296" ht="22.5" hidden="1" customHeight="1">
      <c r="B296" s="274" t="s">
        <v>2246</v>
      </c>
      <c r="C296" s="274">
        <v>1.0</v>
      </c>
      <c r="D296" s="270"/>
      <c r="E296" s="270"/>
      <c r="F296" s="270" t="s">
        <v>874</v>
      </c>
      <c r="G296" s="270">
        <v>0.0</v>
      </c>
      <c r="H296" s="270">
        <v>0.0</v>
      </c>
      <c r="I296" s="271"/>
      <c r="J296" s="271"/>
      <c r="K296" s="270"/>
      <c r="M296" s="272"/>
    </row>
    <row r="297" ht="22.5" hidden="1" customHeight="1">
      <c r="C297" s="270"/>
      <c r="D297" s="270"/>
      <c r="E297" s="270"/>
      <c r="F297" s="270" t="s">
        <v>2247</v>
      </c>
      <c r="G297" s="270"/>
      <c r="H297" s="270">
        <v>0.0</v>
      </c>
      <c r="I297" s="271"/>
      <c r="J297" s="271"/>
      <c r="K297" s="270"/>
      <c r="M297" s="272"/>
    </row>
    <row r="298" ht="22.5" hidden="1" customHeight="1">
      <c r="C298" s="270"/>
      <c r="D298" s="270"/>
      <c r="E298" s="270"/>
      <c r="F298" s="270"/>
      <c r="G298" s="270"/>
      <c r="H298" s="270"/>
      <c r="I298" s="271"/>
      <c r="J298" s="271"/>
      <c r="K298" s="270"/>
      <c r="M298" s="272"/>
    </row>
    <row r="299" ht="22.5" hidden="1" customHeight="1">
      <c r="C299" s="270"/>
      <c r="D299" s="270"/>
      <c r="E299" s="270"/>
      <c r="F299" s="270"/>
      <c r="G299" s="270"/>
      <c r="H299" s="270"/>
      <c r="I299" s="271"/>
      <c r="J299" s="271"/>
      <c r="K299" s="270"/>
      <c r="M299" s="272"/>
    </row>
    <row r="300" ht="22.5" hidden="1" customHeight="1">
      <c r="C300" s="270"/>
      <c r="D300" s="270"/>
      <c r="E300" s="270"/>
      <c r="F300" s="270"/>
      <c r="G300" s="270"/>
      <c r="H300" s="270"/>
      <c r="I300" s="271"/>
      <c r="J300" s="271"/>
      <c r="K300" s="270"/>
      <c r="M300" s="272"/>
    </row>
    <row r="301" ht="22.5" hidden="1" customHeight="1">
      <c r="C301" s="270"/>
      <c r="D301" s="270"/>
      <c r="E301" s="270"/>
      <c r="F301" s="270"/>
      <c r="G301" s="270"/>
      <c r="H301" s="270"/>
      <c r="I301" s="271"/>
      <c r="J301" s="271" t="s">
        <v>2233</v>
      </c>
      <c r="K301" s="273">
        <v>46167.0</v>
      </c>
      <c r="L301" s="270"/>
      <c r="M301" s="272"/>
    </row>
    <row r="302" ht="22.5" hidden="1" customHeight="1">
      <c r="C302" s="270"/>
      <c r="D302" s="270"/>
      <c r="E302" s="270"/>
      <c r="F302" s="270"/>
      <c r="G302" s="270"/>
      <c r="H302" s="270"/>
      <c r="I302" s="271"/>
      <c r="J302" s="271"/>
      <c r="L302" s="270"/>
      <c r="M302" s="272"/>
    </row>
    <row r="303" ht="22.5" hidden="1" customHeight="1">
      <c r="A303" s="277" t="s">
        <v>181</v>
      </c>
      <c r="B303" s="277" t="s">
        <v>2216</v>
      </c>
      <c r="C303" s="278" t="s">
        <v>131</v>
      </c>
      <c r="D303" s="278" t="s">
        <v>2217</v>
      </c>
      <c r="E303" s="278" t="s">
        <v>8</v>
      </c>
      <c r="F303" s="278" t="s">
        <v>873</v>
      </c>
      <c r="G303" s="278" t="s">
        <v>17</v>
      </c>
      <c r="H303" s="278" t="s">
        <v>874</v>
      </c>
      <c r="I303" s="279" t="s">
        <v>2218</v>
      </c>
      <c r="J303" s="279" t="s">
        <v>876</v>
      </c>
      <c r="K303" s="277" t="s">
        <v>877</v>
      </c>
      <c r="L303" s="278" t="s">
        <v>878</v>
      </c>
      <c r="M303" s="280" t="s">
        <v>2219</v>
      </c>
      <c r="N303" s="277" t="s">
        <v>2220</v>
      </c>
    </row>
    <row r="304" ht="22.5" customHeight="1">
      <c r="B304" s="274" t="s">
        <v>2249</v>
      </c>
      <c r="C304" s="270" t="s">
        <v>2236</v>
      </c>
      <c r="D304" s="270">
        <v>0.0</v>
      </c>
      <c r="E304" s="270">
        <v>100.0</v>
      </c>
      <c r="F304" s="270">
        <v>0.0</v>
      </c>
      <c r="G304" s="270">
        <v>0.0</v>
      </c>
      <c r="H304" s="270">
        <v>0.0</v>
      </c>
      <c r="I304" s="271">
        <v>45677.0</v>
      </c>
      <c r="J304" s="271">
        <v>45708.0</v>
      </c>
      <c r="K304" s="274">
        <v>1.0</v>
      </c>
      <c r="L304" s="270">
        <v>-459.0</v>
      </c>
      <c r="M304" s="272"/>
    </row>
    <row r="305" ht="22.5" customHeight="1">
      <c r="B305" s="274" t="s">
        <v>2251</v>
      </c>
      <c r="C305" s="270" t="s">
        <v>2236</v>
      </c>
      <c r="D305" s="270">
        <v>0.0</v>
      </c>
      <c r="E305" s="270">
        <v>5.0</v>
      </c>
      <c r="F305" s="270">
        <v>15.0</v>
      </c>
      <c r="G305" s="270">
        <v>0.0</v>
      </c>
      <c r="H305" s="270">
        <v>0.0</v>
      </c>
      <c r="I305" s="271">
        <v>45658.0</v>
      </c>
      <c r="J305" s="271">
        <v>45689.0</v>
      </c>
      <c r="K305" s="274">
        <v>1.0</v>
      </c>
      <c r="L305" s="270">
        <v>-478.0</v>
      </c>
      <c r="M305" s="272"/>
    </row>
    <row r="306" ht="22.5" customHeight="1">
      <c r="B306" s="274" t="s">
        <v>2254</v>
      </c>
      <c r="C306" s="270" t="s">
        <v>1350</v>
      </c>
      <c r="D306" s="270">
        <v>0.0</v>
      </c>
      <c r="E306" s="270">
        <v>3.0</v>
      </c>
      <c r="F306" s="270">
        <v>0.0</v>
      </c>
      <c r="G306" s="270">
        <v>0.0</v>
      </c>
      <c r="H306" s="270">
        <v>0.0</v>
      </c>
      <c r="I306" s="271">
        <v>45658.0</v>
      </c>
      <c r="J306" s="271">
        <v>45689.0</v>
      </c>
      <c r="K306" s="274">
        <v>1.0</v>
      </c>
      <c r="L306" s="270">
        <v>-478.0</v>
      </c>
      <c r="M306" s="272"/>
    </row>
    <row r="307" ht="22.5" customHeight="1">
      <c r="B307" s="274" t="s">
        <v>2255</v>
      </c>
      <c r="C307" s="270" t="s">
        <v>2236</v>
      </c>
      <c r="D307" s="270">
        <v>0.0</v>
      </c>
      <c r="E307" s="270">
        <v>1500.0</v>
      </c>
      <c r="F307" s="270">
        <v>0.0</v>
      </c>
      <c r="G307" s="270">
        <v>0.0</v>
      </c>
      <c r="H307" s="270">
        <v>0.0</v>
      </c>
      <c r="I307" s="271"/>
      <c r="J307" s="271"/>
      <c r="K307" s="274" t="s">
        <v>2236</v>
      </c>
      <c r="L307" s="270" t="s">
        <v>2236</v>
      </c>
      <c r="M307" s="272"/>
    </row>
    <row r="308" ht="22.5" customHeight="1">
      <c r="B308" s="274" t="s">
        <v>2256</v>
      </c>
      <c r="C308" s="270" t="s">
        <v>2236</v>
      </c>
      <c r="D308" s="270">
        <v>0.0</v>
      </c>
      <c r="E308" s="270">
        <v>500.0</v>
      </c>
      <c r="F308" s="270">
        <v>0.0</v>
      </c>
      <c r="G308" s="270">
        <v>0.0</v>
      </c>
      <c r="H308" s="270">
        <v>0.0</v>
      </c>
      <c r="I308" s="271"/>
      <c r="J308" s="271"/>
      <c r="K308" s="274" t="s">
        <v>2236</v>
      </c>
      <c r="L308" s="270" t="s">
        <v>2236</v>
      </c>
      <c r="M308" s="272"/>
    </row>
    <row r="309" ht="22.5" customHeight="1">
      <c r="A309" s="274" t="s">
        <v>2304</v>
      </c>
      <c r="B309" s="274" t="s">
        <v>2257</v>
      </c>
      <c r="C309" s="270" t="s">
        <v>2236</v>
      </c>
      <c r="D309" s="270">
        <v>9.5</v>
      </c>
      <c r="E309" s="270">
        <v>22.0</v>
      </c>
      <c r="F309" s="270">
        <v>209.0</v>
      </c>
      <c r="G309" s="270">
        <v>0.0</v>
      </c>
      <c r="H309" s="270">
        <v>0.0</v>
      </c>
      <c r="I309" s="271">
        <v>45658.0</v>
      </c>
      <c r="J309" s="271">
        <v>45689.0</v>
      </c>
      <c r="K309" s="274">
        <v>1.0</v>
      </c>
      <c r="L309" s="270">
        <v>-478.0</v>
      </c>
      <c r="M309" s="272">
        <v>45811.0</v>
      </c>
    </row>
    <row r="310" ht="22.5" customHeight="1">
      <c r="B310" s="274" t="s">
        <v>2258</v>
      </c>
      <c r="C310" s="270" t="s">
        <v>2236</v>
      </c>
      <c r="D310" s="270">
        <v>0.0</v>
      </c>
      <c r="E310" s="270">
        <v>0.0</v>
      </c>
      <c r="F310" s="270">
        <v>0.0</v>
      </c>
      <c r="G310" s="270">
        <v>0.0</v>
      </c>
      <c r="H310" s="270">
        <v>0.0</v>
      </c>
      <c r="I310" s="271">
        <v>60.0</v>
      </c>
      <c r="J310" s="271">
        <v>88.0</v>
      </c>
      <c r="K310" s="274">
        <v>1.0</v>
      </c>
      <c r="L310" s="270">
        <v>-46079.0</v>
      </c>
      <c r="M310" s="272"/>
    </row>
    <row r="311" ht="22.5" customHeight="1">
      <c r="B311" s="274" t="s">
        <v>2259</v>
      </c>
      <c r="C311" s="270" t="s">
        <v>2236</v>
      </c>
      <c r="D311" s="270">
        <v>1.0</v>
      </c>
      <c r="E311" s="270">
        <v>15000.0</v>
      </c>
      <c r="F311" s="270">
        <v>15000.0</v>
      </c>
      <c r="G311" s="270">
        <v>0.0</v>
      </c>
      <c r="H311" s="270">
        <v>0.0</v>
      </c>
      <c r="I311" s="271">
        <v>45670.0</v>
      </c>
      <c r="J311" s="271">
        <v>45701.0</v>
      </c>
      <c r="K311" s="274">
        <v>1.0</v>
      </c>
      <c r="L311" s="270">
        <v>-466.0</v>
      </c>
      <c r="M311" s="272"/>
    </row>
    <row r="312" ht="22.5" customHeight="1">
      <c r="B312" s="274" t="s">
        <v>2267</v>
      </c>
      <c r="C312" s="270" t="s">
        <v>2236</v>
      </c>
      <c r="D312" s="270">
        <v>0.0</v>
      </c>
      <c r="E312" s="270">
        <v>3000.0</v>
      </c>
      <c r="F312" s="270">
        <v>0.0</v>
      </c>
      <c r="G312" s="270">
        <v>0.0</v>
      </c>
      <c r="H312" s="270">
        <v>0.0</v>
      </c>
      <c r="I312" s="271"/>
      <c r="J312" s="271"/>
      <c r="K312" s="274" t="s">
        <v>2236</v>
      </c>
      <c r="L312" s="270" t="s">
        <v>2236</v>
      </c>
      <c r="M312" s="272"/>
    </row>
    <row r="313" ht="22.5" customHeight="1">
      <c r="B313" s="274" t="s">
        <v>2279</v>
      </c>
      <c r="C313" s="270" t="s">
        <v>2236</v>
      </c>
      <c r="D313" s="270">
        <v>0.0</v>
      </c>
      <c r="E313" s="270">
        <v>5000.0</v>
      </c>
      <c r="F313" s="270">
        <v>0.0</v>
      </c>
      <c r="G313" s="270">
        <v>0.0</v>
      </c>
      <c r="H313" s="270">
        <v>0.0</v>
      </c>
      <c r="I313" s="271"/>
      <c r="J313" s="271"/>
      <c r="K313" s="274" t="s">
        <v>2236</v>
      </c>
      <c r="L313" s="270" t="s">
        <v>2236</v>
      </c>
      <c r="M313" s="272"/>
    </row>
    <row r="314" ht="22.5" customHeight="1">
      <c r="B314" s="274" t="s">
        <v>2263</v>
      </c>
      <c r="C314" s="270" t="s">
        <v>2236</v>
      </c>
      <c r="D314" s="270">
        <v>1.0</v>
      </c>
      <c r="E314" s="270"/>
      <c r="F314" s="270"/>
      <c r="G314" s="270">
        <v>0.0</v>
      </c>
      <c r="H314" s="270">
        <v>0.0</v>
      </c>
      <c r="I314" s="271"/>
      <c r="J314" s="271"/>
      <c r="K314" s="274" t="s">
        <v>2236</v>
      </c>
      <c r="L314" s="270" t="s">
        <v>2236</v>
      </c>
      <c r="M314" s="272"/>
    </row>
    <row r="315" ht="22.5" customHeight="1">
      <c r="B315" s="274" t="s">
        <v>2289</v>
      </c>
      <c r="C315" s="270" t="s">
        <v>2236</v>
      </c>
      <c r="D315" s="270">
        <v>1.0</v>
      </c>
      <c r="E315" s="270">
        <v>5000.0</v>
      </c>
      <c r="F315" s="270">
        <v>5000.0</v>
      </c>
      <c r="G315" s="270">
        <v>0.0</v>
      </c>
      <c r="H315" s="270">
        <v>0.0</v>
      </c>
      <c r="I315" s="271">
        <v>45681.0</v>
      </c>
      <c r="J315" s="271">
        <v>45712.0</v>
      </c>
      <c r="K315" s="274">
        <v>1.0</v>
      </c>
      <c r="L315" s="270">
        <v>-455.0</v>
      </c>
      <c r="M315" s="272">
        <v>45727.0</v>
      </c>
      <c r="N315" s="274" t="s">
        <v>2305</v>
      </c>
    </row>
    <row r="316" ht="22.5" customHeight="1">
      <c r="B316" s="274" t="s">
        <v>2292</v>
      </c>
      <c r="C316" s="270" t="s">
        <v>2236</v>
      </c>
      <c r="D316" s="270">
        <v>1.0</v>
      </c>
      <c r="E316" s="270">
        <v>5000.0</v>
      </c>
      <c r="F316" s="270">
        <v>5000.0</v>
      </c>
      <c r="G316" s="270">
        <v>0.0</v>
      </c>
      <c r="H316" s="270">
        <v>0.0</v>
      </c>
      <c r="I316" s="271">
        <v>45664.0</v>
      </c>
      <c r="J316" s="271">
        <v>45695.0</v>
      </c>
      <c r="K316" s="274">
        <v>1.0</v>
      </c>
      <c r="L316" s="270">
        <v>-472.0</v>
      </c>
      <c r="M316" s="272">
        <v>45727.0</v>
      </c>
      <c r="N316" s="274" t="s">
        <v>2306</v>
      </c>
    </row>
    <row r="317" ht="22.5" customHeight="1">
      <c r="B317" s="274" t="s">
        <v>2298</v>
      </c>
      <c r="C317" s="270" t="s">
        <v>2236</v>
      </c>
      <c r="D317" s="270">
        <v>13.0</v>
      </c>
      <c r="E317" s="270">
        <v>6.0</v>
      </c>
      <c r="F317" s="270">
        <v>78.0</v>
      </c>
      <c r="G317" s="270">
        <v>0.0</v>
      </c>
      <c r="H317" s="270">
        <v>0.0</v>
      </c>
      <c r="I317" s="271">
        <v>45682.0</v>
      </c>
      <c r="J317" s="271">
        <v>45713.0</v>
      </c>
      <c r="K317" s="281">
        <v>0.0</v>
      </c>
      <c r="L317" s="270">
        <v>-454.0</v>
      </c>
      <c r="M317" s="274" t="s">
        <v>2307</v>
      </c>
    </row>
    <row r="318" ht="22.5" hidden="1" customHeight="1">
      <c r="C318" s="270" t="s">
        <v>2236</v>
      </c>
      <c r="D318" s="270"/>
      <c r="E318" s="270"/>
      <c r="F318" s="270"/>
      <c r="G318" s="270"/>
      <c r="H318" s="270"/>
      <c r="I318" s="271"/>
      <c r="J318" s="271"/>
      <c r="K318" s="270"/>
      <c r="L318" s="270" t="s">
        <v>2236</v>
      </c>
      <c r="M318" s="272"/>
    </row>
    <row r="319" ht="22.5" hidden="1" customHeight="1">
      <c r="C319" s="270" t="s">
        <v>2236</v>
      </c>
      <c r="D319" s="270"/>
      <c r="E319" s="270"/>
      <c r="F319" s="270"/>
      <c r="G319" s="270"/>
      <c r="H319" s="270"/>
      <c r="I319" s="271"/>
      <c r="J319" s="271"/>
      <c r="K319" s="270"/>
      <c r="M319" s="272"/>
    </row>
    <row r="320" ht="22.5" hidden="1" customHeight="1">
      <c r="C320" s="270" t="s">
        <v>2236</v>
      </c>
      <c r="D320" s="270"/>
      <c r="E320" s="270"/>
      <c r="F320" s="270"/>
      <c r="G320" s="270"/>
      <c r="H320" s="270"/>
      <c r="I320" s="271"/>
      <c r="J320" s="271"/>
      <c r="K320" s="270"/>
      <c r="M320" s="272"/>
    </row>
    <row r="321" ht="22.5" hidden="1" customHeight="1">
      <c r="B321" s="274" t="s">
        <v>2246</v>
      </c>
      <c r="C321" s="274">
        <v>1.0</v>
      </c>
      <c r="D321" s="270"/>
      <c r="E321" s="270"/>
      <c r="F321" s="270" t="s">
        <v>874</v>
      </c>
      <c r="G321" s="270">
        <v>0.0</v>
      </c>
      <c r="H321" s="270">
        <v>0.0</v>
      </c>
      <c r="I321" s="271"/>
      <c r="J321" s="271"/>
      <c r="K321" s="270"/>
      <c r="M321" s="272"/>
    </row>
    <row r="322" ht="22.5" hidden="1" customHeight="1">
      <c r="C322" s="270"/>
      <c r="D322" s="270"/>
      <c r="E322" s="270"/>
      <c r="F322" s="270" t="s">
        <v>2247</v>
      </c>
      <c r="G322" s="270"/>
      <c r="H322" s="270">
        <v>0.0</v>
      </c>
      <c r="I322" s="271"/>
      <c r="J322" s="271"/>
      <c r="K322" s="270"/>
      <c r="M322" s="272"/>
    </row>
    <row r="323" ht="22.5" hidden="1" customHeight="1">
      <c r="C323" s="270"/>
      <c r="D323" s="270"/>
      <c r="E323" s="270"/>
      <c r="F323" s="270"/>
      <c r="G323" s="270"/>
      <c r="H323" s="270"/>
      <c r="I323" s="271"/>
      <c r="J323" s="271"/>
      <c r="K323" s="270"/>
      <c r="M323" s="272"/>
    </row>
    <row r="324" ht="22.5" hidden="1" customHeight="1">
      <c r="C324" s="270"/>
      <c r="D324" s="270"/>
      <c r="E324" s="270"/>
      <c r="F324" s="270"/>
      <c r="G324" s="270"/>
      <c r="H324" s="270"/>
      <c r="I324" s="271"/>
      <c r="J324" s="271"/>
      <c r="K324" s="270"/>
      <c r="M324" s="272"/>
    </row>
    <row r="325" ht="22.5" hidden="1" customHeight="1">
      <c r="C325" s="270"/>
      <c r="D325" s="270"/>
      <c r="E325" s="270"/>
      <c r="F325" s="270"/>
      <c r="G325" s="270"/>
      <c r="H325" s="270"/>
      <c r="I325" s="271"/>
      <c r="J325" s="271"/>
      <c r="K325" s="270"/>
      <c r="M325" s="272"/>
    </row>
    <row r="326" ht="22.5" hidden="1" customHeight="1">
      <c r="C326" s="270"/>
      <c r="D326" s="270"/>
      <c r="E326" s="270"/>
      <c r="F326" s="270"/>
      <c r="G326" s="270"/>
      <c r="H326" s="270"/>
      <c r="I326" s="271"/>
      <c r="J326" s="271" t="s">
        <v>2233</v>
      </c>
      <c r="K326" s="273">
        <v>46167.0</v>
      </c>
      <c r="L326" s="270"/>
      <c r="M326" s="272"/>
    </row>
    <row r="327" ht="22.5" hidden="1" customHeight="1">
      <c r="C327" s="270"/>
      <c r="D327" s="270"/>
      <c r="E327" s="270"/>
      <c r="F327" s="270"/>
      <c r="G327" s="270"/>
      <c r="H327" s="270"/>
      <c r="I327" s="271"/>
      <c r="J327" s="271"/>
      <c r="L327" s="270"/>
      <c r="M327" s="272"/>
    </row>
    <row r="328" ht="22.5" hidden="1" customHeight="1">
      <c r="A328" s="277" t="s">
        <v>181</v>
      </c>
      <c r="B328" s="277" t="s">
        <v>2216</v>
      </c>
      <c r="C328" s="278" t="s">
        <v>131</v>
      </c>
      <c r="D328" s="278" t="s">
        <v>2217</v>
      </c>
      <c r="E328" s="278" t="s">
        <v>8</v>
      </c>
      <c r="F328" s="278" t="s">
        <v>873</v>
      </c>
      <c r="G328" s="278" t="s">
        <v>17</v>
      </c>
      <c r="H328" s="278" t="s">
        <v>874</v>
      </c>
      <c r="I328" s="279" t="s">
        <v>2218</v>
      </c>
      <c r="J328" s="279" t="s">
        <v>876</v>
      </c>
      <c r="K328" s="277" t="s">
        <v>877</v>
      </c>
      <c r="L328" s="278" t="s">
        <v>878</v>
      </c>
      <c r="M328" s="280" t="s">
        <v>2219</v>
      </c>
      <c r="N328" s="277" t="s">
        <v>2220</v>
      </c>
    </row>
    <row r="329" ht="22.5" customHeight="1">
      <c r="B329" s="274" t="s">
        <v>2249</v>
      </c>
      <c r="C329" s="270" t="s">
        <v>2236</v>
      </c>
      <c r="D329" s="270">
        <v>0.0</v>
      </c>
      <c r="E329" s="270">
        <v>100.0</v>
      </c>
      <c r="F329" s="270">
        <v>0.0</v>
      </c>
      <c r="G329" s="270">
        <v>0.0</v>
      </c>
      <c r="H329" s="270">
        <v>0.0</v>
      </c>
      <c r="I329" s="271">
        <v>45708.0</v>
      </c>
      <c r="J329" s="271">
        <v>45736.0</v>
      </c>
      <c r="K329" s="274">
        <v>1.0</v>
      </c>
      <c r="L329" s="270">
        <v>-431.0</v>
      </c>
      <c r="M329" s="272"/>
    </row>
    <row r="330" ht="22.5" customHeight="1">
      <c r="B330" s="274" t="s">
        <v>2251</v>
      </c>
      <c r="C330" s="270" t="s">
        <v>2236</v>
      </c>
      <c r="D330" s="270">
        <v>0.0</v>
      </c>
      <c r="E330" s="270">
        <v>5.0</v>
      </c>
      <c r="F330" s="270">
        <v>15.0</v>
      </c>
      <c r="G330" s="270">
        <v>0.0</v>
      </c>
      <c r="H330" s="270">
        <v>0.0</v>
      </c>
      <c r="I330" s="271">
        <v>45689.0</v>
      </c>
      <c r="J330" s="271">
        <v>45717.0</v>
      </c>
      <c r="K330" s="274">
        <v>1.0</v>
      </c>
      <c r="L330" s="270">
        <v>-450.0</v>
      </c>
      <c r="M330" s="272"/>
    </row>
    <row r="331" ht="22.5" customHeight="1">
      <c r="B331" s="274" t="s">
        <v>2254</v>
      </c>
      <c r="C331" s="270" t="s">
        <v>1350</v>
      </c>
      <c r="D331" s="270">
        <v>0.0</v>
      </c>
      <c r="E331" s="270">
        <v>3.0</v>
      </c>
      <c r="F331" s="270">
        <v>0.0</v>
      </c>
      <c r="G331" s="270">
        <v>0.0</v>
      </c>
      <c r="H331" s="270">
        <v>0.0</v>
      </c>
      <c r="I331" s="271">
        <v>45689.0</v>
      </c>
      <c r="J331" s="271">
        <v>45717.0</v>
      </c>
      <c r="K331" s="274">
        <v>1.0</v>
      </c>
      <c r="L331" s="270">
        <v>-450.0</v>
      </c>
      <c r="M331" s="272"/>
    </row>
    <row r="332" ht="22.5" customHeight="1">
      <c r="B332" s="274" t="s">
        <v>2255</v>
      </c>
      <c r="C332" s="270" t="s">
        <v>2236</v>
      </c>
      <c r="D332" s="270">
        <v>0.0</v>
      </c>
      <c r="E332" s="270">
        <v>1500.0</v>
      </c>
      <c r="F332" s="270">
        <v>0.0</v>
      </c>
      <c r="G332" s="270">
        <v>0.0</v>
      </c>
      <c r="H332" s="270">
        <v>0.0</v>
      </c>
      <c r="I332" s="271"/>
      <c r="J332" s="271"/>
      <c r="K332" s="274" t="s">
        <v>2236</v>
      </c>
      <c r="L332" s="270" t="s">
        <v>2236</v>
      </c>
      <c r="M332" s="272"/>
    </row>
    <row r="333" ht="22.5" customHeight="1">
      <c r="B333" s="274" t="s">
        <v>2256</v>
      </c>
      <c r="C333" s="270" t="s">
        <v>2236</v>
      </c>
      <c r="D333" s="270">
        <v>0.0</v>
      </c>
      <c r="E333" s="270">
        <v>500.0</v>
      </c>
      <c r="F333" s="270">
        <v>0.0</v>
      </c>
      <c r="G333" s="270">
        <v>0.0</v>
      </c>
      <c r="H333" s="270">
        <v>0.0</v>
      </c>
      <c r="I333" s="271"/>
      <c r="J333" s="271"/>
      <c r="K333" s="274" t="s">
        <v>2236</v>
      </c>
      <c r="L333" s="270" t="s">
        <v>2236</v>
      </c>
      <c r="M333" s="272"/>
    </row>
    <row r="334" ht="22.5" customHeight="1">
      <c r="A334" s="274" t="s">
        <v>2308</v>
      </c>
      <c r="B334" s="274" t="s">
        <v>2257</v>
      </c>
      <c r="C334" s="270" t="s">
        <v>2236</v>
      </c>
      <c r="D334" s="270">
        <v>7.5</v>
      </c>
      <c r="E334" s="270">
        <v>22.0</v>
      </c>
      <c r="F334" s="270">
        <v>165.0</v>
      </c>
      <c r="G334" s="270">
        <v>0.0</v>
      </c>
      <c r="H334" s="270">
        <v>0.0</v>
      </c>
      <c r="I334" s="271">
        <v>45689.0</v>
      </c>
      <c r="J334" s="271">
        <v>45717.0</v>
      </c>
      <c r="K334" s="274">
        <v>1.0</v>
      </c>
      <c r="L334" s="270">
        <v>-450.0</v>
      </c>
      <c r="M334" s="272">
        <v>45844.0</v>
      </c>
    </row>
    <row r="335" ht="22.5" customHeight="1">
      <c r="B335" s="274" t="s">
        <v>2258</v>
      </c>
      <c r="C335" s="270" t="s">
        <v>2236</v>
      </c>
      <c r="D335" s="270">
        <v>0.0</v>
      </c>
      <c r="E335" s="270">
        <v>0.0</v>
      </c>
      <c r="F335" s="270">
        <v>0.0</v>
      </c>
      <c r="G335" s="270">
        <v>0.0</v>
      </c>
      <c r="H335" s="270">
        <v>0.0</v>
      </c>
      <c r="I335" s="271">
        <v>88.0</v>
      </c>
      <c r="J335" s="271">
        <v>119.0</v>
      </c>
      <c r="K335" s="274">
        <v>1.0</v>
      </c>
      <c r="L335" s="270">
        <v>-46048.0</v>
      </c>
      <c r="M335" s="272"/>
    </row>
    <row r="336" ht="22.5" customHeight="1">
      <c r="B336" s="274" t="s">
        <v>2259</v>
      </c>
      <c r="C336" s="270" t="s">
        <v>2236</v>
      </c>
      <c r="D336" s="270">
        <v>1.0</v>
      </c>
      <c r="E336" s="270">
        <v>15000.0</v>
      </c>
      <c r="F336" s="270">
        <v>15000.0</v>
      </c>
      <c r="G336" s="270">
        <v>0.0</v>
      </c>
      <c r="H336" s="270">
        <v>0.0</v>
      </c>
      <c r="I336" s="271">
        <v>45701.0</v>
      </c>
      <c r="J336" s="271">
        <v>45729.0</v>
      </c>
      <c r="K336" s="274">
        <v>1.0</v>
      </c>
      <c r="L336" s="270">
        <v>-438.0</v>
      </c>
      <c r="M336" s="272"/>
    </row>
    <row r="337" ht="22.5" customHeight="1">
      <c r="B337" s="274" t="s">
        <v>2267</v>
      </c>
      <c r="C337" s="270" t="s">
        <v>2236</v>
      </c>
      <c r="D337" s="270">
        <v>0.0</v>
      </c>
      <c r="E337" s="270">
        <v>3000.0</v>
      </c>
      <c r="F337" s="270">
        <v>0.0</v>
      </c>
      <c r="G337" s="270">
        <v>0.0</v>
      </c>
      <c r="H337" s="270">
        <v>0.0</v>
      </c>
      <c r="I337" s="271"/>
      <c r="J337" s="271"/>
      <c r="K337" s="274" t="s">
        <v>2236</v>
      </c>
      <c r="L337" s="270" t="s">
        <v>2236</v>
      </c>
      <c r="M337" s="272"/>
    </row>
    <row r="338" ht="22.5" customHeight="1">
      <c r="B338" s="274" t="s">
        <v>2279</v>
      </c>
      <c r="C338" s="270" t="s">
        <v>2236</v>
      </c>
      <c r="D338" s="270">
        <v>0.0</v>
      </c>
      <c r="E338" s="270">
        <v>5000.0</v>
      </c>
      <c r="F338" s="270">
        <v>0.0</v>
      </c>
      <c r="G338" s="270">
        <v>0.0</v>
      </c>
      <c r="H338" s="270">
        <v>0.0</v>
      </c>
      <c r="I338" s="271"/>
      <c r="J338" s="271"/>
      <c r="K338" s="274" t="s">
        <v>2236</v>
      </c>
      <c r="L338" s="270" t="s">
        <v>2236</v>
      </c>
      <c r="M338" s="272"/>
    </row>
    <row r="339" ht="22.5" customHeight="1">
      <c r="B339" s="274" t="s">
        <v>2263</v>
      </c>
      <c r="C339" s="270" t="s">
        <v>2236</v>
      </c>
      <c r="D339" s="270">
        <v>1.0</v>
      </c>
      <c r="E339" s="270"/>
      <c r="F339" s="270"/>
      <c r="G339" s="270">
        <v>0.0</v>
      </c>
      <c r="H339" s="270">
        <v>0.0</v>
      </c>
      <c r="I339" s="271"/>
      <c r="J339" s="271"/>
      <c r="K339" s="274" t="s">
        <v>2236</v>
      </c>
      <c r="L339" s="270" t="s">
        <v>2236</v>
      </c>
      <c r="M339" s="272"/>
    </row>
    <row r="340" ht="22.5" customHeight="1">
      <c r="A340" s="274" t="s">
        <v>2309</v>
      </c>
      <c r="B340" s="274" t="s">
        <v>2289</v>
      </c>
      <c r="C340" s="270" t="s">
        <v>2236</v>
      </c>
      <c r="D340" s="270">
        <v>1.0</v>
      </c>
      <c r="E340" s="270">
        <v>5000.0</v>
      </c>
      <c r="F340" s="270">
        <v>5000.0</v>
      </c>
      <c r="G340" s="270">
        <v>0.0</v>
      </c>
      <c r="H340" s="270">
        <v>0.0</v>
      </c>
      <c r="I340" s="271">
        <v>45712.0</v>
      </c>
      <c r="J340" s="271">
        <v>45740.0</v>
      </c>
      <c r="K340" s="274">
        <v>1.0</v>
      </c>
      <c r="L340" s="270">
        <v>-427.0</v>
      </c>
      <c r="M340" s="272"/>
    </row>
    <row r="341" ht="22.5" customHeight="1">
      <c r="B341" s="274" t="s">
        <v>2292</v>
      </c>
      <c r="C341" s="270" t="s">
        <v>2236</v>
      </c>
      <c r="D341" s="270">
        <v>1.0</v>
      </c>
      <c r="E341" s="270">
        <v>5000.0</v>
      </c>
      <c r="F341" s="270">
        <v>5000.0</v>
      </c>
      <c r="G341" s="270">
        <v>0.0</v>
      </c>
      <c r="H341" s="270">
        <v>0.0</v>
      </c>
      <c r="I341" s="271">
        <v>45695.0</v>
      </c>
      <c r="J341" s="271">
        <v>45723.0</v>
      </c>
      <c r="K341" s="274">
        <v>1.0</v>
      </c>
      <c r="L341" s="270">
        <v>-444.0</v>
      </c>
      <c r="M341" s="272">
        <v>45727.0</v>
      </c>
    </row>
    <row r="342" ht="22.5" customHeight="1">
      <c r="B342" s="274" t="s">
        <v>2298</v>
      </c>
      <c r="C342" s="270" t="s">
        <v>2236</v>
      </c>
      <c r="D342" s="270">
        <v>11.0</v>
      </c>
      <c r="E342" s="270">
        <v>6.0</v>
      </c>
      <c r="F342" s="270">
        <v>66.0</v>
      </c>
      <c r="G342" s="270">
        <v>0.0</v>
      </c>
      <c r="H342" s="270">
        <v>0.0</v>
      </c>
      <c r="I342" s="271">
        <v>45713.0</v>
      </c>
      <c r="J342" s="271">
        <v>45741.0</v>
      </c>
      <c r="K342" s="281">
        <v>0.0</v>
      </c>
      <c r="L342" s="270">
        <v>-426.0</v>
      </c>
      <c r="M342" s="274" t="s">
        <v>2310</v>
      </c>
    </row>
    <row r="343" ht="22.5" hidden="1" customHeight="1">
      <c r="C343" s="270" t="s">
        <v>2236</v>
      </c>
      <c r="D343" s="270"/>
      <c r="E343" s="270"/>
      <c r="F343" s="270"/>
      <c r="G343" s="270"/>
      <c r="H343" s="270"/>
      <c r="I343" s="271"/>
      <c r="J343" s="271"/>
      <c r="K343" s="270"/>
      <c r="L343" s="270" t="s">
        <v>2236</v>
      </c>
      <c r="M343" s="272"/>
    </row>
    <row r="344" ht="22.5" hidden="1" customHeight="1">
      <c r="C344" s="270" t="s">
        <v>2236</v>
      </c>
      <c r="D344" s="270"/>
      <c r="E344" s="270"/>
      <c r="F344" s="270"/>
      <c r="G344" s="270"/>
      <c r="H344" s="270"/>
      <c r="I344" s="271"/>
      <c r="J344" s="271"/>
      <c r="K344" s="270"/>
      <c r="M344" s="272"/>
    </row>
    <row r="345" ht="22.5" hidden="1" customHeight="1">
      <c r="C345" s="270" t="s">
        <v>2236</v>
      </c>
      <c r="D345" s="270"/>
      <c r="E345" s="270"/>
      <c r="F345" s="270"/>
      <c r="G345" s="270"/>
      <c r="H345" s="270"/>
      <c r="I345" s="271"/>
      <c r="J345" s="271"/>
      <c r="K345" s="270"/>
      <c r="M345" s="272"/>
    </row>
    <row r="346" ht="22.5" hidden="1" customHeight="1">
      <c r="B346" s="274" t="s">
        <v>2246</v>
      </c>
      <c r="C346" s="274">
        <v>1.0</v>
      </c>
      <c r="D346" s="270"/>
      <c r="E346" s="270"/>
      <c r="F346" s="270" t="s">
        <v>874</v>
      </c>
      <c r="G346" s="270">
        <v>0.0</v>
      </c>
      <c r="H346" s="270">
        <v>0.0</v>
      </c>
      <c r="I346" s="271"/>
      <c r="J346" s="271"/>
      <c r="K346" s="270"/>
      <c r="M346" s="272"/>
    </row>
    <row r="347" ht="22.5" hidden="1" customHeight="1">
      <c r="C347" s="270"/>
      <c r="D347" s="270"/>
      <c r="E347" s="270"/>
      <c r="F347" s="270" t="s">
        <v>2247</v>
      </c>
      <c r="G347" s="270"/>
      <c r="H347" s="270">
        <v>0.0</v>
      </c>
      <c r="I347" s="271"/>
      <c r="J347" s="271"/>
      <c r="K347" s="270"/>
      <c r="M347" s="272"/>
    </row>
    <row r="348" ht="22.5" hidden="1" customHeight="1">
      <c r="C348" s="270"/>
      <c r="D348" s="270"/>
      <c r="E348" s="270"/>
      <c r="F348" s="270"/>
      <c r="G348" s="270"/>
      <c r="H348" s="270"/>
      <c r="I348" s="271"/>
      <c r="J348" s="271"/>
      <c r="K348" s="270"/>
      <c r="M348" s="272"/>
    </row>
    <row r="349" ht="22.5" hidden="1" customHeight="1">
      <c r="C349" s="270"/>
      <c r="D349" s="270"/>
      <c r="E349" s="270"/>
      <c r="F349" s="270"/>
      <c r="G349" s="270"/>
      <c r="H349" s="270"/>
      <c r="I349" s="271"/>
      <c r="J349" s="271"/>
      <c r="K349" s="270"/>
      <c r="M349" s="272"/>
    </row>
    <row r="350" ht="22.5" hidden="1" customHeight="1">
      <c r="C350" s="270"/>
      <c r="D350" s="270"/>
      <c r="E350" s="270"/>
      <c r="F350" s="270"/>
      <c r="G350" s="270"/>
      <c r="H350" s="270"/>
      <c r="I350" s="271"/>
      <c r="J350" s="271"/>
      <c r="K350" s="270"/>
      <c r="M350" s="272"/>
    </row>
    <row r="351" ht="22.5" hidden="1" customHeight="1">
      <c r="C351" s="270"/>
      <c r="D351" s="270"/>
      <c r="E351" s="270"/>
      <c r="F351" s="270"/>
      <c r="G351" s="270"/>
      <c r="H351" s="270"/>
      <c r="I351" s="271"/>
      <c r="J351" s="271" t="s">
        <v>2233</v>
      </c>
      <c r="K351" s="273">
        <v>46167.0</v>
      </c>
      <c r="L351" s="270"/>
      <c r="M351" s="272"/>
    </row>
    <row r="352" ht="22.5" hidden="1" customHeight="1">
      <c r="C352" s="270"/>
      <c r="D352" s="270"/>
      <c r="E352" s="270"/>
      <c r="F352" s="270"/>
      <c r="G352" s="270"/>
      <c r="H352" s="270"/>
      <c r="I352" s="271"/>
      <c r="J352" s="271"/>
      <c r="L352" s="270"/>
      <c r="M352" s="272"/>
    </row>
    <row r="353" ht="22.5" hidden="1" customHeight="1">
      <c r="A353" s="277" t="s">
        <v>181</v>
      </c>
      <c r="B353" s="277" t="s">
        <v>2216</v>
      </c>
      <c r="C353" s="278" t="s">
        <v>131</v>
      </c>
      <c r="D353" s="278" t="s">
        <v>2217</v>
      </c>
      <c r="E353" s="278" t="s">
        <v>8</v>
      </c>
      <c r="F353" s="278" t="s">
        <v>873</v>
      </c>
      <c r="G353" s="278" t="s">
        <v>17</v>
      </c>
      <c r="H353" s="278" t="s">
        <v>874</v>
      </c>
      <c r="I353" s="279" t="s">
        <v>2218</v>
      </c>
      <c r="J353" s="282" t="s">
        <v>876</v>
      </c>
      <c r="K353" s="277" t="s">
        <v>877</v>
      </c>
      <c r="L353" s="278" t="s">
        <v>878</v>
      </c>
      <c r="M353" s="280" t="s">
        <v>2219</v>
      </c>
      <c r="N353" s="277" t="s">
        <v>2220</v>
      </c>
    </row>
    <row r="354" ht="22.5" customHeight="1">
      <c r="B354" s="274" t="s">
        <v>2249</v>
      </c>
      <c r="C354" s="270" t="s">
        <v>2236</v>
      </c>
      <c r="D354" s="270">
        <v>0.0</v>
      </c>
      <c r="E354" s="270">
        <v>100.0</v>
      </c>
      <c r="F354" s="270">
        <v>0.0</v>
      </c>
      <c r="G354" s="270">
        <v>0.0</v>
      </c>
      <c r="H354" s="270">
        <v>0.0</v>
      </c>
      <c r="I354" s="271">
        <v>45736.0</v>
      </c>
      <c r="J354" s="271">
        <v>45767.0</v>
      </c>
      <c r="K354" s="274">
        <v>1.0</v>
      </c>
      <c r="L354" s="270">
        <v>-400.0</v>
      </c>
      <c r="M354" s="272"/>
    </row>
    <row r="355" ht="22.5" customHeight="1">
      <c r="B355" s="274" t="s">
        <v>2251</v>
      </c>
      <c r="C355" s="270" t="s">
        <v>2236</v>
      </c>
      <c r="D355" s="270">
        <v>0.0</v>
      </c>
      <c r="E355" s="270">
        <v>5.0</v>
      </c>
      <c r="F355" s="270">
        <v>15.0</v>
      </c>
      <c r="G355" s="270">
        <v>0.0</v>
      </c>
      <c r="H355" s="270">
        <v>0.0</v>
      </c>
      <c r="I355" s="271">
        <v>45717.0</v>
      </c>
      <c r="J355" s="271">
        <v>45748.0</v>
      </c>
      <c r="K355" s="274">
        <v>1.0</v>
      </c>
      <c r="L355" s="270">
        <v>-419.0</v>
      </c>
      <c r="M355" s="272"/>
    </row>
    <row r="356" ht="22.5" customHeight="1">
      <c r="B356" s="274" t="s">
        <v>2254</v>
      </c>
      <c r="C356" s="270" t="s">
        <v>1350</v>
      </c>
      <c r="D356" s="270">
        <v>0.0</v>
      </c>
      <c r="E356" s="270">
        <v>3.0</v>
      </c>
      <c r="F356" s="270">
        <v>0.0</v>
      </c>
      <c r="G356" s="270">
        <v>0.0</v>
      </c>
      <c r="H356" s="270">
        <v>0.0</v>
      </c>
      <c r="I356" s="271">
        <v>45717.0</v>
      </c>
      <c r="J356" s="271">
        <v>45748.0</v>
      </c>
      <c r="K356" s="274">
        <v>1.0</v>
      </c>
      <c r="L356" s="270">
        <v>-419.0</v>
      </c>
      <c r="M356" s="272"/>
    </row>
    <row r="357" ht="22.5" customHeight="1">
      <c r="B357" s="274" t="s">
        <v>2255</v>
      </c>
      <c r="C357" s="270" t="s">
        <v>2236</v>
      </c>
      <c r="D357" s="270">
        <v>0.0</v>
      </c>
      <c r="E357" s="270">
        <v>1500.0</v>
      </c>
      <c r="F357" s="270">
        <v>0.0</v>
      </c>
      <c r="G357" s="270">
        <v>0.0</v>
      </c>
      <c r="H357" s="270">
        <v>0.0</v>
      </c>
      <c r="I357" s="271"/>
      <c r="J357" s="271"/>
      <c r="K357" s="274" t="s">
        <v>2236</v>
      </c>
      <c r="L357" s="270" t="s">
        <v>2236</v>
      </c>
      <c r="M357" s="272"/>
    </row>
    <row r="358" ht="22.5" customHeight="1">
      <c r="B358" s="274" t="s">
        <v>2256</v>
      </c>
      <c r="C358" s="270" t="s">
        <v>2236</v>
      </c>
      <c r="D358" s="270">
        <v>0.0</v>
      </c>
      <c r="E358" s="270">
        <v>500.0</v>
      </c>
      <c r="F358" s="270">
        <v>0.0</v>
      </c>
      <c r="G358" s="270">
        <v>0.0</v>
      </c>
      <c r="H358" s="270">
        <v>0.0</v>
      </c>
      <c r="I358" s="271"/>
      <c r="J358" s="271"/>
      <c r="K358" s="274" t="s">
        <v>2236</v>
      </c>
      <c r="L358" s="270" t="s">
        <v>2236</v>
      </c>
      <c r="M358" s="272"/>
    </row>
    <row r="359" ht="22.5" customHeight="1">
      <c r="A359" s="274" t="s">
        <v>2311</v>
      </c>
      <c r="B359" s="274" t="s">
        <v>2257</v>
      </c>
      <c r="C359" s="270" t="s">
        <v>2236</v>
      </c>
      <c r="D359" s="270">
        <v>10.5</v>
      </c>
      <c r="E359" s="270">
        <v>22.0</v>
      </c>
      <c r="F359" s="270">
        <v>231.0</v>
      </c>
      <c r="G359" s="270">
        <v>0.0</v>
      </c>
      <c r="H359" s="270">
        <v>0.0</v>
      </c>
      <c r="I359" s="271">
        <v>45717.0</v>
      </c>
      <c r="J359" s="271">
        <v>45748.0</v>
      </c>
      <c r="K359" s="274">
        <v>1.0</v>
      </c>
      <c r="L359" s="270">
        <v>-419.0</v>
      </c>
      <c r="M359" s="272">
        <v>45844.0</v>
      </c>
    </row>
    <row r="360" ht="22.5" customHeight="1">
      <c r="B360" s="274" t="s">
        <v>2258</v>
      </c>
      <c r="C360" s="270" t="s">
        <v>2236</v>
      </c>
      <c r="D360" s="270">
        <v>0.0</v>
      </c>
      <c r="E360" s="270">
        <v>0.0</v>
      </c>
      <c r="F360" s="270">
        <v>0.0</v>
      </c>
      <c r="G360" s="270">
        <v>0.0</v>
      </c>
      <c r="H360" s="270">
        <v>0.0</v>
      </c>
      <c r="I360" s="271">
        <v>119.0</v>
      </c>
      <c r="J360" s="271">
        <v>149.0</v>
      </c>
      <c r="K360" s="274">
        <v>1.0</v>
      </c>
      <c r="L360" s="270">
        <v>-46018.0</v>
      </c>
      <c r="M360" s="272"/>
    </row>
    <row r="361" ht="22.5" customHeight="1">
      <c r="B361" s="274" t="s">
        <v>2259</v>
      </c>
      <c r="C361" s="270" t="s">
        <v>2236</v>
      </c>
      <c r="D361" s="270">
        <v>0.0</v>
      </c>
      <c r="E361" s="270">
        <v>15000.0</v>
      </c>
      <c r="F361" s="270">
        <v>0.0</v>
      </c>
      <c r="G361" s="270">
        <v>0.0</v>
      </c>
      <c r="H361" s="270">
        <v>0.0</v>
      </c>
      <c r="I361" s="271">
        <v>45729.0</v>
      </c>
      <c r="J361" s="271">
        <v>45760.0</v>
      </c>
      <c r="K361" s="274">
        <v>1.0</v>
      </c>
      <c r="L361" s="270">
        <v>-407.0</v>
      </c>
      <c r="M361" s="272"/>
    </row>
    <row r="362" ht="22.5" customHeight="1">
      <c r="B362" s="274" t="s">
        <v>2267</v>
      </c>
      <c r="C362" s="270" t="s">
        <v>2236</v>
      </c>
      <c r="D362" s="270">
        <v>0.0</v>
      </c>
      <c r="E362" s="270">
        <v>3000.0</v>
      </c>
      <c r="F362" s="270">
        <v>0.0</v>
      </c>
      <c r="G362" s="270">
        <v>0.0</v>
      </c>
      <c r="H362" s="270">
        <v>0.0</v>
      </c>
      <c r="I362" s="271"/>
      <c r="J362" s="271"/>
      <c r="K362" s="274" t="s">
        <v>2236</v>
      </c>
      <c r="L362" s="270" t="s">
        <v>2236</v>
      </c>
      <c r="M362" s="272"/>
    </row>
    <row r="363" ht="22.5" customHeight="1">
      <c r="B363" s="274" t="s">
        <v>2279</v>
      </c>
      <c r="C363" s="270" t="s">
        <v>2236</v>
      </c>
      <c r="D363" s="270">
        <v>0.0</v>
      </c>
      <c r="E363" s="270">
        <v>5000.0</v>
      </c>
      <c r="F363" s="270">
        <v>0.0</v>
      </c>
      <c r="G363" s="270">
        <v>0.0</v>
      </c>
      <c r="H363" s="270">
        <v>0.0</v>
      </c>
      <c r="I363" s="271"/>
      <c r="J363" s="271"/>
      <c r="K363" s="274" t="s">
        <v>2236</v>
      </c>
      <c r="L363" s="270" t="s">
        <v>2236</v>
      </c>
      <c r="M363" s="272"/>
    </row>
    <row r="364" ht="22.5" customHeight="1">
      <c r="B364" s="274" t="s">
        <v>2263</v>
      </c>
      <c r="C364" s="270" t="s">
        <v>2236</v>
      </c>
      <c r="D364" s="270">
        <v>1.0</v>
      </c>
      <c r="E364" s="270"/>
      <c r="F364" s="270"/>
      <c r="G364" s="270">
        <v>0.0</v>
      </c>
      <c r="H364" s="270">
        <v>0.0</v>
      </c>
      <c r="I364" s="271"/>
      <c r="J364" s="271"/>
      <c r="K364" s="274" t="s">
        <v>2236</v>
      </c>
      <c r="L364" s="270" t="s">
        <v>2236</v>
      </c>
      <c r="M364" s="272"/>
    </row>
    <row r="365" ht="22.5" customHeight="1">
      <c r="A365" s="274" t="s">
        <v>2309</v>
      </c>
      <c r="B365" s="274" t="s">
        <v>2289</v>
      </c>
      <c r="C365" s="270" t="s">
        <v>1930</v>
      </c>
      <c r="D365" s="270">
        <v>1.0</v>
      </c>
      <c r="E365" s="270">
        <v>5000.0</v>
      </c>
      <c r="F365" s="270">
        <v>5000.0</v>
      </c>
      <c r="G365" s="270">
        <v>0.0</v>
      </c>
      <c r="H365" s="270">
        <v>0.0</v>
      </c>
      <c r="I365" s="271">
        <v>45740.0</v>
      </c>
      <c r="J365" s="271">
        <v>45771.0</v>
      </c>
      <c r="K365" s="274">
        <v>1.0</v>
      </c>
      <c r="L365" s="270">
        <v>-396.0</v>
      </c>
      <c r="M365" s="272"/>
    </row>
    <row r="366" ht="22.5" customHeight="1">
      <c r="B366" s="274" t="s">
        <v>2292</v>
      </c>
      <c r="C366" s="270" t="s">
        <v>2236</v>
      </c>
      <c r="D366" s="270">
        <v>1.0</v>
      </c>
      <c r="E366" s="270">
        <v>5000.0</v>
      </c>
      <c r="F366" s="270">
        <v>5000.0</v>
      </c>
      <c r="G366" s="270">
        <v>0.0</v>
      </c>
      <c r="H366" s="270">
        <v>0.0</v>
      </c>
      <c r="I366" s="271">
        <v>45723.0</v>
      </c>
      <c r="J366" s="271">
        <v>45754.0</v>
      </c>
      <c r="K366" s="274">
        <v>1.0</v>
      </c>
      <c r="L366" s="270">
        <v>-413.0</v>
      </c>
      <c r="M366" s="274" t="s">
        <v>2312</v>
      </c>
    </row>
    <row r="367" ht="22.5" customHeight="1">
      <c r="B367" s="274" t="s">
        <v>2298</v>
      </c>
      <c r="C367" s="270" t="s">
        <v>2236</v>
      </c>
      <c r="D367" s="270">
        <v>10.0</v>
      </c>
      <c r="E367" s="270">
        <v>6.0</v>
      </c>
      <c r="F367" s="270">
        <v>60.0</v>
      </c>
      <c r="G367" s="270">
        <v>0.0</v>
      </c>
      <c r="H367" s="270">
        <v>0.0</v>
      </c>
      <c r="I367" s="271">
        <v>45741.0</v>
      </c>
      <c r="J367" s="271">
        <v>45772.0</v>
      </c>
      <c r="K367" s="281">
        <v>1.0</v>
      </c>
      <c r="L367" s="270">
        <v>-395.0</v>
      </c>
      <c r="M367" s="274" t="s">
        <v>2313</v>
      </c>
    </row>
    <row r="368" ht="22.5" customHeight="1">
      <c r="A368" s="274" t="s">
        <v>2314</v>
      </c>
      <c r="B368" s="274" t="s">
        <v>2315</v>
      </c>
      <c r="C368" s="270" t="s">
        <v>2316</v>
      </c>
      <c r="D368" s="270">
        <v>1.0</v>
      </c>
      <c r="E368" s="270"/>
      <c r="F368" s="270">
        <v>5106.0</v>
      </c>
      <c r="G368" s="270"/>
      <c r="H368" s="270"/>
      <c r="I368" s="271"/>
      <c r="J368" s="271"/>
      <c r="K368" s="281"/>
      <c r="L368" s="270" t="s">
        <v>2236</v>
      </c>
      <c r="M368" s="272"/>
    </row>
    <row r="369" ht="22.5" hidden="1" customHeight="1">
      <c r="C369" s="270" t="s">
        <v>2236</v>
      </c>
      <c r="D369" s="270"/>
      <c r="E369" s="270"/>
      <c r="F369" s="270">
        <v>0.0</v>
      </c>
      <c r="G369" s="270">
        <v>0.0</v>
      </c>
      <c r="H369" s="270">
        <v>0.0</v>
      </c>
      <c r="I369" s="271"/>
      <c r="J369" s="271">
        <v>31.0</v>
      </c>
      <c r="K369" s="281">
        <v>1.0</v>
      </c>
      <c r="L369" s="270">
        <v>-46136.0</v>
      </c>
      <c r="M369" s="272"/>
    </row>
    <row r="370" ht="22.5" hidden="1" customHeight="1">
      <c r="C370" s="270" t="s">
        <v>2236</v>
      </c>
      <c r="D370" s="270"/>
      <c r="E370" s="270"/>
      <c r="F370" s="270"/>
      <c r="G370" s="270"/>
      <c r="H370" s="270"/>
      <c r="I370" s="271"/>
      <c r="J370" s="271"/>
      <c r="K370" s="270"/>
      <c r="M370" s="272"/>
    </row>
    <row r="371" ht="22.5" hidden="1" customHeight="1">
      <c r="C371" s="270" t="s">
        <v>2236</v>
      </c>
      <c r="D371" s="270"/>
      <c r="E371" s="270"/>
      <c r="F371" s="270"/>
      <c r="G371" s="270"/>
      <c r="H371" s="270"/>
      <c r="I371" s="271"/>
      <c r="J371" s="271"/>
      <c r="K371" s="270"/>
      <c r="M371" s="272"/>
    </row>
    <row r="372" ht="22.5" hidden="1" customHeight="1">
      <c r="B372" s="274" t="s">
        <v>2246</v>
      </c>
      <c r="C372" s="274">
        <v>1.0</v>
      </c>
      <c r="D372" s="270"/>
      <c r="E372" s="270"/>
      <c r="F372" s="270" t="s">
        <v>874</v>
      </c>
      <c r="G372" s="270">
        <v>0.0</v>
      </c>
      <c r="H372" s="270">
        <v>0.0</v>
      </c>
      <c r="I372" s="271"/>
      <c r="J372" s="271"/>
      <c r="K372" s="270"/>
      <c r="M372" s="272"/>
    </row>
    <row r="373" ht="22.5" hidden="1" customHeight="1">
      <c r="C373" s="270"/>
      <c r="D373" s="270"/>
      <c r="E373" s="270"/>
      <c r="F373" s="270" t="s">
        <v>2247</v>
      </c>
      <c r="G373" s="270"/>
      <c r="H373" s="270">
        <v>0.0</v>
      </c>
      <c r="I373" s="271"/>
      <c r="J373" s="271"/>
      <c r="K373" s="270"/>
      <c r="M373" s="272"/>
    </row>
    <row r="374" ht="22.5" hidden="1" customHeight="1">
      <c r="C374" s="270"/>
      <c r="D374" s="270"/>
      <c r="E374" s="270"/>
      <c r="F374" s="270"/>
      <c r="G374" s="270"/>
      <c r="H374" s="270"/>
      <c r="I374" s="271"/>
      <c r="J374" s="271"/>
      <c r="K374" s="270"/>
      <c r="M374" s="272"/>
    </row>
    <row r="375" ht="22.5" hidden="1" customHeight="1">
      <c r="C375" s="270"/>
      <c r="D375" s="270"/>
      <c r="E375" s="270"/>
      <c r="F375" s="270"/>
      <c r="G375" s="270"/>
      <c r="H375" s="270"/>
      <c r="I375" s="271"/>
      <c r="J375" s="271"/>
      <c r="K375" s="270"/>
      <c r="M375" s="272"/>
    </row>
    <row r="376" ht="22.5" hidden="1" customHeight="1">
      <c r="C376" s="270"/>
      <c r="D376" s="270"/>
      <c r="E376" s="270"/>
      <c r="F376" s="270"/>
      <c r="G376" s="270"/>
      <c r="H376" s="270"/>
      <c r="I376" s="271"/>
      <c r="J376" s="271"/>
      <c r="K376" s="270"/>
      <c r="M376" s="272"/>
    </row>
    <row r="377" ht="22.5" hidden="1" customHeight="1">
      <c r="C377" s="270" t="s">
        <v>2317</v>
      </c>
      <c r="D377" s="270"/>
      <c r="E377" s="270"/>
      <c r="F377" s="270"/>
      <c r="G377" s="270"/>
      <c r="H377" s="270"/>
      <c r="I377" s="271"/>
      <c r="J377" s="271" t="s">
        <v>2233</v>
      </c>
      <c r="K377" s="273">
        <v>46167.0</v>
      </c>
      <c r="L377" s="270"/>
      <c r="M377" s="272"/>
    </row>
    <row r="378" ht="22.5" hidden="1" customHeight="1">
      <c r="C378" s="270"/>
      <c r="D378" s="270"/>
      <c r="E378" s="270"/>
      <c r="F378" s="270"/>
      <c r="G378" s="270"/>
      <c r="H378" s="270"/>
      <c r="I378" s="271"/>
      <c r="J378" s="271"/>
      <c r="L378" s="270"/>
      <c r="M378" s="272"/>
    </row>
    <row r="379" ht="22.5" hidden="1" customHeight="1">
      <c r="A379" s="277" t="s">
        <v>181</v>
      </c>
      <c r="B379" s="277" t="s">
        <v>2216</v>
      </c>
      <c r="C379" s="278" t="s">
        <v>131</v>
      </c>
      <c r="D379" s="278" t="s">
        <v>2217</v>
      </c>
      <c r="E379" s="278" t="s">
        <v>8</v>
      </c>
      <c r="F379" s="278" t="s">
        <v>873</v>
      </c>
      <c r="G379" s="278" t="s">
        <v>17</v>
      </c>
      <c r="H379" s="278" t="s">
        <v>874</v>
      </c>
      <c r="I379" s="279" t="s">
        <v>2218</v>
      </c>
      <c r="J379" s="279" t="s">
        <v>876</v>
      </c>
      <c r="K379" s="277" t="s">
        <v>877</v>
      </c>
      <c r="L379" s="278" t="s">
        <v>878</v>
      </c>
      <c r="M379" s="280" t="s">
        <v>2219</v>
      </c>
      <c r="N379" s="277" t="s">
        <v>2220</v>
      </c>
    </row>
    <row r="380" ht="22.5" customHeight="1">
      <c r="B380" s="274" t="s">
        <v>2249</v>
      </c>
      <c r="C380" s="270" t="s">
        <v>2236</v>
      </c>
      <c r="D380" s="270">
        <v>0.0</v>
      </c>
      <c r="E380" s="270">
        <v>100.0</v>
      </c>
      <c r="F380" s="270">
        <v>0.0</v>
      </c>
      <c r="G380" s="270">
        <v>0.0</v>
      </c>
      <c r="H380" s="270">
        <v>0.0</v>
      </c>
      <c r="I380" s="271">
        <v>45767.0</v>
      </c>
      <c r="J380" s="271">
        <v>45797.0</v>
      </c>
      <c r="K380" s="281">
        <v>1.0</v>
      </c>
      <c r="L380" s="270">
        <v>-370.0</v>
      </c>
      <c r="M380" s="272"/>
    </row>
    <row r="381" ht="22.5" customHeight="1">
      <c r="B381" s="274" t="s">
        <v>2251</v>
      </c>
      <c r="C381" s="270"/>
      <c r="D381" s="270">
        <v>0.0</v>
      </c>
      <c r="E381" s="270">
        <v>5.0</v>
      </c>
      <c r="F381" s="270">
        <v>15.0</v>
      </c>
      <c r="G381" s="270">
        <v>0.0</v>
      </c>
      <c r="H381" s="270">
        <v>0.0</v>
      </c>
      <c r="I381" s="271">
        <v>45748.0</v>
      </c>
      <c r="J381" s="271">
        <v>45778.0</v>
      </c>
      <c r="K381" s="281">
        <v>1.0</v>
      </c>
      <c r="L381" s="270">
        <v>-389.0</v>
      </c>
      <c r="M381" s="272"/>
    </row>
    <row r="382" ht="22.5" customHeight="1">
      <c r="B382" s="274" t="s">
        <v>2254</v>
      </c>
      <c r="C382" s="270" t="s">
        <v>1350</v>
      </c>
      <c r="D382" s="270">
        <v>0.0</v>
      </c>
      <c r="E382" s="270">
        <v>3.0</v>
      </c>
      <c r="F382" s="270">
        <v>0.0</v>
      </c>
      <c r="G382" s="270">
        <v>0.0</v>
      </c>
      <c r="H382" s="270">
        <v>0.0</v>
      </c>
      <c r="I382" s="271">
        <v>45748.0</v>
      </c>
      <c r="J382" s="271">
        <v>45778.0</v>
      </c>
      <c r="K382" s="281">
        <v>1.0</v>
      </c>
      <c r="L382" s="270">
        <v>-389.0</v>
      </c>
      <c r="M382" s="272"/>
    </row>
    <row r="383" ht="22.5" customHeight="1">
      <c r="B383" s="274" t="s">
        <v>2255</v>
      </c>
      <c r="C383" s="270" t="s">
        <v>2236</v>
      </c>
      <c r="D383" s="270">
        <v>0.0</v>
      </c>
      <c r="E383" s="270">
        <v>1500.0</v>
      </c>
      <c r="F383" s="270">
        <v>0.0</v>
      </c>
      <c r="G383" s="270">
        <v>0.0</v>
      </c>
      <c r="H383" s="270">
        <v>0.0</v>
      </c>
      <c r="I383" s="271"/>
      <c r="J383" s="271"/>
      <c r="K383" s="281" t="s">
        <v>2236</v>
      </c>
      <c r="L383" s="270" t="s">
        <v>2236</v>
      </c>
      <c r="M383" s="272"/>
    </row>
    <row r="384" ht="22.5" customHeight="1">
      <c r="B384" s="274" t="s">
        <v>2256</v>
      </c>
      <c r="C384" s="270" t="s">
        <v>2236</v>
      </c>
      <c r="D384" s="270">
        <v>0.0</v>
      </c>
      <c r="E384" s="270">
        <v>500.0</v>
      </c>
      <c r="F384" s="270">
        <v>0.0</v>
      </c>
      <c r="G384" s="270">
        <v>0.0</v>
      </c>
      <c r="H384" s="270">
        <v>0.0</v>
      </c>
      <c r="I384" s="271"/>
      <c r="J384" s="271"/>
      <c r="K384" s="281" t="s">
        <v>2236</v>
      </c>
      <c r="L384" s="270" t="s">
        <v>2236</v>
      </c>
      <c r="M384" s="272"/>
    </row>
    <row r="385" ht="22.5" customHeight="1">
      <c r="A385" s="274" t="s">
        <v>2318</v>
      </c>
      <c r="B385" s="274" t="s">
        <v>2257</v>
      </c>
      <c r="C385" s="270"/>
      <c r="D385" s="270">
        <v>15.0</v>
      </c>
      <c r="E385" s="270">
        <v>22.0</v>
      </c>
      <c r="F385" s="270">
        <v>330.0</v>
      </c>
      <c r="G385" s="270">
        <v>0.0</v>
      </c>
      <c r="H385" s="270">
        <v>0.0</v>
      </c>
      <c r="I385" s="271">
        <v>45748.0</v>
      </c>
      <c r="J385" s="271">
        <v>45778.0</v>
      </c>
      <c r="K385" s="281">
        <v>1.0</v>
      </c>
      <c r="L385" s="270">
        <v>-389.0</v>
      </c>
      <c r="M385" s="272">
        <v>45920.0</v>
      </c>
    </row>
    <row r="386" ht="22.5" customHeight="1">
      <c r="B386" s="274" t="s">
        <v>2258</v>
      </c>
      <c r="C386" s="270" t="s">
        <v>2236</v>
      </c>
      <c r="D386" s="270">
        <v>0.0</v>
      </c>
      <c r="E386" s="270">
        <v>0.0</v>
      </c>
      <c r="F386" s="270">
        <v>0.0</v>
      </c>
      <c r="G386" s="270">
        <v>0.0</v>
      </c>
      <c r="H386" s="270">
        <v>0.0</v>
      </c>
      <c r="I386" s="271">
        <v>149.0</v>
      </c>
      <c r="J386" s="271">
        <v>180.0</v>
      </c>
      <c r="K386" s="281">
        <v>1.0</v>
      </c>
      <c r="L386" s="270">
        <v>-45987.0</v>
      </c>
      <c r="M386" s="272"/>
    </row>
    <row r="387" ht="22.5" customHeight="1">
      <c r="B387" s="274" t="s">
        <v>2259</v>
      </c>
      <c r="C387" s="270" t="s">
        <v>2236</v>
      </c>
      <c r="D387" s="270">
        <v>0.0</v>
      </c>
      <c r="E387" s="270">
        <v>15000.0</v>
      </c>
      <c r="F387" s="270">
        <v>0.0</v>
      </c>
      <c r="G387" s="270">
        <v>0.0</v>
      </c>
      <c r="H387" s="270">
        <v>0.0</v>
      </c>
      <c r="I387" s="271">
        <v>45760.0</v>
      </c>
      <c r="J387" s="271">
        <v>45790.0</v>
      </c>
      <c r="K387" s="281">
        <v>1.0</v>
      </c>
      <c r="L387" s="270">
        <v>-377.0</v>
      </c>
      <c r="M387" s="272"/>
    </row>
    <row r="388" ht="22.5" customHeight="1">
      <c r="B388" s="274" t="s">
        <v>2267</v>
      </c>
      <c r="C388" s="270" t="s">
        <v>2236</v>
      </c>
      <c r="D388" s="270">
        <v>0.0</v>
      </c>
      <c r="E388" s="270">
        <v>3000.0</v>
      </c>
      <c r="F388" s="270">
        <v>0.0</v>
      </c>
      <c r="G388" s="270">
        <v>0.0</v>
      </c>
      <c r="H388" s="270">
        <v>0.0</v>
      </c>
      <c r="I388" s="271"/>
      <c r="J388" s="271"/>
      <c r="K388" s="281" t="s">
        <v>2236</v>
      </c>
      <c r="L388" s="270" t="s">
        <v>2236</v>
      </c>
      <c r="M388" s="272"/>
    </row>
    <row r="389" ht="22.5" customHeight="1">
      <c r="B389" s="274" t="s">
        <v>2279</v>
      </c>
      <c r="C389" s="270" t="s">
        <v>2236</v>
      </c>
      <c r="D389" s="270">
        <v>0.0</v>
      </c>
      <c r="E389" s="270">
        <v>5000.0</v>
      </c>
      <c r="F389" s="270">
        <v>0.0</v>
      </c>
      <c r="G389" s="270">
        <v>0.0</v>
      </c>
      <c r="H389" s="270">
        <v>0.0</v>
      </c>
      <c r="I389" s="271"/>
      <c r="J389" s="271"/>
      <c r="K389" s="281" t="s">
        <v>2236</v>
      </c>
      <c r="L389" s="270" t="s">
        <v>2236</v>
      </c>
      <c r="M389" s="272"/>
    </row>
    <row r="390" ht="22.5" customHeight="1">
      <c r="B390" s="274" t="s">
        <v>2263</v>
      </c>
      <c r="C390" s="270" t="s">
        <v>2236</v>
      </c>
      <c r="D390" s="270">
        <v>1.0</v>
      </c>
      <c r="E390" s="270"/>
      <c r="F390" s="270"/>
      <c r="G390" s="270">
        <v>0.0</v>
      </c>
      <c r="H390" s="270">
        <v>0.0</v>
      </c>
      <c r="I390" s="271"/>
      <c r="J390" s="271"/>
      <c r="K390" s="281" t="s">
        <v>2236</v>
      </c>
      <c r="L390" s="270" t="s">
        <v>2236</v>
      </c>
      <c r="M390" s="272"/>
    </row>
    <row r="391" ht="22.5" customHeight="1">
      <c r="A391" s="274" t="s">
        <v>2309</v>
      </c>
      <c r="B391" s="274" t="s">
        <v>2289</v>
      </c>
      <c r="C391" s="270"/>
      <c r="D391" s="270">
        <v>0.0</v>
      </c>
      <c r="E391" s="270">
        <v>6000.0</v>
      </c>
      <c r="F391" s="270">
        <v>0.0</v>
      </c>
      <c r="G391" s="270">
        <v>0.0</v>
      </c>
      <c r="H391" s="270">
        <v>0.0</v>
      </c>
      <c r="I391" s="271">
        <v>45771.0</v>
      </c>
      <c r="J391" s="271">
        <v>45801.0</v>
      </c>
      <c r="K391" s="281">
        <v>1.0</v>
      </c>
      <c r="L391" s="270">
        <v>-366.0</v>
      </c>
      <c r="M391" s="272"/>
    </row>
    <row r="392" ht="22.5" customHeight="1">
      <c r="A392" s="274" t="s">
        <v>2319</v>
      </c>
      <c r="B392" s="274" t="s">
        <v>2292</v>
      </c>
      <c r="C392" s="270"/>
      <c r="D392" s="270">
        <v>0.633</v>
      </c>
      <c r="E392" s="270">
        <v>6000.0</v>
      </c>
      <c r="F392" s="270">
        <v>3798.0</v>
      </c>
      <c r="G392" s="270">
        <v>0.0</v>
      </c>
      <c r="H392" s="270">
        <v>0.0</v>
      </c>
      <c r="I392" s="271">
        <v>45754.0</v>
      </c>
      <c r="J392" s="271">
        <v>45768.0</v>
      </c>
      <c r="K392" s="281">
        <v>1.0</v>
      </c>
      <c r="L392" s="270">
        <v>-399.0</v>
      </c>
      <c r="M392" s="274" t="s">
        <v>2320</v>
      </c>
    </row>
    <row r="393" ht="22.5" customHeight="1">
      <c r="B393" s="274" t="s">
        <v>2298</v>
      </c>
      <c r="C393" s="270" t="s">
        <v>2236</v>
      </c>
      <c r="D393" s="270">
        <v>0.0</v>
      </c>
      <c r="E393" s="270">
        <v>6.0</v>
      </c>
      <c r="F393" s="270">
        <v>0.0</v>
      </c>
      <c r="G393" s="270">
        <v>0.0</v>
      </c>
      <c r="H393" s="270">
        <v>0.0</v>
      </c>
      <c r="I393" s="271">
        <v>45772.0</v>
      </c>
      <c r="J393" s="271">
        <v>45802.0</v>
      </c>
      <c r="K393" s="281">
        <v>0.0</v>
      </c>
      <c r="L393" s="270">
        <v>-365.0</v>
      </c>
      <c r="M393" s="272"/>
    </row>
    <row r="394" ht="22.5" hidden="1" customHeight="1">
      <c r="C394" s="270" t="s">
        <v>2236</v>
      </c>
      <c r="D394" s="270"/>
      <c r="E394" s="270"/>
      <c r="F394" s="270"/>
      <c r="G394" s="270"/>
      <c r="H394" s="270"/>
      <c r="I394" s="271"/>
      <c r="J394" s="271"/>
      <c r="K394" s="270"/>
      <c r="L394" s="270" t="s">
        <v>2236</v>
      </c>
      <c r="M394" s="272"/>
    </row>
    <row r="395" ht="22.5" hidden="1" customHeight="1">
      <c r="C395" s="270" t="s">
        <v>2236</v>
      </c>
      <c r="D395" s="270"/>
      <c r="E395" s="270"/>
      <c r="F395" s="270"/>
      <c r="G395" s="270"/>
      <c r="H395" s="270"/>
      <c r="I395" s="271"/>
      <c r="J395" s="271"/>
      <c r="K395" s="270"/>
      <c r="M395" s="272"/>
    </row>
    <row r="396" ht="22.5" hidden="1" customHeight="1">
      <c r="C396" s="270" t="s">
        <v>2236</v>
      </c>
      <c r="D396" s="270"/>
      <c r="E396" s="270"/>
      <c r="F396" s="270"/>
      <c r="G396" s="270"/>
      <c r="H396" s="270"/>
      <c r="I396" s="271"/>
      <c r="J396" s="271"/>
      <c r="K396" s="270"/>
      <c r="M396" s="272"/>
    </row>
    <row r="397" ht="22.5" hidden="1" customHeight="1">
      <c r="B397" s="274" t="s">
        <v>2246</v>
      </c>
      <c r="C397" s="274">
        <v>1.0</v>
      </c>
      <c r="D397" s="270"/>
      <c r="E397" s="270"/>
      <c r="F397" s="270" t="s">
        <v>874</v>
      </c>
      <c r="G397" s="270">
        <v>0.0</v>
      </c>
      <c r="H397" s="270">
        <v>0.0</v>
      </c>
      <c r="I397" s="271"/>
      <c r="J397" s="271"/>
      <c r="K397" s="270"/>
      <c r="M397" s="272"/>
    </row>
    <row r="398" ht="22.5" hidden="1" customHeight="1">
      <c r="C398" s="270"/>
      <c r="D398" s="270"/>
      <c r="E398" s="270"/>
      <c r="F398" s="270" t="s">
        <v>2247</v>
      </c>
      <c r="G398" s="270"/>
      <c r="H398" s="270">
        <v>0.0</v>
      </c>
      <c r="I398" s="271"/>
      <c r="J398" s="271"/>
      <c r="K398" s="270"/>
      <c r="M398" s="272"/>
    </row>
    <row r="399" ht="22.5" hidden="1" customHeight="1">
      <c r="C399" s="270"/>
      <c r="D399" s="270"/>
      <c r="E399" s="270"/>
      <c r="F399" s="270"/>
      <c r="G399" s="270"/>
      <c r="H399" s="270"/>
      <c r="I399" s="271"/>
      <c r="J399" s="271"/>
      <c r="K399" s="270"/>
      <c r="M399" s="272"/>
    </row>
    <row r="400" ht="22.5" hidden="1" customHeight="1">
      <c r="C400" s="270"/>
      <c r="D400" s="270"/>
      <c r="E400" s="270"/>
      <c r="F400" s="270"/>
      <c r="G400" s="270"/>
      <c r="H400" s="270"/>
      <c r="I400" s="271"/>
      <c r="J400" s="271"/>
      <c r="K400" s="270"/>
      <c r="M400" s="272"/>
    </row>
    <row r="401" ht="22.5" hidden="1" customHeight="1">
      <c r="C401" s="270"/>
      <c r="D401" s="270"/>
      <c r="E401" s="270"/>
      <c r="F401" s="270"/>
      <c r="G401" s="270"/>
      <c r="H401" s="270"/>
      <c r="I401" s="271"/>
      <c r="J401" s="271"/>
      <c r="K401" s="270"/>
      <c r="M401" s="272"/>
    </row>
    <row r="402" ht="22.5" hidden="1" customHeight="1">
      <c r="C402" s="270"/>
      <c r="D402" s="270"/>
      <c r="E402" s="270"/>
      <c r="F402" s="270"/>
      <c r="G402" s="270"/>
      <c r="H402" s="270"/>
      <c r="I402" s="271"/>
      <c r="J402" s="271" t="s">
        <v>2233</v>
      </c>
      <c r="K402" s="273">
        <v>46167.0</v>
      </c>
      <c r="L402" s="270"/>
      <c r="M402" s="272"/>
    </row>
    <row r="403" ht="22.5" hidden="1" customHeight="1">
      <c r="C403" s="270"/>
      <c r="D403" s="270"/>
      <c r="E403" s="270"/>
      <c r="F403" s="270"/>
      <c r="G403" s="270"/>
      <c r="H403" s="270"/>
      <c r="I403" s="271"/>
      <c r="J403" s="271"/>
      <c r="L403" s="270"/>
      <c r="M403" s="272"/>
    </row>
    <row r="404" ht="22.5" hidden="1" customHeight="1">
      <c r="A404" s="277" t="s">
        <v>181</v>
      </c>
      <c r="B404" s="277" t="s">
        <v>2216</v>
      </c>
      <c r="C404" s="278" t="s">
        <v>131</v>
      </c>
      <c r="D404" s="278" t="s">
        <v>2217</v>
      </c>
      <c r="E404" s="278" t="s">
        <v>8</v>
      </c>
      <c r="F404" s="278" t="s">
        <v>873</v>
      </c>
      <c r="G404" s="278" t="s">
        <v>17</v>
      </c>
      <c r="H404" s="278" t="s">
        <v>874</v>
      </c>
      <c r="I404" s="279" t="s">
        <v>2218</v>
      </c>
      <c r="J404" s="279" t="s">
        <v>876</v>
      </c>
      <c r="K404" s="277" t="s">
        <v>877</v>
      </c>
      <c r="L404" s="278" t="s">
        <v>878</v>
      </c>
      <c r="M404" s="280" t="s">
        <v>2219</v>
      </c>
      <c r="N404" s="277" t="s">
        <v>2220</v>
      </c>
    </row>
    <row r="405" ht="22.5" customHeight="1">
      <c r="B405" s="274" t="s">
        <v>2249</v>
      </c>
      <c r="C405" s="270" t="s">
        <v>2236</v>
      </c>
      <c r="D405" s="270">
        <v>0.0</v>
      </c>
      <c r="E405" s="270">
        <v>100.0</v>
      </c>
      <c r="F405" s="270">
        <v>0.0</v>
      </c>
      <c r="G405" s="270">
        <v>0.0</v>
      </c>
      <c r="H405" s="270">
        <v>0.0</v>
      </c>
      <c r="I405" s="271">
        <v>45797.0</v>
      </c>
      <c r="J405" s="271">
        <v>45828.0</v>
      </c>
      <c r="K405" s="281">
        <v>1.0</v>
      </c>
      <c r="L405" s="270">
        <v>-339.0</v>
      </c>
      <c r="M405" s="272"/>
    </row>
    <row r="406" ht="22.5" customHeight="1">
      <c r="B406" s="274" t="s">
        <v>2251</v>
      </c>
      <c r="C406" s="270" t="s">
        <v>2236</v>
      </c>
      <c r="D406" s="270">
        <v>0.0</v>
      </c>
      <c r="E406" s="270">
        <v>5.0</v>
      </c>
      <c r="F406" s="270">
        <v>15.0</v>
      </c>
      <c r="G406" s="270">
        <v>0.0</v>
      </c>
      <c r="H406" s="270">
        <v>0.0</v>
      </c>
      <c r="I406" s="271">
        <v>45778.0</v>
      </c>
      <c r="J406" s="271">
        <v>45809.0</v>
      </c>
      <c r="K406" s="281">
        <v>1.0</v>
      </c>
      <c r="L406" s="270">
        <v>-358.0</v>
      </c>
      <c r="M406" s="272"/>
    </row>
    <row r="407" ht="22.5" customHeight="1">
      <c r="B407" s="274" t="s">
        <v>2254</v>
      </c>
      <c r="C407" s="270" t="s">
        <v>1350</v>
      </c>
      <c r="D407" s="270">
        <v>0.0</v>
      </c>
      <c r="E407" s="270">
        <v>3.0</v>
      </c>
      <c r="F407" s="270">
        <v>0.0</v>
      </c>
      <c r="G407" s="270">
        <v>0.0</v>
      </c>
      <c r="H407" s="270">
        <v>0.0</v>
      </c>
      <c r="I407" s="271">
        <v>45778.0</v>
      </c>
      <c r="J407" s="271">
        <v>45809.0</v>
      </c>
      <c r="K407" s="281">
        <v>1.0</v>
      </c>
      <c r="L407" s="270">
        <v>-358.0</v>
      </c>
      <c r="M407" s="272"/>
    </row>
    <row r="408" ht="22.5" customHeight="1">
      <c r="B408" s="274" t="s">
        <v>2255</v>
      </c>
      <c r="C408" s="270" t="s">
        <v>2236</v>
      </c>
      <c r="D408" s="270">
        <v>0.0</v>
      </c>
      <c r="E408" s="270">
        <v>1500.0</v>
      </c>
      <c r="F408" s="270">
        <v>0.0</v>
      </c>
      <c r="G408" s="270">
        <v>0.0</v>
      </c>
      <c r="H408" s="270">
        <v>0.0</v>
      </c>
      <c r="I408" s="271"/>
      <c r="J408" s="271"/>
      <c r="K408" s="281" t="s">
        <v>2236</v>
      </c>
      <c r="L408" s="270" t="s">
        <v>2236</v>
      </c>
      <c r="M408" s="272"/>
    </row>
    <row r="409" ht="22.5" customHeight="1">
      <c r="B409" s="274" t="s">
        <v>2256</v>
      </c>
      <c r="C409" s="270" t="s">
        <v>2236</v>
      </c>
      <c r="D409" s="270">
        <v>0.0</v>
      </c>
      <c r="E409" s="270">
        <v>500.0</v>
      </c>
      <c r="F409" s="270">
        <v>0.0</v>
      </c>
      <c r="G409" s="270">
        <v>0.0</v>
      </c>
      <c r="H409" s="270">
        <v>0.0</v>
      </c>
      <c r="I409" s="271"/>
      <c r="J409" s="271"/>
      <c r="K409" s="281" t="s">
        <v>2236</v>
      </c>
      <c r="L409" s="270" t="s">
        <v>2236</v>
      </c>
      <c r="M409" s="272"/>
    </row>
    <row r="410" ht="22.5" customHeight="1">
      <c r="B410" s="274" t="s">
        <v>2257</v>
      </c>
      <c r="C410" s="270" t="s">
        <v>2236</v>
      </c>
      <c r="D410" s="270">
        <v>16.0</v>
      </c>
      <c r="E410" s="270">
        <v>22.0</v>
      </c>
      <c r="F410" s="270">
        <v>352.0</v>
      </c>
      <c r="G410" s="270">
        <v>0.0</v>
      </c>
      <c r="H410" s="270">
        <v>0.0</v>
      </c>
      <c r="I410" s="271">
        <v>45778.0</v>
      </c>
      <c r="J410" s="271">
        <v>45809.0</v>
      </c>
      <c r="K410" s="281">
        <v>1.0</v>
      </c>
      <c r="L410" s="270">
        <v>-358.0</v>
      </c>
      <c r="M410" s="274" t="s">
        <v>2321</v>
      </c>
    </row>
    <row r="411" ht="22.5" customHeight="1">
      <c r="B411" s="274" t="s">
        <v>2258</v>
      </c>
      <c r="C411" s="270" t="s">
        <v>2236</v>
      </c>
      <c r="D411" s="270">
        <v>0.0</v>
      </c>
      <c r="E411" s="270">
        <v>0.0</v>
      </c>
      <c r="F411" s="270">
        <v>0.0</v>
      </c>
      <c r="G411" s="270">
        <v>0.0</v>
      </c>
      <c r="H411" s="270">
        <v>0.0</v>
      </c>
      <c r="I411" s="271">
        <v>180.0</v>
      </c>
      <c r="J411" s="271">
        <v>210.0</v>
      </c>
      <c r="K411" s="281">
        <v>1.0</v>
      </c>
      <c r="L411" s="270">
        <v>-45957.0</v>
      </c>
      <c r="M411" s="272"/>
    </row>
    <row r="412" ht="22.5" customHeight="1">
      <c r="B412" s="274" t="s">
        <v>2259</v>
      </c>
      <c r="C412" s="270" t="s">
        <v>2236</v>
      </c>
      <c r="D412" s="270">
        <v>0.0</v>
      </c>
      <c r="E412" s="270">
        <v>15000.0</v>
      </c>
      <c r="F412" s="270">
        <v>0.0</v>
      </c>
      <c r="G412" s="270">
        <v>0.0</v>
      </c>
      <c r="H412" s="270">
        <v>0.0</v>
      </c>
      <c r="I412" s="271">
        <v>45790.0</v>
      </c>
      <c r="J412" s="271">
        <v>45821.0</v>
      </c>
      <c r="K412" s="281">
        <v>1.0</v>
      </c>
      <c r="L412" s="270">
        <v>-346.0</v>
      </c>
      <c r="M412" s="272"/>
    </row>
    <row r="413" ht="22.5" customHeight="1">
      <c r="B413" s="274" t="s">
        <v>2267</v>
      </c>
      <c r="C413" s="270" t="s">
        <v>2236</v>
      </c>
      <c r="D413" s="270">
        <v>0.0</v>
      </c>
      <c r="E413" s="270">
        <v>3000.0</v>
      </c>
      <c r="F413" s="270">
        <v>0.0</v>
      </c>
      <c r="G413" s="270">
        <v>0.0</v>
      </c>
      <c r="H413" s="270">
        <v>0.0</v>
      </c>
      <c r="I413" s="271"/>
      <c r="J413" s="271"/>
      <c r="K413" s="281" t="s">
        <v>2236</v>
      </c>
      <c r="L413" s="270" t="s">
        <v>2236</v>
      </c>
      <c r="M413" s="272"/>
    </row>
    <row r="414" ht="22.5" customHeight="1">
      <c r="B414" s="274" t="s">
        <v>2279</v>
      </c>
      <c r="C414" s="270" t="s">
        <v>2236</v>
      </c>
      <c r="D414" s="270">
        <v>0.0</v>
      </c>
      <c r="E414" s="270">
        <v>5000.0</v>
      </c>
      <c r="F414" s="270">
        <v>0.0</v>
      </c>
      <c r="G414" s="270">
        <v>0.0</v>
      </c>
      <c r="H414" s="270">
        <v>0.0</v>
      </c>
      <c r="I414" s="271"/>
      <c r="J414" s="271"/>
      <c r="K414" s="281" t="s">
        <v>2236</v>
      </c>
      <c r="L414" s="270" t="s">
        <v>2236</v>
      </c>
      <c r="M414" s="272"/>
    </row>
    <row r="415" ht="22.5" customHeight="1">
      <c r="B415" s="274" t="s">
        <v>2263</v>
      </c>
      <c r="C415" s="270" t="s">
        <v>2236</v>
      </c>
      <c r="D415" s="270">
        <v>1.0</v>
      </c>
      <c r="E415" s="270"/>
      <c r="F415" s="270"/>
      <c r="G415" s="270">
        <v>0.0</v>
      </c>
      <c r="H415" s="270">
        <v>0.0</v>
      </c>
      <c r="I415" s="271"/>
      <c r="J415" s="271"/>
      <c r="K415" s="281" t="s">
        <v>2236</v>
      </c>
      <c r="L415" s="270" t="s">
        <v>2236</v>
      </c>
      <c r="M415" s="272"/>
    </row>
    <row r="416" ht="22.5" customHeight="1">
      <c r="A416" s="274" t="s">
        <v>2322</v>
      </c>
      <c r="B416" s="274" t="s">
        <v>2289</v>
      </c>
      <c r="C416" s="270" t="s">
        <v>2236</v>
      </c>
      <c r="D416" s="270">
        <v>0.0</v>
      </c>
      <c r="E416" s="270">
        <v>5000.0</v>
      </c>
      <c r="F416" s="270">
        <v>0.0</v>
      </c>
      <c r="G416" s="270">
        <v>0.0</v>
      </c>
      <c r="H416" s="270">
        <v>0.0</v>
      </c>
      <c r="I416" s="271">
        <v>45801.0</v>
      </c>
      <c r="J416" s="271">
        <v>45832.0</v>
      </c>
      <c r="K416" s="281">
        <v>1.0</v>
      </c>
      <c r="L416" s="270">
        <v>-335.0</v>
      </c>
      <c r="M416" s="272"/>
    </row>
    <row r="417" ht="22.5" customHeight="1">
      <c r="A417" s="274" t="s">
        <v>2322</v>
      </c>
      <c r="B417" s="274" t="s">
        <v>2292</v>
      </c>
      <c r="C417" s="270" t="s">
        <v>1350</v>
      </c>
      <c r="D417" s="270">
        <v>0.0</v>
      </c>
      <c r="E417" s="270">
        <v>5000.0</v>
      </c>
      <c r="F417" s="270">
        <v>0.0</v>
      </c>
      <c r="G417" s="270">
        <v>0.0</v>
      </c>
      <c r="H417" s="270">
        <v>0.0</v>
      </c>
      <c r="I417" s="271">
        <v>45784.0</v>
      </c>
      <c r="J417" s="271">
        <v>45815.0</v>
      </c>
      <c r="K417" s="281">
        <v>1.0</v>
      </c>
      <c r="L417" s="270">
        <v>-352.0</v>
      </c>
    </row>
    <row r="418" ht="22.5" customHeight="1">
      <c r="B418" s="274" t="s">
        <v>2298</v>
      </c>
      <c r="C418" s="270" t="s">
        <v>2236</v>
      </c>
      <c r="D418" s="270">
        <v>0.0</v>
      </c>
      <c r="E418" s="270">
        <v>6.0</v>
      </c>
      <c r="F418" s="270">
        <v>0.0</v>
      </c>
      <c r="G418" s="270">
        <v>0.0</v>
      </c>
      <c r="H418" s="270">
        <v>0.0</v>
      </c>
      <c r="I418" s="271">
        <v>45802.0</v>
      </c>
      <c r="J418" s="271">
        <v>45833.0</v>
      </c>
      <c r="K418" s="281">
        <v>0.0</v>
      </c>
      <c r="L418" s="270">
        <v>-334.0</v>
      </c>
      <c r="M418" s="272"/>
    </row>
    <row r="419" ht="22.5" hidden="1" customHeight="1">
      <c r="C419" s="270" t="s">
        <v>2236</v>
      </c>
      <c r="D419" s="270"/>
      <c r="E419" s="270"/>
      <c r="F419" s="270"/>
      <c r="G419" s="270"/>
      <c r="H419" s="270"/>
      <c r="I419" s="271"/>
      <c r="J419" s="271"/>
      <c r="K419" s="270"/>
      <c r="L419" s="270" t="s">
        <v>2236</v>
      </c>
      <c r="M419" s="272"/>
    </row>
    <row r="420" ht="22.5" hidden="1" customHeight="1">
      <c r="C420" s="270" t="s">
        <v>2236</v>
      </c>
      <c r="D420" s="270"/>
      <c r="E420" s="270"/>
      <c r="F420" s="270"/>
      <c r="G420" s="270"/>
      <c r="H420" s="270"/>
      <c r="I420" s="271"/>
      <c r="J420" s="271"/>
      <c r="K420" s="270"/>
      <c r="M420" s="272"/>
    </row>
    <row r="421" ht="22.5" hidden="1" customHeight="1">
      <c r="C421" s="270" t="s">
        <v>2236</v>
      </c>
      <c r="D421" s="270"/>
      <c r="E421" s="270"/>
      <c r="F421" s="270"/>
      <c r="G421" s="270"/>
      <c r="H421" s="270"/>
      <c r="I421" s="271"/>
      <c r="J421" s="271"/>
      <c r="K421" s="270"/>
      <c r="M421" s="272"/>
    </row>
    <row r="422" ht="22.5" hidden="1" customHeight="1">
      <c r="B422" s="274" t="s">
        <v>2246</v>
      </c>
      <c r="C422" s="274">
        <v>2.0</v>
      </c>
      <c r="D422" s="270"/>
      <c r="E422" s="270"/>
      <c r="F422" s="270" t="s">
        <v>874</v>
      </c>
      <c r="G422" s="270">
        <v>0.0</v>
      </c>
      <c r="H422" s="270">
        <v>0.0</v>
      </c>
      <c r="I422" s="271"/>
      <c r="J422" s="271"/>
      <c r="K422" s="270"/>
      <c r="M422" s="272"/>
    </row>
    <row r="423" ht="22.5" hidden="1" customHeight="1">
      <c r="C423" s="270"/>
      <c r="D423" s="270"/>
      <c r="E423" s="270"/>
      <c r="F423" s="270" t="s">
        <v>2247</v>
      </c>
      <c r="G423" s="270"/>
      <c r="H423" s="270">
        <v>0.0</v>
      </c>
      <c r="I423" s="271"/>
      <c r="J423" s="271"/>
      <c r="K423" s="270"/>
      <c r="M423" s="272"/>
    </row>
    <row r="424" ht="22.5" hidden="1" customHeight="1">
      <c r="C424" s="270"/>
      <c r="D424" s="270"/>
      <c r="E424" s="270"/>
      <c r="F424" s="270"/>
      <c r="G424" s="270"/>
      <c r="H424" s="270"/>
      <c r="I424" s="271"/>
      <c r="J424" s="271"/>
      <c r="K424" s="270"/>
      <c r="M424" s="272"/>
    </row>
    <row r="425" ht="22.5" hidden="1" customHeight="1">
      <c r="C425" s="270"/>
      <c r="D425" s="270"/>
      <c r="E425" s="270"/>
      <c r="F425" s="270"/>
      <c r="G425" s="270"/>
      <c r="H425" s="270"/>
      <c r="I425" s="271"/>
      <c r="J425" s="271"/>
      <c r="K425" s="270"/>
      <c r="M425" s="272"/>
    </row>
    <row r="426" ht="22.5" hidden="1" customHeight="1">
      <c r="C426" s="270"/>
      <c r="D426" s="270"/>
      <c r="E426" s="270"/>
      <c r="F426" s="270"/>
      <c r="G426" s="270"/>
      <c r="H426" s="270"/>
      <c r="I426" s="271"/>
      <c r="J426" s="271"/>
      <c r="K426" s="270"/>
      <c r="M426" s="272"/>
    </row>
    <row r="427" ht="22.5" customHeight="1">
      <c r="B427" s="274" t="s">
        <v>2323</v>
      </c>
      <c r="C427" s="270"/>
      <c r="D427" s="270"/>
      <c r="E427" s="270"/>
      <c r="F427" s="270"/>
      <c r="G427" s="270"/>
      <c r="H427" s="270"/>
      <c r="I427" s="271"/>
      <c r="J427" s="271" t="s">
        <v>2233</v>
      </c>
      <c r="K427" s="273">
        <v>46167.0</v>
      </c>
      <c r="L427" s="270"/>
      <c r="M427" s="272"/>
    </row>
    <row r="428" ht="22.5" hidden="1" customHeight="1">
      <c r="C428" s="270"/>
      <c r="D428" s="270"/>
      <c r="E428" s="270"/>
      <c r="F428" s="270"/>
      <c r="G428" s="270"/>
      <c r="H428" s="270"/>
      <c r="I428" s="271"/>
      <c r="J428" s="271"/>
      <c r="L428" s="270"/>
      <c r="M428" s="272"/>
    </row>
    <row r="429" ht="22.5" hidden="1" customHeight="1">
      <c r="A429" s="277" t="s">
        <v>181</v>
      </c>
      <c r="B429" s="277" t="s">
        <v>2216</v>
      </c>
      <c r="C429" s="278" t="s">
        <v>131</v>
      </c>
      <c r="D429" s="278" t="s">
        <v>2217</v>
      </c>
      <c r="E429" s="278" t="s">
        <v>8</v>
      </c>
      <c r="F429" s="278" t="s">
        <v>873</v>
      </c>
      <c r="G429" s="278" t="s">
        <v>17</v>
      </c>
      <c r="H429" s="278" t="s">
        <v>874</v>
      </c>
      <c r="I429" s="279" t="s">
        <v>2218</v>
      </c>
      <c r="J429" s="279" t="s">
        <v>876</v>
      </c>
      <c r="K429" s="277" t="s">
        <v>877</v>
      </c>
      <c r="L429" s="278" t="s">
        <v>878</v>
      </c>
      <c r="M429" s="280" t="s">
        <v>2219</v>
      </c>
      <c r="N429" s="277" t="s">
        <v>2220</v>
      </c>
    </row>
    <row r="430" ht="22.5" customHeight="1">
      <c r="B430" s="274" t="s">
        <v>2249</v>
      </c>
      <c r="C430" s="270" t="s">
        <v>2236</v>
      </c>
      <c r="D430" s="270">
        <v>0.0</v>
      </c>
      <c r="E430" s="270">
        <v>100.0</v>
      </c>
      <c r="F430" s="270">
        <v>0.0</v>
      </c>
      <c r="G430" s="270">
        <v>0.0</v>
      </c>
      <c r="H430" s="270">
        <v>0.0</v>
      </c>
      <c r="I430" s="271"/>
      <c r="J430" s="271"/>
      <c r="K430" s="281" t="s">
        <v>2236</v>
      </c>
      <c r="L430" s="270" t="s">
        <v>2236</v>
      </c>
      <c r="M430" s="272"/>
    </row>
    <row r="431" ht="22.5" customHeight="1">
      <c r="B431" s="274" t="s">
        <v>2251</v>
      </c>
      <c r="C431" s="270" t="s">
        <v>2236</v>
      </c>
      <c r="D431" s="270">
        <v>0.0</v>
      </c>
      <c r="E431" s="270">
        <v>5.0</v>
      </c>
      <c r="F431" s="270">
        <v>15.0</v>
      </c>
      <c r="G431" s="270">
        <v>0.0</v>
      </c>
      <c r="H431" s="270">
        <v>0.0</v>
      </c>
      <c r="I431" s="271">
        <v>45597.0</v>
      </c>
      <c r="J431" s="271">
        <v>45627.0</v>
      </c>
      <c r="K431" s="281">
        <v>1.0</v>
      </c>
      <c r="L431" s="270">
        <v>-540.0</v>
      </c>
      <c r="M431" s="272"/>
    </row>
    <row r="432" ht="22.5" customHeight="1">
      <c r="A432" s="274" t="s">
        <v>2324</v>
      </c>
      <c r="B432" s="274" t="s">
        <v>2254</v>
      </c>
      <c r="C432" s="270"/>
      <c r="D432" s="270">
        <v>2.25</v>
      </c>
      <c r="E432" s="270">
        <v>3.0</v>
      </c>
      <c r="F432" s="270">
        <v>6.75</v>
      </c>
      <c r="G432" s="270">
        <v>0.0</v>
      </c>
      <c r="H432" s="270">
        <v>0.0</v>
      </c>
      <c r="I432" s="271">
        <v>45597.0</v>
      </c>
      <c r="J432" s="271">
        <v>45627.0</v>
      </c>
      <c r="K432" s="281">
        <v>1.0</v>
      </c>
      <c r="L432" s="270">
        <v>-540.0</v>
      </c>
      <c r="M432" s="272"/>
    </row>
    <row r="433" ht="22.5" customHeight="1">
      <c r="B433" s="274" t="s">
        <v>2255</v>
      </c>
      <c r="C433" s="270" t="s">
        <v>2236</v>
      </c>
      <c r="D433" s="270">
        <v>0.0</v>
      </c>
      <c r="E433" s="270">
        <v>1500.0</v>
      </c>
      <c r="F433" s="270">
        <v>0.0</v>
      </c>
      <c r="G433" s="270">
        <v>0.0</v>
      </c>
      <c r="H433" s="270">
        <v>0.0</v>
      </c>
      <c r="I433" s="271"/>
      <c r="J433" s="271"/>
      <c r="K433" s="281" t="s">
        <v>2236</v>
      </c>
      <c r="L433" s="270" t="s">
        <v>2236</v>
      </c>
      <c r="M433" s="272"/>
    </row>
    <row r="434" ht="22.5" customHeight="1">
      <c r="B434" s="274" t="s">
        <v>2256</v>
      </c>
      <c r="C434" s="270" t="s">
        <v>2236</v>
      </c>
      <c r="D434" s="270">
        <v>0.0</v>
      </c>
      <c r="E434" s="270">
        <v>500.0</v>
      </c>
      <c r="F434" s="270">
        <v>0.0</v>
      </c>
      <c r="G434" s="270">
        <v>0.0</v>
      </c>
      <c r="H434" s="270">
        <v>0.0</v>
      </c>
      <c r="I434" s="271"/>
      <c r="J434" s="271"/>
      <c r="K434" s="281" t="s">
        <v>2236</v>
      </c>
      <c r="L434" s="270" t="s">
        <v>2236</v>
      </c>
      <c r="M434" s="272"/>
    </row>
    <row r="435" ht="22.5" customHeight="1">
      <c r="B435" s="274" t="s">
        <v>2257</v>
      </c>
      <c r="C435" s="270" t="s">
        <v>2236</v>
      </c>
      <c r="D435" s="270">
        <v>9.5</v>
      </c>
      <c r="E435" s="270">
        <v>22.0</v>
      </c>
      <c r="F435" s="270">
        <v>209.0</v>
      </c>
      <c r="G435" s="270">
        <v>0.0</v>
      </c>
      <c r="H435" s="270">
        <v>0.0</v>
      </c>
      <c r="I435" s="271">
        <v>45597.0</v>
      </c>
      <c r="J435" s="271">
        <v>45627.0</v>
      </c>
      <c r="K435" s="281">
        <v>1.0</v>
      </c>
      <c r="L435" s="270">
        <v>-540.0</v>
      </c>
      <c r="M435" s="272"/>
    </row>
    <row r="436" ht="22.5" customHeight="1">
      <c r="B436" s="274" t="s">
        <v>2258</v>
      </c>
      <c r="C436" s="270" t="s">
        <v>2236</v>
      </c>
      <c r="D436" s="270">
        <v>0.0</v>
      </c>
      <c r="E436" s="270">
        <v>0.0</v>
      </c>
      <c r="F436" s="270">
        <v>0.0</v>
      </c>
      <c r="G436" s="270">
        <v>0.0</v>
      </c>
      <c r="H436" s="270">
        <v>0.0</v>
      </c>
      <c r="I436" s="271"/>
      <c r="J436" s="271">
        <v>31.0</v>
      </c>
      <c r="K436" s="281">
        <v>1.0</v>
      </c>
      <c r="L436" s="270">
        <v>-46136.0</v>
      </c>
      <c r="M436" s="272"/>
    </row>
    <row r="437" ht="22.5" customHeight="1">
      <c r="B437" s="274" t="s">
        <v>2259</v>
      </c>
      <c r="C437" s="270" t="s">
        <v>2236</v>
      </c>
      <c r="D437" s="270">
        <v>0.0</v>
      </c>
      <c r="E437" s="270">
        <v>15000.0</v>
      </c>
      <c r="F437" s="270">
        <v>0.0</v>
      </c>
      <c r="G437" s="270">
        <v>0.0</v>
      </c>
      <c r="H437" s="270">
        <v>0.0</v>
      </c>
      <c r="I437" s="271">
        <v>45609.0</v>
      </c>
      <c r="J437" s="271">
        <v>45639.0</v>
      </c>
      <c r="K437" s="281">
        <v>1.0</v>
      </c>
      <c r="L437" s="270">
        <v>-528.0</v>
      </c>
      <c r="M437" s="272"/>
    </row>
    <row r="438" ht="22.5" customHeight="1">
      <c r="B438" s="274" t="s">
        <v>2267</v>
      </c>
      <c r="C438" s="270" t="s">
        <v>2236</v>
      </c>
      <c r="D438" s="270">
        <v>0.0</v>
      </c>
      <c r="E438" s="270">
        <v>3000.0</v>
      </c>
      <c r="F438" s="270">
        <v>0.0</v>
      </c>
      <c r="G438" s="270">
        <v>0.0</v>
      </c>
      <c r="H438" s="270">
        <v>0.0</v>
      </c>
      <c r="I438" s="271"/>
      <c r="J438" s="271"/>
      <c r="K438" s="281" t="s">
        <v>2236</v>
      </c>
      <c r="L438" s="270" t="s">
        <v>2236</v>
      </c>
      <c r="M438" s="272"/>
    </row>
    <row r="439" ht="22.5" customHeight="1">
      <c r="B439" s="274" t="s">
        <v>2279</v>
      </c>
      <c r="C439" s="270" t="s">
        <v>2236</v>
      </c>
      <c r="D439" s="270">
        <v>0.0</v>
      </c>
      <c r="E439" s="270">
        <v>5000.0</v>
      </c>
      <c r="F439" s="270">
        <v>0.0</v>
      </c>
      <c r="G439" s="270">
        <v>0.0</v>
      </c>
      <c r="H439" s="270">
        <v>0.0</v>
      </c>
      <c r="I439" s="271"/>
      <c r="J439" s="271"/>
      <c r="K439" s="281" t="s">
        <v>2236</v>
      </c>
      <c r="L439" s="270" t="s">
        <v>2236</v>
      </c>
      <c r="M439" s="272"/>
    </row>
    <row r="440" ht="22.5" customHeight="1">
      <c r="B440" s="274" t="s">
        <v>2263</v>
      </c>
      <c r="C440" s="270" t="s">
        <v>2236</v>
      </c>
      <c r="D440" s="270">
        <v>1.0</v>
      </c>
      <c r="E440" s="270"/>
      <c r="F440" s="270"/>
      <c r="G440" s="270">
        <v>0.0</v>
      </c>
      <c r="H440" s="270">
        <v>0.0</v>
      </c>
      <c r="I440" s="271"/>
      <c r="J440" s="271"/>
      <c r="K440" s="281" t="s">
        <v>2236</v>
      </c>
      <c r="L440" s="270" t="s">
        <v>2236</v>
      </c>
      <c r="M440" s="272"/>
    </row>
    <row r="441" ht="22.5" customHeight="1">
      <c r="B441" s="274" t="s">
        <v>2289</v>
      </c>
      <c r="C441" s="270" t="s">
        <v>2236</v>
      </c>
      <c r="D441" s="270">
        <v>0.0</v>
      </c>
      <c r="E441" s="270">
        <v>5000.0</v>
      </c>
      <c r="F441" s="270">
        <v>0.0</v>
      </c>
      <c r="G441" s="270">
        <v>0.0</v>
      </c>
      <c r="H441" s="270">
        <v>0.0</v>
      </c>
      <c r="I441" s="271">
        <v>45620.0</v>
      </c>
      <c r="J441" s="271">
        <v>45650.0</v>
      </c>
      <c r="K441" s="281">
        <v>1.0</v>
      </c>
      <c r="L441" s="270">
        <v>-517.0</v>
      </c>
      <c r="M441" s="272"/>
    </row>
    <row r="442" ht="22.5" customHeight="1">
      <c r="A442" s="274" t="s">
        <v>2325</v>
      </c>
      <c r="B442" s="274" t="s">
        <v>2292</v>
      </c>
      <c r="C442" s="270" t="s">
        <v>2236</v>
      </c>
      <c r="D442" s="270">
        <v>0.0</v>
      </c>
      <c r="E442" s="270">
        <v>6000.0</v>
      </c>
      <c r="F442" s="270">
        <v>0.0</v>
      </c>
      <c r="G442" s="270">
        <v>0.0</v>
      </c>
      <c r="H442" s="270">
        <v>0.0</v>
      </c>
      <c r="I442" s="271">
        <v>45603.0</v>
      </c>
      <c r="J442" s="271">
        <v>45633.0</v>
      </c>
      <c r="K442" s="281">
        <v>1.0</v>
      </c>
      <c r="L442" s="270">
        <v>-534.0</v>
      </c>
      <c r="M442" s="274" t="s">
        <v>2326</v>
      </c>
    </row>
    <row r="443" ht="22.5" customHeight="1">
      <c r="B443" s="274" t="s">
        <v>2298</v>
      </c>
      <c r="C443" s="270" t="s">
        <v>2236</v>
      </c>
      <c r="D443" s="270">
        <v>0.0</v>
      </c>
      <c r="E443" s="270">
        <v>6.0</v>
      </c>
      <c r="F443" s="270">
        <v>0.0</v>
      </c>
      <c r="G443" s="270">
        <v>0.0</v>
      </c>
      <c r="H443" s="270">
        <v>0.0</v>
      </c>
      <c r="I443" s="271">
        <v>45621.0</v>
      </c>
      <c r="J443" s="271">
        <v>45651.0</v>
      </c>
      <c r="K443" s="281">
        <v>0.0</v>
      </c>
      <c r="L443" s="270">
        <v>-516.0</v>
      </c>
      <c r="M443" s="272"/>
    </row>
    <row r="444" ht="22.5" hidden="1" customHeight="1">
      <c r="C444" s="270" t="s">
        <v>2236</v>
      </c>
      <c r="D444" s="270"/>
      <c r="E444" s="270"/>
      <c r="F444" s="270"/>
      <c r="G444" s="270"/>
      <c r="H444" s="270"/>
      <c r="I444" s="271"/>
      <c r="J444" s="271"/>
      <c r="K444" s="270"/>
      <c r="L444" s="270" t="s">
        <v>2236</v>
      </c>
      <c r="M444" s="272"/>
    </row>
    <row r="445" ht="22.5" hidden="1" customHeight="1">
      <c r="C445" s="270" t="s">
        <v>2236</v>
      </c>
      <c r="D445" s="270"/>
      <c r="E445" s="270"/>
      <c r="F445" s="270"/>
      <c r="G445" s="270"/>
      <c r="H445" s="270"/>
      <c r="I445" s="271"/>
      <c r="J445" s="271"/>
      <c r="K445" s="270"/>
      <c r="M445" s="272"/>
    </row>
    <row r="446" ht="22.5" hidden="1" customHeight="1">
      <c r="C446" s="270" t="s">
        <v>2236</v>
      </c>
      <c r="D446" s="270"/>
      <c r="E446" s="270"/>
      <c r="F446" s="270"/>
      <c r="G446" s="270"/>
      <c r="H446" s="270"/>
      <c r="I446" s="271"/>
      <c r="J446" s="271"/>
      <c r="K446" s="270"/>
      <c r="M446" s="272"/>
    </row>
    <row r="447" ht="22.5" hidden="1" customHeight="1">
      <c r="B447" s="274" t="s">
        <v>2246</v>
      </c>
      <c r="C447" s="274">
        <v>0.0</v>
      </c>
      <c r="D447" s="270"/>
      <c r="E447" s="270"/>
      <c r="F447" s="270" t="s">
        <v>874</v>
      </c>
      <c r="G447" s="270">
        <v>0.0</v>
      </c>
      <c r="H447" s="270">
        <v>0.0</v>
      </c>
      <c r="I447" s="271"/>
      <c r="J447" s="271"/>
      <c r="K447" s="270"/>
      <c r="M447" s="272"/>
    </row>
    <row r="448" ht="22.5" hidden="1" customHeight="1">
      <c r="C448" s="270"/>
      <c r="D448" s="270"/>
      <c r="E448" s="270"/>
      <c r="F448" s="270" t="s">
        <v>2247</v>
      </c>
      <c r="G448" s="270"/>
      <c r="H448" s="270">
        <v>0.0</v>
      </c>
      <c r="I448" s="271"/>
      <c r="J448" s="271"/>
      <c r="K448" s="270"/>
      <c r="M448" s="272"/>
    </row>
    <row r="449" ht="22.5" hidden="1" customHeight="1">
      <c r="C449" s="270"/>
      <c r="D449" s="270"/>
      <c r="E449" s="270"/>
      <c r="F449" s="270"/>
      <c r="G449" s="270"/>
      <c r="H449" s="270"/>
      <c r="I449" s="271"/>
      <c r="J449" s="271"/>
      <c r="K449" s="270"/>
      <c r="M449" s="272"/>
    </row>
    <row r="450" ht="22.5" hidden="1" customHeight="1">
      <c r="C450" s="270"/>
      <c r="D450" s="270"/>
      <c r="E450" s="270"/>
      <c r="F450" s="270"/>
      <c r="G450" s="270"/>
      <c r="H450" s="270"/>
      <c r="I450" s="271"/>
      <c r="J450" s="271"/>
      <c r="K450" s="270"/>
      <c r="M450" s="272"/>
    </row>
    <row r="451" ht="22.5" hidden="1" customHeight="1">
      <c r="C451" s="270"/>
      <c r="D451" s="270"/>
      <c r="E451" s="270"/>
      <c r="F451" s="270"/>
      <c r="G451" s="270"/>
      <c r="H451" s="270"/>
      <c r="I451" s="271"/>
      <c r="J451" s="271"/>
      <c r="K451" s="270"/>
      <c r="M451" s="272"/>
    </row>
    <row r="452" ht="22.5" hidden="1" customHeight="1">
      <c r="C452" s="270"/>
      <c r="D452" s="270"/>
      <c r="E452" s="270"/>
      <c r="F452" s="270"/>
      <c r="G452" s="270"/>
      <c r="H452" s="270"/>
      <c r="I452" s="271"/>
      <c r="J452" s="271" t="s">
        <v>2233</v>
      </c>
      <c r="K452" s="273">
        <v>46167.0</v>
      </c>
      <c r="L452" s="270"/>
      <c r="M452" s="272"/>
    </row>
    <row r="453" ht="22.5" hidden="1" customHeight="1">
      <c r="C453" s="270"/>
      <c r="D453" s="270"/>
      <c r="E453" s="270"/>
      <c r="F453" s="270"/>
      <c r="G453" s="270"/>
      <c r="H453" s="270"/>
      <c r="I453" s="271"/>
      <c r="J453" s="271"/>
      <c r="L453" s="270"/>
      <c r="M453" s="272"/>
    </row>
    <row r="454" ht="22.5" hidden="1" customHeight="1">
      <c r="A454" s="277" t="s">
        <v>181</v>
      </c>
      <c r="B454" s="277" t="s">
        <v>2216</v>
      </c>
      <c r="C454" s="278" t="s">
        <v>131</v>
      </c>
      <c r="D454" s="278" t="s">
        <v>2217</v>
      </c>
      <c r="E454" s="278" t="s">
        <v>8</v>
      </c>
      <c r="F454" s="278" t="s">
        <v>873</v>
      </c>
      <c r="G454" s="278" t="s">
        <v>17</v>
      </c>
      <c r="H454" s="278" t="s">
        <v>874</v>
      </c>
      <c r="I454" s="279" t="s">
        <v>2218</v>
      </c>
      <c r="J454" s="279" t="s">
        <v>876</v>
      </c>
      <c r="K454" s="277" t="s">
        <v>877</v>
      </c>
      <c r="L454" s="278" t="s">
        <v>878</v>
      </c>
      <c r="M454" s="280" t="s">
        <v>2219</v>
      </c>
      <c r="N454" s="277" t="s">
        <v>2220</v>
      </c>
    </row>
    <row r="455" ht="22.5" customHeight="1">
      <c r="B455" s="274" t="s">
        <v>2249</v>
      </c>
      <c r="C455" s="270" t="s">
        <v>2236</v>
      </c>
      <c r="D455" s="270">
        <v>0.0</v>
      </c>
      <c r="E455" s="270">
        <v>100.0</v>
      </c>
      <c r="F455" s="270">
        <v>0.0</v>
      </c>
      <c r="G455" s="270">
        <v>0.0</v>
      </c>
      <c r="H455" s="270">
        <v>0.0</v>
      </c>
      <c r="I455" s="271"/>
      <c r="J455" s="271"/>
      <c r="K455" s="281" t="s">
        <v>2236</v>
      </c>
      <c r="L455" s="270" t="s">
        <v>2236</v>
      </c>
      <c r="M455" s="272"/>
    </row>
    <row r="456" ht="22.5" customHeight="1">
      <c r="B456" s="274" t="s">
        <v>2251</v>
      </c>
      <c r="C456" s="270" t="s">
        <v>2236</v>
      </c>
      <c r="D456" s="270">
        <v>0.0</v>
      </c>
      <c r="E456" s="270">
        <v>5.0</v>
      </c>
      <c r="F456" s="270">
        <v>15.0</v>
      </c>
      <c r="G456" s="270">
        <v>0.0</v>
      </c>
      <c r="H456" s="270">
        <v>0.0</v>
      </c>
      <c r="I456" s="271">
        <v>45597.0</v>
      </c>
      <c r="J456" s="271">
        <v>45627.0</v>
      </c>
      <c r="K456" s="281">
        <v>1.0</v>
      </c>
      <c r="L456" s="270">
        <v>-540.0</v>
      </c>
      <c r="M456" s="272"/>
    </row>
    <row r="457" ht="22.5" customHeight="1">
      <c r="A457" s="274" t="s">
        <v>2327</v>
      </c>
      <c r="B457" s="274" t="s">
        <v>2254</v>
      </c>
      <c r="C457" s="270"/>
      <c r="D457" s="270">
        <v>8.25</v>
      </c>
      <c r="E457" s="270">
        <v>3.0</v>
      </c>
      <c r="F457" s="270">
        <v>24.75</v>
      </c>
      <c r="G457" s="270">
        <v>0.0</v>
      </c>
      <c r="H457" s="270">
        <v>0.0</v>
      </c>
      <c r="I457" s="271">
        <v>45597.0</v>
      </c>
      <c r="J457" s="271">
        <v>45627.0</v>
      </c>
      <c r="K457" s="281">
        <v>1.0</v>
      </c>
      <c r="L457" s="270">
        <v>-540.0</v>
      </c>
      <c r="M457" s="272"/>
    </row>
    <row r="458" ht="22.5" customHeight="1">
      <c r="B458" s="274" t="s">
        <v>2255</v>
      </c>
      <c r="C458" s="270" t="s">
        <v>2236</v>
      </c>
      <c r="D458" s="270">
        <v>0.0</v>
      </c>
      <c r="E458" s="270">
        <v>1500.0</v>
      </c>
      <c r="F458" s="270">
        <v>0.0</v>
      </c>
      <c r="G458" s="270">
        <v>0.0</v>
      </c>
      <c r="H458" s="270">
        <v>0.0</v>
      </c>
      <c r="I458" s="271"/>
      <c r="J458" s="271"/>
      <c r="K458" s="281" t="s">
        <v>2236</v>
      </c>
      <c r="L458" s="270" t="s">
        <v>2236</v>
      </c>
      <c r="M458" s="272"/>
    </row>
    <row r="459" ht="22.5" customHeight="1">
      <c r="B459" s="274" t="s">
        <v>2256</v>
      </c>
      <c r="C459" s="270" t="s">
        <v>2236</v>
      </c>
      <c r="D459" s="270">
        <v>0.0</v>
      </c>
      <c r="E459" s="270">
        <v>500.0</v>
      </c>
      <c r="F459" s="270">
        <v>0.0</v>
      </c>
      <c r="G459" s="270">
        <v>0.0</v>
      </c>
      <c r="H459" s="270">
        <v>0.0</v>
      </c>
      <c r="I459" s="271"/>
      <c r="J459" s="271"/>
      <c r="K459" s="281" t="s">
        <v>2236</v>
      </c>
      <c r="L459" s="270" t="s">
        <v>2236</v>
      </c>
      <c r="M459" s="272"/>
    </row>
    <row r="460" ht="22.5" customHeight="1">
      <c r="B460" s="274" t="s">
        <v>2257</v>
      </c>
      <c r="C460" s="270" t="s">
        <v>2236</v>
      </c>
      <c r="D460" s="270">
        <v>0.0</v>
      </c>
      <c r="E460" s="270">
        <v>22.0</v>
      </c>
      <c r="F460" s="270">
        <v>0.0</v>
      </c>
      <c r="G460" s="270">
        <v>0.0</v>
      </c>
      <c r="H460" s="270">
        <v>0.0</v>
      </c>
      <c r="I460" s="271">
        <v>45597.0</v>
      </c>
      <c r="J460" s="271">
        <v>45627.0</v>
      </c>
      <c r="K460" s="281">
        <v>1.0</v>
      </c>
      <c r="L460" s="270">
        <v>-540.0</v>
      </c>
      <c r="M460" s="272"/>
    </row>
    <row r="461" ht="22.5" customHeight="1">
      <c r="B461" s="274" t="s">
        <v>2258</v>
      </c>
      <c r="C461" s="270" t="s">
        <v>2236</v>
      </c>
      <c r="D461" s="270">
        <v>0.0</v>
      </c>
      <c r="E461" s="270">
        <v>0.0</v>
      </c>
      <c r="F461" s="270">
        <v>0.0</v>
      </c>
      <c r="G461" s="270">
        <v>0.0</v>
      </c>
      <c r="H461" s="270">
        <v>0.0</v>
      </c>
      <c r="I461" s="271"/>
      <c r="J461" s="271">
        <v>31.0</v>
      </c>
      <c r="K461" s="281">
        <v>1.0</v>
      </c>
      <c r="L461" s="270">
        <v>-46136.0</v>
      </c>
      <c r="M461" s="272"/>
    </row>
    <row r="462" ht="22.5" customHeight="1">
      <c r="B462" s="274" t="s">
        <v>2259</v>
      </c>
      <c r="C462" s="270" t="s">
        <v>2236</v>
      </c>
      <c r="D462" s="270">
        <v>0.0</v>
      </c>
      <c r="E462" s="270">
        <v>15000.0</v>
      </c>
      <c r="F462" s="270">
        <v>0.0</v>
      </c>
      <c r="G462" s="270">
        <v>0.0</v>
      </c>
      <c r="H462" s="270">
        <v>0.0</v>
      </c>
      <c r="I462" s="271">
        <v>45609.0</v>
      </c>
      <c r="J462" s="271">
        <v>45639.0</v>
      </c>
      <c r="K462" s="281">
        <v>1.0</v>
      </c>
      <c r="L462" s="270">
        <v>-528.0</v>
      </c>
      <c r="M462" s="272"/>
    </row>
    <row r="463" ht="22.5" customHeight="1">
      <c r="B463" s="274" t="s">
        <v>2267</v>
      </c>
      <c r="C463" s="270" t="s">
        <v>2236</v>
      </c>
      <c r="D463" s="270">
        <v>0.0</v>
      </c>
      <c r="E463" s="270">
        <v>3000.0</v>
      </c>
      <c r="F463" s="270">
        <v>0.0</v>
      </c>
      <c r="G463" s="270">
        <v>0.0</v>
      </c>
      <c r="H463" s="270">
        <v>0.0</v>
      </c>
      <c r="I463" s="271"/>
      <c r="J463" s="271"/>
      <c r="K463" s="281" t="s">
        <v>2236</v>
      </c>
      <c r="L463" s="270" t="s">
        <v>2236</v>
      </c>
      <c r="M463" s="272"/>
    </row>
    <row r="464" ht="22.5" customHeight="1">
      <c r="B464" s="274" t="s">
        <v>2279</v>
      </c>
      <c r="C464" s="270" t="s">
        <v>2236</v>
      </c>
      <c r="D464" s="270">
        <v>0.0</v>
      </c>
      <c r="E464" s="270">
        <v>5000.0</v>
      </c>
      <c r="F464" s="270">
        <v>0.0</v>
      </c>
      <c r="G464" s="270">
        <v>0.0</v>
      </c>
      <c r="H464" s="270">
        <v>0.0</v>
      </c>
      <c r="I464" s="271"/>
      <c r="J464" s="271"/>
      <c r="K464" s="281" t="s">
        <v>2236</v>
      </c>
      <c r="L464" s="270" t="s">
        <v>2236</v>
      </c>
      <c r="M464" s="272"/>
    </row>
    <row r="465" ht="22.5" customHeight="1">
      <c r="B465" s="274" t="s">
        <v>2328</v>
      </c>
      <c r="C465" s="270" t="s">
        <v>2236</v>
      </c>
      <c r="D465" s="270"/>
      <c r="E465" s="270"/>
      <c r="F465" s="270"/>
      <c r="G465" s="270"/>
      <c r="H465" s="270"/>
      <c r="I465" s="271"/>
      <c r="J465" s="271"/>
      <c r="K465" s="281" t="s">
        <v>2236</v>
      </c>
      <c r="L465" s="270" t="s">
        <v>2236</v>
      </c>
      <c r="M465" s="272"/>
    </row>
    <row r="466" ht="22.5" customHeight="1">
      <c r="A466" s="274" t="s">
        <v>2329</v>
      </c>
      <c r="B466" s="274" t="s">
        <v>2263</v>
      </c>
      <c r="C466" s="270" t="s">
        <v>2236</v>
      </c>
      <c r="D466" s="270">
        <v>1.0</v>
      </c>
      <c r="E466" s="270"/>
      <c r="F466" s="270"/>
      <c r="G466" s="270">
        <v>0.0</v>
      </c>
      <c r="H466" s="270">
        <v>0.0</v>
      </c>
      <c r="I466" s="271"/>
      <c r="J466" s="271"/>
      <c r="K466" s="281" t="s">
        <v>2236</v>
      </c>
      <c r="L466" s="270" t="s">
        <v>2236</v>
      </c>
      <c r="M466" s="272"/>
    </row>
    <row r="467" ht="22.5" customHeight="1">
      <c r="A467" s="274" t="s">
        <v>2330</v>
      </c>
      <c r="B467" s="274" t="s">
        <v>2289</v>
      </c>
      <c r="C467" s="270" t="s">
        <v>2236</v>
      </c>
      <c r="D467" s="270">
        <v>1.0</v>
      </c>
      <c r="E467" s="270">
        <v>6000.0</v>
      </c>
      <c r="F467" s="270">
        <v>6000.0</v>
      </c>
      <c r="G467" s="270">
        <v>0.0</v>
      </c>
      <c r="H467" s="270">
        <v>0.0</v>
      </c>
      <c r="I467" s="271">
        <v>45620.0</v>
      </c>
      <c r="J467" s="271">
        <v>45650.0</v>
      </c>
      <c r="K467" s="281">
        <v>1.0</v>
      </c>
      <c r="L467" s="270">
        <v>-517.0</v>
      </c>
      <c r="M467" s="272"/>
    </row>
    <row r="468" ht="22.5" customHeight="1">
      <c r="A468" s="274" t="s">
        <v>2331</v>
      </c>
      <c r="B468" s="274" t="s">
        <v>2292</v>
      </c>
      <c r="C468" s="270" t="s">
        <v>2236</v>
      </c>
      <c r="D468" s="270">
        <v>0.0</v>
      </c>
      <c r="E468" s="270">
        <v>6000.0</v>
      </c>
      <c r="F468" s="270">
        <v>0.0</v>
      </c>
      <c r="G468" s="270">
        <v>0.0</v>
      </c>
      <c r="H468" s="270">
        <v>0.0</v>
      </c>
      <c r="I468" s="271">
        <v>45603.0</v>
      </c>
      <c r="J468" s="271">
        <v>45633.0</v>
      </c>
      <c r="K468" s="281">
        <v>1.0</v>
      </c>
      <c r="L468" s="270">
        <v>-534.0</v>
      </c>
      <c r="M468" s="274" t="s">
        <v>2332</v>
      </c>
    </row>
    <row r="469" ht="22.5" customHeight="1">
      <c r="B469" s="274" t="s">
        <v>2298</v>
      </c>
      <c r="C469" s="270" t="s">
        <v>2236</v>
      </c>
      <c r="D469" s="270">
        <v>0.0</v>
      </c>
      <c r="E469" s="270">
        <v>6.0</v>
      </c>
      <c r="F469" s="270">
        <v>0.0</v>
      </c>
      <c r="G469" s="270">
        <v>0.0</v>
      </c>
      <c r="H469" s="270">
        <v>0.0</v>
      </c>
      <c r="I469" s="271">
        <v>45621.0</v>
      </c>
      <c r="J469" s="271">
        <v>45651.0</v>
      </c>
      <c r="K469" s="281">
        <v>0.0</v>
      </c>
      <c r="L469" s="270">
        <v>-516.0</v>
      </c>
      <c r="M469" s="272"/>
    </row>
    <row r="470" ht="22.5" hidden="1" customHeight="1">
      <c r="C470" s="270" t="s">
        <v>2236</v>
      </c>
      <c r="D470" s="270"/>
      <c r="E470" s="270"/>
      <c r="F470" s="270"/>
      <c r="G470" s="270"/>
      <c r="H470" s="270"/>
      <c r="I470" s="271"/>
      <c r="J470" s="271"/>
      <c r="K470" s="270"/>
      <c r="L470" s="270" t="s">
        <v>2236</v>
      </c>
      <c r="M470" s="272"/>
    </row>
    <row r="471" ht="22.5" hidden="1" customHeight="1">
      <c r="C471" s="270" t="s">
        <v>2236</v>
      </c>
      <c r="D471" s="270"/>
      <c r="E471" s="270"/>
      <c r="F471" s="270"/>
      <c r="G471" s="270"/>
      <c r="H471" s="270"/>
      <c r="I471" s="271"/>
      <c r="J471" s="271"/>
      <c r="K471" s="270"/>
      <c r="M471" s="272"/>
    </row>
    <row r="472" ht="22.5" hidden="1" customHeight="1">
      <c r="C472" s="270" t="s">
        <v>2236</v>
      </c>
      <c r="D472" s="270"/>
      <c r="E472" s="270"/>
      <c r="F472" s="270"/>
      <c r="G472" s="270"/>
      <c r="H472" s="270"/>
      <c r="I472" s="271"/>
      <c r="J472" s="271"/>
      <c r="K472" s="270"/>
      <c r="M472" s="272"/>
    </row>
    <row r="473" ht="22.5" hidden="1" customHeight="1">
      <c r="B473" s="274" t="s">
        <v>2246</v>
      </c>
      <c r="C473" s="274">
        <v>0.0</v>
      </c>
      <c r="D473" s="270"/>
      <c r="E473" s="270"/>
      <c r="F473" s="270" t="s">
        <v>874</v>
      </c>
      <c r="G473" s="270">
        <v>0.0</v>
      </c>
      <c r="H473" s="270">
        <v>0.0</v>
      </c>
      <c r="I473" s="271"/>
      <c r="J473" s="271"/>
      <c r="K473" s="270"/>
      <c r="M473" s="272"/>
    </row>
    <row r="474" ht="22.5" hidden="1" customHeight="1">
      <c r="C474" s="270"/>
      <c r="D474" s="270"/>
      <c r="E474" s="270"/>
      <c r="F474" s="270" t="s">
        <v>2247</v>
      </c>
      <c r="G474" s="270"/>
      <c r="H474" s="270">
        <v>0.0</v>
      </c>
      <c r="I474" s="271"/>
      <c r="J474" s="271"/>
      <c r="K474" s="270"/>
      <c r="M474" s="272"/>
    </row>
    <row r="475" ht="22.5" hidden="1" customHeight="1">
      <c r="C475" s="270"/>
      <c r="D475" s="270"/>
      <c r="E475" s="270"/>
      <c r="F475" s="270"/>
      <c r="G475" s="270"/>
      <c r="H475" s="270"/>
      <c r="I475" s="271"/>
      <c r="J475" s="271"/>
      <c r="K475" s="270"/>
      <c r="M475" s="272"/>
    </row>
    <row r="476" ht="22.5" hidden="1" customHeight="1">
      <c r="C476" s="270"/>
      <c r="D476" s="270"/>
      <c r="E476" s="270"/>
      <c r="F476" s="270"/>
      <c r="G476" s="270"/>
      <c r="H476" s="270"/>
      <c r="I476" s="271"/>
      <c r="J476" s="271"/>
      <c r="K476" s="270"/>
      <c r="M476" s="272"/>
    </row>
    <row r="477" ht="22.5" hidden="1" customHeight="1">
      <c r="C477" s="270"/>
      <c r="D477" s="270"/>
      <c r="E477" s="270"/>
      <c r="F477" s="270"/>
      <c r="G477" s="270"/>
      <c r="H477" s="270"/>
      <c r="I477" s="271"/>
      <c r="J477" s="271"/>
      <c r="K477" s="270"/>
      <c r="M477" s="272"/>
    </row>
    <row r="478" ht="22.5" hidden="1" customHeight="1">
      <c r="C478" s="270"/>
      <c r="D478" s="270"/>
      <c r="E478" s="270"/>
      <c r="F478" s="270"/>
      <c r="G478" s="270"/>
      <c r="H478" s="270"/>
      <c r="I478" s="271"/>
      <c r="J478" s="271" t="s">
        <v>2233</v>
      </c>
      <c r="K478" s="273">
        <v>46167.0</v>
      </c>
      <c r="L478" s="270"/>
      <c r="M478" s="272"/>
    </row>
    <row r="479" ht="22.5" hidden="1" customHeight="1">
      <c r="C479" s="270"/>
      <c r="D479" s="270"/>
      <c r="E479" s="270"/>
      <c r="F479" s="270"/>
      <c r="G479" s="270"/>
      <c r="H479" s="270"/>
      <c r="I479" s="271"/>
      <c r="J479" s="271"/>
      <c r="L479" s="270"/>
      <c r="M479" s="272"/>
    </row>
    <row r="480" ht="22.5" hidden="1" customHeight="1">
      <c r="A480" s="277" t="s">
        <v>181</v>
      </c>
      <c r="B480" s="277" t="s">
        <v>2216</v>
      </c>
      <c r="C480" s="278" t="s">
        <v>131</v>
      </c>
      <c r="D480" s="278" t="s">
        <v>2217</v>
      </c>
      <c r="E480" s="278" t="s">
        <v>8</v>
      </c>
      <c r="F480" s="278" t="s">
        <v>873</v>
      </c>
      <c r="G480" s="278" t="s">
        <v>17</v>
      </c>
      <c r="H480" s="278" t="s">
        <v>874</v>
      </c>
      <c r="I480" s="279" t="s">
        <v>2218</v>
      </c>
      <c r="J480" s="279" t="s">
        <v>876</v>
      </c>
      <c r="K480" s="277" t="s">
        <v>877</v>
      </c>
      <c r="L480" s="278" t="s">
        <v>878</v>
      </c>
      <c r="M480" s="280" t="s">
        <v>2219</v>
      </c>
      <c r="N480" s="277" t="s">
        <v>2220</v>
      </c>
    </row>
    <row r="481" ht="22.5" customHeight="1">
      <c r="B481" s="274" t="s">
        <v>2249</v>
      </c>
      <c r="C481" s="270" t="s">
        <v>2236</v>
      </c>
      <c r="D481" s="270">
        <v>0.0</v>
      </c>
      <c r="E481" s="270">
        <v>100.0</v>
      </c>
      <c r="F481" s="270">
        <v>0.0</v>
      </c>
      <c r="G481" s="270">
        <v>0.0</v>
      </c>
      <c r="H481" s="270">
        <v>0.0</v>
      </c>
      <c r="I481" s="271"/>
      <c r="J481" s="271"/>
      <c r="K481" s="281" t="s">
        <v>2236</v>
      </c>
      <c r="L481" s="270" t="s">
        <v>2236</v>
      </c>
      <c r="M481" s="272"/>
    </row>
    <row r="482" ht="22.5" customHeight="1">
      <c r="B482" s="274" t="s">
        <v>2251</v>
      </c>
      <c r="C482" s="270" t="s">
        <v>2236</v>
      </c>
      <c r="D482" s="270">
        <v>0.0</v>
      </c>
      <c r="E482" s="270">
        <v>5.0</v>
      </c>
      <c r="F482" s="270">
        <v>15.0</v>
      </c>
      <c r="G482" s="270">
        <v>0.0</v>
      </c>
      <c r="H482" s="270">
        <v>0.0</v>
      </c>
      <c r="I482" s="271">
        <v>45597.0</v>
      </c>
      <c r="J482" s="271">
        <v>45627.0</v>
      </c>
      <c r="K482" s="281">
        <v>1.0</v>
      </c>
      <c r="L482" s="270">
        <v>-540.0</v>
      </c>
      <c r="M482" s="272"/>
    </row>
    <row r="483" ht="22.5" customHeight="1">
      <c r="A483" s="274" t="s">
        <v>2333</v>
      </c>
      <c r="B483" s="274" t="s">
        <v>2254</v>
      </c>
      <c r="C483" s="270"/>
      <c r="D483" s="270">
        <v>12.0</v>
      </c>
      <c r="E483" s="270">
        <v>3.0</v>
      </c>
      <c r="F483" s="270">
        <v>36.0</v>
      </c>
      <c r="G483" s="270">
        <v>0.0</v>
      </c>
      <c r="H483" s="270">
        <v>0.0</v>
      </c>
      <c r="I483" s="271">
        <v>45597.0</v>
      </c>
      <c r="J483" s="271">
        <v>45627.0</v>
      </c>
      <c r="K483" s="281">
        <v>1.0</v>
      </c>
      <c r="L483" s="270">
        <v>-540.0</v>
      </c>
      <c r="M483" s="272"/>
    </row>
    <row r="484" ht="22.5" customHeight="1">
      <c r="B484" s="274" t="s">
        <v>2255</v>
      </c>
      <c r="C484" s="270" t="s">
        <v>2236</v>
      </c>
      <c r="D484" s="270">
        <v>0.0</v>
      </c>
      <c r="E484" s="270">
        <v>1500.0</v>
      </c>
      <c r="F484" s="270">
        <v>0.0</v>
      </c>
      <c r="G484" s="270">
        <v>0.0</v>
      </c>
      <c r="H484" s="270">
        <v>0.0</v>
      </c>
      <c r="I484" s="271"/>
      <c r="J484" s="271"/>
      <c r="K484" s="281" t="s">
        <v>2236</v>
      </c>
      <c r="L484" s="270" t="s">
        <v>2236</v>
      </c>
      <c r="M484" s="272"/>
    </row>
    <row r="485" ht="22.5" customHeight="1">
      <c r="B485" s="274" t="s">
        <v>2256</v>
      </c>
      <c r="C485" s="270" t="s">
        <v>2236</v>
      </c>
      <c r="D485" s="270">
        <v>0.0</v>
      </c>
      <c r="E485" s="270">
        <v>500.0</v>
      </c>
      <c r="F485" s="270">
        <v>0.0</v>
      </c>
      <c r="G485" s="270">
        <v>0.0</v>
      </c>
      <c r="H485" s="270">
        <v>0.0</v>
      </c>
      <c r="I485" s="271"/>
      <c r="J485" s="271"/>
      <c r="K485" s="281" t="s">
        <v>2236</v>
      </c>
      <c r="L485" s="270" t="s">
        <v>2236</v>
      </c>
      <c r="M485" s="272"/>
    </row>
    <row r="486" ht="22.5" customHeight="1">
      <c r="B486" s="274" t="s">
        <v>2257</v>
      </c>
      <c r="C486" s="270" t="s">
        <v>2236</v>
      </c>
      <c r="D486" s="270">
        <v>0.0</v>
      </c>
      <c r="E486" s="270">
        <v>22.0</v>
      </c>
      <c r="F486" s="270">
        <v>0.0</v>
      </c>
      <c r="G486" s="270">
        <v>0.0</v>
      </c>
      <c r="H486" s="270">
        <v>0.0</v>
      </c>
      <c r="I486" s="271">
        <v>45597.0</v>
      </c>
      <c r="J486" s="271">
        <v>45627.0</v>
      </c>
      <c r="K486" s="281">
        <v>1.0</v>
      </c>
      <c r="L486" s="270">
        <v>-540.0</v>
      </c>
      <c r="M486" s="272"/>
    </row>
    <row r="487" ht="22.5" customHeight="1">
      <c r="B487" s="274" t="s">
        <v>2258</v>
      </c>
      <c r="C487" s="270" t="s">
        <v>2236</v>
      </c>
      <c r="D487" s="270">
        <v>0.0</v>
      </c>
      <c r="E487" s="270">
        <v>0.0</v>
      </c>
      <c r="F487" s="270">
        <v>0.0</v>
      </c>
      <c r="G487" s="270">
        <v>0.0</v>
      </c>
      <c r="H487" s="270">
        <v>0.0</v>
      </c>
      <c r="I487" s="271"/>
      <c r="J487" s="271">
        <v>31.0</v>
      </c>
      <c r="K487" s="281">
        <v>1.0</v>
      </c>
      <c r="L487" s="270">
        <v>-46136.0</v>
      </c>
      <c r="M487" s="272"/>
    </row>
    <row r="488" ht="22.5" customHeight="1">
      <c r="B488" s="274" t="s">
        <v>2259</v>
      </c>
      <c r="C488" s="270" t="s">
        <v>2236</v>
      </c>
      <c r="D488" s="270">
        <v>0.0</v>
      </c>
      <c r="E488" s="270">
        <v>15000.0</v>
      </c>
      <c r="F488" s="270">
        <v>0.0</v>
      </c>
      <c r="G488" s="270">
        <v>0.0</v>
      </c>
      <c r="H488" s="270">
        <v>0.0</v>
      </c>
      <c r="I488" s="271">
        <v>45609.0</v>
      </c>
      <c r="J488" s="271">
        <v>45639.0</v>
      </c>
      <c r="K488" s="281">
        <v>1.0</v>
      </c>
      <c r="L488" s="270">
        <v>-528.0</v>
      </c>
      <c r="M488" s="272"/>
    </row>
    <row r="489" ht="22.5" customHeight="1">
      <c r="B489" s="274" t="s">
        <v>2267</v>
      </c>
      <c r="C489" s="270" t="s">
        <v>2236</v>
      </c>
      <c r="D489" s="270">
        <v>0.0</v>
      </c>
      <c r="E489" s="270">
        <v>3000.0</v>
      </c>
      <c r="F489" s="270">
        <v>0.0</v>
      </c>
      <c r="G489" s="270">
        <v>0.0</v>
      </c>
      <c r="H489" s="270">
        <v>0.0</v>
      </c>
      <c r="I489" s="271"/>
      <c r="J489" s="271"/>
      <c r="K489" s="281" t="s">
        <v>2236</v>
      </c>
      <c r="L489" s="270" t="s">
        <v>2236</v>
      </c>
      <c r="M489" s="272"/>
    </row>
    <row r="490" ht="22.5" customHeight="1">
      <c r="B490" s="274" t="s">
        <v>2279</v>
      </c>
      <c r="C490" s="270" t="s">
        <v>2236</v>
      </c>
      <c r="D490" s="270">
        <v>0.0</v>
      </c>
      <c r="E490" s="270">
        <v>5000.0</v>
      </c>
      <c r="F490" s="270">
        <v>0.0</v>
      </c>
      <c r="G490" s="270">
        <v>0.0</v>
      </c>
      <c r="H490" s="270">
        <v>0.0</v>
      </c>
      <c r="I490" s="271"/>
      <c r="J490" s="271"/>
      <c r="K490" s="281" t="s">
        <v>2236</v>
      </c>
      <c r="L490" s="270" t="s">
        <v>2236</v>
      </c>
      <c r="M490" s="272"/>
    </row>
    <row r="491" ht="22.5" customHeight="1">
      <c r="B491" s="274" t="s">
        <v>2328</v>
      </c>
      <c r="C491" s="270" t="s">
        <v>2236</v>
      </c>
      <c r="D491" s="270"/>
      <c r="E491" s="270"/>
      <c r="F491" s="270"/>
      <c r="G491" s="270"/>
      <c r="H491" s="270"/>
      <c r="I491" s="271"/>
      <c r="J491" s="271"/>
      <c r="K491" s="281" t="s">
        <v>2236</v>
      </c>
      <c r="L491" s="270" t="s">
        <v>2236</v>
      </c>
      <c r="M491" s="272"/>
    </row>
    <row r="492" ht="22.5" customHeight="1">
      <c r="B492" s="274" t="s">
        <v>2263</v>
      </c>
      <c r="C492" s="270" t="s">
        <v>2236</v>
      </c>
      <c r="D492" s="270">
        <v>1.0</v>
      </c>
      <c r="E492" s="270"/>
      <c r="F492" s="270"/>
      <c r="G492" s="270">
        <v>0.0</v>
      </c>
      <c r="H492" s="270">
        <v>0.0</v>
      </c>
      <c r="I492" s="271"/>
      <c r="J492" s="271"/>
      <c r="K492" s="281" t="s">
        <v>2236</v>
      </c>
      <c r="L492" s="270" t="s">
        <v>2236</v>
      </c>
      <c r="M492" s="272"/>
    </row>
    <row r="493" ht="22.5" customHeight="1">
      <c r="A493" s="274" t="s">
        <v>2334</v>
      </c>
      <c r="B493" s="274" t="s">
        <v>2289</v>
      </c>
      <c r="C493" s="270" t="s">
        <v>1350</v>
      </c>
      <c r="D493" s="270">
        <v>0.0</v>
      </c>
      <c r="E493" s="270">
        <v>6000.0</v>
      </c>
      <c r="F493" s="270">
        <v>0.0</v>
      </c>
      <c r="G493" s="270">
        <v>0.0</v>
      </c>
      <c r="H493" s="270">
        <v>0.0</v>
      </c>
      <c r="I493" s="271">
        <v>45620.0</v>
      </c>
      <c r="J493" s="271">
        <v>45650.0</v>
      </c>
      <c r="K493" s="281">
        <v>1.0</v>
      </c>
      <c r="L493" s="270">
        <v>-517.0</v>
      </c>
      <c r="M493" s="272"/>
    </row>
    <row r="494" ht="22.5" customHeight="1">
      <c r="B494" s="274" t="s">
        <v>2292</v>
      </c>
      <c r="C494" s="270" t="s">
        <v>2236</v>
      </c>
      <c r="D494" s="270">
        <v>0.0</v>
      </c>
      <c r="E494" s="270">
        <v>6000.0</v>
      </c>
      <c r="F494" s="270">
        <v>0.0</v>
      </c>
      <c r="G494" s="270">
        <v>0.0</v>
      </c>
      <c r="H494" s="270">
        <v>0.0</v>
      </c>
      <c r="I494" s="271">
        <v>45603.0</v>
      </c>
      <c r="J494" s="271">
        <v>45633.0</v>
      </c>
      <c r="K494" s="281">
        <v>1.0</v>
      </c>
      <c r="L494" s="270">
        <v>-534.0</v>
      </c>
    </row>
    <row r="495" ht="22.5" customHeight="1">
      <c r="B495" s="274" t="s">
        <v>2298</v>
      </c>
      <c r="C495" s="270" t="s">
        <v>2236</v>
      </c>
      <c r="D495" s="270">
        <v>0.0</v>
      </c>
      <c r="E495" s="270">
        <v>6.0</v>
      </c>
      <c r="F495" s="270">
        <v>0.0</v>
      </c>
      <c r="G495" s="270">
        <v>0.0</v>
      </c>
      <c r="H495" s="270">
        <v>0.0</v>
      </c>
      <c r="I495" s="271">
        <v>45621.0</v>
      </c>
      <c r="J495" s="271">
        <v>45651.0</v>
      </c>
      <c r="K495" s="281">
        <v>0.0</v>
      </c>
      <c r="L495" s="270">
        <v>-516.0</v>
      </c>
      <c r="M495" s="272"/>
    </row>
    <row r="496" ht="22.5" hidden="1" customHeight="1">
      <c r="C496" s="270" t="s">
        <v>2236</v>
      </c>
      <c r="D496" s="270"/>
      <c r="E496" s="270"/>
      <c r="F496" s="270"/>
      <c r="G496" s="270"/>
      <c r="H496" s="270"/>
      <c r="I496" s="271"/>
      <c r="J496" s="271"/>
      <c r="K496" s="270"/>
      <c r="L496" s="270" t="s">
        <v>2236</v>
      </c>
      <c r="M496" s="272"/>
    </row>
    <row r="497" ht="22.5" hidden="1" customHeight="1">
      <c r="C497" s="270" t="s">
        <v>2236</v>
      </c>
      <c r="D497" s="270"/>
      <c r="E497" s="270"/>
      <c r="F497" s="270"/>
      <c r="G497" s="270"/>
      <c r="H497" s="270"/>
      <c r="I497" s="271"/>
      <c r="J497" s="271"/>
      <c r="K497" s="270"/>
      <c r="M497" s="272"/>
    </row>
    <row r="498" ht="22.5" hidden="1" customHeight="1">
      <c r="C498" s="270" t="s">
        <v>2236</v>
      </c>
      <c r="D498" s="270"/>
      <c r="E498" s="270"/>
      <c r="F498" s="270"/>
      <c r="G498" s="270"/>
      <c r="H498" s="270"/>
      <c r="I498" s="271"/>
      <c r="J498" s="271"/>
      <c r="K498" s="270"/>
      <c r="M498" s="272"/>
    </row>
    <row r="499" ht="22.5" hidden="1" customHeight="1">
      <c r="B499" s="274" t="s">
        <v>2246</v>
      </c>
      <c r="C499" s="274">
        <v>1.0</v>
      </c>
      <c r="D499" s="270"/>
      <c r="E499" s="270"/>
      <c r="F499" s="270" t="s">
        <v>874</v>
      </c>
      <c r="G499" s="270">
        <v>0.0</v>
      </c>
      <c r="H499" s="270">
        <v>0.0</v>
      </c>
      <c r="I499" s="271"/>
      <c r="J499" s="271"/>
      <c r="K499" s="270"/>
      <c r="M499" s="272"/>
    </row>
    <row r="500" ht="22.5" hidden="1" customHeight="1">
      <c r="C500" s="270"/>
      <c r="D500" s="270"/>
      <c r="E500" s="270"/>
      <c r="F500" s="270" t="s">
        <v>2247</v>
      </c>
      <c r="G500" s="270"/>
      <c r="H500" s="270">
        <v>0.0</v>
      </c>
      <c r="I500" s="271"/>
      <c r="J500" s="271"/>
      <c r="K500" s="270"/>
      <c r="M500" s="272"/>
    </row>
    <row r="501" ht="22.5" hidden="1" customHeight="1">
      <c r="C501" s="270"/>
      <c r="D501" s="270"/>
      <c r="E501" s="270"/>
      <c r="F501" s="270"/>
      <c r="G501" s="270"/>
      <c r="H501" s="270"/>
      <c r="I501" s="271"/>
      <c r="J501" s="271"/>
      <c r="K501" s="270"/>
      <c r="M501" s="272"/>
    </row>
    <row r="502" ht="22.5" hidden="1" customHeight="1">
      <c r="C502" s="270"/>
      <c r="D502" s="270"/>
      <c r="E502" s="270"/>
      <c r="F502" s="270"/>
      <c r="G502" s="270"/>
      <c r="H502" s="270"/>
      <c r="I502" s="271"/>
      <c r="J502" s="271"/>
      <c r="K502" s="270"/>
      <c r="M502" s="272"/>
    </row>
    <row r="503" ht="22.5" hidden="1" customHeight="1">
      <c r="C503" s="270"/>
      <c r="D503" s="270"/>
      <c r="E503" s="270"/>
      <c r="F503" s="270"/>
      <c r="G503" s="270"/>
      <c r="H503" s="270"/>
      <c r="I503" s="271"/>
      <c r="J503" s="271" t="s">
        <v>2233</v>
      </c>
      <c r="K503" s="273">
        <v>46167.0</v>
      </c>
      <c r="L503" s="270"/>
      <c r="M503" s="272"/>
    </row>
    <row r="504" ht="22.5" hidden="1" customHeight="1">
      <c r="C504" s="270"/>
      <c r="D504" s="270"/>
      <c r="E504" s="270"/>
      <c r="F504" s="270"/>
      <c r="G504" s="270"/>
      <c r="H504" s="270"/>
      <c r="I504" s="271"/>
      <c r="J504" s="271"/>
      <c r="L504" s="270"/>
      <c r="M504" s="272"/>
    </row>
    <row r="505" ht="22.5" hidden="1" customHeight="1">
      <c r="A505" s="277" t="s">
        <v>181</v>
      </c>
      <c r="B505" s="277" t="s">
        <v>2216</v>
      </c>
      <c r="C505" s="278" t="s">
        <v>131</v>
      </c>
      <c r="D505" s="278" t="s">
        <v>2217</v>
      </c>
      <c r="E505" s="278" t="s">
        <v>8</v>
      </c>
      <c r="F505" s="278" t="s">
        <v>873</v>
      </c>
      <c r="G505" s="278" t="s">
        <v>17</v>
      </c>
      <c r="H505" s="278" t="s">
        <v>874</v>
      </c>
      <c r="I505" s="279" t="s">
        <v>2218</v>
      </c>
      <c r="J505" s="279" t="s">
        <v>876</v>
      </c>
      <c r="K505" s="277" t="s">
        <v>877</v>
      </c>
      <c r="L505" s="278" t="s">
        <v>878</v>
      </c>
      <c r="M505" s="280" t="s">
        <v>2219</v>
      </c>
      <c r="N505" s="277" t="s">
        <v>2220</v>
      </c>
    </row>
    <row r="506" ht="22.5" customHeight="1">
      <c r="B506" s="274" t="s">
        <v>2249</v>
      </c>
      <c r="C506" s="270" t="s">
        <v>2236</v>
      </c>
      <c r="D506" s="270">
        <v>0.0</v>
      </c>
      <c r="E506" s="270">
        <v>100.0</v>
      </c>
      <c r="F506" s="270">
        <v>0.0</v>
      </c>
      <c r="G506" s="270">
        <v>0.0</v>
      </c>
      <c r="H506" s="270">
        <v>0.0</v>
      </c>
      <c r="I506" s="271"/>
      <c r="J506" s="271"/>
      <c r="K506" s="281" t="s">
        <v>2236</v>
      </c>
      <c r="L506" s="270" t="s">
        <v>2236</v>
      </c>
      <c r="M506" s="272"/>
    </row>
    <row r="507" ht="22.5" customHeight="1">
      <c r="B507" s="274" t="s">
        <v>2251</v>
      </c>
      <c r="C507" s="270" t="s">
        <v>2236</v>
      </c>
      <c r="D507" s="270">
        <v>0.0</v>
      </c>
      <c r="E507" s="270">
        <v>5.0</v>
      </c>
      <c r="F507" s="270">
        <v>15.0</v>
      </c>
      <c r="G507" s="270">
        <v>0.0</v>
      </c>
      <c r="H507" s="270">
        <v>0.0</v>
      </c>
      <c r="I507" s="271">
        <v>45597.0</v>
      </c>
      <c r="J507" s="271">
        <v>45627.0</v>
      </c>
      <c r="K507" s="281">
        <v>1.0</v>
      </c>
      <c r="L507" s="270">
        <v>-540.0</v>
      </c>
      <c r="M507" s="272"/>
    </row>
    <row r="508" ht="22.5" customHeight="1">
      <c r="A508" s="274" t="s">
        <v>2335</v>
      </c>
      <c r="B508" s="274" t="s">
        <v>2254</v>
      </c>
      <c r="C508" s="270"/>
      <c r="D508" s="270">
        <v>10.52</v>
      </c>
      <c r="E508" s="270">
        <v>3.0</v>
      </c>
      <c r="F508" s="270">
        <v>31.56</v>
      </c>
      <c r="G508" s="270">
        <v>0.0</v>
      </c>
      <c r="H508" s="270">
        <v>0.0</v>
      </c>
      <c r="I508" s="271">
        <v>45597.0</v>
      </c>
      <c r="J508" s="271">
        <v>45627.0</v>
      </c>
      <c r="K508" s="281">
        <v>1.0</v>
      </c>
      <c r="L508" s="270">
        <v>-540.0</v>
      </c>
      <c r="M508" s="272"/>
    </row>
    <row r="509" ht="22.5" customHeight="1">
      <c r="B509" s="274" t="s">
        <v>2255</v>
      </c>
      <c r="C509" s="270" t="s">
        <v>2236</v>
      </c>
      <c r="D509" s="270">
        <v>0.0</v>
      </c>
      <c r="E509" s="270">
        <v>1500.0</v>
      </c>
      <c r="F509" s="270">
        <v>0.0</v>
      </c>
      <c r="G509" s="270">
        <v>0.0</v>
      </c>
      <c r="H509" s="270">
        <v>0.0</v>
      </c>
      <c r="I509" s="271"/>
      <c r="J509" s="271"/>
      <c r="K509" s="281" t="s">
        <v>2236</v>
      </c>
      <c r="L509" s="270" t="s">
        <v>2236</v>
      </c>
      <c r="M509" s="272"/>
    </row>
    <row r="510" ht="22.5" customHeight="1">
      <c r="B510" s="274" t="s">
        <v>2256</v>
      </c>
      <c r="C510" s="270" t="s">
        <v>2236</v>
      </c>
      <c r="D510" s="270">
        <v>0.0</v>
      </c>
      <c r="E510" s="270">
        <v>500.0</v>
      </c>
      <c r="F510" s="270">
        <v>0.0</v>
      </c>
      <c r="G510" s="270">
        <v>0.0</v>
      </c>
      <c r="H510" s="270">
        <v>0.0</v>
      </c>
      <c r="I510" s="271"/>
      <c r="J510" s="271"/>
      <c r="K510" s="281" t="s">
        <v>2236</v>
      </c>
      <c r="L510" s="270" t="s">
        <v>2236</v>
      </c>
      <c r="M510" s="272"/>
    </row>
    <row r="511" ht="22.5" customHeight="1">
      <c r="B511" s="274" t="s">
        <v>2257</v>
      </c>
      <c r="C511" s="270" t="s">
        <v>2236</v>
      </c>
      <c r="D511" s="270">
        <v>0.0</v>
      </c>
      <c r="E511" s="270">
        <v>22.0</v>
      </c>
      <c r="F511" s="270">
        <v>0.0</v>
      </c>
      <c r="G511" s="270">
        <v>0.0</v>
      </c>
      <c r="H511" s="270">
        <v>0.0</v>
      </c>
      <c r="I511" s="271">
        <v>45597.0</v>
      </c>
      <c r="J511" s="271">
        <v>45627.0</v>
      </c>
      <c r="K511" s="281">
        <v>1.0</v>
      </c>
      <c r="L511" s="270">
        <v>-540.0</v>
      </c>
      <c r="M511" s="272"/>
    </row>
    <row r="512" ht="22.5" customHeight="1">
      <c r="B512" s="274" t="s">
        <v>2258</v>
      </c>
      <c r="C512" s="270" t="s">
        <v>2236</v>
      </c>
      <c r="D512" s="270">
        <v>0.0</v>
      </c>
      <c r="E512" s="270">
        <v>0.0</v>
      </c>
      <c r="F512" s="270">
        <v>0.0</v>
      </c>
      <c r="G512" s="270">
        <v>0.0</v>
      </c>
      <c r="H512" s="270">
        <v>0.0</v>
      </c>
      <c r="I512" s="271"/>
      <c r="J512" s="271">
        <v>31.0</v>
      </c>
      <c r="K512" s="281">
        <v>1.0</v>
      </c>
      <c r="L512" s="270">
        <v>-46136.0</v>
      </c>
      <c r="M512" s="272"/>
    </row>
    <row r="513" ht="22.5" customHeight="1">
      <c r="B513" s="274" t="s">
        <v>2259</v>
      </c>
      <c r="C513" s="270" t="s">
        <v>2236</v>
      </c>
      <c r="D513" s="270">
        <v>0.0</v>
      </c>
      <c r="E513" s="270">
        <v>15000.0</v>
      </c>
      <c r="F513" s="270">
        <v>0.0</v>
      </c>
      <c r="G513" s="270">
        <v>0.0</v>
      </c>
      <c r="H513" s="270">
        <v>0.0</v>
      </c>
      <c r="I513" s="271">
        <v>45609.0</v>
      </c>
      <c r="J513" s="271">
        <v>45639.0</v>
      </c>
      <c r="K513" s="281">
        <v>1.0</v>
      </c>
      <c r="L513" s="270">
        <v>-528.0</v>
      </c>
      <c r="M513" s="272"/>
    </row>
    <row r="514" ht="22.5" customHeight="1">
      <c r="B514" s="274" t="s">
        <v>2267</v>
      </c>
      <c r="C514" s="270" t="s">
        <v>2236</v>
      </c>
      <c r="D514" s="270">
        <v>0.0</v>
      </c>
      <c r="E514" s="270">
        <v>3000.0</v>
      </c>
      <c r="F514" s="270">
        <v>0.0</v>
      </c>
      <c r="G514" s="270">
        <v>0.0</v>
      </c>
      <c r="H514" s="270">
        <v>0.0</v>
      </c>
      <c r="I514" s="271"/>
      <c r="J514" s="271"/>
      <c r="K514" s="281" t="s">
        <v>2236</v>
      </c>
      <c r="L514" s="270" t="s">
        <v>2236</v>
      </c>
      <c r="M514" s="272"/>
    </row>
    <row r="515" ht="22.5" customHeight="1">
      <c r="B515" s="274" t="s">
        <v>2279</v>
      </c>
      <c r="C515" s="270" t="s">
        <v>2236</v>
      </c>
      <c r="D515" s="270">
        <v>0.0</v>
      </c>
      <c r="E515" s="270">
        <v>5000.0</v>
      </c>
      <c r="F515" s="270">
        <v>0.0</v>
      </c>
      <c r="G515" s="270">
        <v>0.0</v>
      </c>
      <c r="H515" s="270">
        <v>0.0</v>
      </c>
      <c r="I515" s="271"/>
      <c r="J515" s="271"/>
      <c r="K515" s="281" t="s">
        <v>2236</v>
      </c>
      <c r="L515" s="270" t="s">
        <v>2236</v>
      </c>
      <c r="M515" s="272"/>
    </row>
    <row r="516" ht="22.5" customHeight="1">
      <c r="B516" s="274" t="s">
        <v>2328</v>
      </c>
      <c r="C516" s="270" t="s">
        <v>2236</v>
      </c>
      <c r="D516" s="270"/>
      <c r="E516" s="270"/>
      <c r="F516" s="270"/>
      <c r="G516" s="270"/>
      <c r="H516" s="270"/>
      <c r="I516" s="271"/>
      <c r="J516" s="271"/>
      <c r="K516" s="281" t="s">
        <v>2236</v>
      </c>
      <c r="L516" s="270" t="s">
        <v>2236</v>
      </c>
      <c r="M516" s="272"/>
    </row>
    <row r="517" ht="22.5" customHeight="1">
      <c r="B517" s="274" t="s">
        <v>2263</v>
      </c>
      <c r="C517" s="270" t="s">
        <v>2236</v>
      </c>
      <c r="D517" s="270">
        <v>1.0</v>
      </c>
      <c r="E517" s="270"/>
      <c r="F517" s="270"/>
      <c r="G517" s="270">
        <v>0.0</v>
      </c>
      <c r="H517" s="270">
        <v>0.0</v>
      </c>
      <c r="I517" s="271"/>
      <c r="J517" s="271"/>
      <c r="K517" s="281" t="s">
        <v>2236</v>
      </c>
      <c r="L517" s="270" t="s">
        <v>2236</v>
      </c>
      <c r="M517" s="272"/>
    </row>
    <row r="518" ht="22.5" customHeight="1">
      <c r="A518" s="274" t="s">
        <v>2336</v>
      </c>
      <c r="B518" s="274" t="s">
        <v>2289</v>
      </c>
      <c r="C518" s="270" t="s">
        <v>2236</v>
      </c>
      <c r="D518" s="270">
        <v>1.0</v>
      </c>
      <c r="E518" s="270">
        <v>6000.0</v>
      </c>
      <c r="F518" s="270">
        <v>6000.0</v>
      </c>
      <c r="G518" s="270">
        <v>0.0</v>
      </c>
      <c r="H518" s="270">
        <v>0.0</v>
      </c>
      <c r="I518" s="271">
        <v>45620.0</v>
      </c>
      <c r="J518" s="271">
        <v>45650.0</v>
      </c>
      <c r="K518" s="281">
        <v>1.0</v>
      </c>
      <c r="L518" s="270">
        <v>-517.0</v>
      </c>
      <c r="M518" s="272"/>
    </row>
    <row r="519" ht="22.5" customHeight="1">
      <c r="B519" s="274" t="s">
        <v>2292</v>
      </c>
      <c r="C519" s="270" t="s">
        <v>2236</v>
      </c>
      <c r="D519" s="270">
        <v>0.0</v>
      </c>
      <c r="E519" s="270">
        <v>6000.0</v>
      </c>
      <c r="F519" s="270">
        <v>0.0</v>
      </c>
      <c r="G519" s="270">
        <v>0.0</v>
      </c>
      <c r="H519" s="270">
        <v>0.0</v>
      </c>
      <c r="I519" s="271">
        <v>45603.0</v>
      </c>
      <c r="J519" s="271">
        <v>45633.0</v>
      </c>
      <c r="K519" s="281">
        <v>1.0</v>
      </c>
      <c r="L519" s="270">
        <v>-534.0</v>
      </c>
    </row>
    <row r="520" ht="22.5" customHeight="1">
      <c r="B520" s="274" t="s">
        <v>2298</v>
      </c>
      <c r="C520" s="270" t="s">
        <v>2236</v>
      </c>
      <c r="D520" s="270">
        <v>0.0</v>
      </c>
      <c r="E520" s="270">
        <v>6.0</v>
      </c>
      <c r="F520" s="270">
        <v>0.0</v>
      </c>
      <c r="G520" s="270">
        <v>0.0</v>
      </c>
      <c r="H520" s="270">
        <v>0.0</v>
      </c>
      <c r="I520" s="271">
        <v>45621.0</v>
      </c>
      <c r="J520" s="271">
        <v>45651.0</v>
      </c>
      <c r="K520" s="281">
        <v>0.0</v>
      </c>
      <c r="L520" s="270">
        <v>-516.0</v>
      </c>
      <c r="M520" s="272"/>
    </row>
    <row r="521" ht="22.5" hidden="1" customHeight="1">
      <c r="C521" s="270" t="s">
        <v>2236</v>
      </c>
      <c r="D521" s="270"/>
      <c r="E521" s="270"/>
      <c r="F521" s="270"/>
      <c r="G521" s="270"/>
      <c r="H521" s="270"/>
      <c r="I521" s="271"/>
      <c r="J521" s="271"/>
      <c r="K521" s="270"/>
      <c r="L521" s="270" t="s">
        <v>2236</v>
      </c>
      <c r="M521" s="272"/>
    </row>
    <row r="522" ht="22.5" hidden="1" customHeight="1">
      <c r="C522" s="270" t="s">
        <v>2236</v>
      </c>
      <c r="D522" s="270"/>
      <c r="E522" s="270"/>
      <c r="F522" s="270"/>
      <c r="G522" s="270"/>
      <c r="H522" s="270"/>
      <c r="I522" s="271"/>
      <c r="J522" s="271"/>
      <c r="K522" s="270"/>
      <c r="M522" s="272"/>
    </row>
    <row r="523" ht="22.5" hidden="1" customHeight="1">
      <c r="C523" s="270" t="s">
        <v>2236</v>
      </c>
      <c r="D523" s="270"/>
      <c r="E523" s="270"/>
      <c r="F523" s="270"/>
      <c r="G523" s="270"/>
      <c r="H523" s="270"/>
      <c r="I523" s="271"/>
      <c r="J523" s="271"/>
      <c r="K523" s="270"/>
      <c r="M523" s="272"/>
    </row>
    <row r="524" ht="22.5" hidden="1" customHeight="1">
      <c r="B524" s="274" t="s">
        <v>2246</v>
      </c>
      <c r="C524" s="274">
        <v>0.0</v>
      </c>
      <c r="D524" s="270"/>
      <c r="E524" s="270"/>
      <c r="F524" s="270" t="s">
        <v>874</v>
      </c>
      <c r="G524" s="270">
        <v>0.0</v>
      </c>
      <c r="H524" s="270">
        <v>0.0</v>
      </c>
      <c r="I524" s="271"/>
      <c r="J524" s="271"/>
      <c r="K524" s="270"/>
      <c r="M524" s="272"/>
    </row>
    <row r="525" ht="22.5" hidden="1" customHeight="1">
      <c r="C525" s="270"/>
      <c r="D525" s="270"/>
      <c r="E525" s="270"/>
      <c r="F525" s="270" t="s">
        <v>2247</v>
      </c>
      <c r="G525" s="270"/>
      <c r="H525" s="270">
        <v>0.0</v>
      </c>
      <c r="I525" s="271"/>
      <c r="J525" s="271"/>
      <c r="K525" s="270"/>
      <c r="M525" s="272"/>
    </row>
    <row r="526" ht="22.5" hidden="1" customHeight="1">
      <c r="C526" s="270"/>
      <c r="D526" s="270"/>
      <c r="E526" s="270"/>
      <c r="F526" s="270"/>
      <c r="G526" s="270"/>
      <c r="H526" s="270"/>
      <c r="I526" s="271"/>
      <c r="J526" s="271"/>
      <c r="K526" s="270"/>
      <c r="M526" s="272"/>
    </row>
    <row r="527" ht="22.5" hidden="1" customHeight="1">
      <c r="C527" s="270"/>
      <c r="D527" s="270"/>
      <c r="E527" s="270"/>
      <c r="F527" s="270"/>
      <c r="G527" s="270"/>
      <c r="H527" s="270"/>
      <c r="I527" s="271"/>
      <c r="J527" s="271"/>
      <c r="K527" s="270"/>
      <c r="M527" s="272"/>
    </row>
    <row r="528" ht="22.5" hidden="1" customHeight="1">
      <c r="C528" s="270"/>
      <c r="D528" s="270"/>
      <c r="E528" s="270"/>
      <c r="F528" s="270"/>
      <c r="G528" s="270"/>
      <c r="H528" s="270"/>
      <c r="I528" s="271"/>
      <c r="J528" s="271" t="s">
        <v>2233</v>
      </c>
      <c r="K528" s="273">
        <v>46167.0</v>
      </c>
      <c r="L528" s="270"/>
      <c r="M528" s="272"/>
    </row>
    <row r="529" ht="22.5" hidden="1" customHeight="1">
      <c r="C529" s="270"/>
      <c r="D529" s="270"/>
      <c r="E529" s="270"/>
      <c r="F529" s="270"/>
      <c r="G529" s="270"/>
      <c r="H529" s="270"/>
      <c r="I529" s="271"/>
      <c r="J529" s="271"/>
      <c r="K529" s="270"/>
      <c r="L529" s="270"/>
      <c r="M529" s="272"/>
    </row>
    <row r="530" ht="22.5" hidden="1" customHeight="1">
      <c r="A530" s="277" t="s">
        <v>181</v>
      </c>
      <c r="B530" s="277" t="s">
        <v>2216</v>
      </c>
      <c r="C530" s="278" t="s">
        <v>131</v>
      </c>
      <c r="D530" s="278" t="s">
        <v>2217</v>
      </c>
      <c r="E530" s="278" t="s">
        <v>8</v>
      </c>
      <c r="F530" s="278" t="s">
        <v>873</v>
      </c>
      <c r="G530" s="278" t="s">
        <v>17</v>
      </c>
      <c r="H530" s="278" t="s">
        <v>874</v>
      </c>
      <c r="I530" s="279" t="s">
        <v>2218</v>
      </c>
      <c r="J530" s="279" t="s">
        <v>876</v>
      </c>
      <c r="K530" s="278" t="s">
        <v>877</v>
      </c>
      <c r="L530" s="278" t="s">
        <v>878</v>
      </c>
      <c r="M530" s="280" t="s">
        <v>2219</v>
      </c>
      <c r="N530" s="277" t="s">
        <v>2220</v>
      </c>
    </row>
    <row r="531" ht="22.5" customHeight="1">
      <c r="B531" s="274" t="s">
        <v>2249</v>
      </c>
      <c r="C531" s="270" t="s">
        <v>2236</v>
      </c>
      <c r="D531" s="270">
        <v>0.0</v>
      </c>
      <c r="E531" s="270">
        <v>100.0</v>
      </c>
      <c r="F531" s="270">
        <v>0.0</v>
      </c>
      <c r="G531" s="270">
        <v>0.0</v>
      </c>
      <c r="H531" s="270">
        <v>0.0</v>
      </c>
      <c r="I531" s="271"/>
      <c r="J531" s="271"/>
      <c r="K531" s="281" t="s">
        <v>2236</v>
      </c>
      <c r="L531" s="270" t="s">
        <v>2236</v>
      </c>
      <c r="M531" s="272"/>
    </row>
    <row r="532" ht="22.5" customHeight="1">
      <c r="B532" s="274" t="s">
        <v>2251</v>
      </c>
      <c r="C532" s="270" t="s">
        <v>2236</v>
      </c>
      <c r="D532" s="270">
        <v>0.0</v>
      </c>
      <c r="E532" s="270">
        <v>5.0</v>
      </c>
      <c r="F532" s="270">
        <v>15.0</v>
      </c>
      <c r="G532" s="270">
        <v>0.0</v>
      </c>
      <c r="H532" s="270">
        <v>0.0</v>
      </c>
      <c r="I532" s="271">
        <v>45597.0</v>
      </c>
      <c r="J532" s="271">
        <v>45627.0</v>
      </c>
      <c r="K532" s="281">
        <v>1.0</v>
      </c>
      <c r="L532" s="270">
        <v>-540.0</v>
      </c>
      <c r="M532" s="272"/>
    </row>
    <row r="533" ht="22.5" customHeight="1">
      <c r="B533" s="274" t="s">
        <v>2254</v>
      </c>
      <c r="C533" s="270" t="s">
        <v>1350</v>
      </c>
      <c r="D533" s="270">
        <v>0.0</v>
      </c>
      <c r="E533" s="270">
        <v>3.0</v>
      </c>
      <c r="F533" s="270">
        <v>0.0</v>
      </c>
      <c r="G533" s="270">
        <v>0.0</v>
      </c>
      <c r="H533" s="270">
        <v>0.0</v>
      </c>
      <c r="I533" s="271">
        <v>45597.0</v>
      </c>
      <c r="J533" s="271">
        <v>45627.0</v>
      </c>
      <c r="K533" s="281">
        <v>1.0</v>
      </c>
      <c r="L533" s="270">
        <v>-540.0</v>
      </c>
      <c r="M533" s="272"/>
    </row>
    <row r="534" ht="22.5" customHeight="1">
      <c r="B534" s="274" t="s">
        <v>2255</v>
      </c>
      <c r="C534" s="270" t="s">
        <v>2236</v>
      </c>
      <c r="D534" s="270">
        <v>0.0</v>
      </c>
      <c r="E534" s="270">
        <v>1500.0</v>
      </c>
      <c r="F534" s="270">
        <v>0.0</v>
      </c>
      <c r="G534" s="270">
        <v>0.0</v>
      </c>
      <c r="H534" s="270">
        <v>0.0</v>
      </c>
      <c r="I534" s="271"/>
      <c r="J534" s="271"/>
      <c r="K534" s="281" t="s">
        <v>2236</v>
      </c>
      <c r="L534" s="270" t="s">
        <v>2236</v>
      </c>
      <c r="M534" s="272"/>
    </row>
    <row r="535" ht="22.5" customHeight="1">
      <c r="B535" s="274" t="s">
        <v>2256</v>
      </c>
      <c r="C535" s="270" t="s">
        <v>2236</v>
      </c>
      <c r="D535" s="270">
        <v>0.0</v>
      </c>
      <c r="E535" s="270">
        <v>500.0</v>
      </c>
      <c r="F535" s="270">
        <v>0.0</v>
      </c>
      <c r="G535" s="270">
        <v>0.0</v>
      </c>
      <c r="H535" s="270">
        <v>0.0</v>
      </c>
      <c r="I535" s="271"/>
      <c r="J535" s="271"/>
      <c r="K535" s="281" t="s">
        <v>2236</v>
      </c>
      <c r="L535" s="270" t="s">
        <v>2236</v>
      </c>
      <c r="M535" s="272"/>
    </row>
    <row r="536" ht="22.5" customHeight="1">
      <c r="B536" s="274" t="s">
        <v>2257</v>
      </c>
      <c r="C536" s="270" t="s">
        <v>2236</v>
      </c>
      <c r="D536" s="270">
        <v>0.0</v>
      </c>
      <c r="E536" s="270">
        <v>22.0</v>
      </c>
      <c r="F536" s="270">
        <v>0.0</v>
      </c>
      <c r="G536" s="270">
        <v>0.0</v>
      </c>
      <c r="H536" s="270">
        <v>0.0</v>
      </c>
      <c r="I536" s="271">
        <v>45597.0</v>
      </c>
      <c r="J536" s="271">
        <v>45627.0</v>
      </c>
      <c r="K536" s="281">
        <v>1.0</v>
      </c>
      <c r="L536" s="270">
        <v>-540.0</v>
      </c>
      <c r="M536" s="272"/>
    </row>
    <row r="537" ht="22.5" customHeight="1">
      <c r="B537" s="274" t="s">
        <v>2258</v>
      </c>
      <c r="C537" s="270" t="s">
        <v>2236</v>
      </c>
      <c r="D537" s="270">
        <v>0.0</v>
      </c>
      <c r="E537" s="270">
        <v>0.0</v>
      </c>
      <c r="F537" s="270">
        <v>0.0</v>
      </c>
      <c r="G537" s="270">
        <v>0.0</v>
      </c>
      <c r="H537" s="270">
        <v>0.0</v>
      </c>
      <c r="I537" s="271"/>
      <c r="J537" s="271">
        <v>31.0</v>
      </c>
      <c r="K537" s="281">
        <v>1.0</v>
      </c>
      <c r="L537" s="270">
        <v>-46136.0</v>
      </c>
      <c r="M537" s="272"/>
    </row>
    <row r="538" ht="22.5" customHeight="1">
      <c r="B538" s="274" t="s">
        <v>2259</v>
      </c>
      <c r="C538" s="270" t="s">
        <v>2236</v>
      </c>
      <c r="D538" s="270">
        <v>0.0</v>
      </c>
      <c r="E538" s="270">
        <v>15000.0</v>
      </c>
      <c r="F538" s="270">
        <v>0.0</v>
      </c>
      <c r="G538" s="270">
        <v>0.0</v>
      </c>
      <c r="H538" s="270">
        <v>0.0</v>
      </c>
      <c r="I538" s="271">
        <v>45609.0</v>
      </c>
      <c r="J538" s="271">
        <v>45639.0</v>
      </c>
      <c r="K538" s="281">
        <v>1.0</v>
      </c>
      <c r="L538" s="270">
        <v>-528.0</v>
      </c>
      <c r="M538" s="272"/>
    </row>
    <row r="539" ht="22.5" customHeight="1">
      <c r="B539" s="274" t="s">
        <v>2267</v>
      </c>
      <c r="C539" s="270" t="s">
        <v>2236</v>
      </c>
      <c r="D539" s="270">
        <v>0.0</v>
      </c>
      <c r="E539" s="270">
        <v>3000.0</v>
      </c>
      <c r="F539" s="270">
        <v>0.0</v>
      </c>
      <c r="G539" s="270">
        <v>0.0</v>
      </c>
      <c r="H539" s="270">
        <v>0.0</v>
      </c>
      <c r="I539" s="271"/>
      <c r="J539" s="271"/>
      <c r="K539" s="281" t="s">
        <v>2236</v>
      </c>
      <c r="L539" s="270" t="s">
        <v>2236</v>
      </c>
      <c r="M539" s="272"/>
    </row>
    <row r="540" ht="22.5" customHeight="1">
      <c r="B540" s="274" t="s">
        <v>2279</v>
      </c>
      <c r="C540" s="270" t="s">
        <v>2236</v>
      </c>
      <c r="D540" s="270">
        <v>0.0</v>
      </c>
      <c r="E540" s="270">
        <v>5000.0</v>
      </c>
      <c r="F540" s="270">
        <v>0.0</v>
      </c>
      <c r="G540" s="270">
        <v>0.0</v>
      </c>
      <c r="H540" s="270">
        <v>0.0</v>
      </c>
      <c r="I540" s="271"/>
      <c r="J540" s="271"/>
      <c r="K540" s="281" t="s">
        <v>2236</v>
      </c>
      <c r="L540" s="270" t="s">
        <v>2236</v>
      </c>
      <c r="M540" s="272"/>
    </row>
    <row r="541" ht="22.5" customHeight="1">
      <c r="B541" s="274" t="s">
        <v>2328</v>
      </c>
      <c r="C541" s="270" t="s">
        <v>2236</v>
      </c>
      <c r="D541" s="270"/>
      <c r="E541" s="270"/>
      <c r="F541" s="270"/>
      <c r="G541" s="270"/>
      <c r="H541" s="270"/>
      <c r="I541" s="271"/>
      <c r="J541" s="271"/>
      <c r="K541" s="281" t="s">
        <v>2236</v>
      </c>
      <c r="L541" s="270" t="s">
        <v>2236</v>
      </c>
      <c r="M541" s="272"/>
    </row>
    <row r="542" ht="22.5" customHeight="1">
      <c r="A542" s="274" t="s">
        <v>2329</v>
      </c>
      <c r="B542" s="274" t="s">
        <v>2263</v>
      </c>
      <c r="C542" s="270" t="s">
        <v>2236</v>
      </c>
      <c r="D542" s="270">
        <v>1.0</v>
      </c>
      <c r="E542" s="270"/>
      <c r="F542" s="270"/>
      <c r="G542" s="270">
        <v>0.0</v>
      </c>
      <c r="H542" s="270">
        <v>0.0</v>
      </c>
      <c r="I542" s="271"/>
      <c r="J542" s="271"/>
      <c r="K542" s="281" t="s">
        <v>2236</v>
      </c>
      <c r="L542" s="270" t="s">
        <v>2236</v>
      </c>
      <c r="M542" s="272"/>
    </row>
    <row r="543" ht="22.5" customHeight="1">
      <c r="B543" s="274" t="s">
        <v>2289</v>
      </c>
      <c r="C543" s="270" t="s">
        <v>2236</v>
      </c>
      <c r="D543" s="270">
        <v>0.0</v>
      </c>
      <c r="E543" s="270">
        <v>5000.0</v>
      </c>
      <c r="F543" s="270">
        <v>0.0</v>
      </c>
      <c r="G543" s="270">
        <v>0.0</v>
      </c>
      <c r="H543" s="270">
        <v>0.0</v>
      </c>
      <c r="I543" s="271">
        <v>45620.0</v>
      </c>
      <c r="J543" s="271">
        <v>45650.0</v>
      </c>
      <c r="K543" s="281">
        <v>1.0</v>
      </c>
      <c r="L543" s="270">
        <v>-517.0</v>
      </c>
      <c r="M543" s="272"/>
    </row>
    <row r="544" ht="22.5" customHeight="1">
      <c r="A544" s="274" t="s">
        <v>2337</v>
      </c>
      <c r="B544" s="274" t="s">
        <v>2292</v>
      </c>
      <c r="C544" s="270" t="s">
        <v>2236</v>
      </c>
      <c r="D544" s="270">
        <v>0.0</v>
      </c>
      <c r="E544" s="270">
        <v>6000.0</v>
      </c>
      <c r="F544" s="270">
        <v>0.0</v>
      </c>
      <c r="G544" s="270">
        <v>0.0</v>
      </c>
      <c r="H544" s="270">
        <v>0.0</v>
      </c>
      <c r="I544" s="271">
        <v>45603.0</v>
      </c>
      <c r="J544" s="271">
        <v>45633.0</v>
      </c>
      <c r="K544" s="281">
        <v>1.0</v>
      </c>
      <c r="L544" s="270">
        <v>-534.0</v>
      </c>
      <c r="M544" s="272" t="s">
        <v>2332</v>
      </c>
    </row>
    <row r="545" ht="22.5" customHeight="1">
      <c r="B545" s="274" t="s">
        <v>2298</v>
      </c>
      <c r="C545" s="270" t="s">
        <v>2236</v>
      </c>
      <c r="D545" s="270">
        <v>0.0</v>
      </c>
      <c r="E545" s="270">
        <v>6.0</v>
      </c>
      <c r="F545" s="270">
        <v>0.0</v>
      </c>
      <c r="G545" s="270">
        <v>0.0</v>
      </c>
      <c r="H545" s="270">
        <v>0.0</v>
      </c>
      <c r="I545" s="271">
        <v>45621.0</v>
      </c>
      <c r="J545" s="271">
        <v>45651.0</v>
      </c>
      <c r="K545" s="281">
        <v>0.0</v>
      </c>
      <c r="L545" s="270">
        <v>-516.0</v>
      </c>
      <c r="M545" s="272"/>
    </row>
    <row r="546" ht="22.5" customHeight="1">
      <c r="C546" s="270"/>
      <c r="D546" s="270"/>
      <c r="E546" s="270"/>
      <c r="F546" s="270"/>
      <c r="G546" s="270"/>
      <c r="H546" s="270"/>
      <c r="I546" s="271"/>
      <c r="J546" s="271"/>
      <c r="K546" s="281"/>
      <c r="L546" s="270"/>
      <c r="M546" s="272"/>
    </row>
    <row r="547" ht="22.5" hidden="1" customHeight="1">
      <c r="C547" s="270" t="s">
        <v>2236</v>
      </c>
      <c r="D547" s="270"/>
      <c r="E547" s="270"/>
      <c r="F547" s="270"/>
      <c r="G547" s="270"/>
      <c r="H547" s="270"/>
      <c r="I547" s="271"/>
      <c r="J547" s="271"/>
      <c r="K547" s="270"/>
      <c r="L547" s="270" t="s">
        <v>2236</v>
      </c>
      <c r="M547" s="272"/>
    </row>
    <row r="548" ht="22.5" hidden="1" customHeight="1">
      <c r="C548" s="270" t="s">
        <v>2236</v>
      </c>
      <c r="D548" s="270"/>
      <c r="E548" s="270"/>
      <c r="F548" s="270"/>
      <c r="G548" s="270"/>
      <c r="H548" s="270"/>
      <c r="I548" s="271"/>
      <c r="J548" s="271"/>
      <c r="K548" s="270"/>
      <c r="M548" s="272"/>
    </row>
    <row r="549" ht="22.5" hidden="1" customHeight="1">
      <c r="C549" s="270" t="s">
        <v>2236</v>
      </c>
      <c r="D549" s="270"/>
      <c r="E549" s="270"/>
      <c r="F549" s="270"/>
      <c r="G549" s="270"/>
      <c r="H549" s="270"/>
      <c r="I549" s="271"/>
      <c r="J549" s="271"/>
      <c r="K549" s="270"/>
      <c r="M549" s="272"/>
    </row>
    <row r="550" ht="22.5" hidden="1" customHeight="1">
      <c r="B550" s="274" t="s">
        <v>2246</v>
      </c>
      <c r="C550" s="270">
        <v>1.0</v>
      </c>
      <c r="D550" s="270"/>
      <c r="E550" s="270"/>
      <c r="F550" s="270" t="s">
        <v>874</v>
      </c>
      <c r="G550" s="270">
        <v>0.0</v>
      </c>
      <c r="H550" s="270">
        <v>0.0</v>
      </c>
      <c r="I550" s="271"/>
      <c r="J550" s="271"/>
      <c r="K550" s="270"/>
      <c r="M550" s="272"/>
    </row>
    <row r="551" ht="22.5" hidden="1" customHeight="1">
      <c r="C551" s="270"/>
      <c r="D551" s="270"/>
      <c r="E551" s="270"/>
      <c r="F551" s="270" t="s">
        <v>2247</v>
      </c>
      <c r="G551" s="270"/>
      <c r="H551" s="270">
        <v>0.0</v>
      </c>
      <c r="I551" s="271"/>
      <c r="J551" s="271"/>
      <c r="K551" s="270"/>
      <c r="M551" s="272"/>
    </row>
    <row r="552" ht="22.5" hidden="1" customHeight="1">
      <c r="H552" s="270"/>
      <c r="I552" s="271"/>
      <c r="J552" s="271"/>
      <c r="K552" s="270"/>
      <c r="M552" s="272"/>
    </row>
    <row r="553" ht="22.5" hidden="1" customHeight="1">
      <c r="H553" s="270"/>
      <c r="I553" s="271"/>
      <c r="J553" s="271"/>
      <c r="K553" s="270"/>
      <c r="M553" s="272"/>
    </row>
    <row r="554" ht="22.5" hidden="1" customHeight="1">
      <c r="H554" s="270"/>
      <c r="I554" s="271"/>
      <c r="J554" s="271"/>
      <c r="K554" s="270"/>
      <c r="M554" s="272"/>
    </row>
    <row r="555" ht="22.5" hidden="1" customHeight="1">
      <c r="H555" s="270"/>
      <c r="I555" s="271"/>
      <c r="J555" s="271"/>
      <c r="K555" s="270"/>
      <c r="M555" s="272"/>
    </row>
    <row r="556" ht="22.5" hidden="1" customHeight="1">
      <c r="H556" s="270"/>
      <c r="I556" s="271"/>
      <c r="J556" s="271"/>
      <c r="K556" s="270"/>
      <c r="M556" s="272"/>
    </row>
    <row r="557" ht="22.5" hidden="1" customHeight="1">
      <c r="B557" s="283"/>
      <c r="H557" s="270"/>
      <c r="I557" s="271"/>
      <c r="J557" s="271"/>
      <c r="K557" s="270"/>
      <c r="M557" s="272"/>
    </row>
    <row r="558" ht="22.5" hidden="1" customHeight="1">
      <c r="H558" s="270"/>
      <c r="I558" s="271"/>
      <c r="J558" s="271"/>
      <c r="K558" s="270"/>
      <c r="M558" s="272"/>
    </row>
    <row r="559" ht="22.5" hidden="1" customHeight="1">
      <c r="H559" s="270"/>
      <c r="I559" s="271"/>
      <c r="J559" s="271"/>
      <c r="K559" s="270"/>
      <c r="M559" s="272"/>
    </row>
    <row r="560" ht="22.5" hidden="1" customHeight="1">
      <c r="H560" s="270"/>
      <c r="I560" s="271"/>
      <c r="J560" s="271"/>
      <c r="K560" s="270"/>
      <c r="M560" s="272"/>
    </row>
    <row r="561" ht="22.5" hidden="1" customHeight="1">
      <c r="H561" s="270"/>
      <c r="I561" s="271"/>
      <c r="J561" s="271"/>
      <c r="K561" s="270"/>
      <c r="M561" s="272"/>
    </row>
    <row r="562" ht="22.5" hidden="1" customHeight="1">
      <c r="H562" s="270"/>
      <c r="I562" s="271"/>
      <c r="J562" s="271"/>
      <c r="K562" s="270"/>
      <c r="M562" s="272"/>
    </row>
    <row r="563" ht="22.5" hidden="1" customHeight="1">
      <c r="H563" s="270"/>
      <c r="I563" s="271"/>
      <c r="J563" s="271"/>
      <c r="K563" s="270"/>
      <c r="M563" s="272"/>
    </row>
    <row r="564" ht="22.5" hidden="1" customHeight="1">
      <c r="H564" s="270"/>
      <c r="I564" s="271"/>
      <c r="J564" s="271"/>
      <c r="K564" s="270"/>
      <c r="M564" s="272"/>
    </row>
    <row r="565" ht="22.5" hidden="1" customHeight="1">
      <c r="H565" s="270"/>
      <c r="I565" s="271"/>
      <c r="J565" s="271"/>
      <c r="K565" s="270"/>
      <c r="M565" s="272"/>
    </row>
    <row r="566" ht="22.5" hidden="1" customHeight="1">
      <c r="H566" s="270"/>
      <c r="I566" s="271"/>
      <c r="J566" s="271"/>
      <c r="K566" s="270"/>
      <c r="M566" s="272"/>
    </row>
    <row r="567" ht="22.5" hidden="1" customHeight="1">
      <c r="H567" s="270"/>
      <c r="I567" s="271"/>
      <c r="J567" s="271"/>
      <c r="K567" s="270"/>
      <c r="M567" s="272"/>
    </row>
    <row r="568" ht="22.5" hidden="1" customHeight="1">
      <c r="H568" s="270"/>
      <c r="I568" s="271"/>
      <c r="J568" s="271"/>
      <c r="K568" s="270"/>
      <c r="M568" s="272"/>
    </row>
    <row r="569" ht="22.5" hidden="1" customHeight="1">
      <c r="H569" s="270"/>
      <c r="I569" s="271"/>
      <c r="J569" s="271"/>
      <c r="K569" s="270"/>
      <c r="M569" s="272"/>
    </row>
    <row r="570" ht="22.5" hidden="1" customHeight="1">
      <c r="H570" s="270"/>
      <c r="I570" s="271"/>
      <c r="J570" s="271"/>
      <c r="K570" s="270"/>
      <c r="M570" s="272"/>
    </row>
    <row r="571" ht="22.5" hidden="1" customHeight="1">
      <c r="H571" s="270"/>
      <c r="I571" s="271"/>
      <c r="J571" s="271"/>
      <c r="K571" s="270"/>
      <c r="M571" s="272"/>
    </row>
    <row r="572" ht="22.5" hidden="1" customHeight="1">
      <c r="H572" s="270"/>
      <c r="I572" s="271"/>
      <c r="J572" s="271"/>
      <c r="K572" s="270"/>
      <c r="M572" s="272"/>
    </row>
    <row r="573" ht="22.5" hidden="1" customHeight="1">
      <c r="H573" s="270"/>
      <c r="I573" s="271"/>
      <c r="J573" s="271"/>
      <c r="K573" s="270"/>
      <c r="M573" s="272"/>
    </row>
    <row r="574" ht="22.5" hidden="1" customHeight="1">
      <c r="H574" s="270"/>
      <c r="I574" s="271"/>
      <c r="J574" s="271"/>
      <c r="K574" s="270"/>
      <c r="M574" s="272"/>
    </row>
    <row r="575" ht="22.5" hidden="1" customHeight="1">
      <c r="B575" s="283"/>
      <c r="H575" s="270"/>
      <c r="I575" s="271"/>
      <c r="J575" s="271"/>
      <c r="K575" s="270"/>
      <c r="M575" s="272"/>
    </row>
    <row r="576" ht="22.5" hidden="1" customHeight="1">
      <c r="H576" s="270"/>
      <c r="I576" s="271"/>
      <c r="J576" s="271"/>
      <c r="K576" s="270"/>
      <c r="M576" s="272"/>
    </row>
    <row r="577" ht="22.5" hidden="1" customHeight="1">
      <c r="H577" s="270"/>
      <c r="I577" s="271"/>
      <c r="J577" s="271"/>
      <c r="K577" s="270"/>
      <c r="M577" s="272"/>
    </row>
    <row r="578" ht="22.5" hidden="1" customHeight="1">
      <c r="H578" s="270"/>
      <c r="I578" s="271"/>
      <c r="J578" s="271"/>
      <c r="K578" s="270"/>
      <c r="M578" s="272"/>
    </row>
    <row r="579" ht="22.5" hidden="1" customHeight="1">
      <c r="B579" s="283"/>
      <c r="H579" s="270"/>
      <c r="I579" s="271"/>
      <c r="J579" s="271"/>
      <c r="K579" s="270"/>
      <c r="M579" s="272"/>
    </row>
    <row r="580" ht="22.5" hidden="1" customHeight="1">
      <c r="H580" s="270"/>
      <c r="I580" s="271"/>
      <c r="J580" s="271"/>
      <c r="K580" s="270"/>
      <c r="M580" s="272"/>
    </row>
    <row r="581" ht="22.5" hidden="1" customHeight="1">
      <c r="H581" s="270"/>
      <c r="I581" s="271"/>
      <c r="J581" s="271"/>
      <c r="K581" s="270"/>
      <c r="M581" s="272"/>
    </row>
    <row r="582" ht="22.5" hidden="1" customHeight="1">
      <c r="H582" s="270"/>
      <c r="I582" s="271"/>
      <c r="J582" s="271"/>
      <c r="K582" s="270"/>
      <c r="M582" s="272"/>
    </row>
    <row r="583" ht="22.5" hidden="1" customHeight="1">
      <c r="H583" s="270"/>
      <c r="I583" s="271"/>
      <c r="J583" s="271"/>
      <c r="K583" s="270"/>
      <c r="M583" s="272"/>
    </row>
    <row r="584" ht="22.5" hidden="1" customHeight="1">
      <c r="H584" s="270"/>
      <c r="I584" s="271"/>
      <c r="J584" s="271"/>
      <c r="K584" s="270"/>
      <c r="M584" s="272"/>
    </row>
    <row r="585" ht="22.5" hidden="1" customHeight="1">
      <c r="H585" s="270"/>
      <c r="I585" s="271"/>
      <c r="J585" s="271"/>
      <c r="K585" s="270"/>
      <c r="M585" s="272"/>
    </row>
    <row r="586" ht="22.5" hidden="1" customHeight="1">
      <c r="H586" s="270"/>
      <c r="I586" s="271"/>
      <c r="J586" s="271"/>
      <c r="K586" s="270"/>
      <c r="M586" s="272"/>
    </row>
    <row r="587" ht="22.5" hidden="1" customHeight="1">
      <c r="H587" s="270"/>
      <c r="I587" s="271"/>
      <c r="J587" s="271"/>
      <c r="K587" s="270"/>
      <c r="M587" s="272"/>
    </row>
    <row r="588" ht="22.5" hidden="1" customHeight="1">
      <c r="H588" s="270"/>
      <c r="I588" s="271"/>
      <c r="J588" s="271"/>
      <c r="K588" s="270"/>
      <c r="M588" s="272"/>
    </row>
    <row r="589" ht="22.5" hidden="1" customHeight="1">
      <c r="H589" s="270"/>
      <c r="I589" s="271"/>
      <c r="J589" s="271"/>
      <c r="K589" s="270"/>
      <c r="M589" s="272"/>
    </row>
    <row r="590" ht="22.5" hidden="1" customHeight="1">
      <c r="H590" s="270"/>
      <c r="I590" s="271"/>
      <c r="J590" s="271"/>
      <c r="K590" s="270"/>
      <c r="M590" s="272"/>
    </row>
    <row r="591" ht="22.5" hidden="1" customHeight="1">
      <c r="H591" s="270"/>
      <c r="I591" s="271"/>
      <c r="J591" s="271"/>
      <c r="K591" s="270"/>
      <c r="M591" s="272"/>
    </row>
    <row r="592" ht="22.5" hidden="1" customHeight="1">
      <c r="H592" s="270"/>
      <c r="I592" s="271"/>
      <c r="J592" s="271"/>
      <c r="K592" s="270"/>
      <c r="M592" s="272"/>
    </row>
    <row r="593" ht="22.5" hidden="1" customHeight="1">
      <c r="H593" s="270"/>
      <c r="I593" s="271"/>
      <c r="J593" s="271"/>
      <c r="K593" s="270"/>
      <c r="M593" s="272"/>
    </row>
    <row r="594" ht="22.5" hidden="1" customHeight="1">
      <c r="H594" s="270"/>
      <c r="I594" s="271"/>
      <c r="J594" s="271"/>
      <c r="K594" s="270"/>
      <c r="M594" s="272"/>
    </row>
    <row r="595" ht="22.5" hidden="1" customHeight="1">
      <c r="H595" s="270"/>
      <c r="I595" s="271"/>
      <c r="J595" s="271"/>
      <c r="K595" s="270"/>
      <c r="M595" s="272"/>
    </row>
    <row r="596" ht="22.5" hidden="1" customHeight="1">
      <c r="H596" s="270"/>
      <c r="I596" s="271"/>
      <c r="J596" s="271"/>
      <c r="K596" s="270"/>
      <c r="M596" s="272"/>
    </row>
    <row r="597" ht="22.5" hidden="1" customHeight="1">
      <c r="H597" s="270"/>
      <c r="I597" s="271"/>
      <c r="J597" s="271"/>
      <c r="K597" s="270"/>
      <c r="M597" s="272"/>
    </row>
    <row r="598" ht="22.5" hidden="1" customHeight="1">
      <c r="H598" s="270"/>
      <c r="I598" s="271"/>
      <c r="J598" s="271"/>
      <c r="K598" s="270"/>
      <c r="M598" s="272"/>
    </row>
    <row r="599" ht="22.5" hidden="1" customHeight="1">
      <c r="H599" s="270"/>
      <c r="I599" s="271"/>
      <c r="J599" s="271"/>
      <c r="K599" s="270"/>
      <c r="M599" s="272"/>
    </row>
    <row r="600" ht="22.5" hidden="1" customHeight="1">
      <c r="H600" s="270"/>
      <c r="I600" s="271"/>
      <c r="J600" s="271"/>
      <c r="K600" s="270"/>
      <c r="M600" s="272"/>
    </row>
    <row r="601" ht="22.5" hidden="1" customHeight="1">
      <c r="C601" s="270"/>
      <c r="D601" s="270"/>
      <c r="E601" s="270"/>
      <c r="F601" s="270"/>
      <c r="G601" s="270"/>
      <c r="H601" s="270"/>
      <c r="I601" s="271"/>
      <c r="J601" s="271"/>
      <c r="K601" s="270"/>
      <c r="M601" s="272"/>
    </row>
    <row r="602" ht="22.5" hidden="1" customHeight="1">
      <c r="C602" s="270"/>
      <c r="D602" s="270"/>
      <c r="E602" s="270"/>
      <c r="F602" s="270"/>
      <c r="G602" s="270"/>
      <c r="H602" s="270"/>
      <c r="I602" s="271"/>
      <c r="J602" s="271"/>
      <c r="K602" s="270"/>
      <c r="M602" s="272"/>
    </row>
    <row r="603" ht="22.5" hidden="1" customHeight="1">
      <c r="C603" s="270"/>
      <c r="D603" s="270"/>
      <c r="E603" s="270"/>
      <c r="F603" s="270"/>
      <c r="G603" s="270"/>
      <c r="H603" s="270"/>
      <c r="I603" s="271"/>
      <c r="J603" s="271"/>
      <c r="K603" s="270"/>
      <c r="M603" s="272"/>
    </row>
    <row r="604" ht="22.5" hidden="1" customHeight="1">
      <c r="C604" s="270"/>
      <c r="D604" s="270"/>
      <c r="E604" s="270"/>
      <c r="F604" s="270"/>
      <c r="G604" s="270"/>
      <c r="H604" s="270"/>
      <c r="I604" s="271"/>
      <c r="J604" s="271"/>
      <c r="K604" s="270"/>
      <c r="M604" s="272"/>
    </row>
    <row r="605" ht="22.5" hidden="1" customHeight="1">
      <c r="C605" s="270"/>
      <c r="D605" s="270"/>
      <c r="E605" s="270"/>
      <c r="F605" s="270"/>
      <c r="G605" s="270"/>
      <c r="H605" s="270"/>
      <c r="I605" s="271"/>
      <c r="J605" s="271"/>
      <c r="K605" s="270"/>
      <c r="M605" s="272"/>
    </row>
    <row r="606" ht="22.5" hidden="1" customHeight="1">
      <c r="C606" s="270"/>
      <c r="D606" s="270"/>
      <c r="E606" s="270"/>
      <c r="F606" s="270"/>
      <c r="G606" s="270"/>
      <c r="H606" s="270"/>
      <c r="I606" s="271"/>
      <c r="J606" s="271"/>
      <c r="K606" s="270"/>
      <c r="M606" s="272"/>
    </row>
    <row r="607" ht="22.5" hidden="1" customHeight="1">
      <c r="C607" s="270"/>
      <c r="D607" s="270"/>
      <c r="E607" s="270"/>
      <c r="F607" s="270"/>
      <c r="G607" s="270"/>
      <c r="H607" s="270"/>
      <c r="I607" s="271"/>
      <c r="J607" s="271"/>
      <c r="K607" s="270"/>
      <c r="M607" s="272"/>
    </row>
    <row r="608" ht="22.5" hidden="1" customHeight="1">
      <c r="C608" s="270"/>
      <c r="D608" s="270"/>
      <c r="E608" s="270"/>
      <c r="F608" s="270"/>
      <c r="G608" s="270"/>
      <c r="H608" s="270"/>
      <c r="I608" s="271"/>
      <c r="J608" s="271"/>
      <c r="K608" s="270"/>
      <c r="M608" s="272"/>
    </row>
    <row r="609" ht="22.5" hidden="1" customHeight="1">
      <c r="C609" s="270"/>
      <c r="D609" s="270"/>
      <c r="E609" s="270"/>
      <c r="F609" s="270"/>
      <c r="G609" s="270"/>
      <c r="H609" s="270"/>
      <c r="I609" s="271"/>
      <c r="J609" s="271"/>
      <c r="K609" s="270"/>
      <c r="M609" s="272"/>
    </row>
    <row r="610" ht="22.5" hidden="1" customHeight="1">
      <c r="C610" s="270"/>
      <c r="D610" s="270"/>
      <c r="E610" s="270"/>
      <c r="F610" s="270"/>
      <c r="G610" s="270"/>
      <c r="H610" s="270"/>
      <c r="I610" s="271"/>
      <c r="J610" s="271"/>
      <c r="K610" s="270"/>
      <c r="M610" s="272"/>
    </row>
    <row r="611" ht="22.5" hidden="1" customHeight="1">
      <c r="C611" s="270"/>
      <c r="D611" s="270"/>
      <c r="E611" s="270"/>
      <c r="F611" s="270"/>
      <c r="G611" s="270"/>
      <c r="H611" s="270"/>
      <c r="I611" s="271"/>
      <c r="J611" s="271"/>
      <c r="K611" s="270"/>
      <c r="M611" s="272"/>
    </row>
    <row r="612" ht="22.5" hidden="1" customHeight="1">
      <c r="C612" s="270"/>
      <c r="D612" s="270"/>
      <c r="E612" s="270"/>
      <c r="F612" s="270"/>
      <c r="G612" s="270"/>
      <c r="H612" s="270"/>
      <c r="I612" s="271"/>
      <c r="J612" s="271"/>
      <c r="K612" s="270"/>
      <c r="M612" s="272"/>
    </row>
    <row r="613" ht="22.5" hidden="1" customHeight="1">
      <c r="C613" s="270"/>
      <c r="D613" s="270"/>
      <c r="E613" s="270"/>
      <c r="F613" s="270"/>
      <c r="G613" s="270"/>
      <c r="H613" s="270"/>
      <c r="I613" s="271"/>
      <c r="J613" s="271"/>
      <c r="K613" s="270"/>
      <c r="M613" s="272"/>
    </row>
    <row r="614" ht="22.5" hidden="1" customHeight="1">
      <c r="C614" s="270"/>
      <c r="D614" s="270"/>
      <c r="E614" s="270"/>
      <c r="F614" s="270"/>
      <c r="G614" s="270"/>
      <c r="H614" s="270"/>
      <c r="I614" s="271"/>
      <c r="J614" s="271"/>
      <c r="K614" s="270"/>
      <c r="M614" s="272"/>
    </row>
    <row r="615" ht="22.5" hidden="1" customHeight="1">
      <c r="C615" s="270"/>
      <c r="D615" s="270"/>
      <c r="E615" s="270"/>
      <c r="F615" s="270"/>
      <c r="G615" s="270"/>
      <c r="H615" s="270"/>
      <c r="I615" s="271"/>
      <c r="J615" s="271"/>
      <c r="K615" s="270"/>
      <c r="M615" s="272"/>
    </row>
    <row r="616" ht="22.5" hidden="1" customHeight="1">
      <c r="C616" s="270"/>
      <c r="D616" s="270"/>
      <c r="E616" s="270"/>
      <c r="F616" s="270"/>
      <c r="G616" s="270"/>
      <c r="H616" s="270"/>
      <c r="I616" s="271"/>
      <c r="J616" s="271"/>
      <c r="K616" s="270"/>
      <c r="M616" s="272"/>
    </row>
    <row r="617" ht="22.5" hidden="1" customHeight="1">
      <c r="C617" s="270"/>
      <c r="D617" s="270"/>
      <c r="E617" s="270"/>
      <c r="F617" s="270"/>
      <c r="G617" s="270"/>
      <c r="H617" s="270"/>
      <c r="I617" s="271"/>
      <c r="J617" s="271"/>
      <c r="K617" s="270"/>
      <c r="M617" s="272"/>
    </row>
    <row r="618" ht="22.5" hidden="1" customHeight="1">
      <c r="C618" s="270"/>
      <c r="D618" s="270"/>
      <c r="E618" s="270"/>
      <c r="F618" s="270"/>
      <c r="G618" s="270"/>
      <c r="H618" s="270"/>
      <c r="I618" s="271"/>
      <c r="J618" s="271"/>
      <c r="K618" s="270"/>
      <c r="M618" s="272"/>
    </row>
    <row r="619" ht="22.5" hidden="1" customHeight="1">
      <c r="C619" s="270"/>
      <c r="D619" s="270"/>
      <c r="E619" s="270"/>
      <c r="F619" s="270"/>
      <c r="G619" s="270"/>
      <c r="H619" s="270"/>
      <c r="I619" s="271"/>
      <c r="J619" s="271"/>
      <c r="K619" s="270"/>
      <c r="M619" s="272"/>
    </row>
    <row r="620" ht="22.5" hidden="1" customHeight="1">
      <c r="C620" s="270"/>
      <c r="D620" s="270"/>
      <c r="E620" s="270"/>
      <c r="F620" s="270"/>
      <c r="G620" s="270"/>
      <c r="H620" s="270"/>
      <c r="I620" s="271"/>
      <c r="J620" s="271"/>
      <c r="K620" s="270"/>
      <c r="M620" s="272"/>
    </row>
    <row r="621" ht="22.5" hidden="1" customHeight="1">
      <c r="C621" s="270"/>
      <c r="D621" s="270"/>
      <c r="E621" s="270"/>
      <c r="F621" s="270"/>
      <c r="G621" s="270"/>
      <c r="H621" s="270"/>
      <c r="I621" s="271"/>
      <c r="J621" s="271"/>
      <c r="K621" s="270"/>
      <c r="M621" s="272"/>
    </row>
    <row r="622" ht="22.5" hidden="1" customHeight="1">
      <c r="C622" s="270"/>
      <c r="D622" s="270"/>
      <c r="E622" s="270"/>
      <c r="F622" s="270"/>
      <c r="G622" s="270"/>
      <c r="H622" s="270"/>
      <c r="I622" s="271"/>
      <c r="J622" s="271"/>
      <c r="K622" s="270"/>
      <c r="M622" s="272"/>
    </row>
    <row r="623" ht="22.5" hidden="1" customHeight="1">
      <c r="C623" s="270"/>
      <c r="D623" s="270"/>
      <c r="E623" s="270"/>
      <c r="F623" s="270"/>
      <c r="G623" s="270"/>
      <c r="H623" s="270"/>
      <c r="I623" s="271"/>
      <c r="J623" s="271"/>
      <c r="K623" s="270"/>
      <c r="M623" s="272"/>
    </row>
    <row r="624" ht="22.5" hidden="1" customHeight="1">
      <c r="C624" s="270"/>
      <c r="D624" s="270"/>
      <c r="E624" s="270"/>
      <c r="F624" s="270"/>
      <c r="G624" s="270"/>
      <c r="H624" s="270"/>
      <c r="I624" s="271"/>
      <c r="J624" s="271"/>
      <c r="K624" s="270"/>
      <c r="M624" s="272"/>
    </row>
    <row r="625" ht="22.5" hidden="1" customHeight="1">
      <c r="C625" s="270"/>
      <c r="D625" s="270"/>
      <c r="E625" s="270"/>
      <c r="F625" s="270"/>
      <c r="G625" s="270"/>
      <c r="H625" s="270"/>
      <c r="I625" s="271"/>
      <c r="J625" s="271"/>
      <c r="K625" s="270"/>
      <c r="M625" s="272"/>
    </row>
    <row r="626" ht="22.5" hidden="1" customHeight="1">
      <c r="C626" s="270"/>
      <c r="D626" s="270"/>
      <c r="E626" s="270"/>
      <c r="F626" s="270"/>
      <c r="G626" s="270"/>
      <c r="H626" s="270"/>
      <c r="I626" s="271"/>
      <c r="J626" s="271"/>
      <c r="K626" s="270"/>
      <c r="M626" s="272"/>
    </row>
    <row r="627" ht="22.5" hidden="1" customHeight="1">
      <c r="C627" s="270"/>
      <c r="D627" s="270"/>
      <c r="E627" s="270"/>
      <c r="F627" s="270"/>
      <c r="G627" s="270"/>
      <c r="H627" s="270"/>
      <c r="I627" s="271"/>
      <c r="J627" s="271"/>
      <c r="K627" s="270"/>
      <c r="M627" s="272"/>
    </row>
    <row r="628" ht="22.5" hidden="1" customHeight="1">
      <c r="C628" s="270"/>
      <c r="D628" s="270"/>
      <c r="E628" s="270"/>
      <c r="F628" s="270"/>
      <c r="G628" s="270"/>
      <c r="H628" s="270"/>
      <c r="I628" s="271"/>
      <c r="J628" s="271"/>
      <c r="K628" s="270"/>
      <c r="M628" s="272"/>
    </row>
    <row r="629" ht="22.5" hidden="1" customHeight="1">
      <c r="C629" s="270"/>
      <c r="D629" s="270"/>
      <c r="E629" s="270"/>
      <c r="F629" s="270"/>
      <c r="G629" s="270"/>
      <c r="H629" s="270"/>
      <c r="I629" s="271"/>
      <c r="J629" s="271"/>
      <c r="K629" s="270"/>
      <c r="M629" s="272"/>
    </row>
    <row r="630" ht="22.5" hidden="1" customHeight="1">
      <c r="C630" s="270"/>
      <c r="D630" s="270"/>
      <c r="E630" s="270"/>
      <c r="F630" s="270"/>
      <c r="G630" s="270"/>
      <c r="H630" s="270"/>
      <c r="I630" s="271"/>
      <c r="J630" s="271"/>
      <c r="K630" s="270"/>
      <c r="M630" s="272"/>
    </row>
    <row r="631" ht="22.5" hidden="1" customHeight="1">
      <c r="C631" s="270"/>
      <c r="D631" s="270"/>
      <c r="E631" s="270"/>
      <c r="F631" s="270"/>
      <c r="G631" s="270"/>
      <c r="H631" s="270"/>
      <c r="I631" s="271"/>
      <c r="J631" s="271"/>
      <c r="K631" s="270"/>
      <c r="M631" s="272"/>
    </row>
    <row r="632" ht="22.5" hidden="1" customHeight="1">
      <c r="C632" s="270"/>
      <c r="D632" s="270"/>
      <c r="E632" s="270"/>
      <c r="F632" s="270"/>
      <c r="G632" s="270"/>
      <c r="H632" s="270"/>
      <c r="I632" s="271"/>
      <c r="J632" s="271"/>
      <c r="K632" s="270"/>
      <c r="M632" s="272"/>
    </row>
    <row r="633" ht="22.5" hidden="1" customHeight="1">
      <c r="C633" s="270"/>
      <c r="D633" s="270"/>
      <c r="E633" s="270"/>
      <c r="F633" s="270"/>
      <c r="G633" s="270"/>
      <c r="H633" s="270"/>
      <c r="I633" s="271"/>
      <c r="J633" s="271"/>
      <c r="K633" s="270"/>
      <c r="M633" s="272"/>
    </row>
    <row r="634" ht="22.5" hidden="1" customHeight="1">
      <c r="C634" s="270"/>
      <c r="D634" s="270"/>
      <c r="E634" s="270"/>
      <c r="F634" s="270"/>
      <c r="G634" s="270"/>
      <c r="H634" s="270"/>
      <c r="I634" s="271"/>
      <c r="J634" s="271"/>
      <c r="K634" s="270"/>
      <c r="M634" s="272"/>
    </row>
    <row r="635" ht="22.5" hidden="1" customHeight="1">
      <c r="C635" s="270"/>
      <c r="D635" s="270"/>
      <c r="E635" s="270"/>
      <c r="F635" s="270"/>
      <c r="G635" s="270"/>
      <c r="H635" s="270"/>
      <c r="I635" s="271"/>
      <c r="J635" s="271"/>
      <c r="K635" s="270"/>
      <c r="M635" s="272"/>
    </row>
    <row r="636" ht="22.5" hidden="1" customHeight="1">
      <c r="C636" s="270"/>
      <c r="D636" s="270"/>
      <c r="E636" s="270"/>
      <c r="F636" s="270"/>
      <c r="G636" s="270"/>
      <c r="H636" s="270"/>
      <c r="I636" s="271"/>
      <c r="J636" s="271"/>
      <c r="K636" s="270"/>
      <c r="M636" s="272"/>
    </row>
    <row r="637" ht="22.5" hidden="1" customHeight="1">
      <c r="C637" s="270"/>
      <c r="D637" s="270"/>
      <c r="E637" s="270"/>
      <c r="F637" s="270"/>
      <c r="G637" s="270"/>
      <c r="H637" s="270"/>
      <c r="I637" s="271"/>
      <c r="J637" s="271"/>
      <c r="K637" s="270"/>
      <c r="M637" s="272"/>
    </row>
    <row r="638" ht="22.5" hidden="1" customHeight="1">
      <c r="C638" s="270"/>
      <c r="D638" s="270"/>
      <c r="E638" s="270"/>
      <c r="F638" s="270"/>
      <c r="G638" s="270"/>
      <c r="H638" s="270"/>
      <c r="I638" s="271"/>
      <c r="J638" s="271"/>
      <c r="K638" s="270"/>
      <c r="M638" s="272"/>
    </row>
    <row r="639" ht="22.5" hidden="1" customHeight="1">
      <c r="C639" s="270"/>
      <c r="D639" s="270"/>
      <c r="E639" s="270"/>
      <c r="F639" s="270"/>
      <c r="G639" s="270"/>
      <c r="H639" s="270"/>
      <c r="I639" s="271"/>
      <c r="J639" s="271"/>
      <c r="K639" s="270"/>
      <c r="M639" s="272"/>
    </row>
    <row r="640" ht="22.5" hidden="1" customHeight="1">
      <c r="C640" s="270"/>
      <c r="D640" s="270"/>
      <c r="E640" s="270"/>
      <c r="F640" s="270"/>
      <c r="G640" s="270"/>
      <c r="H640" s="270"/>
      <c r="I640" s="271"/>
      <c r="J640" s="271"/>
      <c r="K640" s="270"/>
      <c r="M640" s="272"/>
    </row>
    <row r="641" ht="22.5" hidden="1" customHeight="1">
      <c r="C641" s="270"/>
      <c r="D641" s="270"/>
      <c r="E641" s="270"/>
      <c r="F641" s="270"/>
      <c r="G641" s="270"/>
      <c r="H641" s="270"/>
      <c r="I641" s="271"/>
      <c r="J641" s="271"/>
      <c r="K641" s="270"/>
      <c r="M641" s="272"/>
    </row>
    <row r="642" ht="22.5" hidden="1" customHeight="1">
      <c r="C642" s="270"/>
      <c r="D642" s="270"/>
      <c r="E642" s="270"/>
      <c r="F642" s="270"/>
      <c r="G642" s="270"/>
      <c r="H642" s="270"/>
      <c r="I642" s="271"/>
      <c r="J642" s="271"/>
      <c r="K642" s="270"/>
      <c r="M642" s="272"/>
    </row>
    <row r="643" ht="22.5" hidden="1" customHeight="1">
      <c r="C643" s="270"/>
      <c r="D643" s="270"/>
      <c r="E643" s="270"/>
      <c r="F643" s="270"/>
      <c r="G643" s="270"/>
      <c r="H643" s="270"/>
      <c r="I643" s="271"/>
      <c r="J643" s="271"/>
      <c r="K643" s="270"/>
      <c r="M643" s="272"/>
    </row>
    <row r="644" ht="22.5" hidden="1" customHeight="1">
      <c r="C644" s="270"/>
      <c r="D644" s="270"/>
      <c r="E644" s="270"/>
      <c r="F644" s="270"/>
      <c r="G644" s="270"/>
      <c r="H644" s="270"/>
      <c r="I644" s="271"/>
      <c r="J644" s="271"/>
      <c r="K644" s="270"/>
      <c r="M644" s="272"/>
    </row>
    <row r="645" ht="22.5" hidden="1" customHeight="1">
      <c r="C645" s="270"/>
      <c r="D645" s="270"/>
      <c r="E645" s="270"/>
      <c r="F645" s="270"/>
      <c r="G645" s="270"/>
      <c r="H645" s="270"/>
      <c r="I645" s="271"/>
      <c r="J645" s="271"/>
      <c r="K645" s="270"/>
      <c r="M645" s="272"/>
    </row>
    <row r="646" ht="22.5" hidden="1" customHeight="1">
      <c r="C646" s="270"/>
      <c r="D646" s="270"/>
      <c r="E646" s="270"/>
      <c r="F646" s="270"/>
      <c r="G646" s="270"/>
      <c r="H646" s="270"/>
      <c r="I646" s="271"/>
      <c r="J646" s="271"/>
      <c r="K646" s="270"/>
      <c r="M646" s="272"/>
    </row>
    <row r="647" ht="22.5" hidden="1" customHeight="1">
      <c r="C647" s="270"/>
      <c r="D647" s="270"/>
      <c r="E647" s="270"/>
      <c r="F647" s="270"/>
      <c r="G647" s="270"/>
      <c r="H647" s="270"/>
      <c r="I647" s="271"/>
      <c r="J647" s="271"/>
      <c r="K647" s="270"/>
      <c r="M647" s="272"/>
    </row>
    <row r="648" ht="22.5" hidden="1" customHeight="1">
      <c r="C648" s="270"/>
      <c r="D648" s="270"/>
      <c r="E648" s="270"/>
      <c r="F648" s="270"/>
      <c r="G648" s="270"/>
      <c r="H648" s="270"/>
      <c r="I648" s="271"/>
      <c r="J648" s="271"/>
      <c r="K648" s="270"/>
      <c r="M648" s="272"/>
    </row>
    <row r="649" ht="22.5" hidden="1" customHeight="1">
      <c r="C649" s="270"/>
      <c r="D649" s="270"/>
      <c r="E649" s="270"/>
      <c r="F649" s="270"/>
      <c r="G649" s="270"/>
      <c r="H649" s="270"/>
      <c r="I649" s="271"/>
      <c r="J649" s="271"/>
      <c r="K649" s="270"/>
      <c r="M649" s="272"/>
    </row>
    <row r="650" ht="22.5" hidden="1" customHeight="1">
      <c r="C650" s="270"/>
      <c r="D650" s="270"/>
      <c r="E650" s="270"/>
      <c r="F650" s="270"/>
      <c r="G650" s="270"/>
      <c r="H650" s="270"/>
      <c r="I650" s="271"/>
      <c r="J650" s="271"/>
      <c r="K650" s="270"/>
      <c r="M650" s="272"/>
    </row>
    <row r="651" ht="22.5" hidden="1" customHeight="1">
      <c r="C651" s="270"/>
      <c r="D651" s="270"/>
      <c r="E651" s="270"/>
      <c r="F651" s="270"/>
      <c r="G651" s="270"/>
      <c r="H651" s="270"/>
      <c r="I651" s="271"/>
      <c r="J651" s="271"/>
      <c r="K651" s="270"/>
      <c r="M651" s="272"/>
    </row>
    <row r="652" ht="22.5" hidden="1" customHeight="1">
      <c r="C652" s="270"/>
      <c r="D652" s="270"/>
      <c r="E652" s="270"/>
      <c r="F652" s="270"/>
      <c r="G652" s="270"/>
      <c r="H652" s="270"/>
      <c r="I652" s="271"/>
      <c r="J652" s="271"/>
      <c r="K652" s="270"/>
      <c r="M652" s="272"/>
    </row>
    <row r="653" ht="22.5" hidden="1" customHeight="1">
      <c r="C653" s="270"/>
      <c r="D653" s="270"/>
      <c r="E653" s="270"/>
      <c r="F653" s="270"/>
      <c r="G653" s="270"/>
      <c r="H653" s="270"/>
      <c r="I653" s="271"/>
      <c r="J653" s="271"/>
      <c r="K653" s="270"/>
      <c r="M653" s="272"/>
    </row>
    <row r="654" ht="22.5" hidden="1" customHeight="1">
      <c r="C654" s="270"/>
      <c r="D654" s="270"/>
      <c r="E654" s="270"/>
      <c r="F654" s="270"/>
      <c r="G654" s="270"/>
      <c r="H654" s="270"/>
      <c r="I654" s="271"/>
      <c r="J654" s="271"/>
      <c r="K654" s="270"/>
      <c r="M654" s="272"/>
    </row>
    <row r="655" ht="22.5" hidden="1" customHeight="1">
      <c r="C655" s="270"/>
      <c r="D655" s="270"/>
      <c r="E655" s="270"/>
      <c r="F655" s="270"/>
      <c r="G655" s="270"/>
      <c r="H655" s="270"/>
      <c r="I655" s="271"/>
      <c r="J655" s="271"/>
      <c r="K655" s="270"/>
      <c r="M655" s="272"/>
    </row>
    <row r="656" ht="22.5" hidden="1" customHeight="1">
      <c r="C656" s="270"/>
      <c r="D656" s="270"/>
      <c r="E656" s="270"/>
      <c r="F656" s="270"/>
      <c r="G656" s="270"/>
      <c r="H656" s="270"/>
      <c r="I656" s="271"/>
      <c r="J656" s="271"/>
      <c r="K656" s="270"/>
      <c r="M656" s="272"/>
    </row>
    <row r="657" ht="22.5" hidden="1" customHeight="1">
      <c r="C657" s="270"/>
      <c r="D657" s="270"/>
      <c r="E657" s="270"/>
      <c r="F657" s="270"/>
      <c r="G657" s="270"/>
      <c r="H657" s="270"/>
      <c r="I657" s="271"/>
      <c r="J657" s="271"/>
      <c r="K657" s="270"/>
      <c r="M657" s="272"/>
    </row>
    <row r="658" ht="22.5" hidden="1" customHeight="1">
      <c r="C658" s="270"/>
      <c r="D658" s="270"/>
      <c r="E658" s="270"/>
      <c r="F658" s="270"/>
      <c r="G658" s="270"/>
      <c r="H658" s="270"/>
      <c r="I658" s="271"/>
      <c r="J658" s="271"/>
      <c r="K658" s="270"/>
      <c r="M658" s="272"/>
    </row>
    <row r="659" ht="22.5" hidden="1" customHeight="1">
      <c r="C659" s="270"/>
      <c r="D659" s="270"/>
      <c r="E659" s="270"/>
      <c r="F659" s="270"/>
      <c r="G659" s="270"/>
      <c r="H659" s="270"/>
      <c r="I659" s="271"/>
      <c r="J659" s="271"/>
      <c r="K659" s="270"/>
      <c r="M659" s="272"/>
    </row>
    <row r="660" ht="22.5" hidden="1" customHeight="1">
      <c r="C660" s="270"/>
      <c r="D660" s="270"/>
      <c r="E660" s="270"/>
      <c r="F660" s="270"/>
      <c r="G660" s="270"/>
      <c r="H660" s="270"/>
      <c r="I660" s="271"/>
      <c r="J660" s="271"/>
      <c r="K660" s="270"/>
      <c r="M660" s="272"/>
    </row>
    <row r="661" ht="22.5" hidden="1" customHeight="1">
      <c r="C661" s="270"/>
      <c r="D661" s="270"/>
      <c r="E661" s="270"/>
      <c r="F661" s="270"/>
      <c r="G661" s="270"/>
      <c r="H661" s="270"/>
      <c r="I661" s="271"/>
      <c r="J661" s="271"/>
      <c r="K661" s="270"/>
      <c r="M661" s="272"/>
    </row>
    <row r="662" ht="22.5" hidden="1" customHeight="1">
      <c r="C662" s="270"/>
      <c r="D662" s="270"/>
      <c r="E662" s="270"/>
      <c r="F662" s="270"/>
      <c r="G662" s="270"/>
      <c r="H662" s="270"/>
      <c r="I662" s="271"/>
      <c r="J662" s="271"/>
      <c r="K662" s="270"/>
      <c r="M662" s="272"/>
    </row>
    <row r="663" ht="22.5" hidden="1" customHeight="1">
      <c r="C663" s="270"/>
      <c r="D663" s="270"/>
      <c r="E663" s="270"/>
      <c r="F663" s="270"/>
      <c r="G663" s="270"/>
      <c r="H663" s="270"/>
      <c r="I663" s="271"/>
      <c r="J663" s="271"/>
      <c r="K663" s="270"/>
      <c r="M663" s="272"/>
    </row>
    <row r="664" ht="22.5" hidden="1" customHeight="1">
      <c r="C664" s="270"/>
      <c r="D664" s="270"/>
      <c r="E664" s="270"/>
      <c r="F664" s="270"/>
      <c r="G664" s="270"/>
      <c r="H664" s="270"/>
      <c r="I664" s="271"/>
      <c r="J664" s="271"/>
      <c r="K664" s="270"/>
      <c r="M664" s="272"/>
    </row>
    <row r="665" ht="22.5" hidden="1" customHeight="1">
      <c r="C665" s="270"/>
      <c r="D665" s="270"/>
      <c r="E665" s="270"/>
      <c r="F665" s="270"/>
      <c r="G665" s="270"/>
      <c r="H665" s="270"/>
      <c r="I665" s="271"/>
      <c r="J665" s="271"/>
      <c r="K665" s="270"/>
      <c r="M665" s="272"/>
    </row>
    <row r="666" ht="22.5" hidden="1" customHeight="1">
      <c r="C666" s="270"/>
      <c r="D666" s="270"/>
      <c r="E666" s="270"/>
      <c r="F666" s="270"/>
      <c r="G666" s="270"/>
      <c r="H666" s="270"/>
      <c r="I666" s="271"/>
      <c r="J666" s="271"/>
      <c r="K666" s="270"/>
      <c r="M666" s="272"/>
    </row>
    <row r="667" ht="22.5" hidden="1" customHeight="1">
      <c r="C667" s="270"/>
      <c r="D667" s="270"/>
      <c r="E667" s="270"/>
      <c r="F667" s="270"/>
      <c r="G667" s="270"/>
      <c r="H667" s="270"/>
      <c r="I667" s="271"/>
      <c r="J667" s="271"/>
      <c r="K667" s="270"/>
      <c r="M667" s="272"/>
    </row>
    <row r="668" ht="22.5" hidden="1" customHeight="1">
      <c r="C668" s="270"/>
      <c r="D668" s="270"/>
      <c r="E668" s="270"/>
      <c r="F668" s="270"/>
      <c r="G668" s="270"/>
      <c r="H668" s="270"/>
      <c r="I668" s="271"/>
      <c r="J668" s="271"/>
      <c r="K668" s="270"/>
      <c r="M668" s="272"/>
    </row>
    <row r="669" ht="22.5" hidden="1" customHeight="1">
      <c r="C669" s="270"/>
      <c r="D669" s="270"/>
      <c r="E669" s="270"/>
      <c r="F669" s="270"/>
      <c r="G669" s="270"/>
      <c r="H669" s="270"/>
      <c r="I669" s="271"/>
      <c r="J669" s="271"/>
      <c r="K669" s="270"/>
      <c r="M669" s="272"/>
    </row>
    <row r="670" ht="22.5" hidden="1" customHeight="1">
      <c r="C670" s="270"/>
      <c r="D670" s="270"/>
      <c r="E670" s="270"/>
      <c r="F670" s="270"/>
      <c r="G670" s="270"/>
      <c r="H670" s="270"/>
      <c r="I670" s="271"/>
      <c r="J670" s="271"/>
      <c r="K670" s="270"/>
      <c r="M670" s="272"/>
    </row>
    <row r="671" ht="22.5" hidden="1" customHeight="1">
      <c r="C671" s="270"/>
      <c r="D671" s="270"/>
      <c r="E671" s="270"/>
      <c r="F671" s="270"/>
      <c r="G671" s="270"/>
      <c r="H671" s="270"/>
      <c r="I671" s="271"/>
      <c r="J671" s="271"/>
      <c r="K671" s="270"/>
      <c r="M671" s="272"/>
    </row>
    <row r="672" ht="22.5" hidden="1" customHeight="1">
      <c r="C672" s="270"/>
      <c r="D672" s="270"/>
      <c r="E672" s="270"/>
      <c r="F672" s="270"/>
      <c r="G672" s="270"/>
      <c r="H672" s="270"/>
      <c r="I672" s="271"/>
      <c r="J672" s="271"/>
      <c r="K672" s="270"/>
      <c r="M672" s="272"/>
    </row>
    <row r="673" ht="22.5" hidden="1" customHeight="1">
      <c r="C673" s="270"/>
      <c r="D673" s="270"/>
      <c r="E673" s="270"/>
      <c r="F673" s="270"/>
      <c r="G673" s="270"/>
      <c r="H673" s="270"/>
      <c r="I673" s="271"/>
      <c r="J673" s="271"/>
      <c r="K673" s="270"/>
      <c r="M673" s="272"/>
    </row>
    <row r="674" ht="22.5" hidden="1" customHeight="1">
      <c r="C674" s="270"/>
      <c r="D674" s="270"/>
      <c r="E674" s="270"/>
      <c r="F674" s="270"/>
      <c r="G674" s="270"/>
      <c r="H674" s="270"/>
      <c r="I674" s="271"/>
      <c r="J674" s="271"/>
      <c r="K674" s="270"/>
      <c r="M674" s="272"/>
    </row>
    <row r="675" ht="22.5" hidden="1" customHeight="1">
      <c r="C675" s="270"/>
      <c r="D675" s="270"/>
      <c r="E675" s="270"/>
      <c r="F675" s="270"/>
      <c r="G675" s="270"/>
      <c r="H675" s="270"/>
      <c r="I675" s="271"/>
      <c r="J675" s="271"/>
      <c r="K675" s="270"/>
      <c r="M675" s="272"/>
    </row>
    <row r="676" ht="22.5" hidden="1" customHeight="1">
      <c r="C676" s="270"/>
      <c r="D676" s="270"/>
      <c r="E676" s="270"/>
      <c r="F676" s="270"/>
      <c r="G676" s="270"/>
      <c r="H676" s="270"/>
      <c r="I676" s="271"/>
      <c r="J676" s="271"/>
      <c r="K676" s="270"/>
      <c r="M676" s="272"/>
    </row>
    <row r="677" ht="22.5" hidden="1" customHeight="1">
      <c r="C677" s="270"/>
      <c r="D677" s="270"/>
      <c r="E677" s="270"/>
      <c r="F677" s="270"/>
      <c r="G677" s="270"/>
      <c r="H677" s="270"/>
      <c r="I677" s="271"/>
      <c r="J677" s="271"/>
      <c r="K677" s="270"/>
      <c r="M677" s="272"/>
    </row>
    <row r="678" ht="22.5" hidden="1" customHeight="1">
      <c r="C678" s="270"/>
      <c r="D678" s="270"/>
      <c r="E678" s="270"/>
      <c r="F678" s="270"/>
      <c r="G678" s="270"/>
      <c r="H678" s="270"/>
      <c r="I678" s="271"/>
      <c r="J678" s="271"/>
      <c r="K678" s="270"/>
      <c r="M678" s="272"/>
    </row>
    <row r="679" ht="22.5" hidden="1" customHeight="1">
      <c r="C679" s="270"/>
      <c r="D679" s="270"/>
      <c r="E679" s="270"/>
      <c r="F679" s="270"/>
      <c r="G679" s="270"/>
      <c r="H679" s="270"/>
      <c r="I679" s="271"/>
      <c r="J679" s="271"/>
      <c r="K679" s="270"/>
      <c r="M679" s="272"/>
    </row>
    <row r="680" ht="22.5" hidden="1" customHeight="1">
      <c r="C680" s="270"/>
      <c r="D680" s="270"/>
      <c r="E680" s="270"/>
      <c r="F680" s="270"/>
      <c r="G680" s="270"/>
      <c r="H680" s="270"/>
      <c r="I680" s="271"/>
      <c r="J680" s="271"/>
      <c r="K680" s="270"/>
      <c r="M680" s="272"/>
    </row>
    <row r="681" ht="22.5" hidden="1" customHeight="1">
      <c r="C681" s="270"/>
      <c r="D681" s="270"/>
      <c r="E681" s="270"/>
      <c r="F681" s="270"/>
      <c r="G681" s="270"/>
      <c r="H681" s="270"/>
      <c r="I681" s="271"/>
      <c r="J681" s="271"/>
      <c r="K681" s="270"/>
      <c r="M681" s="272"/>
    </row>
    <row r="682" ht="22.5" hidden="1" customHeight="1">
      <c r="C682" s="270"/>
      <c r="D682" s="270"/>
      <c r="E682" s="270"/>
      <c r="F682" s="270"/>
      <c r="G682" s="270"/>
      <c r="H682" s="270"/>
      <c r="I682" s="271"/>
      <c r="J682" s="271"/>
      <c r="K682" s="270"/>
      <c r="M682" s="272"/>
    </row>
    <row r="683" ht="22.5" hidden="1" customHeight="1">
      <c r="C683" s="270"/>
      <c r="D683" s="270"/>
      <c r="E683" s="270"/>
      <c r="F683" s="270"/>
      <c r="G683" s="270"/>
      <c r="H683" s="270"/>
      <c r="I683" s="271"/>
      <c r="J683" s="271"/>
      <c r="K683" s="270"/>
      <c r="M683" s="272"/>
    </row>
    <row r="684" ht="22.5" hidden="1" customHeight="1">
      <c r="C684" s="270"/>
      <c r="D684" s="270"/>
      <c r="E684" s="270"/>
      <c r="F684" s="270"/>
      <c r="G684" s="270"/>
      <c r="H684" s="270"/>
      <c r="I684" s="271"/>
      <c r="J684" s="271"/>
      <c r="K684" s="270"/>
      <c r="M684" s="272"/>
    </row>
    <row r="685" ht="22.5" hidden="1" customHeight="1">
      <c r="C685" s="270"/>
      <c r="D685" s="270"/>
      <c r="E685" s="270"/>
      <c r="F685" s="270"/>
      <c r="G685" s="270"/>
      <c r="H685" s="270"/>
      <c r="I685" s="271"/>
      <c r="J685" s="271"/>
      <c r="K685" s="270"/>
      <c r="M685" s="272"/>
    </row>
    <row r="686" ht="22.5" hidden="1" customHeight="1">
      <c r="C686" s="270"/>
      <c r="D686" s="270"/>
      <c r="E686" s="270"/>
      <c r="F686" s="270"/>
      <c r="G686" s="270"/>
      <c r="H686" s="270"/>
      <c r="I686" s="271"/>
      <c r="J686" s="271"/>
      <c r="K686" s="270"/>
      <c r="M686" s="272"/>
    </row>
    <row r="687" ht="22.5" hidden="1" customHeight="1">
      <c r="C687" s="270"/>
      <c r="D687" s="270"/>
      <c r="E687" s="270"/>
      <c r="F687" s="270"/>
      <c r="G687" s="270"/>
      <c r="H687" s="270"/>
      <c r="I687" s="271"/>
      <c r="J687" s="271"/>
      <c r="K687" s="270"/>
      <c r="M687" s="272"/>
    </row>
    <row r="688" ht="22.5" hidden="1" customHeight="1">
      <c r="C688" s="270"/>
      <c r="D688" s="270"/>
      <c r="E688" s="270"/>
      <c r="F688" s="270"/>
      <c r="G688" s="270"/>
      <c r="H688" s="270"/>
      <c r="I688" s="271"/>
      <c r="J688" s="271"/>
      <c r="K688" s="270"/>
      <c r="M688" s="272"/>
    </row>
    <row r="689" ht="22.5" hidden="1" customHeight="1">
      <c r="C689" s="270"/>
      <c r="D689" s="270"/>
      <c r="E689" s="270"/>
      <c r="F689" s="270"/>
      <c r="G689" s="270"/>
      <c r="H689" s="270"/>
      <c r="I689" s="271"/>
      <c r="J689" s="271"/>
      <c r="K689" s="270"/>
      <c r="M689" s="272"/>
    </row>
    <row r="690" ht="22.5" hidden="1" customHeight="1">
      <c r="C690" s="270"/>
      <c r="D690" s="270"/>
      <c r="E690" s="270"/>
      <c r="F690" s="270"/>
      <c r="G690" s="270"/>
      <c r="H690" s="270"/>
      <c r="I690" s="271"/>
      <c r="J690" s="271"/>
      <c r="K690" s="270"/>
      <c r="M690" s="272"/>
    </row>
    <row r="691" ht="22.5" hidden="1" customHeight="1">
      <c r="C691" s="270"/>
      <c r="D691" s="270"/>
      <c r="E691" s="270"/>
      <c r="F691" s="270"/>
      <c r="G691" s="270"/>
      <c r="H691" s="270"/>
      <c r="I691" s="271"/>
      <c r="J691" s="271"/>
      <c r="K691" s="270"/>
      <c r="M691" s="272"/>
    </row>
    <row r="692" ht="22.5" hidden="1" customHeight="1">
      <c r="C692" s="270"/>
      <c r="D692" s="270"/>
      <c r="E692" s="270"/>
      <c r="F692" s="270"/>
      <c r="G692" s="270"/>
      <c r="H692" s="270"/>
      <c r="I692" s="271"/>
      <c r="J692" s="271"/>
      <c r="K692" s="270"/>
      <c r="M692" s="272"/>
    </row>
    <row r="693" ht="22.5" hidden="1" customHeight="1">
      <c r="C693" s="270"/>
      <c r="D693" s="270"/>
      <c r="E693" s="270"/>
      <c r="F693" s="270"/>
      <c r="G693" s="270"/>
      <c r="H693" s="270"/>
      <c r="I693" s="271"/>
      <c r="J693" s="271"/>
      <c r="K693" s="270"/>
      <c r="M693" s="272"/>
    </row>
    <row r="694" ht="22.5" hidden="1" customHeight="1">
      <c r="C694" s="270"/>
      <c r="D694" s="270"/>
      <c r="E694" s="270"/>
      <c r="F694" s="270"/>
      <c r="G694" s="270"/>
      <c r="H694" s="270"/>
      <c r="I694" s="271"/>
      <c r="J694" s="271"/>
      <c r="K694" s="270"/>
      <c r="M694" s="272"/>
    </row>
    <row r="695" ht="22.5" hidden="1" customHeight="1">
      <c r="C695" s="270"/>
      <c r="D695" s="270"/>
      <c r="E695" s="270"/>
      <c r="F695" s="270"/>
      <c r="G695" s="270"/>
      <c r="H695" s="270"/>
      <c r="I695" s="271"/>
      <c r="J695" s="271"/>
      <c r="K695" s="270"/>
      <c r="M695" s="272"/>
    </row>
    <row r="696" ht="22.5" hidden="1" customHeight="1">
      <c r="C696" s="270"/>
      <c r="D696" s="270"/>
      <c r="E696" s="270"/>
      <c r="F696" s="270"/>
      <c r="G696" s="270"/>
      <c r="H696" s="270"/>
      <c r="I696" s="271"/>
      <c r="J696" s="271"/>
      <c r="K696" s="270"/>
      <c r="M696" s="272"/>
    </row>
    <row r="697" ht="22.5" hidden="1" customHeight="1">
      <c r="C697" s="270"/>
      <c r="D697" s="270"/>
      <c r="E697" s="270"/>
      <c r="F697" s="270"/>
      <c r="G697" s="270"/>
      <c r="H697" s="270"/>
      <c r="I697" s="271"/>
      <c r="J697" s="271"/>
      <c r="K697" s="270"/>
      <c r="M697" s="272"/>
    </row>
    <row r="698" ht="22.5" hidden="1" customHeight="1">
      <c r="C698" s="270"/>
      <c r="D698" s="270"/>
      <c r="E698" s="270"/>
      <c r="F698" s="270"/>
      <c r="G698" s="270"/>
      <c r="H698" s="270"/>
      <c r="I698" s="271"/>
      <c r="J698" s="271"/>
      <c r="K698" s="270"/>
      <c r="M698" s="272"/>
    </row>
    <row r="699" ht="22.5" hidden="1" customHeight="1">
      <c r="C699" s="270"/>
      <c r="D699" s="270"/>
      <c r="E699" s="270"/>
      <c r="F699" s="270"/>
      <c r="G699" s="270"/>
      <c r="H699" s="270"/>
      <c r="I699" s="271"/>
      <c r="J699" s="271"/>
      <c r="K699" s="270"/>
      <c r="M699" s="272"/>
    </row>
    <row r="700" ht="22.5" hidden="1" customHeight="1">
      <c r="C700" s="270"/>
      <c r="D700" s="270"/>
      <c r="E700" s="270"/>
      <c r="F700" s="270"/>
      <c r="G700" s="270"/>
      <c r="H700" s="270"/>
      <c r="I700" s="271"/>
      <c r="J700" s="271"/>
      <c r="K700" s="270"/>
      <c r="M700" s="272"/>
    </row>
    <row r="701" ht="22.5" hidden="1" customHeight="1">
      <c r="C701" s="270"/>
      <c r="D701" s="270"/>
      <c r="E701" s="270"/>
      <c r="F701" s="270"/>
      <c r="G701" s="270"/>
      <c r="H701" s="270"/>
      <c r="I701" s="271"/>
      <c r="J701" s="271"/>
      <c r="K701" s="270"/>
      <c r="M701" s="272"/>
    </row>
    <row r="702" ht="22.5" hidden="1" customHeight="1">
      <c r="C702" s="270"/>
      <c r="D702" s="270"/>
      <c r="E702" s="270"/>
      <c r="F702" s="270"/>
      <c r="G702" s="270"/>
      <c r="H702" s="270"/>
      <c r="I702" s="271"/>
      <c r="J702" s="271"/>
      <c r="K702" s="270"/>
      <c r="M702" s="272"/>
    </row>
    <row r="703" ht="22.5" hidden="1" customHeight="1">
      <c r="C703" s="270"/>
      <c r="D703" s="270"/>
      <c r="E703" s="270"/>
      <c r="F703" s="270"/>
      <c r="G703" s="270"/>
      <c r="H703" s="270"/>
      <c r="I703" s="271"/>
      <c r="J703" s="271"/>
      <c r="K703" s="270"/>
      <c r="M703" s="272"/>
    </row>
    <row r="704" ht="22.5" hidden="1" customHeight="1">
      <c r="C704" s="270"/>
      <c r="D704" s="270"/>
      <c r="E704" s="270"/>
      <c r="F704" s="270"/>
      <c r="G704" s="270"/>
      <c r="H704" s="270"/>
      <c r="I704" s="271"/>
      <c r="J704" s="271"/>
      <c r="K704" s="270"/>
      <c r="M704" s="272"/>
    </row>
    <row r="705" ht="22.5" hidden="1" customHeight="1">
      <c r="C705" s="270"/>
      <c r="D705" s="270"/>
      <c r="E705" s="270"/>
      <c r="F705" s="270"/>
      <c r="G705" s="270"/>
      <c r="H705" s="270"/>
      <c r="I705" s="271"/>
      <c r="J705" s="271"/>
      <c r="K705" s="270"/>
      <c r="M705" s="272"/>
    </row>
    <row r="706" ht="22.5" hidden="1" customHeight="1">
      <c r="C706" s="270"/>
      <c r="D706" s="270"/>
      <c r="E706" s="270"/>
      <c r="F706" s="270"/>
      <c r="G706" s="270"/>
      <c r="H706" s="270"/>
      <c r="I706" s="271"/>
      <c r="J706" s="271"/>
      <c r="K706" s="270"/>
      <c r="M706" s="272"/>
    </row>
    <row r="707" ht="22.5" hidden="1" customHeight="1">
      <c r="C707" s="270"/>
      <c r="D707" s="270"/>
      <c r="E707" s="270"/>
      <c r="F707" s="270"/>
      <c r="G707" s="270"/>
      <c r="H707" s="270"/>
      <c r="I707" s="271"/>
      <c r="J707" s="271"/>
      <c r="K707" s="270"/>
      <c r="M707" s="272"/>
    </row>
    <row r="708" ht="22.5" hidden="1" customHeight="1">
      <c r="C708" s="270"/>
      <c r="D708" s="270"/>
      <c r="E708" s="270"/>
      <c r="F708" s="270"/>
      <c r="G708" s="270"/>
      <c r="H708" s="270"/>
      <c r="I708" s="271"/>
      <c r="J708" s="271"/>
      <c r="K708" s="270"/>
      <c r="M708" s="272"/>
    </row>
    <row r="709" ht="22.5" hidden="1" customHeight="1">
      <c r="C709" s="270"/>
      <c r="D709" s="270"/>
      <c r="E709" s="270"/>
      <c r="F709" s="270"/>
      <c r="G709" s="270"/>
      <c r="H709" s="270"/>
      <c r="I709" s="271"/>
      <c r="J709" s="271"/>
      <c r="K709" s="270"/>
      <c r="M709" s="272"/>
    </row>
    <row r="710" ht="22.5" hidden="1" customHeight="1">
      <c r="C710" s="270"/>
      <c r="D710" s="270"/>
      <c r="E710" s="270"/>
      <c r="F710" s="270"/>
      <c r="G710" s="270"/>
      <c r="H710" s="270"/>
      <c r="I710" s="271"/>
      <c r="J710" s="271"/>
      <c r="K710" s="270"/>
      <c r="M710" s="272"/>
    </row>
    <row r="711" ht="22.5" hidden="1" customHeight="1">
      <c r="C711" s="270"/>
      <c r="D711" s="270"/>
      <c r="E711" s="270"/>
      <c r="F711" s="270"/>
      <c r="G711" s="270"/>
      <c r="H711" s="270"/>
      <c r="I711" s="271"/>
      <c r="J711" s="271"/>
      <c r="K711" s="270"/>
      <c r="M711" s="272"/>
    </row>
    <row r="712" ht="22.5" hidden="1" customHeight="1">
      <c r="C712" s="270"/>
      <c r="D712" s="270"/>
      <c r="E712" s="270"/>
      <c r="F712" s="270"/>
      <c r="G712" s="270"/>
      <c r="H712" s="270"/>
      <c r="I712" s="271"/>
      <c r="J712" s="271"/>
      <c r="K712" s="270"/>
      <c r="M712" s="272"/>
    </row>
    <row r="713" ht="22.5" hidden="1" customHeight="1">
      <c r="C713" s="270"/>
      <c r="D713" s="270"/>
      <c r="E713" s="270"/>
      <c r="F713" s="270"/>
      <c r="G713" s="270"/>
      <c r="H713" s="270"/>
      <c r="I713" s="271"/>
      <c r="J713" s="271"/>
      <c r="K713" s="270"/>
      <c r="M713" s="272"/>
    </row>
    <row r="714" ht="22.5" hidden="1" customHeight="1">
      <c r="C714" s="270"/>
      <c r="D714" s="270"/>
      <c r="E714" s="270"/>
      <c r="F714" s="270"/>
      <c r="G714" s="270"/>
      <c r="H714" s="270"/>
      <c r="I714" s="271"/>
      <c r="J714" s="271"/>
      <c r="K714" s="270"/>
      <c r="M714" s="272"/>
    </row>
    <row r="715" ht="22.5" hidden="1" customHeight="1">
      <c r="C715" s="270"/>
      <c r="D715" s="270"/>
      <c r="E715" s="270"/>
      <c r="F715" s="270"/>
      <c r="G715" s="270"/>
      <c r="H715" s="270"/>
      <c r="I715" s="271"/>
      <c r="J715" s="271"/>
      <c r="K715" s="270"/>
      <c r="M715" s="272"/>
    </row>
    <row r="716" ht="22.5" hidden="1" customHeight="1">
      <c r="C716" s="270"/>
      <c r="D716" s="270"/>
      <c r="E716" s="270"/>
      <c r="F716" s="270"/>
      <c r="G716" s="270"/>
      <c r="H716" s="270"/>
      <c r="I716" s="271"/>
      <c r="J716" s="271"/>
      <c r="K716" s="270"/>
      <c r="M716" s="272"/>
    </row>
    <row r="717" ht="22.5" hidden="1" customHeight="1">
      <c r="C717" s="270"/>
      <c r="D717" s="270"/>
      <c r="E717" s="270"/>
      <c r="F717" s="270"/>
      <c r="G717" s="270"/>
      <c r="H717" s="270"/>
      <c r="I717" s="271"/>
      <c r="J717" s="271"/>
      <c r="K717" s="270"/>
      <c r="M717" s="272"/>
    </row>
    <row r="718" ht="22.5" hidden="1" customHeight="1">
      <c r="C718" s="270"/>
      <c r="D718" s="270"/>
      <c r="E718" s="270"/>
      <c r="F718" s="270"/>
      <c r="G718" s="270"/>
      <c r="H718" s="270"/>
      <c r="I718" s="271"/>
      <c r="J718" s="271"/>
      <c r="K718" s="270"/>
      <c r="M718" s="272"/>
    </row>
    <row r="719" ht="22.5" hidden="1" customHeight="1">
      <c r="C719" s="270"/>
      <c r="D719" s="270"/>
      <c r="E719" s="270"/>
      <c r="F719" s="270"/>
      <c r="G719" s="270"/>
      <c r="H719" s="270"/>
      <c r="I719" s="271"/>
      <c r="J719" s="271"/>
      <c r="K719" s="270"/>
      <c r="M719" s="272"/>
    </row>
    <row r="720" ht="22.5" hidden="1" customHeight="1">
      <c r="C720" s="270"/>
      <c r="D720" s="270"/>
      <c r="E720" s="270"/>
      <c r="F720" s="270"/>
      <c r="G720" s="270"/>
      <c r="H720" s="270"/>
      <c r="I720" s="271"/>
      <c r="J720" s="271"/>
      <c r="K720" s="270"/>
      <c r="M720" s="272"/>
    </row>
    <row r="721" ht="22.5" hidden="1" customHeight="1">
      <c r="C721" s="270"/>
      <c r="D721" s="270"/>
      <c r="E721" s="270"/>
      <c r="F721" s="270"/>
      <c r="G721" s="270"/>
      <c r="H721" s="270"/>
      <c r="I721" s="271"/>
      <c r="J721" s="271"/>
      <c r="K721" s="270"/>
      <c r="M721" s="272"/>
    </row>
    <row r="722" ht="22.5" hidden="1" customHeight="1">
      <c r="C722" s="270"/>
      <c r="D722" s="270"/>
      <c r="E722" s="270"/>
      <c r="F722" s="270"/>
      <c r="G722" s="270"/>
      <c r="H722" s="270"/>
      <c r="I722" s="271"/>
      <c r="J722" s="271"/>
      <c r="K722" s="270"/>
      <c r="M722" s="272"/>
    </row>
    <row r="723" ht="22.5" hidden="1" customHeight="1">
      <c r="C723" s="270"/>
      <c r="D723" s="270"/>
      <c r="E723" s="270"/>
      <c r="F723" s="270"/>
      <c r="G723" s="270"/>
      <c r="H723" s="270"/>
      <c r="I723" s="271"/>
      <c r="J723" s="271"/>
      <c r="K723" s="270"/>
      <c r="M723" s="272"/>
    </row>
    <row r="724" ht="22.5" hidden="1" customHeight="1">
      <c r="C724" s="270"/>
      <c r="D724" s="270"/>
      <c r="E724" s="270"/>
      <c r="F724" s="270"/>
      <c r="G724" s="270"/>
      <c r="H724" s="270"/>
      <c r="I724" s="271"/>
      <c r="J724" s="271"/>
      <c r="K724" s="270"/>
      <c r="M724" s="272"/>
    </row>
    <row r="725" ht="22.5" hidden="1" customHeight="1">
      <c r="C725" s="270"/>
      <c r="D725" s="270"/>
      <c r="E725" s="270"/>
      <c r="F725" s="270"/>
      <c r="G725" s="270"/>
      <c r="H725" s="270"/>
      <c r="I725" s="271"/>
      <c r="J725" s="271"/>
      <c r="K725" s="270"/>
      <c r="M725" s="272"/>
    </row>
    <row r="726" ht="22.5" hidden="1" customHeight="1">
      <c r="C726" s="270"/>
      <c r="D726" s="270"/>
      <c r="E726" s="270"/>
      <c r="F726" s="270"/>
      <c r="G726" s="270"/>
      <c r="H726" s="270"/>
      <c r="I726" s="271"/>
      <c r="J726" s="271"/>
      <c r="K726" s="270"/>
      <c r="M726" s="272"/>
    </row>
    <row r="727" ht="22.5" hidden="1" customHeight="1">
      <c r="C727" s="270"/>
      <c r="D727" s="270"/>
      <c r="E727" s="270"/>
      <c r="F727" s="270"/>
      <c r="G727" s="270"/>
      <c r="H727" s="270"/>
      <c r="I727" s="271"/>
      <c r="J727" s="271"/>
      <c r="K727" s="270"/>
      <c r="M727" s="272"/>
    </row>
    <row r="728" ht="22.5" hidden="1" customHeight="1">
      <c r="C728" s="270"/>
      <c r="D728" s="270"/>
      <c r="E728" s="270"/>
      <c r="F728" s="270"/>
      <c r="G728" s="270"/>
      <c r="H728" s="270"/>
      <c r="I728" s="271"/>
      <c r="J728" s="271"/>
      <c r="K728" s="270"/>
      <c r="M728" s="272"/>
    </row>
    <row r="729" ht="22.5" hidden="1" customHeight="1">
      <c r="C729" s="270"/>
      <c r="D729" s="270"/>
      <c r="E729" s="270"/>
      <c r="F729" s="270"/>
      <c r="G729" s="270"/>
      <c r="H729" s="270"/>
      <c r="I729" s="271"/>
      <c r="J729" s="271"/>
      <c r="K729" s="270"/>
      <c r="M729" s="272"/>
    </row>
    <row r="730" ht="22.5" hidden="1" customHeight="1">
      <c r="C730" s="270"/>
      <c r="D730" s="270"/>
      <c r="E730" s="270"/>
      <c r="F730" s="270"/>
      <c r="G730" s="270"/>
      <c r="H730" s="270"/>
      <c r="I730" s="271"/>
      <c r="J730" s="271"/>
      <c r="K730" s="270"/>
      <c r="M730" s="272"/>
    </row>
    <row r="731" ht="22.5" hidden="1" customHeight="1">
      <c r="C731" s="270"/>
      <c r="D731" s="270"/>
      <c r="E731" s="270"/>
      <c r="F731" s="270"/>
      <c r="G731" s="270"/>
      <c r="H731" s="270"/>
      <c r="I731" s="271"/>
      <c r="J731" s="271"/>
      <c r="K731" s="270"/>
      <c r="M731" s="272"/>
    </row>
    <row r="732" ht="22.5" hidden="1" customHeight="1">
      <c r="C732" s="270"/>
      <c r="D732" s="270"/>
      <c r="E732" s="270"/>
      <c r="F732" s="270"/>
      <c r="G732" s="270"/>
      <c r="H732" s="270"/>
      <c r="I732" s="271"/>
      <c r="J732" s="271"/>
      <c r="K732" s="270"/>
      <c r="M732" s="272"/>
    </row>
    <row r="733" ht="22.5" hidden="1" customHeight="1">
      <c r="C733" s="270"/>
      <c r="D733" s="270"/>
      <c r="E733" s="270"/>
      <c r="F733" s="270"/>
      <c r="G733" s="270"/>
      <c r="H733" s="270"/>
      <c r="I733" s="271"/>
      <c r="J733" s="271"/>
      <c r="K733" s="270"/>
      <c r="M733" s="272"/>
    </row>
    <row r="734" ht="22.5" hidden="1" customHeight="1">
      <c r="C734" s="270"/>
      <c r="D734" s="270"/>
      <c r="E734" s="270"/>
      <c r="F734" s="270"/>
      <c r="G734" s="270"/>
      <c r="H734" s="270"/>
      <c r="I734" s="271"/>
      <c r="J734" s="271"/>
      <c r="K734" s="270"/>
      <c r="M734" s="272"/>
    </row>
    <row r="735" ht="22.5" hidden="1" customHeight="1">
      <c r="C735" s="270"/>
      <c r="D735" s="270"/>
      <c r="E735" s="270"/>
      <c r="F735" s="270"/>
      <c r="G735" s="270"/>
      <c r="H735" s="270"/>
      <c r="I735" s="271"/>
      <c r="J735" s="271"/>
      <c r="K735" s="270"/>
      <c r="M735" s="272"/>
    </row>
    <row r="736" ht="22.5" hidden="1" customHeight="1">
      <c r="C736" s="270"/>
      <c r="D736" s="270"/>
      <c r="E736" s="270"/>
      <c r="F736" s="270"/>
      <c r="G736" s="270"/>
      <c r="H736" s="270"/>
      <c r="I736" s="271"/>
      <c r="J736" s="271"/>
      <c r="K736" s="270"/>
      <c r="M736" s="272"/>
    </row>
    <row r="737" ht="22.5" hidden="1" customHeight="1">
      <c r="C737" s="270"/>
      <c r="D737" s="270"/>
      <c r="E737" s="270"/>
      <c r="F737" s="270"/>
      <c r="G737" s="270"/>
      <c r="H737" s="270"/>
      <c r="I737" s="271"/>
      <c r="J737" s="271"/>
      <c r="K737" s="270"/>
      <c r="M737" s="272"/>
    </row>
    <row r="738" ht="22.5" hidden="1" customHeight="1">
      <c r="C738" s="270"/>
      <c r="D738" s="270"/>
      <c r="E738" s="270"/>
      <c r="F738" s="270"/>
      <c r="G738" s="270"/>
      <c r="H738" s="270"/>
      <c r="I738" s="271"/>
      <c r="J738" s="271"/>
      <c r="K738" s="270"/>
      <c r="M738" s="272"/>
    </row>
    <row r="739" ht="22.5" hidden="1" customHeight="1">
      <c r="C739" s="270"/>
      <c r="D739" s="270"/>
      <c r="E739" s="270"/>
      <c r="F739" s="270"/>
      <c r="G739" s="270"/>
      <c r="H739" s="270"/>
      <c r="I739" s="271"/>
      <c r="J739" s="271"/>
      <c r="K739" s="270"/>
      <c r="M739" s="272"/>
    </row>
    <row r="740" ht="22.5" hidden="1" customHeight="1">
      <c r="C740" s="270"/>
      <c r="D740" s="270"/>
      <c r="E740" s="270"/>
      <c r="F740" s="270"/>
      <c r="G740" s="270"/>
      <c r="H740" s="270"/>
      <c r="I740" s="271"/>
      <c r="J740" s="271"/>
      <c r="K740" s="270"/>
      <c r="M740" s="272"/>
    </row>
    <row r="741" ht="22.5" hidden="1" customHeight="1">
      <c r="C741" s="270"/>
      <c r="D741" s="270"/>
      <c r="E741" s="270"/>
      <c r="F741" s="270"/>
      <c r="G741" s="270"/>
      <c r="H741" s="270"/>
      <c r="I741" s="271"/>
      <c r="J741" s="271"/>
      <c r="K741" s="270"/>
      <c r="M741" s="272"/>
    </row>
    <row r="742" ht="22.5" hidden="1" customHeight="1">
      <c r="C742" s="270"/>
      <c r="D742" s="270"/>
      <c r="E742" s="270"/>
      <c r="F742" s="270"/>
      <c r="G742" s="270"/>
      <c r="H742" s="270"/>
      <c r="I742" s="271"/>
      <c r="J742" s="271"/>
      <c r="K742" s="270"/>
      <c r="M742" s="272"/>
    </row>
    <row r="743" ht="22.5" hidden="1" customHeight="1">
      <c r="C743" s="270"/>
      <c r="D743" s="270"/>
      <c r="E743" s="270"/>
      <c r="F743" s="270"/>
      <c r="G743" s="270"/>
      <c r="H743" s="270"/>
      <c r="I743" s="271"/>
      <c r="J743" s="271"/>
      <c r="K743" s="270"/>
      <c r="M743" s="272"/>
    </row>
    <row r="744" ht="22.5" hidden="1" customHeight="1">
      <c r="C744" s="270"/>
      <c r="D744" s="270"/>
      <c r="E744" s="270"/>
      <c r="F744" s="270"/>
      <c r="G744" s="270"/>
      <c r="H744" s="270"/>
      <c r="I744" s="271"/>
      <c r="J744" s="271"/>
      <c r="K744" s="270"/>
      <c r="M744" s="272"/>
    </row>
    <row r="745" ht="22.5" hidden="1" customHeight="1">
      <c r="C745" s="270"/>
      <c r="D745" s="270"/>
      <c r="E745" s="270"/>
      <c r="F745" s="270"/>
      <c r="G745" s="270"/>
      <c r="H745" s="270"/>
      <c r="I745" s="271"/>
      <c r="J745" s="271"/>
      <c r="K745" s="270"/>
      <c r="M745" s="272"/>
    </row>
    <row r="746" ht="22.5" hidden="1" customHeight="1">
      <c r="C746" s="270"/>
      <c r="D746" s="270"/>
      <c r="E746" s="270"/>
      <c r="F746" s="270"/>
      <c r="G746" s="270"/>
      <c r="H746" s="270"/>
      <c r="I746" s="271"/>
      <c r="J746" s="271"/>
      <c r="K746" s="270"/>
      <c r="M746" s="272"/>
    </row>
    <row r="747" ht="22.5" hidden="1" customHeight="1">
      <c r="C747" s="270"/>
      <c r="D747" s="270"/>
      <c r="E747" s="270"/>
      <c r="F747" s="270"/>
      <c r="G747" s="270"/>
      <c r="H747" s="270"/>
      <c r="I747" s="271"/>
      <c r="J747" s="271"/>
      <c r="K747" s="270"/>
      <c r="M747" s="272"/>
    </row>
    <row r="748" ht="22.5" hidden="1" customHeight="1">
      <c r="C748" s="270"/>
      <c r="D748" s="270"/>
      <c r="E748" s="270"/>
      <c r="F748" s="270"/>
      <c r="G748" s="270"/>
      <c r="H748" s="270"/>
      <c r="I748" s="271"/>
      <c r="J748" s="271"/>
      <c r="K748" s="270"/>
      <c r="M748" s="272"/>
    </row>
    <row r="749" ht="22.5" hidden="1" customHeight="1">
      <c r="C749" s="270"/>
      <c r="D749" s="270"/>
      <c r="E749" s="270"/>
      <c r="F749" s="270"/>
      <c r="G749" s="270"/>
      <c r="H749" s="270"/>
      <c r="I749" s="271"/>
      <c r="J749" s="271"/>
      <c r="K749" s="270"/>
      <c r="M749" s="272"/>
    </row>
    <row r="750" ht="22.5" hidden="1" customHeight="1">
      <c r="C750" s="270"/>
      <c r="D750" s="270"/>
      <c r="E750" s="270"/>
      <c r="F750" s="270"/>
      <c r="G750" s="270"/>
      <c r="H750" s="270"/>
      <c r="I750" s="271"/>
      <c r="J750" s="271"/>
      <c r="K750" s="270"/>
      <c r="M750" s="272"/>
    </row>
    <row r="751" ht="22.5" hidden="1" customHeight="1">
      <c r="C751" s="270"/>
      <c r="D751" s="270"/>
      <c r="E751" s="270"/>
      <c r="F751" s="270"/>
      <c r="G751" s="270"/>
      <c r="H751" s="270"/>
      <c r="I751" s="271"/>
      <c r="J751" s="271"/>
      <c r="K751" s="270"/>
      <c r="M751" s="272"/>
    </row>
    <row r="752" ht="22.5" hidden="1" customHeight="1">
      <c r="C752" s="270"/>
      <c r="D752" s="270"/>
      <c r="E752" s="270"/>
      <c r="F752" s="270"/>
      <c r="G752" s="270"/>
      <c r="H752" s="270"/>
      <c r="I752" s="271"/>
      <c r="J752" s="271"/>
      <c r="K752" s="270"/>
      <c r="M752" s="272"/>
    </row>
    <row r="753" ht="22.5" hidden="1" customHeight="1">
      <c r="C753" s="270"/>
      <c r="D753" s="270"/>
      <c r="E753" s="270"/>
      <c r="F753" s="270"/>
      <c r="G753" s="270"/>
      <c r="H753" s="270"/>
      <c r="I753" s="271"/>
      <c r="J753" s="271"/>
      <c r="K753" s="270"/>
      <c r="M753" s="272"/>
    </row>
    <row r="754" ht="22.5" hidden="1" customHeight="1">
      <c r="C754" s="270"/>
      <c r="D754" s="270"/>
      <c r="E754" s="270"/>
      <c r="F754" s="270"/>
      <c r="G754" s="270"/>
      <c r="H754" s="270"/>
      <c r="I754" s="271"/>
      <c r="J754" s="271"/>
      <c r="K754" s="270"/>
      <c r="M754" s="272"/>
    </row>
    <row r="755" ht="22.5" hidden="1" customHeight="1">
      <c r="C755" s="270"/>
      <c r="D755" s="270"/>
      <c r="E755" s="270"/>
      <c r="F755" s="270"/>
      <c r="G755" s="270"/>
      <c r="H755" s="270"/>
      <c r="I755" s="271"/>
      <c r="J755" s="271"/>
      <c r="K755" s="270"/>
      <c r="M755" s="272"/>
    </row>
    <row r="756" ht="22.5" hidden="1" customHeight="1">
      <c r="C756" s="270"/>
      <c r="D756" s="270"/>
      <c r="E756" s="270"/>
      <c r="F756" s="270"/>
      <c r="G756" s="270"/>
      <c r="H756" s="270"/>
      <c r="I756" s="271"/>
      <c r="J756" s="271"/>
      <c r="K756" s="270"/>
      <c r="M756" s="272"/>
    </row>
    <row r="757" ht="22.5" hidden="1" customHeight="1">
      <c r="C757" s="270"/>
      <c r="D757" s="270"/>
      <c r="E757" s="270"/>
      <c r="F757" s="270"/>
      <c r="G757" s="270"/>
      <c r="H757" s="270"/>
      <c r="I757" s="271"/>
      <c r="J757" s="271"/>
      <c r="K757" s="270"/>
      <c r="M757" s="272"/>
    </row>
    <row r="758" ht="22.5" hidden="1" customHeight="1">
      <c r="C758" s="270"/>
      <c r="D758" s="270"/>
      <c r="E758" s="270"/>
      <c r="F758" s="270"/>
      <c r="G758" s="270"/>
      <c r="H758" s="270"/>
      <c r="I758" s="271"/>
      <c r="J758" s="271"/>
      <c r="K758" s="270"/>
      <c r="M758" s="272"/>
    </row>
    <row r="759" ht="22.5" hidden="1" customHeight="1">
      <c r="C759" s="270"/>
      <c r="D759" s="270"/>
      <c r="E759" s="270"/>
      <c r="F759" s="270"/>
      <c r="G759" s="270"/>
      <c r="H759" s="270"/>
      <c r="I759" s="271"/>
      <c r="J759" s="271"/>
      <c r="K759" s="270"/>
      <c r="M759" s="272"/>
    </row>
    <row r="760" ht="22.5" hidden="1" customHeight="1">
      <c r="C760" s="270"/>
      <c r="D760" s="270"/>
      <c r="E760" s="270"/>
      <c r="F760" s="270"/>
      <c r="G760" s="270"/>
      <c r="H760" s="270"/>
      <c r="I760" s="271"/>
      <c r="J760" s="271"/>
      <c r="K760" s="270"/>
      <c r="M760" s="272"/>
    </row>
    <row r="761" ht="22.5" hidden="1" customHeight="1">
      <c r="C761" s="270"/>
      <c r="D761" s="270"/>
      <c r="E761" s="270"/>
      <c r="F761" s="270"/>
      <c r="G761" s="270"/>
      <c r="H761" s="270"/>
      <c r="I761" s="271"/>
      <c r="J761" s="271"/>
      <c r="K761" s="270"/>
      <c r="M761" s="272"/>
    </row>
    <row r="762" ht="22.5" hidden="1" customHeight="1">
      <c r="C762" s="270"/>
      <c r="D762" s="270"/>
      <c r="E762" s="270"/>
      <c r="F762" s="270"/>
      <c r="G762" s="270"/>
      <c r="H762" s="270"/>
      <c r="I762" s="271"/>
      <c r="J762" s="271"/>
      <c r="K762" s="270"/>
      <c r="M762" s="272"/>
    </row>
    <row r="763" ht="22.5" hidden="1" customHeight="1">
      <c r="C763" s="270"/>
      <c r="D763" s="270"/>
      <c r="E763" s="270"/>
      <c r="F763" s="270"/>
      <c r="G763" s="270"/>
      <c r="H763" s="270"/>
      <c r="I763" s="271"/>
      <c r="J763" s="271"/>
      <c r="K763" s="270"/>
      <c r="M763" s="272"/>
    </row>
    <row r="764" ht="22.5" hidden="1" customHeight="1">
      <c r="C764" s="270"/>
      <c r="D764" s="270"/>
      <c r="E764" s="270"/>
      <c r="F764" s="270"/>
      <c r="G764" s="270"/>
      <c r="H764" s="270"/>
      <c r="I764" s="271"/>
      <c r="J764" s="271"/>
      <c r="K764" s="270"/>
      <c r="M764" s="272"/>
    </row>
    <row r="765" ht="22.5" hidden="1" customHeight="1">
      <c r="C765" s="270"/>
      <c r="D765" s="270"/>
      <c r="E765" s="270"/>
      <c r="F765" s="270"/>
      <c r="G765" s="270"/>
      <c r="H765" s="270"/>
      <c r="I765" s="271"/>
      <c r="J765" s="271"/>
      <c r="K765" s="270"/>
      <c r="M765" s="272"/>
    </row>
    <row r="766" ht="22.5" hidden="1" customHeight="1">
      <c r="C766" s="270"/>
      <c r="D766" s="270"/>
      <c r="E766" s="270"/>
      <c r="F766" s="270"/>
      <c r="G766" s="270"/>
      <c r="H766" s="270"/>
      <c r="I766" s="271"/>
      <c r="J766" s="271"/>
      <c r="K766" s="270"/>
      <c r="M766" s="272"/>
    </row>
    <row r="767" ht="22.5" hidden="1" customHeight="1">
      <c r="C767" s="270"/>
      <c r="D767" s="270"/>
      <c r="E767" s="270"/>
      <c r="F767" s="270"/>
      <c r="G767" s="270"/>
      <c r="H767" s="270"/>
      <c r="I767" s="271"/>
      <c r="J767" s="271"/>
      <c r="K767" s="270"/>
      <c r="M767" s="272"/>
    </row>
    <row r="768" ht="22.5" hidden="1" customHeight="1">
      <c r="C768" s="270"/>
      <c r="D768" s="270"/>
      <c r="E768" s="270"/>
      <c r="F768" s="270"/>
      <c r="G768" s="270"/>
      <c r="H768" s="270"/>
      <c r="I768" s="271"/>
      <c r="J768" s="271"/>
      <c r="K768" s="270"/>
      <c r="M768" s="272"/>
    </row>
    <row r="769" ht="22.5" hidden="1" customHeight="1">
      <c r="C769" s="270"/>
      <c r="D769" s="270"/>
      <c r="E769" s="270"/>
      <c r="F769" s="270"/>
      <c r="G769" s="270"/>
      <c r="H769" s="270"/>
      <c r="I769" s="271"/>
      <c r="J769" s="271"/>
      <c r="K769" s="270"/>
      <c r="M769" s="272"/>
    </row>
    <row r="770" ht="22.5" hidden="1" customHeight="1">
      <c r="C770" s="270"/>
      <c r="D770" s="270"/>
      <c r="E770" s="270"/>
      <c r="F770" s="270"/>
      <c r="G770" s="270"/>
      <c r="H770" s="270"/>
      <c r="I770" s="271"/>
      <c r="J770" s="271"/>
      <c r="K770" s="270"/>
      <c r="M770" s="272"/>
    </row>
    <row r="771" ht="22.5" hidden="1" customHeight="1">
      <c r="C771" s="270"/>
      <c r="D771" s="270"/>
      <c r="E771" s="270"/>
      <c r="F771" s="270"/>
      <c r="G771" s="270"/>
      <c r="H771" s="270"/>
      <c r="I771" s="271"/>
      <c r="J771" s="271"/>
      <c r="K771" s="270"/>
      <c r="M771" s="272"/>
    </row>
    <row r="772" ht="22.5" hidden="1" customHeight="1">
      <c r="C772" s="270"/>
      <c r="D772" s="270"/>
      <c r="E772" s="270"/>
      <c r="F772" s="270"/>
      <c r="G772" s="270"/>
      <c r="H772" s="270"/>
      <c r="I772" s="271"/>
      <c r="J772" s="271"/>
      <c r="K772" s="270"/>
      <c r="M772" s="272"/>
    </row>
    <row r="773" ht="22.5" hidden="1" customHeight="1">
      <c r="C773" s="270"/>
      <c r="D773" s="270"/>
      <c r="E773" s="270"/>
      <c r="F773" s="270"/>
      <c r="G773" s="270"/>
      <c r="H773" s="270"/>
      <c r="I773" s="271"/>
      <c r="J773" s="271"/>
      <c r="K773" s="270"/>
      <c r="M773" s="272"/>
    </row>
    <row r="774" ht="22.5" hidden="1" customHeight="1">
      <c r="C774" s="270"/>
      <c r="D774" s="270"/>
      <c r="E774" s="270"/>
      <c r="F774" s="270"/>
      <c r="G774" s="270"/>
      <c r="H774" s="270"/>
      <c r="I774" s="271"/>
      <c r="J774" s="271"/>
      <c r="K774" s="270"/>
      <c r="M774" s="272"/>
    </row>
    <row r="775" ht="22.5" hidden="1" customHeight="1">
      <c r="C775" s="270"/>
      <c r="D775" s="270"/>
      <c r="E775" s="270"/>
      <c r="F775" s="270"/>
      <c r="G775" s="270"/>
      <c r="H775" s="270"/>
      <c r="I775" s="271"/>
      <c r="J775" s="271"/>
      <c r="K775" s="270"/>
      <c r="M775" s="272"/>
    </row>
    <row r="776" ht="22.5" hidden="1" customHeight="1">
      <c r="C776" s="270"/>
      <c r="D776" s="270"/>
      <c r="E776" s="270"/>
      <c r="F776" s="270"/>
      <c r="G776" s="270"/>
      <c r="H776" s="270"/>
      <c r="I776" s="271"/>
      <c r="J776" s="271"/>
      <c r="K776" s="270"/>
      <c r="M776" s="272"/>
    </row>
    <row r="777" ht="22.5" hidden="1" customHeight="1">
      <c r="C777" s="270"/>
      <c r="D777" s="270"/>
      <c r="E777" s="270"/>
      <c r="F777" s="270"/>
      <c r="G777" s="270"/>
      <c r="H777" s="270"/>
      <c r="I777" s="271"/>
      <c r="J777" s="271"/>
      <c r="K777" s="270"/>
      <c r="M777" s="272"/>
    </row>
    <row r="778" ht="22.5" hidden="1" customHeight="1">
      <c r="C778" s="270"/>
      <c r="D778" s="270"/>
      <c r="E778" s="270"/>
      <c r="F778" s="270"/>
      <c r="G778" s="270"/>
      <c r="H778" s="270"/>
      <c r="I778" s="271"/>
      <c r="J778" s="271"/>
      <c r="K778" s="270"/>
      <c r="M778" s="272"/>
    </row>
    <row r="779" ht="22.5" hidden="1" customHeight="1">
      <c r="C779" s="270"/>
      <c r="D779" s="270"/>
      <c r="E779" s="270"/>
      <c r="F779" s="270"/>
      <c r="G779" s="270"/>
      <c r="H779" s="270"/>
      <c r="I779" s="271"/>
      <c r="J779" s="271"/>
      <c r="K779" s="270"/>
      <c r="M779" s="272"/>
    </row>
    <row r="780" ht="22.5" hidden="1" customHeight="1">
      <c r="C780" s="270"/>
      <c r="D780" s="270"/>
      <c r="E780" s="270"/>
      <c r="F780" s="270"/>
      <c r="G780" s="270"/>
      <c r="H780" s="270"/>
      <c r="I780" s="271"/>
      <c r="J780" s="271"/>
      <c r="K780" s="270"/>
      <c r="M780" s="272"/>
    </row>
    <row r="781" ht="22.5" hidden="1" customHeight="1">
      <c r="C781" s="270"/>
      <c r="D781" s="270"/>
      <c r="E781" s="270"/>
      <c r="F781" s="270"/>
      <c r="G781" s="270"/>
      <c r="H781" s="270"/>
      <c r="I781" s="271"/>
      <c r="J781" s="271"/>
      <c r="K781" s="270"/>
      <c r="M781" s="272"/>
    </row>
    <row r="782" ht="22.5" hidden="1" customHeight="1">
      <c r="C782" s="270"/>
      <c r="D782" s="270"/>
      <c r="E782" s="270"/>
      <c r="F782" s="270"/>
      <c r="G782" s="270"/>
      <c r="H782" s="270"/>
      <c r="I782" s="271"/>
      <c r="J782" s="271"/>
      <c r="K782" s="270"/>
      <c r="M782" s="272"/>
    </row>
    <row r="783" ht="22.5" hidden="1" customHeight="1">
      <c r="C783" s="270"/>
      <c r="D783" s="270"/>
      <c r="E783" s="270"/>
      <c r="F783" s="270"/>
      <c r="G783" s="270"/>
      <c r="H783" s="270"/>
      <c r="I783" s="271"/>
      <c r="J783" s="271"/>
      <c r="K783" s="270"/>
      <c r="M783" s="272"/>
    </row>
    <row r="784" ht="22.5" hidden="1" customHeight="1">
      <c r="C784" s="270"/>
      <c r="D784" s="270"/>
      <c r="E784" s="270"/>
      <c r="F784" s="270"/>
      <c r="G784" s="270"/>
      <c r="H784" s="270"/>
      <c r="I784" s="271"/>
      <c r="J784" s="271"/>
      <c r="K784" s="270"/>
      <c r="M784" s="272"/>
    </row>
    <row r="785" ht="22.5" hidden="1" customHeight="1">
      <c r="C785" s="270"/>
      <c r="D785" s="270"/>
      <c r="E785" s="270"/>
      <c r="F785" s="270"/>
      <c r="G785" s="270"/>
      <c r="H785" s="270"/>
      <c r="I785" s="271"/>
      <c r="J785" s="271"/>
      <c r="K785" s="270"/>
      <c r="M785" s="272"/>
    </row>
    <row r="786" ht="22.5" hidden="1" customHeight="1">
      <c r="C786" s="270"/>
      <c r="D786" s="270"/>
      <c r="E786" s="270"/>
      <c r="F786" s="270"/>
      <c r="G786" s="270"/>
      <c r="H786" s="270"/>
      <c r="I786" s="271"/>
      <c r="J786" s="271"/>
      <c r="K786" s="270"/>
      <c r="M786" s="272"/>
    </row>
    <row r="787" ht="22.5" hidden="1" customHeight="1">
      <c r="C787" s="270"/>
      <c r="D787" s="270"/>
      <c r="E787" s="270"/>
      <c r="F787" s="270"/>
      <c r="G787" s="270"/>
      <c r="H787" s="270"/>
      <c r="I787" s="271"/>
      <c r="J787" s="271"/>
      <c r="K787" s="270"/>
      <c r="M787" s="272"/>
    </row>
    <row r="788" ht="22.5" hidden="1" customHeight="1">
      <c r="C788" s="270"/>
      <c r="D788" s="270"/>
      <c r="E788" s="270"/>
      <c r="F788" s="270"/>
      <c r="G788" s="270"/>
      <c r="H788" s="270"/>
      <c r="I788" s="271"/>
      <c r="J788" s="271"/>
      <c r="K788" s="270"/>
      <c r="M788" s="272"/>
    </row>
    <row r="789" ht="22.5" hidden="1" customHeight="1">
      <c r="C789" s="270"/>
      <c r="D789" s="270"/>
      <c r="E789" s="270"/>
      <c r="F789" s="270"/>
      <c r="G789" s="270"/>
      <c r="H789" s="270"/>
      <c r="I789" s="271"/>
      <c r="J789" s="271"/>
      <c r="K789" s="270"/>
      <c r="M789" s="272"/>
    </row>
    <row r="790" ht="22.5" hidden="1" customHeight="1">
      <c r="C790" s="270"/>
      <c r="D790" s="270"/>
      <c r="E790" s="270"/>
      <c r="F790" s="270"/>
      <c r="G790" s="270"/>
      <c r="H790" s="270"/>
      <c r="I790" s="271"/>
      <c r="J790" s="271"/>
      <c r="K790" s="270"/>
      <c r="M790" s="272"/>
    </row>
    <row r="791" ht="22.5" hidden="1" customHeight="1">
      <c r="C791" s="270"/>
      <c r="D791" s="270"/>
      <c r="E791" s="270"/>
      <c r="F791" s="270"/>
      <c r="G791" s="270"/>
      <c r="H791" s="270"/>
      <c r="I791" s="271"/>
      <c r="J791" s="271"/>
      <c r="K791" s="270"/>
      <c r="M791" s="272"/>
    </row>
    <row r="792" ht="22.5" hidden="1" customHeight="1">
      <c r="C792" s="270"/>
      <c r="D792" s="270"/>
      <c r="E792" s="270"/>
      <c r="F792" s="270"/>
      <c r="G792" s="270"/>
      <c r="H792" s="270"/>
      <c r="I792" s="271"/>
      <c r="J792" s="271"/>
      <c r="K792" s="270"/>
      <c r="M792" s="272"/>
    </row>
    <row r="793" ht="22.5" hidden="1" customHeight="1">
      <c r="C793" s="270"/>
      <c r="D793" s="270"/>
      <c r="E793" s="270"/>
      <c r="F793" s="270"/>
      <c r="G793" s="270"/>
      <c r="H793" s="270"/>
      <c r="I793" s="271"/>
      <c r="J793" s="271"/>
      <c r="K793" s="270"/>
      <c r="M793" s="272"/>
    </row>
    <row r="794" ht="22.5" hidden="1" customHeight="1">
      <c r="C794" s="270"/>
      <c r="D794" s="270"/>
      <c r="E794" s="270"/>
      <c r="F794" s="270"/>
      <c r="G794" s="270"/>
      <c r="H794" s="270"/>
      <c r="I794" s="271"/>
      <c r="J794" s="271"/>
      <c r="K794" s="270"/>
      <c r="M794" s="272"/>
    </row>
    <row r="795" ht="22.5" hidden="1" customHeight="1">
      <c r="C795" s="270"/>
      <c r="D795" s="270"/>
      <c r="E795" s="270"/>
      <c r="F795" s="270"/>
      <c r="G795" s="270"/>
      <c r="H795" s="270"/>
      <c r="I795" s="271"/>
      <c r="J795" s="271"/>
      <c r="K795" s="270"/>
      <c r="M795" s="272"/>
    </row>
    <row r="796" ht="22.5" hidden="1" customHeight="1">
      <c r="C796" s="270"/>
      <c r="D796" s="270"/>
      <c r="E796" s="270"/>
      <c r="F796" s="270"/>
      <c r="G796" s="270"/>
      <c r="H796" s="270"/>
      <c r="I796" s="271"/>
      <c r="J796" s="271"/>
      <c r="K796" s="270"/>
      <c r="M796" s="272"/>
    </row>
    <row r="797" ht="22.5" hidden="1" customHeight="1">
      <c r="C797" s="270"/>
      <c r="D797" s="270"/>
      <c r="E797" s="270"/>
      <c r="F797" s="270"/>
      <c r="G797" s="270"/>
      <c r="H797" s="270"/>
      <c r="I797" s="271"/>
      <c r="J797" s="271"/>
      <c r="K797" s="270"/>
      <c r="M797" s="272"/>
    </row>
    <row r="798" ht="22.5" hidden="1" customHeight="1">
      <c r="C798" s="270"/>
      <c r="D798" s="270"/>
      <c r="E798" s="270"/>
      <c r="F798" s="270"/>
      <c r="G798" s="270"/>
      <c r="H798" s="270"/>
      <c r="I798" s="271"/>
      <c r="J798" s="271"/>
      <c r="K798" s="270"/>
      <c r="M798" s="272"/>
    </row>
    <row r="799" ht="22.5" hidden="1" customHeight="1">
      <c r="C799" s="270"/>
      <c r="D799" s="270"/>
      <c r="E799" s="270"/>
      <c r="F799" s="270"/>
      <c r="G799" s="270"/>
      <c r="H799" s="270"/>
      <c r="I799" s="271"/>
      <c r="J799" s="271"/>
      <c r="K799" s="270"/>
      <c r="M799" s="272"/>
    </row>
    <row r="800" ht="22.5" hidden="1" customHeight="1">
      <c r="C800" s="270"/>
      <c r="D800" s="270"/>
      <c r="E800" s="270"/>
      <c r="F800" s="270"/>
      <c r="G800" s="270"/>
      <c r="H800" s="270"/>
      <c r="I800" s="271"/>
      <c r="J800" s="271"/>
      <c r="K800" s="270"/>
      <c r="M800" s="272"/>
    </row>
    <row r="801" ht="22.5" hidden="1" customHeight="1">
      <c r="C801" s="270"/>
      <c r="D801" s="270"/>
      <c r="E801" s="270"/>
      <c r="F801" s="270"/>
      <c r="G801" s="270"/>
      <c r="H801" s="270"/>
      <c r="I801" s="271"/>
      <c r="J801" s="271"/>
      <c r="K801" s="270"/>
      <c r="M801" s="272"/>
    </row>
    <row r="802" ht="22.5" hidden="1" customHeight="1">
      <c r="C802" s="270"/>
      <c r="D802" s="270"/>
      <c r="E802" s="270"/>
      <c r="F802" s="270"/>
      <c r="G802" s="270"/>
      <c r="H802" s="270"/>
      <c r="I802" s="271"/>
      <c r="J802" s="271"/>
      <c r="K802" s="270"/>
      <c r="M802" s="272"/>
    </row>
    <row r="803" ht="22.5" hidden="1" customHeight="1">
      <c r="C803" s="270"/>
      <c r="D803" s="270"/>
      <c r="E803" s="270"/>
      <c r="F803" s="270"/>
      <c r="G803" s="270"/>
      <c r="H803" s="270"/>
      <c r="I803" s="271"/>
      <c r="J803" s="271"/>
      <c r="K803" s="270"/>
      <c r="M803" s="272"/>
    </row>
    <row r="804" ht="22.5" hidden="1" customHeight="1">
      <c r="C804" s="270"/>
      <c r="D804" s="270"/>
      <c r="E804" s="270"/>
      <c r="F804" s="270"/>
      <c r="G804" s="270"/>
      <c r="H804" s="270"/>
      <c r="I804" s="271"/>
      <c r="J804" s="271"/>
      <c r="K804" s="270"/>
      <c r="M804" s="272"/>
    </row>
    <row r="805" ht="22.5" hidden="1" customHeight="1">
      <c r="C805" s="270"/>
      <c r="D805" s="270"/>
      <c r="E805" s="270"/>
      <c r="F805" s="270"/>
      <c r="G805" s="270"/>
      <c r="H805" s="270"/>
      <c r="I805" s="271"/>
      <c r="J805" s="271"/>
      <c r="K805" s="270"/>
      <c r="M805" s="272"/>
    </row>
    <row r="806" ht="22.5" hidden="1" customHeight="1">
      <c r="C806" s="270"/>
      <c r="D806" s="270"/>
      <c r="E806" s="270"/>
      <c r="F806" s="270"/>
      <c r="G806" s="270"/>
      <c r="H806" s="270"/>
      <c r="I806" s="271"/>
      <c r="J806" s="271"/>
      <c r="K806" s="270"/>
      <c r="M806" s="272"/>
    </row>
    <row r="807" ht="22.5" hidden="1" customHeight="1">
      <c r="C807" s="270"/>
      <c r="D807" s="270"/>
      <c r="E807" s="270"/>
      <c r="F807" s="270"/>
      <c r="G807" s="270"/>
      <c r="H807" s="270"/>
      <c r="I807" s="271"/>
      <c r="J807" s="271"/>
      <c r="K807" s="270"/>
      <c r="M807" s="272"/>
    </row>
    <row r="808" ht="22.5" hidden="1" customHeight="1">
      <c r="C808" s="270"/>
      <c r="D808" s="270"/>
      <c r="E808" s="270"/>
      <c r="F808" s="270"/>
      <c r="G808" s="270"/>
      <c r="H808" s="270"/>
      <c r="I808" s="271"/>
      <c r="J808" s="271"/>
      <c r="K808" s="270"/>
      <c r="M808" s="272"/>
    </row>
    <row r="809" ht="22.5" hidden="1" customHeight="1">
      <c r="C809" s="270"/>
      <c r="D809" s="270"/>
      <c r="E809" s="270"/>
      <c r="F809" s="270"/>
      <c r="G809" s="270"/>
      <c r="H809" s="270"/>
      <c r="I809" s="271"/>
      <c r="J809" s="271"/>
      <c r="K809" s="270"/>
      <c r="M809" s="272"/>
    </row>
    <row r="810" ht="22.5" hidden="1" customHeight="1">
      <c r="C810" s="270"/>
      <c r="D810" s="270"/>
      <c r="E810" s="270"/>
      <c r="F810" s="270"/>
      <c r="G810" s="270"/>
      <c r="H810" s="270"/>
      <c r="I810" s="271"/>
      <c r="J810" s="271"/>
      <c r="K810" s="270"/>
      <c r="M810" s="272"/>
    </row>
    <row r="811" ht="22.5" hidden="1" customHeight="1">
      <c r="C811" s="270"/>
      <c r="D811" s="270"/>
      <c r="E811" s="270"/>
      <c r="F811" s="270"/>
      <c r="G811" s="270"/>
      <c r="H811" s="270"/>
      <c r="I811" s="271"/>
      <c r="J811" s="271"/>
      <c r="K811" s="270"/>
      <c r="M811" s="272"/>
    </row>
    <row r="812" ht="22.5" hidden="1" customHeight="1">
      <c r="C812" s="270"/>
      <c r="D812" s="270"/>
      <c r="E812" s="270"/>
      <c r="F812" s="270"/>
      <c r="G812" s="270"/>
      <c r="H812" s="270"/>
      <c r="I812" s="271"/>
      <c r="J812" s="271"/>
      <c r="K812" s="270"/>
      <c r="M812" s="272"/>
    </row>
    <row r="813" ht="22.5" hidden="1" customHeight="1">
      <c r="C813" s="270"/>
      <c r="D813" s="270"/>
      <c r="E813" s="270"/>
      <c r="F813" s="270"/>
      <c r="G813" s="270"/>
      <c r="H813" s="270"/>
      <c r="I813" s="271"/>
      <c r="J813" s="271"/>
      <c r="K813" s="270"/>
      <c r="M813" s="272"/>
    </row>
    <row r="814" ht="22.5" hidden="1" customHeight="1">
      <c r="C814" s="270"/>
      <c r="D814" s="270"/>
      <c r="E814" s="270"/>
      <c r="F814" s="270"/>
      <c r="G814" s="270"/>
      <c r="H814" s="270"/>
      <c r="I814" s="271"/>
      <c r="J814" s="271"/>
      <c r="K814" s="270"/>
      <c r="M814" s="272"/>
    </row>
    <row r="815" ht="22.5" hidden="1" customHeight="1">
      <c r="C815" s="270"/>
      <c r="D815" s="270"/>
      <c r="E815" s="270"/>
      <c r="F815" s="270"/>
      <c r="G815" s="270"/>
      <c r="H815" s="270"/>
      <c r="I815" s="271"/>
      <c r="J815" s="271"/>
      <c r="K815" s="270"/>
      <c r="M815" s="272"/>
    </row>
    <row r="816" ht="22.5" hidden="1" customHeight="1">
      <c r="C816" s="270"/>
      <c r="D816" s="270"/>
      <c r="E816" s="270"/>
      <c r="F816" s="270"/>
      <c r="G816" s="270"/>
      <c r="H816" s="270"/>
      <c r="I816" s="271"/>
      <c r="J816" s="271"/>
      <c r="K816" s="270"/>
      <c r="M816" s="272"/>
    </row>
    <row r="817" ht="22.5" hidden="1" customHeight="1">
      <c r="C817" s="270"/>
      <c r="D817" s="270"/>
      <c r="E817" s="270"/>
      <c r="F817" s="270"/>
      <c r="G817" s="270"/>
      <c r="H817" s="270"/>
      <c r="I817" s="271"/>
      <c r="J817" s="271"/>
      <c r="K817" s="270"/>
      <c r="M817" s="272"/>
    </row>
    <row r="818" ht="22.5" hidden="1" customHeight="1">
      <c r="C818" s="270"/>
      <c r="D818" s="270"/>
      <c r="E818" s="270"/>
      <c r="F818" s="270"/>
      <c r="G818" s="270"/>
      <c r="H818" s="270"/>
      <c r="I818" s="271"/>
      <c r="J818" s="271"/>
      <c r="K818" s="270"/>
      <c r="M818" s="272"/>
    </row>
    <row r="819" ht="22.5" hidden="1" customHeight="1">
      <c r="C819" s="270"/>
      <c r="D819" s="270"/>
      <c r="E819" s="270"/>
      <c r="F819" s="270"/>
      <c r="G819" s="270"/>
      <c r="H819" s="270"/>
      <c r="I819" s="271"/>
      <c r="J819" s="271"/>
      <c r="K819" s="270"/>
      <c r="M819" s="272"/>
    </row>
    <row r="820" ht="22.5" hidden="1" customHeight="1">
      <c r="C820" s="270"/>
      <c r="D820" s="270"/>
      <c r="E820" s="270"/>
      <c r="F820" s="270"/>
      <c r="G820" s="270"/>
      <c r="H820" s="270"/>
      <c r="I820" s="271"/>
      <c r="J820" s="271"/>
      <c r="K820" s="270"/>
      <c r="M820" s="272"/>
    </row>
    <row r="821" ht="22.5" hidden="1" customHeight="1">
      <c r="C821" s="270"/>
      <c r="D821" s="270"/>
      <c r="E821" s="270"/>
      <c r="F821" s="270"/>
      <c r="G821" s="270"/>
      <c r="H821" s="270"/>
      <c r="I821" s="271"/>
      <c r="J821" s="271"/>
      <c r="K821" s="270"/>
      <c r="M821" s="272"/>
    </row>
    <row r="822" ht="22.5" hidden="1" customHeight="1">
      <c r="C822" s="270"/>
      <c r="D822" s="270"/>
      <c r="E822" s="270"/>
      <c r="F822" s="270"/>
      <c r="G822" s="270"/>
      <c r="H822" s="270"/>
      <c r="I822" s="271"/>
      <c r="J822" s="271"/>
      <c r="K822" s="270"/>
      <c r="M822" s="272"/>
    </row>
    <row r="823" ht="22.5" hidden="1" customHeight="1">
      <c r="C823" s="270"/>
      <c r="D823" s="270"/>
      <c r="E823" s="270"/>
      <c r="F823" s="270"/>
      <c r="G823" s="270"/>
      <c r="H823" s="270"/>
      <c r="I823" s="271"/>
      <c r="J823" s="271"/>
      <c r="K823" s="270"/>
      <c r="M823" s="272"/>
    </row>
    <row r="824" ht="22.5" hidden="1" customHeight="1">
      <c r="C824" s="270"/>
      <c r="D824" s="270"/>
      <c r="E824" s="270"/>
      <c r="F824" s="270"/>
      <c r="G824" s="270"/>
      <c r="H824" s="270"/>
      <c r="I824" s="271"/>
      <c r="J824" s="271"/>
      <c r="K824" s="270"/>
      <c r="M824" s="272"/>
    </row>
    <row r="825" ht="22.5" hidden="1" customHeight="1">
      <c r="C825" s="270"/>
      <c r="D825" s="270"/>
      <c r="E825" s="270"/>
      <c r="F825" s="270"/>
      <c r="G825" s="270"/>
      <c r="H825" s="270"/>
      <c r="I825" s="271"/>
      <c r="J825" s="271"/>
      <c r="K825" s="270"/>
      <c r="M825" s="272"/>
    </row>
    <row r="826" ht="22.5" hidden="1" customHeight="1">
      <c r="C826" s="270"/>
      <c r="D826" s="270"/>
      <c r="E826" s="270"/>
      <c r="F826" s="270"/>
      <c r="G826" s="270"/>
      <c r="H826" s="270"/>
      <c r="I826" s="271"/>
      <c r="J826" s="271"/>
      <c r="K826" s="270"/>
      <c r="M826" s="272"/>
    </row>
    <row r="827" ht="22.5" hidden="1" customHeight="1">
      <c r="C827" s="270"/>
      <c r="D827" s="270"/>
      <c r="E827" s="270"/>
      <c r="F827" s="270"/>
      <c r="G827" s="270"/>
      <c r="H827" s="270"/>
      <c r="I827" s="271"/>
      <c r="J827" s="271"/>
      <c r="K827" s="270"/>
      <c r="M827" s="272"/>
    </row>
    <row r="828" ht="22.5" hidden="1" customHeight="1">
      <c r="C828" s="270"/>
      <c r="D828" s="270"/>
      <c r="E828" s="270"/>
      <c r="F828" s="270"/>
      <c r="G828" s="270"/>
      <c r="H828" s="270"/>
      <c r="I828" s="271"/>
      <c r="J828" s="271"/>
      <c r="K828" s="270"/>
      <c r="M828" s="272"/>
    </row>
    <row r="829" ht="22.5" hidden="1" customHeight="1">
      <c r="C829" s="270"/>
      <c r="D829" s="270"/>
      <c r="E829" s="270"/>
      <c r="F829" s="270"/>
      <c r="G829" s="270"/>
      <c r="H829" s="270"/>
      <c r="I829" s="271"/>
      <c r="J829" s="271"/>
      <c r="K829" s="270"/>
      <c r="M829" s="272"/>
    </row>
    <row r="830" ht="22.5" hidden="1" customHeight="1">
      <c r="C830" s="270"/>
      <c r="D830" s="270"/>
      <c r="E830" s="270"/>
      <c r="F830" s="270"/>
      <c r="G830" s="270"/>
      <c r="H830" s="270"/>
      <c r="I830" s="271"/>
      <c r="J830" s="271"/>
      <c r="K830" s="270"/>
      <c r="M830" s="272"/>
    </row>
    <row r="831" ht="22.5" hidden="1" customHeight="1">
      <c r="C831" s="270"/>
      <c r="D831" s="270"/>
      <c r="E831" s="270"/>
      <c r="F831" s="270"/>
      <c r="G831" s="270"/>
      <c r="H831" s="270"/>
      <c r="I831" s="271"/>
      <c r="J831" s="271"/>
      <c r="K831" s="270"/>
      <c r="M831" s="272"/>
    </row>
    <row r="832" ht="22.5" hidden="1" customHeight="1">
      <c r="C832" s="270"/>
      <c r="D832" s="270"/>
      <c r="E832" s="270"/>
      <c r="F832" s="270"/>
      <c r="G832" s="270"/>
      <c r="H832" s="270"/>
      <c r="I832" s="271"/>
      <c r="J832" s="271"/>
      <c r="K832" s="270"/>
      <c r="M832" s="272"/>
    </row>
    <row r="833" ht="22.5" hidden="1" customHeight="1">
      <c r="C833" s="270"/>
      <c r="D833" s="270"/>
      <c r="E833" s="270"/>
      <c r="F833" s="270"/>
      <c r="G833" s="270"/>
      <c r="H833" s="270"/>
      <c r="I833" s="271"/>
      <c r="J833" s="271"/>
      <c r="K833" s="270"/>
      <c r="M833" s="272"/>
    </row>
    <row r="834" ht="22.5" hidden="1" customHeight="1">
      <c r="C834" s="270"/>
      <c r="D834" s="270"/>
      <c r="E834" s="270"/>
      <c r="F834" s="270"/>
      <c r="G834" s="270"/>
      <c r="H834" s="270"/>
      <c r="I834" s="271"/>
      <c r="J834" s="271"/>
      <c r="K834" s="270"/>
      <c r="M834" s="272"/>
    </row>
    <row r="835" ht="22.5" hidden="1" customHeight="1">
      <c r="C835" s="270"/>
      <c r="D835" s="270"/>
      <c r="E835" s="270"/>
      <c r="F835" s="270"/>
      <c r="G835" s="270"/>
      <c r="H835" s="270"/>
      <c r="I835" s="271"/>
      <c r="J835" s="271"/>
      <c r="K835" s="270"/>
      <c r="M835" s="272"/>
    </row>
    <row r="836" ht="22.5" hidden="1" customHeight="1">
      <c r="C836" s="270"/>
      <c r="D836" s="270"/>
      <c r="E836" s="270"/>
      <c r="F836" s="270"/>
      <c r="G836" s="270"/>
      <c r="H836" s="270"/>
      <c r="I836" s="271"/>
      <c r="J836" s="271"/>
      <c r="K836" s="270"/>
      <c r="M836" s="272"/>
    </row>
    <row r="837" ht="22.5" hidden="1" customHeight="1">
      <c r="C837" s="270"/>
      <c r="D837" s="270"/>
      <c r="E837" s="270"/>
      <c r="F837" s="270"/>
      <c r="G837" s="270"/>
      <c r="H837" s="270"/>
      <c r="I837" s="271"/>
      <c r="J837" s="271"/>
      <c r="K837" s="270"/>
      <c r="M837" s="272"/>
    </row>
    <row r="838" ht="22.5" hidden="1" customHeight="1">
      <c r="C838" s="270"/>
      <c r="D838" s="270"/>
      <c r="E838" s="270"/>
      <c r="F838" s="270"/>
      <c r="G838" s="270"/>
      <c r="H838" s="270"/>
      <c r="I838" s="271"/>
      <c r="J838" s="271"/>
      <c r="K838" s="270"/>
      <c r="M838" s="272"/>
    </row>
    <row r="839" ht="22.5" hidden="1" customHeight="1">
      <c r="C839" s="270"/>
      <c r="D839" s="270"/>
      <c r="E839" s="270"/>
      <c r="F839" s="270"/>
      <c r="G839" s="270"/>
      <c r="H839" s="270"/>
      <c r="I839" s="271"/>
      <c r="J839" s="271"/>
      <c r="K839" s="270"/>
      <c r="M839" s="272"/>
    </row>
    <row r="840" ht="22.5" hidden="1" customHeight="1">
      <c r="C840" s="270"/>
      <c r="D840" s="270"/>
      <c r="E840" s="270"/>
      <c r="F840" s="270"/>
      <c r="G840" s="270"/>
      <c r="H840" s="270"/>
      <c r="I840" s="271"/>
      <c r="J840" s="271"/>
      <c r="K840" s="270"/>
      <c r="M840" s="272"/>
    </row>
    <row r="841" ht="22.5" hidden="1" customHeight="1">
      <c r="C841" s="270"/>
      <c r="D841" s="270"/>
      <c r="E841" s="270"/>
      <c r="F841" s="270"/>
      <c r="G841" s="270"/>
      <c r="H841" s="270"/>
      <c r="I841" s="271"/>
      <c r="J841" s="271"/>
      <c r="K841" s="270"/>
      <c r="M841" s="272"/>
    </row>
    <row r="842" ht="22.5" hidden="1" customHeight="1">
      <c r="C842" s="270"/>
      <c r="D842" s="270"/>
      <c r="E842" s="270"/>
      <c r="F842" s="270"/>
      <c r="G842" s="270"/>
      <c r="H842" s="270"/>
      <c r="I842" s="271"/>
      <c r="J842" s="271"/>
      <c r="K842" s="270"/>
      <c r="M842" s="272"/>
    </row>
    <row r="843" ht="22.5" hidden="1" customHeight="1">
      <c r="C843" s="270"/>
      <c r="D843" s="270"/>
      <c r="E843" s="270"/>
      <c r="F843" s="270"/>
      <c r="G843" s="270"/>
      <c r="H843" s="270"/>
      <c r="I843" s="271"/>
      <c r="J843" s="271"/>
      <c r="K843" s="270"/>
      <c r="M843" s="272"/>
    </row>
    <row r="844" ht="22.5" hidden="1" customHeight="1">
      <c r="C844" s="270"/>
      <c r="D844" s="270"/>
      <c r="E844" s="270"/>
      <c r="F844" s="270"/>
      <c r="G844" s="270"/>
      <c r="H844" s="270"/>
      <c r="I844" s="271"/>
      <c r="J844" s="271"/>
      <c r="K844" s="270"/>
      <c r="M844" s="272"/>
    </row>
    <row r="845" ht="22.5" hidden="1" customHeight="1">
      <c r="C845" s="270"/>
      <c r="D845" s="270"/>
      <c r="E845" s="270"/>
      <c r="F845" s="270"/>
      <c r="G845" s="270"/>
      <c r="H845" s="270"/>
      <c r="I845" s="271"/>
      <c r="J845" s="271"/>
      <c r="K845" s="270"/>
      <c r="M845" s="272"/>
    </row>
    <row r="846" ht="22.5" hidden="1" customHeight="1">
      <c r="C846" s="270"/>
      <c r="D846" s="270"/>
      <c r="E846" s="270"/>
      <c r="F846" s="270"/>
      <c r="G846" s="270"/>
      <c r="H846" s="270"/>
      <c r="I846" s="271"/>
      <c r="J846" s="271"/>
      <c r="K846" s="270"/>
      <c r="M846" s="272"/>
    </row>
    <row r="847" ht="22.5" hidden="1" customHeight="1">
      <c r="C847" s="270"/>
      <c r="D847" s="270"/>
      <c r="E847" s="270"/>
      <c r="F847" s="270"/>
      <c r="G847" s="270"/>
      <c r="H847" s="270"/>
      <c r="I847" s="271"/>
      <c r="J847" s="271"/>
      <c r="K847" s="270"/>
      <c r="M847" s="272"/>
    </row>
    <row r="848" ht="22.5" hidden="1" customHeight="1">
      <c r="C848" s="270"/>
      <c r="D848" s="270"/>
      <c r="E848" s="270"/>
      <c r="F848" s="270"/>
      <c r="G848" s="270"/>
      <c r="H848" s="270"/>
      <c r="I848" s="271"/>
      <c r="J848" s="271"/>
      <c r="K848" s="270"/>
      <c r="M848" s="272"/>
    </row>
    <row r="849" ht="22.5" hidden="1" customHeight="1">
      <c r="C849" s="270"/>
      <c r="D849" s="270"/>
      <c r="E849" s="270"/>
      <c r="F849" s="270"/>
      <c r="G849" s="270"/>
      <c r="H849" s="270"/>
      <c r="I849" s="271"/>
      <c r="J849" s="271"/>
      <c r="K849" s="270"/>
      <c r="M849" s="272"/>
    </row>
    <row r="850" ht="22.5" hidden="1" customHeight="1">
      <c r="C850" s="270"/>
      <c r="D850" s="270"/>
      <c r="E850" s="270"/>
      <c r="F850" s="270"/>
      <c r="G850" s="270"/>
      <c r="H850" s="270"/>
      <c r="I850" s="271"/>
      <c r="J850" s="271"/>
      <c r="K850" s="270"/>
      <c r="M850" s="272"/>
    </row>
    <row r="851" ht="22.5" hidden="1" customHeight="1">
      <c r="C851" s="270"/>
      <c r="D851" s="270"/>
      <c r="E851" s="270"/>
      <c r="F851" s="270"/>
      <c r="G851" s="270"/>
      <c r="H851" s="270"/>
      <c r="I851" s="271"/>
      <c r="J851" s="271"/>
      <c r="K851" s="270"/>
      <c r="M851" s="272"/>
    </row>
    <row r="852" ht="22.5" hidden="1" customHeight="1">
      <c r="C852" s="270"/>
      <c r="D852" s="270"/>
      <c r="E852" s="270"/>
      <c r="F852" s="270"/>
      <c r="G852" s="270"/>
      <c r="H852" s="270"/>
      <c r="I852" s="271"/>
      <c r="J852" s="271"/>
      <c r="K852" s="270"/>
      <c r="M852" s="272"/>
    </row>
    <row r="853" ht="22.5" hidden="1" customHeight="1">
      <c r="C853" s="270"/>
      <c r="D853" s="270"/>
      <c r="E853" s="270"/>
      <c r="F853" s="270"/>
      <c r="G853" s="270"/>
      <c r="H853" s="270"/>
      <c r="I853" s="271"/>
      <c r="J853" s="271"/>
      <c r="K853" s="270"/>
      <c r="M853" s="272"/>
    </row>
    <row r="854" ht="22.5" hidden="1" customHeight="1">
      <c r="C854" s="270"/>
      <c r="D854" s="270"/>
      <c r="E854" s="270"/>
      <c r="F854" s="270"/>
      <c r="G854" s="270"/>
      <c r="H854" s="270"/>
      <c r="I854" s="271"/>
      <c r="J854" s="271"/>
      <c r="K854" s="270"/>
      <c r="M854" s="272"/>
    </row>
    <row r="855" ht="22.5" hidden="1" customHeight="1">
      <c r="C855" s="270"/>
      <c r="D855" s="270"/>
      <c r="E855" s="270"/>
      <c r="F855" s="270"/>
      <c r="G855" s="270"/>
      <c r="H855" s="270"/>
      <c r="I855" s="271"/>
      <c r="J855" s="271"/>
      <c r="K855" s="270"/>
      <c r="M855" s="272"/>
    </row>
    <row r="856" ht="22.5" hidden="1" customHeight="1">
      <c r="C856" s="270"/>
      <c r="D856" s="270"/>
      <c r="E856" s="270"/>
      <c r="F856" s="270"/>
      <c r="G856" s="270"/>
      <c r="H856" s="270"/>
      <c r="I856" s="271"/>
      <c r="J856" s="271"/>
      <c r="K856" s="270"/>
      <c r="M856" s="272"/>
    </row>
    <row r="857" ht="22.5" hidden="1" customHeight="1">
      <c r="C857" s="270"/>
      <c r="D857" s="270"/>
      <c r="E857" s="270"/>
      <c r="F857" s="270"/>
      <c r="G857" s="270"/>
      <c r="H857" s="270"/>
      <c r="I857" s="271"/>
      <c r="J857" s="271"/>
      <c r="K857" s="270"/>
      <c r="M857" s="272"/>
    </row>
    <row r="858" ht="22.5" hidden="1" customHeight="1">
      <c r="C858" s="270"/>
      <c r="D858" s="270"/>
      <c r="E858" s="270"/>
      <c r="F858" s="270"/>
      <c r="G858" s="270"/>
      <c r="H858" s="270"/>
      <c r="I858" s="271"/>
      <c r="J858" s="271"/>
      <c r="K858" s="270"/>
      <c r="M858" s="272"/>
    </row>
    <row r="859" ht="22.5" hidden="1" customHeight="1">
      <c r="C859" s="270"/>
      <c r="D859" s="270"/>
      <c r="E859" s="270"/>
      <c r="F859" s="270"/>
      <c r="G859" s="270"/>
      <c r="H859" s="270"/>
      <c r="I859" s="271"/>
      <c r="J859" s="271"/>
      <c r="K859" s="270"/>
      <c r="M859" s="272"/>
    </row>
    <row r="860" ht="22.5" hidden="1" customHeight="1">
      <c r="C860" s="270"/>
      <c r="D860" s="270"/>
      <c r="E860" s="270"/>
      <c r="F860" s="270"/>
      <c r="G860" s="270"/>
      <c r="H860" s="270"/>
      <c r="I860" s="271"/>
      <c r="J860" s="271"/>
      <c r="K860" s="270"/>
      <c r="M860" s="272"/>
    </row>
    <row r="861" ht="22.5" hidden="1" customHeight="1">
      <c r="C861" s="270"/>
      <c r="D861" s="270"/>
      <c r="E861" s="270"/>
      <c r="F861" s="270"/>
      <c r="G861" s="270"/>
      <c r="H861" s="270"/>
      <c r="I861" s="271"/>
      <c r="J861" s="271"/>
      <c r="K861" s="270"/>
      <c r="M861" s="272"/>
    </row>
    <row r="862" ht="22.5" hidden="1" customHeight="1">
      <c r="C862" s="270"/>
      <c r="D862" s="270"/>
      <c r="E862" s="270"/>
      <c r="F862" s="270"/>
      <c r="G862" s="270"/>
      <c r="H862" s="270"/>
      <c r="I862" s="271"/>
      <c r="J862" s="271"/>
      <c r="K862" s="270"/>
      <c r="M862" s="272"/>
    </row>
    <row r="863" ht="22.5" hidden="1" customHeight="1">
      <c r="C863" s="270"/>
      <c r="D863" s="270"/>
      <c r="E863" s="270"/>
      <c r="F863" s="270"/>
      <c r="G863" s="270"/>
      <c r="H863" s="270"/>
      <c r="I863" s="271"/>
      <c r="J863" s="271"/>
      <c r="K863" s="270"/>
      <c r="M863" s="272"/>
    </row>
    <row r="864" ht="22.5" hidden="1" customHeight="1">
      <c r="C864" s="270"/>
      <c r="D864" s="270"/>
      <c r="E864" s="270"/>
      <c r="F864" s="270"/>
      <c r="G864" s="270"/>
      <c r="H864" s="270"/>
      <c r="I864" s="271"/>
      <c r="J864" s="271"/>
      <c r="K864" s="270"/>
      <c r="M864" s="272"/>
    </row>
    <row r="865" ht="22.5" hidden="1" customHeight="1">
      <c r="C865" s="270"/>
      <c r="D865" s="270"/>
      <c r="E865" s="270"/>
      <c r="F865" s="270"/>
      <c r="G865" s="270"/>
      <c r="H865" s="270"/>
      <c r="I865" s="271"/>
      <c r="J865" s="271"/>
      <c r="K865" s="270"/>
      <c r="M865" s="272"/>
    </row>
    <row r="866" ht="22.5" hidden="1" customHeight="1">
      <c r="C866" s="270"/>
      <c r="D866" s="270"/>
      <c r="E866" s="270"/>
      <c r="F866" s="270"/>
      <c r="G866" s="270"/>
      <c r="H866" s="270"/>
      <c r="I866" s="271"/>
      <c r="J866" s="271"/>
      <c r="K866" s="270"/>
      <c r="M866" s="272"/>
    </row>
    <row r="867" ht="22.5" hidden="1" customHeight="1">
      <c r="C867" s="270"/>
      <c r="D867" s="270"/>
      <c r="E867" s="270"/>
      <c r="F867" s="270"/>
      <c r="G867" s="270"/>
      <c r="H867" s="270"/>
      <c r="I867" s="271"/>
      <c r="J867" s="271"/>
      <c r="K867" s="270"/>
      <c r="M867" s="272"/>
    </row>
    <row r="868" ht="22.5" hidden="1" customHeight="1">
      <c r="C868" s="270"/>
      <c r="D868" s="270"/>
      <c r="E868" s="270"/>
      <c r="F868" s="270"/>
      <c r="G868" s="270"/>
      <c r="H868" s="270"/>
      <c r="I868" s="271"/>
      <c r="J868" s="271"/>
      <c r="K868" s="270"/>
      <c r="M868" s="272"/>
    </row>
    <row r="869" ht="22.5" hidden="1" customHeight="1">
      <c r="C869" s="270"/>
      <c r="D869" s="270"/>
      <c r="E869" s="270"/>
      <c r="F869" s="270"/>
      <c r="G869" s="270"/>
      <c r="H869" s="270"/>
      <c r="I869" s="271"/>
      <c r="J869" s="271"/>
      <c r="K869" s="270"/>
      <c r="M869" s="272"/>
    </row>
    <row r="870" ht="22.5" hidden="1" customHeight="1">
      <c r="C870" s="270"/>
      <c r="D870" s="270"/>
      <c r="E870" s="270"/>
      <c r="F870" s="270"/>
      <c r="G870" s="270"/>
      <c r="H870" s="270"/>
      <c r="I870" s="271"/>
      <c r="J870" s="271"/>
      <c r="K870" s="270"/>
      <c r="M870" s="272"/>
    </row>
    <row r="871" ht="22.5" hidden="1" customHeight="1">
      <c r="C871" s="270"/>
      <c r="D871" s="270"/>
      <c r="E871" s="270"/>
      <c r="F871" s="270"/>
      <c r="G871" s="270"/>
      <c r="H871" s="270"/>
      <c r="I871" s="271"/>
      <c r="J871" s="271"/>
      <c r="K871" s="270"/>
      <c r="M871" s="272"/>
    </row>
    <row r="872" ht="22.5" hidden="1" customHeight="1">
      <c r="C872" s="270"/>
      <c r="D872" s="270"/>
      <c r="E872" s="270"/>
      <c r="F872" s="270"/>
      <c r="G872" s="270"/>
      <c r="H872" s="270"/>
      <c r="I872" s="271"/>
      <c r="J872" s="271"/>
      <c r="K872" s="270"/>
      <c r="M872" s="272"/>
    </row>
    <row r="873" ht="22.5" hidden="1" customHeight="1">
      <c r="C873" s="270"/>
      <c r="D873" s="270"/>
      <c r="E873" s="270"/>
      <c r="F873" s="270"/>
      <c r="G873" s="270"/>
      <c r="H873" s="270"/>
      <c r="I873" s="271"/>
      <c r="J873" s="271"/>
      <c r="K873" s="270"/>
      <c r="M873" s="272"/>
    </row>
    <row r="874" ht="22.5" hidden="1" customHeight="1">
      <c r="C874" s="270"/>
      <c r="D874" s="270"/>
      <c r="E874" s="270"/>
      <c r="F874" s="270"/>
      <c r="G874" s="270"/>
      <c r="H874" s="270"/>
      <c r="I874" s="271"/>
      <c r="J874" s="271"/>
      <c r="K874" s="270"/>
      <c r="M874" s="272"/>
    </row>
    <row r="875" ht="22.5" hidden="1" customHeight="1">
      <c r="C875" s="270"/>
      <c r="D875" s="270"/>
      <c r="E875" s="270"/>
      <c r="F875" s="270"/>
      <c r="G875" s="270"/>
      <c r="H875" s="270"/>
      <c r="I875" s="271"/>
      <c r="J875" s="271"/>
      <c r="K875" s="270"/>
      <c r="M875" s="272"/>
    </row>
    <row r="876" ht="22.5" hidden="1" customHeight="1">
      <c r="C876" s="270"/>
      <c r="D876" s="270"/>
      <c r="E876" s="270"/>
      <c r="F876" s="270"/>
      <c r="G876" s="270"/>
      <c r="H876" s="270"/>
      <c r="I876" s="271"/>
      <c r="J876" s="271"/>
      <c r="K876" s="270"/>
      <c r="M876" s="272"/>
    </row>
    <row r="877" ht="22.5" hidden="1" customHeight="1">
      <c r="C877" s="270"/>
      <c r="D877" s="270"/>
      <c r="E877" s="270"/>
      <c r="F877" s="270"/>
      <c r="G877" s="270"/>
      <c r="H877" s="270"/>
      <c r="I877" s="271"/>
      <c r="J877" s="271"/>
      <c r="K877" s="270"/>
      <c r="M877" s="272"/>
    </row>
    <row r="878" ht="22.5" hidden="1" customHeight="1">
      <c r="C878" s="270"/>
      <c r="D878" s="270"/>
      <c r="E878" s="270"/>
      <c r="F878" s="270"/>
      <c r="G878" s="270"/>
      <c r="H878" s="270"/>
      <c r="I878" s="271"/>
      <c r="J878" s="271"/>
      <c r="K878" s="270"/>
      <c r="M878" s="272"/>
    </row>
    <row r="879" ht="22.5" hidden="1" customHeight="1">
      <c r="C879" s="270"/>
      <c r="D879" s="270"/>
      <c r="E879" s="270"/>
      <c r="F879" s="270"/>
      <c r="G879" s="270"/>
      <c r="H879" s="270"/>
      <c r="I879" s="271"/>
      <c r="J879" s="271"/>
      <c r="K879" s="270"/>
      <c r="M879" s="272"/>
    </row>
    <row r="880" ht="22.5" hidden="1" customHeight="1">
      <c r="C880" s="270"/>
      <c r="D880" s="270"/>
      <c r="E880" s="270"/>
      <c r="F880" s="270"/>
      <c r="G880" s="270"/>
      <c r="H880" s="270"/>
      <c r="I880" s="271"/>
      <c r="J880" s="271"/>
      <c r="K880" s="270"/>
      <c r="M880" s="272"/>
    </row>
    <row r="881" ht="22.5" hidden="1" customHeight="1">
      <c r="C881" s="270"/>
      <c r="D881" s="270"/>
      <c r="E881" s="270"/>
      <c r="F881" s="270"/>
      <c r="G881" s="270"/>
      <c r="H881" s="270"/>
      <c r="I881" s="271"/>
      <c r="J881" s="271"/>
      <c r="K881" s="270"/>
      <c r="M881" s="272"/>
    </row>
    <row r="882" ht="22.5" hidden="1" customHeight="1">
      <c r="C882" s="270"/>
      <c r="D882" s="270"/>
      <c r="E882" s="270"/>
      <c r="F882" s="270"/>
      <c r="G882" s="270"/>
      <c r="H882" s="270"/>
      <c r="I882" s="271"/>
      <c r="J882" s="271"/>
      <c r="K882" s="270"/>
      <c r="M882" s="272"/>
    </row>
    <row r="883" ht="22.5" hidden="1" customHeight="1">
      <c r="C883" s="270"/>
      <c r="D883" s="270"/>
      <c r="E883" s="270"/>
      <c r="F883" s="270"/>
      <c r="G883" s="270"/>
      <c r="H883" s="270"/>
      <c r="I883" s="271"/>
      <c r="J883" s="271"/>
      <c r="K883" s="270"/>
      <c r="M883" s="272"/>
    </row>
    <row r="884" ht="22.5" hidden="1" customHeight="1">
      <c r="C884" s="270"/>
      <c r="D884" s="270"/>
      <c r="E884" s="270"/>
      <c r="F884" s="270"/>
      <c r="G884" s="270"/>
      <c r="H884" s="270"/>
      <c r="I884" s="271"/>
      <c r="J884" s="271"/>
      <c r="K884" s="270"/>
      <c r="M884" s="272"/>
    </row>
    <row r="885" ht="22.5" hidden="1" customHeight="1">
      <c r="C885" s="270"/>
      <c r="D885" s="270"/>
      <c r="E885" s="270"/>
      <c r="F885" s="270"/>
      <c r="G885" s="270"/>
      <c r="H885" s="270"/>
      <c r="I885" s="271"/>
      <c r="J885" s="271"/>
      <c r="K885" s="270"/>
      <c r="M885" s="272"/>
    </row>
    <row r="886" ht="22.5" hidden="1" customHeight="1">
      <c r="C886" s="270"/>
      <c r="D886" s="270"/>
      <c r="E886" s="270"/>
      <c r="F886" s="270"/>
      <c r="G886" s="270"/>
      <c r="H886" s="270"/>
      <c r="I886" s="271"/>
      <c r="J886" s="271"/>
      <c r="K886" s="270"/>
      <c r="M886" s="272"/>
    </row>
    <row r="887" ht="22.5" hidden="1" customHeight="1">
      <c r="C887" s="270"/>
      <c r="D887" s="270"/>
      <c r="E887" s="270"/>
      <c r="F887" s="270"/>
      <c r="G887" s="270"/>
      <c r="H887" s="270"/>
      <c r="I887" s="271"/>
      <c r="J887" s="271"/>
      <c r="K887" s="270"/>
      <c r="M887" s="272"/>
    </row>
    <row r="888" ht="22.5" hidden="1" customHeight="1">
      <c r="C888" s="270"/>
      <c r="D888" s="270"/>
      <c r="E888" s="270"/>
      <c r="F888" s="270"/>
      <c r="G888" s="270"/>
      <c r="H888" s="270"/>
      <c r="I888" s="271"/>
      <c r="J888" s="271"/>
      <c r="K888" s="270"/>
      <c r="M888" s="272"/>
    </row>
    <row r="889" ht="22.5" hidden="1" customHeight="1">
      <c r="C889" s="270"/>
      <c r="D889" s="270"/>
      <c r="E889" s="270"/>
      <c r="F889" s="270"/>
      <c r="G889" s="270"/>
      <c r="H889" s="270"/>
      <c r="I889" s="271"/>
      <c r="J889" s="271"/>
      <c r="K889" s="270"/>
      <c r="M889" s="272"/>
    </row>
    <row r="890" ht="22.5" hidden="1" customHeight="1">
      <c r="C890" s="270"/>
      <c r="D890" s="270"/>
      <c r="E890" s="270"/>
      <c r="F890" s="270"/>
      <c r="G890" s="270"/>
      <c r="H890" s="270"/>
      <c r="I890" s="271"/>
      <c r="J890" s="271"/>
      <c r="K890" s="270"/>
      <c r="M890" s="272"/>
    </row>
    <row r="891" ht="22.5" hidden="1" customHeight="1">
      <c r="C891" s="270"/>
      <c r="D891" s="270"/>
      <c r="E891" s="270"/>
      <c r="F891" s="270"/>
      <c r="G891" s="270"/>
      <c r="H891" s="270"/>
      <c r="I891" s="271"/>
      <c r="J891" s="271"/>
      <c r="K891" s="270"/>
      <c r="M891" s="272"/>
    </row>
    <row r="892" ht="22.5" hidden="1" customHeight="1">
      <c r="C892" s="270"/>
      <c r="D892" s="270"/>
      <c r="E892" s="270"/>
      <c r="F892" s="270"/>
      <c r="G892" s="270"/>
      <c r="H892" s="270"/>
      <c r="I892" s="271"/>
      <c r="J892" s="271"/>
      <c r="K892" s="270"/>
      <c r="M892" s="272"/>
    </row>
    <row r="893" ht="22.5" hidden="1" customHeight="1">
      <c r="C893" s="270"/>
      <c r="D893" s="270"/>
      <c r="E893" s="270"/>
      <c r="F893" s="270"/>
      <c r="G893" s="270"/>
      <c r="H893" s="270"/>
      <c r="I893" s="271"/>
      <c r="J893" s="271"/>
      <c r="K893" s="270"/>
      <c r="M893" s="272"/>
    </row>
    <row r="894" ht="22.5" hidden="1" customHeight="1">
      <c r="C894" s="270"/>
      <c r="D894" s="270"/>
      <c r="E894" s="270"/>
      <c r="F894" s="270"/>
      <c r="G894" s="270"/>
      <c r="H894" s="270"/>
      <c r="I894" s="271"/>
      <c r="J894" s="271"/>
      <c r="K894" s="270"/>
      <c r="M894" s="272"/>
    </row>
    <row r="895" ht="22.5" hidden="1" customHeight="1">
      <c r="C895" s="270"/>
      <c r="D895" s="270"/>
      <c r="E895" s="270"/>
      <c r="F895" s="270"/>
      <c r="G895" s="270"/>
      <c r="H895" s="270"/>
      <c r="I895" s="271"/>
      <c r="J895" s="271"/>
      <c r="K895" s="270"/>
      <c r="M895" s="272"/>
    </row>
    <row r="896" ht="22.5" hidden="1" customHeight="1">
      <c r="C896" s="270"/>
      <c r="D896" s="270"/>
      <c r="E896" s="270"/>
      <c r="F896" s="270"/>
      <c r="G896" s="270"/>
      <c r="H896" s="270"/>
      <c r="I896" s="271"/>
      <c r="J896" s="271"/>
      <c r="K896" s="270"/>
      <c r="M896" s="272"/>
    </row>
    <row r="897" ht="22.5" hidden="1" customHeight="1">
      <c r="C897" s="270"/>
      <c r="D897" s="270"/>
      <c r="E897" s="270"/>
      <c r="F897" s="270"/>
      <c r="G897" s="270"/>
      <c r="H897" s="270"/>
      <c r="I897" s="271"/>
      <c r="J897" s="271"/>
      <c r="K897" s="270"/>
      <c r="M897" s="272"/>
    </row>
    <row r="898" ht="22.5" hidden="1" customHeight="1">
      <c r="C898" s="270"/>
      <c r="D898" s="270"/>
      <c r="E898" s="270"/>
      <c r="F898" s="270"/>
      <c r="G898" s="270"/>
      <c r="H898" s="270"/>
      <c r="I898" s="271"/>
      <c r="J898" s="271"/>
      <c r="K898" s="270"/>
      <c r="M898" s="272"/>
    </row>
    <row r="899" ht="22.5" hidden="1" customHeight="1">
      <c r="C899" s="270"/>
      <c r="D899" s="270"/>
      <c r="E899" s="270"/>
      <c r="F899" s="270"/>
      <c r="G899" s="270"/>
      <c r="H899" s="270"/>
      <c r="I899" s="271"/>
      <c r="J899" s="271"/>
      <c r="K899" s="270"/>
      <c r="M899" s="272"/>
    </row>
    <row r="900" ht="22.5" hidden="1" customHeight="1">
      <c r="C900" s="270"/>
      <c r="D900" s="270"/>
      <c r="E900" s="270"/>
      <c r="F900" s="270"/>
      <c r="G900" s="270"/>
      <c r="H900" s="270"/>
      <c r="I900" s="271"/>
      <c r="J900" s="271"/>
      <c r="K900" s="270"/>
      <c r="M900" s="272"/>
    </row>
    <row r="901" ht="22.5" hidden="1" customHeight="1">
      <c r="C901" s="270"/>
      <c r="D901" s="270"/>
      <c r="E901" s="270"/>
      <c r="F901" s="270"/>
      <c r="G901" s="270"/>
      <c r="H901" s="270"/>
      <c r="I901" s="271"/>
      <c r="J901" s="271"/>
      <c r="K901" s="270"/>
      <c r="M901" s="272"/>
    </row>
    <row r="902" ht="22.5" hidden="1" customHeight="1">
      <c r="C902" s="270"/>
      <c r="D902" s="270"/>
      <c r="E902" s="270"/>
      <c r="F902" s="270"/>
      <c r="G902" s="270"/>
      <c r="H902" s="270"/>
      <c r="I902" s="271"/>
      <c r="J902" s="271"/>
      <c r="K902" s="270"/>
      <c r="M902" s="272"/>
    </row>
    <row r="903" ht="22.5" hidden="1" customHeight="1">
      <c r="C903" s="270"/>
      <c r="D903" s="270"/>
      <c r="E903" s="270"/>
      <c r="F903" s="270"/>
      <c r="G903" s="270"/>
      <c r="H903" s="270"/>
      <c r="I903" s="271"/>
      <c r="J903" s="271"/>
      <c r="K903" s="270"/>
      <c r="M903" s="272"/>
    </row>
    <row r="904" ht="22.5" hidden="1" customHeight="1">
      <c r="C904" s="270"/>
      <c r="D904" s="270"/>
      <c r="E904" s="270"/>
      <c r="F904" s="270"/>
      <c r="G904" s="270"/>
      <c r="H904" s="270"/>
      <c r="I904" s="271"/>
      <c r="J904" s="271"/>
      <c r="K904" s="270"/>
      <c r="M904" s="272"/>
    </row>
    <row r="905" ht="22.5" hidden="1" customHeight="1">
      <c r="C905" s="270"/>
      <c r="D905" s="270"/>
      <c r="E905" s="270"/>
      <c r="F905" s="270"/>
      <c r="G905" s="270"/>
      <c r="H905" s="270"/>
      <c r="I905" s="271"/>
      <c r="J905" s="271"/>
      <c r="K905" s="270"/>
      <c r="M905" s="272"/>
    </row>
    <row r="906" ht="22.5" hidden="1" customHeight="1">
      <c r="C906" s="270"/>
      <c r="D906" s="270"/>
      <c r="E906" s="270"/>
      <c r="F906" s="270"/>
      <c r="G906" s="270"/>
      <c r="H906" s="270"/>
      <c r="I906" s="271"/>
      <c r="J906" s="271"/>
      <c r="K906" s="270"/>
      <c r="M906" s="272"/>
    </row>
    <row r="907" ht="22.5" hidden="1" customHeight="1">
      <c r="C907" s="270"/>
      <c r="D907" s="270"/>
      <c r="E907" s="270"/>
      <c r="F907" s="270"/>
      <c r="G907" s="270"/>
      <c r="H907" s="270"/>
      <c r="I907" s="271"/>
      <c r="J907" s="271"/>
      <c r="K907" s="270"/>
      <c r="M907" s="272"/>
    </row>
    <row r="908" ht="22.5" hidden="1" customHeight="1">
      <c r="C908" s="270"/>
      <c r="D908" s="270"/>
      <c r="E908" s="270"/>
      <c r="F908" s="270"/>
      <c r="G908" s="270"/>
      <c r="H908" s="270"/>
      <c r="I908" s="271"/>
      <c r="J908" s="271"/>
      <c r="K908" s="270"/>
      <c r="M908" s="272"/>
    </row>
    <row r="909" ht="22.5" hidden="1" customHeight="1">
      <c r="C909" s="270"/>
      <c r="D909" s="270"/>
      <c r="E909" s="270"/>
      <c r="F909" s="270"/>
      <c r="G909" s="270"/>
      <c r="H909" s="270"/>
      <c r="I909" s="271"/>
      <c r="J909" s="271"/>
      <c r="K909" s="270"/>
      <c r="M909" s="272"/>
    </row>
    <row r="910" ht="22.5" hidden="1" customHeight="1">
      <c r="C910" s="270"/>
      <c r="D910" s="270"/>
      <c r="E910" s="270"/>
      <c r="F910" s="270"/>
      <c r="G910" s="270"/>
      <c r="H910" s="270"/>
      <c r="I910" s="271"/>
      <c r="J910" s="271"/>
      <c r="K910" s="270"/>
      <c r="M910" s="272"/>
    </row>
    <row r="911" ht="22.5" hidden="1" customHeight="1">
      <c r="C911" s="270"/>
      <c r="D911" s="270"/>
      <c r="E911" s="270"/>
      <c r="F911" s="270"/>
      <c r="G911" s="270"/>
      <c r="H911" s="270"/>
      <c r="I911" s="271"/>
      <c r="J911" s="271"/>
      <c r="K911" s="270"/>
      <c r="M911" s="272"/>
    </row>
    <row r="912" ht="22.5" hidden="1" customHeight="1">
      <c r="C912" s="270"/>
      <c r="D912" s="270"/>
      <c r="E912" s="270"/>
      <c r="F912" s="270"/>
      <c r="G912" s="270"/>
      <c r="H912" s="270"/>
      <c r="I912" s="271"/>
      <c r="J912" s="271"/>
      <c r="K912" s="270"/>
      <c r="M912" s="272"/>
    </row>
    <row r="913" ht="22.5" hidden="1" customHeight="1">
      <c r="C913" s="270"/>
      <c r="D913" s="270"/>
      <c r="E913" s="270"/>
      <c r="F913" s="270"/>
      <c r="G913" s="270"/>
      <c r="H913" s="270"/>
      <c r="I913" s="271"/>
      <c r="J913" s="271"/>
      <c r="K913" s="270"/>
      <c r="M913" s="272"/>
    </row>
    <row r="914" ht="22.5" hidden="1" customHeight="1">
      <c r="C914" s="270"/>
      <c r="D914" s="270"/>
      <c r="E914" s="270"/>
      <c r="F914" s="270"/>
      <c r="G914" s="270"/>
      <c r="H914" s="270"/>
      <c r="I914" s="271"/>
      <c r="J914" s="271"/>
      <c r="K914" s="270"/>
      <c r="M914" s="272"/>
    </row>
    <row r="915" ht="22.5" hidden="1" customHeight="1">
      <c r="C915" s="270"/>
      <c r="D915" s="270"/>
      <c r="E915" s="270"/>
      <c r="F915" s="270"/>
      <c r="G915" s="270"/>
      <c r="H915" s="270"/>
      <c r="I915" s="271"/>
      <c r="J915" s="271"/>
      <c r="K915" s="270"/>
      <c r="M915" s="272"/>
    </row>
    <row r="916" ht="22.5" hidden="1" customHeight="1">
      <c r="C916" s="270"/>
      <c r="D916" s="270"/>
      <c r="E916" s="270"/>
      <c r="F916" s="270"/>
      <c r="G916" s="270"/>
      <c r="H916" s="270"/>
      <c r="I916" s="271"/>
      <c r="J916" s="271"/>
      <c r="K916" s="270"/>
      <c r="M916" s="272"/>
    </row>
    <row r="917" ht="22.5" hidden="1" customHeight="1">
      <c r="C917" s="270"/>
      <c r="D917" s="270"/>
      <c r="E917" s="270"/>
      <c r="F917" s="270"/>
      <c r="G917" s="270"/>
      <c r="H917" s="270"/>
      <c r="I917" s="271"/>
      <c r="J917" s="271"/>
      <c r="K917" s="270"/>
      <c r="M917" s="272"/>
    </row>
    <row r="918" ht="22.5" hidden="1" customHeight="1">
      <c r="C918" s="270"/>
      <c r="D918" s="270"/>
      <c r="E918" s="270"/>
      <c r="F918" s="270"/>
      <c r="G918" s="270"/>
      <c r="H918" s="270"/>
      <c r="I918" s="271"/>
      <c r="J918" s="271"/>
      <c r="K918" s="270"/>
      <c r="M918" s="272"/>
    </row>
    <row r="919" ht="22.5" hidden="1" customHeight="1">
      <c r="C919" s="270"/>
      <c r="D919" s="270"/>
      <c r="E919" s="270"/>
      <c r="F919" s="270"/>
      <c r="G919" s="270"/>
      <c r="H919" s="270"/>
      <c r="I919" s="271"/>
      <c r="J919" s="271"/>
      <c r="K919" s="270"/>
      <c r="M919" s="272"/>
    </row>
    <row r="920" ht="22.5" hidden="1" customHeight="1">
      <c r="C920" s="270"/>
      <c r="D920" s="270"/>
      <c r="E920" s="270"/>
      <c r="F920" s="270"/>
      <c r="G920" s="270"/>
      <c r="H920" s="270"/>
      <c r="I920" s="271"/>
      <c r="J920" s="271"/>
      <c r="K920" s="270"/>
      <c r="M920" s="272"/>
    </row>
    <row r="921" ht="22.5" hidden="1" customHeight="1">
      <c r="C921" s="270"/>
      <c r="D921" s="270"/>
      <c r="E921" s="270"/>
      <c r="F921" s="270"/>
      <c r="G921" s="270"/>
      <c r="H921" s="270"/>
      <c r="I921" s="271"/>
      <c r="J921" s="271"/>
      <c r="K921" s="270"/>
      <c r="M921" s="272"/>
    </row>
    <row r="922" ht="22.5" hidden="1" customHeight="1">
      <c r="C922" s="270"/>
      <c r="D922" s="270"/>
      <c r="E922" s="270"/>
      <c r="F922" s="270"/>
      <c r="G922" s="270"/>
      <c r="H922" s="270"/>
      <c r="I922" s="271"/>
      <c r="J922" s="271"/>
      <c r="K922" s="270"/>
      <c r="M922" s="272"/>
    </row>
    <row r="923" ht="22.5" hidden="1" customHeight="1">
      <c r="C923" s="270"/>
      <c r="D923" s="270"/>
      <c r="E923" s="270"/>
      <c r="F923" s="270"/>
      <c r="G923" s="270"/>
      <c r="H923" s="270"/>
      <c r="I923" s="271"/>
      <c r="J923" s="271"/>
      <c r="K923" s="270"/>
      <c r="M923" s="272"/>
    </row>
    <row r="924" ht="22.5" hidden="1" customHeight="1">
      <c r="C924" s="270"/>
      <c r="D924" s="270"/>
      <c r="E924" s="270"/>
      <c r="F924" s="270"/>
      <c r="G924" s="270"/>
      <c r="H924" s="270"/>
      <c r="I924" s="271"/>
      <c r="J924" s="271"/>
      <c r="K924" s="270"/>
      <c r="M924" s="272"/>
    </row>
    <row r="925" ht="22.5" hidden="1" customHeight="1">
      <c r="C925" s="270"/>
      <c r="D925" s="270"/>
      <c r="E925" s="270"/>
      <c r="F925" s="270"/>
      <c r="G925" s="270"/>
      <c r="H925" s="270"/>
      <c r="I925" s="271"/>
      <c r="J925" s="271"/>
      <c r="K925" s="270"/>
      <c r="M925" s="272"/>
    </row>
    <row r="926" ht="22.5" hidden="1" customHeight="1">
      <c r="C926" s="270"/>
      <c r="D926" s="270"/>
      <c r="E926" s="270"/>
      <c r="F926" s="270"/>
      <c r="G926" s="270"/>
      <c r="H926" s="270"/>
      <c r="I926" s="271"/>
      <c r="J926" s="271"/>
      <c r="K926" s="270"/>
      <c r="M926" s="272"/>
    </row>
    <row r="927" ht="22.5" hidden="1" customHeight="1">
      <c r="C927" s="270"/>
      <c r="D927" s="270"/>
      <c r="E927" s="270"/>
      <c r="F927" s="270"/>
      <c r="G927" s="270"/>
      <c r="H927" s="270"/>
      <c r="I927" s="271"/>
      <c r="J927" s="271"/>
      <c r="K927" s="270"/>
      <c r="M927" s="272"/>
    </row>
    <row r="928" ht="22.5" hidden="1" customHeight="1">
      <c r="C928" s="270"/>
      <c r="D928" s="270"/>
      <c r="E928" s="270"/>
      <c r="F928" s="270"/>
      <c r="G928" s="270"/>
      <c r="H928" s="270"/>
      <c r="I928" s="271"/>
      <c r="J928" s="271"/>
      <c r="K928" s="270"/>
      <c r="M928" s="272"/>
    </row>
    <row r="929" ht="22.5" hidden="1" customHeight="1">
      <c r="C929" s="270"/>
      <c r="D929" s="270"/>
      <c r="E929" s="270"/>
      <c r="F929" s="270"/>
      <c r="G929" s="270"/>
      <c r="H929" s="270"/>
      <c r="I929" s="271"/>
      <c r="J929" s="271"/>
      <c r="K929" s="270"/>
      <c r="M929" s="272"/>
    </row>
    <row r="930" ht="22.5" hidden="1" customHeight="1">
      <c r="C930" s="270"/>
      <c r="D930" s="270"/>
      <c r="E930" s="270"/>
      <c r="F930" s="270"/>
      <c r="G930" s="270"/>
      <c r="H930" s="270"/>
      <c r="I930" s="271"/>
      <c r="J930" s="271"/>
      <c r="K930" s="270"/>
      <c r="M930" s="272"/>
    </row>
    <row r="931" ht="22.5" hidden="1" customHeight="1">
      <c r="C931" s="270"/>
      <c r="D931" s="270"/>
      <c r="E931" s="270"/>
      <c r="F931" s="270"/>
      <c r="G931" s="270"/>
      <c r="H931" s="270"/>
      <c r="I931" s="271"/>
      <c r="J931" s="271"/>
      <c r="K931" s="270"/>
      <c r="M931" s="272"/>
    </row>
    <row r="932" ht="22.5" hidden="1" customHeight="1">
      <c r="C932" s="270"/>
      <c r="D932" s="270"/>
      <c r="E932" s="270"/>
      <c r="F932" s="270"/>
      <c r="G932" s="270"/>
      <c r="H932" s="270"/>
      <c r="I932" s="271"/>
      <c r="J932" s="271"/>
      <c r="K932" s="270"/>
      <c r="M932" s="272"/>
    </row>
    <row r="933" ht="22.5" hidden="1" customHeight="1">
      <c r="C933" s="270"/>
      <c r="D933" s="270"/>
      <c r="E933" s="270"/>
      <c r="F933" s="270"/>
      <c r="G933" s="270"/>
      <c r="H933" s="270"/>
      <c r="I933" s="271"/>
      <c r="J933" s="271"/>
      <c r="K933" s="270"/>
      <c r="M933" s="272"/>
    </row>
    <row r="934" ht="22.5" hidden="1" customHeight="1">
      <c r="C934" s="270"/>
      <c r="D934" s="270"/>
      <c r="E934" s="270"/>
      <c r="F934" s="270"/>
      <c r="G934" s="270"/>
      <c r="H934" s="270"/>
      <c r="I934" s="271"/>
      <c r="J934" s="271"/>
      <c r="K934" s="270"/>
      <c r="M934" s="272"/>
    </row>
    <row r="935" ht="22.5" hidden="1" customHeight="1">
      <c r="C935" s="270"/>
      <c r="D935" s="270"/>
      <c r="E935" s="270"/>
      <c r="F935" s="270"/>
      <c r="G935" s="270"/>
      <c r="H935" s="270"/>
      <c r="I935" s="271"/>
      <c r="J935" s="271"/>
      <c r="K935" s="270"/>
      <c r="M935" s="272"/>
    </row>
    <row r="936" ht="22.5" hidden="1" customHeight="1">
      <c r="C936" s="270"/>
      <c r="D936" s="270"/>
      <c r="E936" s="270"/>
      <c r="F936" s="270"/>
      <c r="G936" s="270"/>
      <c r="H936" s="270"/>
      <c r="I936" s="271"/>
      <c r="J936" s="271"/>
      <c r="K936" s="270"/>
      <c r="M936" s="272"/>
    </row>
    <row r="937" ht="22.5" hidden="1" customHeight="1">
      <c r="C937" s="270"/>
      <c r="D937" s="270"/>
      <c r="E937" s="270"/>
      <c r="F937" s="270"/>
      <c r="G937" s="270"/>
      <c r="H937" s="270"/>
      <c r="I937" s="271"/>
      <c r="J937" s="271"/>
      <c r="K937" s="270"/>
      <c r="M937" s="272"/>
    </row>
    <row r="938" ht="22.5" hidden="1" customHeight="1">
      <c r="C938" s="270"/>
      <c r="D938" s="270"/>
      <c r="E938" s="270"/>
      <c r="F938" s="270"/>
      <c r="G938" s="270"/>
      <c r="H938" s="270"/>
      <c r="I938" s="271"/>
      <c r="J938" s="271"/>
      <c r="K938" s="270"/>
      <c r="M938" s="272"/>
    </row>
    <row r="939" ht="22.5" hidden="1" customHeight="1">
      <c r="C939" s="270"/>
      <c r="D939" s="270"/>
      <c r="E939" s="270"/>
      <c r="F939" s="270"/>
      <c r="G939" s="270"/>
      <c r="H939" s="270"/>
      <c r="I939" s="271"/>
      <c r="J939" s="271"/>
      <c r="K939" s="270"/>
      <c r="M939" s="272"/>
    </row>
    <row r="940" ht="22.5" hidden="1" customHeight="1">
      <c r="C940" s="270"/>
      <c r="D940" s="270"/>
      <c r="E940" s="270"/>
      <c r="F940" s="270"/>
      <c r="G940" s="270"/>
      <c r="H940" s="270"/>
      <c r="I940" s="271"/>
      <c r="J940" s="271"/>
      <c r="K940" s="270"/>
      <c r="M940" s="272"/>
    </row>
    <row r="941" ht="22.5" hidden="1" customHeight="1">
      <c r="C941" s="270"/>
      <c r="D941" s="270"/>
      <c r="E941" s="270"/>
      <c r="F941" s="270"/>
      <c r="G941" s="270"/>
      <c r="H941" s="270"/>
      <c r="I941" s="271"/>
      <c r="J941" s="271"/>
      <c r="K941" s="270"/>
      <c r="M941" s="272"/>
    </row>
    <row r="942" ht="22.5" hidden="1" customHeight="1">
      <c r="C942" s="270"/>
      <c r="D942" s="270"/>
      <c r="E942" s="270"/>
      <c r="F942" s="270"/>
      <c r="G942" s="270"/>
      <c r="H942" s="270"/>
      <c r="I942" s="271"/>
      <c r="J942" s="271"/>
      <c r="K942" s="270"/>
      <c r="M942" s="272"/>
    </row>
    <row r="943" ht="22.5" hidden="1" customHeight="1">
      <c r="C943" s="270"/>
      <c r="D943" s="270"/>
      <c r="E943" s="270"/>
      <c r="F943" s="270"/>
      <c r="G943" s="270"/>
      <c r="H943" s="270"/>
      <c r="I943" s="271"/>
      <c r="J943" s="271"/>
      <c r="K943" s="270"/>
      <c r="M943" s="272"/>
    </row>
    <row r="944" ht="22.5" hidden="1" customHeight="1">
      <c r="C944" s="270"/>
      <c r="D944" s="270"/>
      <c r="E944" s="270"/>
      <c r="F944" s="270"/>
      <c r="G944" s="270"/>
      <c r="H944" s="270"/>
      <c r="I944" s="271"/>
      <c r="J944" s="271"/>
      <c r="K944" s="270"/>
      <c r="M944" s="272"/>
    </row>
    <row r="945" ht="22.5" hidden="1" customHeight="1">
      <c r="C945" s="270"/>
      <c r="D945" s="270"/>
      <c r="E945" s="270"/>
      <c r="F945" s="270"/>
      <c r="G945" s="270"/>
      <c r="H945" s="270"/>
      <c r="I945" s="271"/>
      <c r="J945" s="271"/>
      <c r="K945" s="270"/>
      <c r="M945" s="272"/>
    </row>
    <row r="946" ht="22.5" hidden="1" customHeight="1">
      <c r="C946" s="270"/>
      <c r="D946" s="270"/>
      <c r="E946" s="270"/>
      <c r="F946" s="270"/>
      <c r="G946" s="270"/>
      <c r="H946" s="270"/>
      <c r="I946" s="271"/>
      <c r="J946" s="271"/>
      <c r="K946" s="270"/>
      <c r="M946" s="272"/>
    </row>
    <row r="947" ht="22.5" hidden="1" customHeight="1">
      <c r="C947" s="270"/>
      <c r="D947" s="270"/>
      <c r="E947" s="270"/>
      <c r="F947" s="270"/>
      <c r="G947" s="270"/>
      <c r="H947" s="270"/>
      <c r="I947" s="271"/>
      <c r="J947" s="271"/>
      <c r="K947" s="270"/>
      <c r="M947" s="272"/>
    </row>
    <row r="948" ht="22.5" hidden="1" customHeight="1">
      <c r="C948" s="270"/>
      <c r="D948" s="270"/>
      <c r="E948" s="270"/>
      <c r="F948" s="270"/>
      <c r="G948" s="270"/>
      <c r="H948" s="270"/>
      <c r="I948" s="271"/>
      <c r="J948" s="271"/>
      <c r="K948" s="270"/>
      <c r="M948" s="272"/>
    </row>
    <row r="949" ht="22.5" hidden="1" customHeight="1">
      <c r="C949" s="270"/>
      <c r="D949" s="270"/>
      <c r="E949" s="270"/>
      <c r="F949" s="270"/>
      <c r="G949" s="270"/>
      <c r="H949" s="270"/>
      <c r="I949" s="271"/>
      <c r="J949" s="271"/>
      <c r="K949" s="270"/>
      <c r="M949" s="272"/>
    </row>
    <row r="950" ht="22.5" hidden="1" customHeight="1">
      <c r="C950" s="270"/>
      <c r="D950" s="270"/>
      <c r="E950" s="270"/>
      <c r="F950" s="270"/>
      <c r="G950" s="270"/>
      <c r="H950" s="270"/>
      <c r="I950" s="271"/>
      <c r="J950" s="271"/>
      <c r="K950" s="270"/>
      <c r="M950" s="272"/>
    </row>
    <row r="951" ht="22.5" hidden="1" customHeight="1">
      <c r="C951" s="270"/>
      <c r="D951" s="270"/>
      <c r="E951" s="270"/>
      <c r="F951" s="270"/>
      <c r="G951" s="270"/>
      <c r="H951" s="270"/>
      <c r="I951" s="271"/>
      <c r="J951" s="271"/>
      <c r="K951" s="270"/>
      <c r="M951" s="272"/>
    </row>
    <row r="952" ht="22.5" hidden="1" customHeight="1">
      <c r="C952" s="270"/>
      <c r="D952" s="270"/>
      <c r="E952" s="270"/>
      <c r="F952" s="270"/>
      <c r="G952" s="270"/>
      <c r="H952" s="270"/>
      <c r="I952" s="271"/>
      <c r="J952" s="271"/>
      <c r="K952" s="270"/>
      <c r="M952" s="272"/>
    </row>
    <row r="953" ht="22.5" hidden="1" customHeight="1">
      <c r="C953" s="270"/>
      <c r="D953" s="270"/>
      <c r="E953" s="270"/>
      <c r="F953" s="270"/>
      <c r="G953" s="270"/>
      <c r="H953" s="270"/>
      <c r="I953" s="271"/>
      <c r="J953" s="271"/>
      <c r="K953" s="270"/>
      <c r="M953" s="272"/>
    </row>
    <row r="954" ht="22.5" hidden="1" customHeight="1">
      <c r="C954" s="270"/>
      <c r="D954" s="270"/>
      <c r="E954" s="270"/>
      <c r="F954" s="270"/>
      <c r="G954" s="270"/>
      <c r="H954" s="270"/>
      <c r="I954" s="271"/>
      <c r="J954" s="271"/>
      <c r="K954" s="270"/>
      <c r="M954" s="272"/>
    </row>
    <row r="955" ht="22.5" hidden="1" customHeight="1">
      <c r="C955" s="270"/>
      <c r="D955" s="270"/>
      <c r="E955" s="270"/>
      <c r="F955" s="270"/>
      <c r="G955" s="270"/>
      <c r="H955" s="270"/>
      <c r="I955" s="271"/>
      <c r="J955" s="271"/>
      <c r="K955" s="270"/>
      <c r="M955" s="272"/>
    </row>
    <row r="956" ht="22.5" hidden="1" customHeight="1">
      <c r="C956" s="270"/>
      <c r="D956" s="270"/>
      <c r="E956" s="270"/>
      <c r="F956" s="270"/>
      <c r="G956" s="270"/>
      <c r="H956" s="270"/>
      <c r="I956" s="271"/>
      <c r="J956" s="271"/>
      <c r="K956" s="270"/>
      <c r="M956" s="272"/>
    </row>
    <row r="957" ht="22.5" hidden="1" customHeight="1">
      <c r="C957" s="270"/>
      <c r="D957" s="270"/>
      <c r="E957" s="270"/>
      <c r="F957" s="270"/>
      <c r="G957" s="270"/>
      <c r="H957" s="270"/>
      <c r="I957" s="271"/>
      <c r="J957" s="271"/>
      <c r="K957" s="270"/>
      <c r="M957" s="272"/>
    </row>
    <row r="958" ht="22.5" hidden="1" customHeight="1">
      <c r="C958" s="270"/>
      <c r="D958" s="270"/>
      <c r="E958" s="270"/>
      <c r="F958" s="270"/>
      <c r="G958" s="270"/>
      <c r="H958" s="270"/>
      <c r="I958" s="271"/>
      <c r="J958" s="271"/>
      <c r="K958" s="270"/>
      <c r="M958" s="272"/>
    </row>
    <row r="959" ht="22.5" hidden="1" customHeight="1">
      <c r="C959" s="270"/>
      <c r="D959" s="270"/>
      <c r="E959" s="270"/>
      <c r="F959" s="270"/>
      <c r="G959" s="270"/>
      <c r="H959" s="270"/>
      <c r="I959" s="271"/>
      <c r="J959" s="271"/>
      <c r="K959" s="270"/>
      <c r="M959" s="272"/>
    </row>
    <row r="960" ht="22.5" hidden="1" customHeight="1">
      <c r="C960" s="270"/>
      <c r="D960" s="270"/>
      <c r="E960" s="270"/>
      <c r="F960" s="270"/>
      <c r="G960" s="270"/>
      <c r="H960" s="270"/>
      <c r="I960" s="271"/>
      <c r="J960" s="271"/>
      <c r="K960" s="270"/>
      <c r="M960" s="272"/>
    </row>
    <row r="961" ht="22.5" hidden="1" customHeight="1">
      <c r="C961" s="270"/>
      <c r="D961" s="270"/>
      <c r="E961" s="270"/>
      <c r="F961" s="270"/>
      <c r="G961" s="270"/>
      <c r="H961" s="270"/>
      <c r="I961" s="271"/>
      <c r="J961" s="271"/>
      <c r="K961" s="270"/>
      <c r="M961" s="272"/>
    </row>
    <row r="962" ht="22.5" hidden="1" customHeight="1">
      <c r="C962" s="270"/>
      <c r="D962" s="270"/>
      <c r="E962" s="270"/>
      <c r="F962" s="270"/>
      <c r="G962" s="270"/>
      <c r="H962" s="270"/>
      <c r="I962" s="271"/>
      <c r="J962" s="271"/>
      <c r="K962" s="270"/>
      <c r="M962" s="272"/>
    </row>
    <row r="963" ht="22.5" hidden="1" customHeight="1">
      <c r="C963" s="270"/>
      <c r="D963" s="270"/>
      <c r="E963" s="270"/>
      <c r="F963" s="270"/>
      <c r="G963" s="270"/>
      <c r="H963" s="270"/>
      <c r="I963" s="271"/>
      <c r="J963" s="271"/>
      <c r="K963" s="270"/>
      <c r="M963" s="272"/>
    </row>
    <row r="964" ht="22.5" hidden="1" customHeight="1">
      <c r="C964" s="270"/>
      <c r="D964" s="270"/>
      <c r="E964" s="270"/>
      <c r="F964" s="270"/>
      <c r="G964" s="270"/>
      <c r="H964" s="270"/>
      <c r="I964" s="271"/>
      <c r="J964" s="271"/>
      <c r="K964" s="270"/>
      <c r="M964" s="272"/>
    </row>
    <row r="965" ht="22.5" hidden="1" customHeight="1">
      <c r="C965" s="270"/>
      <c r="D965" s="270"/>
      <c r="E965" s="270"/>
      <c r="F965" s="270"/>
      <c r="G965" s="270"/>
      <c r="H965" s="270"/>
      <c r="I965" s="271"/>
      <c r="J965" s="271"/>
      <c r="K965" s="270"/>
      <c r="M965" s="272"/>
    </row>
    <row r="966" ht="22.5" hidden="1" customHeight="1">
      <c r="C966" s="270"/>
      <c r="D966" s="270"/>
      <c r="E966" s="270"/>
      <c r="F966" s="270"/>
      <c r="G966" s="270"/>
      <c r="H966" s="270"/>
      <c r="I966" s="271"/>
      <c r="J966" s="271"/>
      <c r="K966" s="270"/>
      <c r="M966" s="272"/>
    </row>
    <row r="967" ht="22.5" hidden="1" customHeight="1">
      <c r="C967" s="270"/>
      <c r="D967" s="270"/>
      <c r="E967" s="270"/>
      <c r="F967" s="270"/>
      <c r="G967" s="270"/>
      <c r="H967" s="270"/>
      <c r="I967" s="271"/>
      <c r="J967" s="271"/>
      <c r="K967" s="270"/>
      <c r="M967" s="272"/>
    </row>
    <row r="968" ht="22.5" hidden="1" customHeight="1">
      <c r="C968" s="270"/>
      <c r="D968" s="270"/>
      <c r="E968" s="270"/>
      <c r="F968" s="270"/>
      <c r="G968" s="270"/>
      <c r="H968" s="270"/>
      <c r="I968" s="271"/>
      <c r="J968" s="271"/>
      <c r="K968" s="270"/>
      <c r="M968" s="272"/>
    </row>
    <row r="969" ht="22.5" hidden="1" customHeight="1">
      <c r="C969" s="270"/>
      <c r="D969" s="270"/>
      <c r="E969" s="270"/>
      <c r="F969" s="270"/>
      <c r="G969" s="270"/>
      <c r="H969" s="270"/>
      <c r="I969" s="271"/>
      <c r="J969" s="271"/>
      <c r="K969" s="270"/>
      <c r="M969" s="272"/>
    </row>
    <row r="970" ht="22.5" hidden="1" customHeight="1">
      <c r="C970" s="270"/>
      <c r="D970" s="270"/>
      <c r="E970" s="270"/>
      <c r="F970" s="270"/>
      <c r="G970" s="270"/>
      <c r="H970" s="270"/>
      <c r="I970" s="271"/>
      <c r="J970" s="271"/>
      <c r="K970" s="270"/>
      <c r="M970" s="272"/>
    </row>
    <row r="971" ht="22.5" hidden="1" customHeight="1">
      <c r="C971" s="270"/>
      <c r="D971" s="270"/>
      <c r="E971" s="270"/>
      <c r="F971" s="270"/>
      <c r="G971" s="270"/>
      <c r="H971" s="270"/>
      <c r="I971" s="271"/>
      <c r="J971" s="271"/>
      <c r="K971" s="270"/>
      <c r="M971" s="272"/>
    </row>
    <row r="972" ht="22.5" hidden="1" customHeight="1">
      <c r="C972" s="270"/>
      <c r="D972" s="270"/>
      <c r="E972" s="270"/>
      <c r="F972" s="270"/>
      <c r="G972" s="270"/>
      <c r="H972" s="270"/>
      <c r="I972" s="271"/>
      <c r="J972" s="271"/>
      <c r="K972" s="270"/>
      <c r="M972" s="272"/>
    </row>
    <row r="973" ht="22.5" hidden="1" customHeight="1">
      <c r="C973" s="270"/>
      <c r="D973" s="270"/>
      <c r="E973" s="270"/>
      <c r="F973" s="270"/>
      <c r="G973" s="270"/>
      <c r="H973" s="270"/>
      <c r="I973" s="271"/>
      <c r="J973" s="271"/>
      <c r="K973" s="270"/>
      <c r="M973" s="272"/>
    </row>
    <row r="974" ht="22.5" hidden="1" customHeight="1">
      <c r="C974" s="270"/>
      <c r="D974" s="270"/>
      <c r="E974" s="270"/>
      <c r="F974" s="270"/>
      <c r="G974" s="270"/>
      <c r="H974" s="270"/>
      <c r="I974" s="271"/>
      <c r="J974" s="271"/>
      <c r="K974" s="270"/>
      <c r="M974" s="272"/>
    </row>
    <row r="975" ht="22.5" hidden="1" customHeight="1">
      <c r="C975" s="270"/>
      <c r="D975" s="270"/>
      <c r="E975" s="270"/>
      <c r="F975" s="270"/>
      <c r="G975" s="270"/>
      <c r="H975" s="270"/>
      <c r="I975" s="271"/>
      <c r="J975" s="271"/>
      <c r="K975" s="270"/>
      <c r="M975" s="272"/>
    </row>
    <row r="976" ht="22.5" hidden="1" customHeight="1">
      <c r="C976" s="270"/>
      <c r="D976" s="270"/>
      <c r="E976" s="270"/>
      <c r="F976" s="270"/>
      <c r="G976" s="270"/>
      <c r="H976" s="270"/>
      <c r="I976" s="271"/>
      <c r="J976" s="271"/>
      <c r="K976" s="270"/>
      <c r="M976" s="272"/>
    </row>
    <row r="977" ht="22.5" hidden="1" customHeight="1">
      <c r="C977" s="270"/>
      <c r="D977" s="270"/>
      <c r="E977" s="270"/>
      <c r="F977" s="270"/>
      <c r="G977" s="270"/>
      <c r="H977" s="270"/>
      <c r="I977" s="271"/>
      <c r="J977" s="271"/>
      <c r="K977" s="270"/>
      <c r="M977" s="272"/>
    </row>
    <row r="978" ht="22.5" hidden="1" customHeight="1">
      <c r="C978" s="270"/>
      <c r="D978" s="270"/>
      <c r="E978" s="270"/>
      <c r="F978" s="270"/>
      <c r="G978" s="270"/>
      <c r="H978" s="270"/>
      <c r="I978" s="271"/>
      <c r="J978" s="271"/>
      <c r="K978" s="270"/>
      <c r="M978" s="272"/>
    </row>
    <row r="979" ht="22.5" hidden="1" customHeight="1">
      <c r="C979" s="270"/>
      <c r="D979" s="270"/>
      <c r="E979" s="270"/>
      <c r="F979" s="270"/>
      <c r="G979" s="270"/>
      <c r="H979" s="270"/>
      <c r="I979" s="271"/>
      <c r="J979" s="271"/>
      <c r="K979" s="270"/>
      <c r="M979" s="272"/>
    </row>
    <row r="980" ht="22.5" hidden="1" customHeight="1">
      <c r="C980" s="270"/>
      <c r="D980" s="270"/>
      <c r="E980" s="270"/>
      <c r="F980" s="270"/>
      <c r="G980" s="270"/>
      <c r="H980" s="270"/>
      <c r="I980" s="271"/>
      <c r="J980" s="271"/>
      <c r="K980" s="270"/>
      <c r="M980" s="272"/>
    </row>
    <row r="981" ht="22.5" hidden="1" customHeight="1">
      <c r="C981" s="270"/>
      <c r="D981" s="270"/>
      <c r="E981" s="270"/>
      <c r="F981" s="270"/>
      <c r="G981" s="270"/>
      <c r="H981" s="270"/>
      <c r="I981" s="271"/>
      <c r="J981" s="271"/>
      <c r="K981" s="270"/>
      <c r="M981" s="272"/>
    </row>
    <row r="982" ht="22.5" hidden="1" customHeight="1">
      <c r="C982" s="270"/>
      <c r="D982" s="270"/>
      <c r="E982" s="270"/>
      <c r="F982" s="270"/>
      <c r="G982" s="270"/>
      <c r="H982" s="270"/>
      <c r="I982" s="271"/>
      <c r="J982" s="271"/>
      <c r="K982" s="270"/>
      <c r="M982" s="272"/>
    </row>
    <row r="983" ht="22.5" hidden="1" customHeight="1">
      <c r="C983" s="270"/>
      <c r="D983" s="270"/>
      <c r="E983" s="270"/>
      <c r="F983" s="270"/>
      <c r="G983" s="270"/>
      <c r="H983" s="270"/>
      <c r="I983" s="271"/>
      <c r="J983" s="271"/>
      <c r="K983" s="270"/>
      <c r="M983" s="272"/>
    </row>
    <row r="984" ht="22.5" hidden="1" customHeight="1">
      <c r="C984" s="270"/>
      <c r="D984" s="270"/>
      <c r="E984" s="270"/>
      <c r="F984" s="270"/>
      <c r="G984" s="270"/>
      <c r="H984" s="270"/>
      <c r="I984" s="271"/>
      <c r="J984" s="271"/>
      <c r="K984" s="270"/>
      <c r="M984" s="272"/>
    </row>
    <row r="985" ht="22.5" hidden="1" customHeight="1">
      <c r="C985" s="270"/>
      <c r="D985" s="270"/>
      <c r="E985" s="270"/>
      <c r="F985" s="270"/>
      <c r="G985" s="270"/>
      <c r="H985" s="270"/>
      <c r="I985" s="271"/>
      <c r="J985" s="271"/>
      <c r="K985" s="270"/>
      <c r="M985" s="272"/>
    </row>
    <row r="986" ht="22.5" hidden="1" customHeight="1">
      <c r="C986" s="270"/>
      <c r="D986" s="270"/>
      <c r="E986" s="270"/>
      <c r="F986" s="270"/>
      <c r="G986" s="270"/>
      <c r="H986" s="270"/>
      <c r="I986" s="271"/>
      <c r="J986" s="271"/>
      <c r="K986" s="270"/>
      <c r="M986" s="272"/>
    </row>
    <row r="987" ht="22.5" hidden="1" customHeight="1">
      <c r="C987" s="270"/>
      <c r="D987" s="270"/>
      <c r="E987" s="270"/>
      <c r="F987" s="270"/>
      <c r="G987" s="270"/>
      <c r="H987" s="270"/>
      <c r="I987" s="271"/>
      <c r="J987" s="271"/>
      <c r="K987" s="270"/>
      <c r="M987" s="272"/>
    </row>
    <row r="988" ht="22.5" hidden="1" customHeight="1">
      <c r="C988" s="270"/>
      <c r="D988" s="270"/>
      <c r="E988" s="270"/>
      <c r="F988" s="270"/>
      <c r="G988" s="270"/>
      <c r="H988" s="270"/>
      <c r="I988" s="271"/>
      <c r="J988" s="271"/>
      <c r="K988" s="270"/>
      <c r="M988" s="272"/>
    </row>
    <row r="989" ht="22.5" hidden="1" customHeight="1">
      <c r="C989" s="270"/>
      <c r="D989" s="270"/>
      <c r="E989" s="270"/>
      <c r="F989" s="270"/>
      <c r="G989" s="270"/>
      <c r="H989" s="270"/>
      <c r="I989" s="271"/>
      <c r="J989" s="271"/>
      <c r="K989" s="270"/>
      <c r="M989" s="272"/>
    </row>
    <row r="990" ht="22.5" hidden="1" customHeight="1">
      <c r="C990" s="270"/>
      <c r="D990" s="270"/>
      <c r="E990" s="270"/>
      <c r="F990" s="270"/>
      <c r="G990" s="270"/>
      <c r="H990" s="270"/>
      <c r="I990" s="271"/>
      <c r="J990" s="271"/>
      <c r="K990" s="270"/>
      <c r="M990" s="272"/>
    </row>
    <row r="991" ht="22.5" hidden="1" customHeight="1">
      <c r="C991" s="270"/>
      <c r="D991" s="270"/>
      <c r="E991" s="270"/>
      <c r="F991" s="270"/>
      <c r="G991" s="270"/>
      <c r="H991" s="270"/>
      <c r="I991" s="271"/>
      <c r="J991" s="271"/>
      <c r="K991" s="270"/>
      <c r="M991" s="272"/>
    </row>
    <row r="992" ht="22.5" hidden="1" customHeight="1">
      <c r="C992" s="270"/>
      <c r="D992" s="270"/>
      <c r="E992" s="270"/>
      <c r="F992" s="270"/>
      <c r="G992" s="270"/>
      <c r="H992" s="270"/>
      <c r="I992" s="271"/>
      <c r="J992" s="271"/>
      <c r="K992" s="270"/>
      <c r="M992" s="272"/>
    </row>
    <row r="993" ht="22.5" hidden="1" customHeight="1">
      <c r="C993" s="270"/>
      <c r="D993" s="270"/>
      <c r="E993" s="270"/>
      <c r="F993" s="270"/>
      <c r="G993" s="270"/>
      <c r="H993" s="270"/>
      <c r="I993" s="271"/>
      <c r="J993" s="271"/>
      <c r="K993" s="270"/>
      <c r="M993" s="272"/>
    </row>
    <row r="994" ht="22.5" hidden="1" customHeight="1">
      <c r="C994" s="270"/>
      <c r="D994" s="270"/>
      <c r="E994" s="270"/>
      <c r="F994" s="270"/>
      <c r="G994" s="270"/>
      <c r="H994" s="270"/>
      <c r="I994" s="271"/>
      <c r="J994" s="271"/>
      <c r="K994" s="270"/>
      <c r="M994" s="272"/>
    </row>
    <row r="995" ht="22.5" hidden="1" customHeight="1">
      <c r="C995" s="270"/>
      <c r="D995" s="270"/>
      <c r="E995" s="270"/>
      <c r="F995" s="270"/>
      <c r="G995" s="270"/>
      <c r="H995" s="270"/>
      <c r="I995" s="271"/>
      <c r="J995" s="271"/>
      <c r="K995" s="270"/>
      <c r="M995" s="272"/>
    </row>
    <row r="996" ht="22.5" hidden="1" customHeight="1">
      <c r="C996" s="270"/>
      <c r="D996" s="270"/>
      <c r="E996" s="270"/>
      <c r="F996" s="270"/>
      <c r="G996" s="270"/>
      <c r="H996" s="270"/>
      <c r="I996" s="271"/>
      <c r="J996" s="271"/>
      <c r="K996" s="270"/>
      <c r="M996" s="272"/>
    </row>
    <row r="997" ht="22.5" hidden="1" customHeight="1">
      <c r="C997" s="270"/>
      <c r="D997" s="270"/>
      <c r="E997" s="270"/>
      <c r="F997" s="270"/>
      <c r="G997" s="270"/>
      <c r="H997" s="270"/>
      <c r="I997" s="271"/>
      <c r="J997" s="271"/>
      <c r="K997" s="270"/>
      <c r="M997" s="272"/>
    </row>
    <row r="998" ht="22.5" hidden="1" customHeight="1">
      <c r="C998" s="270"/>
      <c r="D998" s="270"/>
      <c r="E998" s="270"/>
      <c r="F998" s="270"/>
      <c r="G998" s="270"/>
      <c r="H998" s="270"/>
      <c r="I998" s="271"/>
      <c r="J998" s="271"/>
      <c r="K998" s="270"/>
      <c r="M998" s="272"/>
    </row>
    <row r="999" ht="22.5" hidden="1" customHeight="1">
      <c r="C999" s="270"/>
      <c r="D999" s="270"/>
      <c r="E999" s="270"/>
      <c r="F999" s="270"/>
      <c r="G999" s="270"/>
      <c r="H999" s="270"/>
      <c r="I999" s="271"/>
      <c r="J999" s="271"/>
      <c r="K999" s="270"/>
      <c r="M999" s="272"/>
    </row>
    <row r="1000" ht="22.5" hidden="1" customHeight="1">
      <c r="C1000" s="270"/>
      <c r="D1000" s="270"/>
      <c r="E1000" s="270"/>
      <c r="F1000" s="270"/>
      <c r="G1000" s="270"/>
      <c r="H1000" s="270"/>
      <c r="I1000" s="271"/>
      <c r="J1000" s="271"/>
      <c r="K1000" s="270"/>
      <c r="M1000" s="272"/>
    </row>
    <row r="1001" ht="22.5" hidden="1" customHeight="1">
      <c r="C1001" s="270"/>
      <c r="D1001" s="270"/>
      <c r="E1001" s="270"/>
      <c r="F1001" s="270"/>
      <c r="G1001" s="270"/>
      <c r="H1001" s="270"/>
      <c r="I1001" s="271"/>
      <c r="J1001" s="271"/>
      <c r="K1001" s="270"/>
      <c r="M1001" s="272"/>
    </row>
    <row r="1002" ht="22.5" hidden="1" customHeight="1">
      <c r="C1002" s="270"/>
      <c r="D1002" s="270"/>
      <c r="E1002" s="270"/>
      <c r="F1002" s="270"/>
      <c r="G1002" s="270"/>
      <c r="H1002" s="270"/>
      <c r="I1002" s="271"/>
      <c r="J1002" s="271"/>
      <c r="K1002" s="270"/>
      <c r="M1002" s="272"/>
    </row>
    <row r="1003" ht="22.5" hidden="1" customHeight="1">
      <c r="C1003" s="270"/>
      <c r="D1003" s="270"/>
      <c r="E1003" s="270"/>
      <c r="F1003" s="270"/>
      <c r="G1003" s="270"/>
      <c r="H1003" s="270"/>
      <c r="I1003" s="271"/>
      <c r="J1003" s="271"/>
      <c r="K1003" s="270"/>
      <c r="M1003" s="272"/>
    </row>
    <row r="1004" ht="22.5" hidden="1" customHeight="1">
      <c r="C1004" s="270"/>
      <c r="D1004" s="270"/>
      <c r="E1004" s="270"/>
      <c r="F1004" s="270"/>
      <c r="G1004" s="270"/>
      <c r="H1004" s="270"/>
      <c r="I1004" s="271"/>
      <c r="J1004" s="271"/>
      <c r="K1004" s="270"/>
      <c r="M1004" s="272"/>
    </row>
    <row r="1005" ht="22.5" hidden="1" customHeight="1">
      <c r="C1005" s="270"/>
      <c r="D1005" s="270"/>
      <c r="E1005" s="270"/>
      <c r="F1005" s="270"/>
      <c r="G1005" s="270"/>
      <c r="H1005" s="270"/>
      <c r="I1005" s="271"/>
      <c r="J1005" s="271"/>
      <c r="K1005" s="270"/>
      <c r="M1005" s="272"/>
    </row>
    <row r="1006" ht="22.5" hidden="1" customHeight="1">
      <c r="C1006" s="270"/>
      <c r="D1006" s="270"/>
      <c r="E1006" s="270"/>
      <c r="F1006" s="270"/>
      <c r="G1006" s="270"/>
      <c r="H1006" s="270"/>
      <c r="I1006" s="271"/>
      <c r="J1006" s="271"/>
      <c r="K1006" s="270"/>
      <c r="M1006" s="272"/>
    </row>
    <row r="1007" ht="22.5" hidden="1" customHeight="1">
      <c r="C1007" s="270"/>
      <c r="D1007" s="270"/>
      <c r="E1007" s="270"/>
      <c r="F1007" s="270"/>
      <c r="G1007" s="270"/>
      <c r="H1007" s="270"/>
      <c r="I1007" s="271"/>
      <c r="J1007" s="271"/>
      <c r="K1007" s="270"/>
      <c r="M1007" s="272"/>
    </row>
    <row r="1008" ht="22.5" hidden="1" customHeight="1">
      <c r="C1008" s="270"/>
      <c r="D1008" s="270"/>
      <c r="E1008" s="270"/>
      <c r="F1008" s="270"/>
      <c r="G1008" s="270"/>
      <c r="H1008" s="270"/>
      <c r="I1008" s="271"/>
      <c r="J1008" s="271"/>
      <c r="K1008" s="270"/>
      <c r="M1008" s="272"/>
    </row>
    <row r="1009" ht="22.5" hidden="1" customHeight="1">
      <c r="C1009" s="270"/>
      <c r="D1009" s="270"/>
      <c r="E1009" s="270"/>
      <c r="F1009" s="270"/>
      <c r="G1009" s="270"/>
      <c r="H1009" s="270"/>
      <c r="I1009" s="271"/>
      <c r="J1009" s="271"/>
      <c r="K1009" s="270"/>
      <c r="M1009" s="272"/>
    </row>
    <row r="1010" ht="22.5" hidden="1" customHeight="1">
      <c r="C1010" s="270"/>
      <c r="D1010" s="270"/>
      <c r="E1010" s="270"/>
      <c r="F1010" s="270"/>
      <c r="G1010" s="270"/>
      <c r="H1010" s="270"/>
      <c r="I1010" s="271"/>
      <c r="J1010" s="271"/>
      <c r="K1010" s="270"/>
      <c r="M1010" s="272"/>
    </row>
    <row r="1011" ht="22.5" hidden="1" customHeight="1">
      <c r="C1011" s="270"/>
      <c r="D1011" s="270"/>
      <c r="E1011" s="270"/>
      <c r="F1011" s="270"/>
      <c r="G1011" s="270"/>
      <c r="H1011" s="270"/>
      <c r="I1011" s="271"/>
      <c r="J1011" s="271"/>
      <c r="K1011" s="270"/>
      <c r="M1011" s="272"/>
    </row>
    <row r="1012" ht="22.5" hidden="1" customHeight="1">
      <c r="C1012" s="270"/>
      <c r="D1012" s="270"/>
      <c r="E1012" s="270"/>
      <c r="F1012" s="270"/>
      <c r="G1012" s="270"/>
      <c r="H1012" s="270"/>
      <c r="I1012" s="271"/>
      <c r="J1012" s="271"/>
      <c r="K1012" s="270"/>
      <c r="M1012" s="272"/>
    </row>
    <row r="1013" ht="22.5" hidden="1" customHeight="1">
      <c r="C1013" s="270"/>
      <c r="D1013" s="270"/>
      <c r="E1013" s="270"/>
      <c r="F1013" s="270"/>
      <c r="G1013" s="270"/>
      <c r="H1013" s="270"/>
      <c r="I1013" s="271"/>
      <c r="J1013" s="271"/>
      <c r="K1013" s="270"/>
      <c r="M1013" s="272"/>
    </row>
    <row r="1014" ht="22.5" hidden="1" customHeight="1">
      <c r="C1014" s="270"/>
      <c r="D1014" s="270"/>
      <c r="E1014" s="270"/>
      <c r="F1014" s="270"/>
      <c r="G1014" s="270"/>
      <c r="H1014" s="270"/>
      <c r="I1014" s="271"/>
      <c r="J1014" s="271"/>
      <c r="K1014" s="270"/>
      <c r="M1014" s="272"/>
    </row>
    <row r="1015" ht="22.5" hidden="1" customHeight="1">
      <c r="C1015" s="270"/>
      <c r="D1015" s="270"/>
      <c r="E1015" s="270"/>
      <c r="F1015" s="270"/>
      <c r="G1015" s="270"/>
      <c r="H1015" s="270"/>
      <c r="I1015" s="271"/>
      <c r="J1015" s="271"/>
      <c r="K1015" s="270"/>
      <c r="M1015" s="272"/>
    </row>
    <row r="1016" ht="22.5" hidden="1" customHeight="1">
      <c r="C1016" s="270"/>
      <c r="D1016" s="270"/>
      <c r="E1016" s="270"/>
      <c r="F1016" s="270"/>
      <c r="G1016" s="270"/>
      <c r="H1016" s="270"/>
      <c r="I1016" s="271"/>
      <c r="J1016" s="271"/>
      <c r="K1016" s="270"/>
      <c r="M1016" s="272"/>
    </row>
    <row r="1017" ht="22.5" hidden="1" customHeight="1">
      <c r="C1017" s="270"/>
      <c r="D1017" s="270"/>
      <c r="E1017" s="270"/>
      <c r="F1017" s="270"/>
      <c r="G1017" s="270"/>
      <c r="H1017" s="270"/>
      <c r="I1017" s="271"/>
      <c r="J1017" s="271"/>
      <c r="K1017" s="270"/>
      <c r="M1017" s="272"/>
    </row>
    <row r="1018" ht="22.5" hidden="1" customHeight="1">
      <c r="C1018" s="270"/>
      <c r="D1018" s="270"/>
      <c r="E1018" s="270"/>
      <c r="F1018" s="270"/>
      <c r="G1018" s="270"/>
      <c r="H1018" s="270"/>
      <c r="I1018" s="271"/>
      <c r="J1018" s="271"/>
      <c r="K1018" s="270"/>
      <c r="M1018" s="272"/>
    </row>
    <row r="1019" ht="22.5" hidden="1" customHeight="1">
      <c r="C1019" s="270"/>
      <c r="D1019" s="270"/>
      <c r="E1019" s="270"/>
      <c r="F1019" s="270"/>
      <c r="G1019" s="270"/>
      <c r="H1019" s="270"/>
      <c r="I1019" s="271"/>
      <c r="J1019" s="271"/>
      <c r="K1019" s="270"/>
      <c r="M1019" s="272"/>
    </row>
    <row r="1020" ht="22.5" hidden="1" customHeight="1">
      <c r="C1020" s="270"/>
      <c r="D1020" s="270"/>
      <c r="E1020" s="270"/>
      <c r="F1020" s="270"/>
      <c r="G1020" s="270"/>
      <c r="H1020" s="270"/>
      <c r="I1020" s="271"/>
      <c r="J1020" s="271"/>
      <c r="K1020" s="270"/>
      <c r="M1020" s="272"/>
    </row>
    <row r="1021" ht="22.5" hidden="1" customHeight="1">
      <c r="C1021" s="270"/>
      <c r="D1021" s="270"/>
      <c r="E1021" s="270"/>
      <c r="F1021" s="270"/>
      <c r="G1021" s="270"/>
      <c r="H1021" s="270"/>
      <c r="I1021" s="271"/>
      <c r="J1021" s="271"/>
      <c r="K1021" s="270"/>
      <c r="M1021" s="272"/>
    </row>
    <row r="1022" ht="22.5" hidden="1" customHeight="1">
      <c r="C1022" s="270"/>
      <c r="D1022" s="270"/>
      <c r="E1022" s="270"/>
      <c r="F1022" s="270"/>
      <c r="G1022" s="270"/>
      <c r="H1022" s="270"/>
      <c r="I1022" s="271"/>
      <c r="J1022" s="271"/>
      <c r="K1022" s="270"/>
      <c r="M1022" s="272"/>
    </row>
    <row r="1023" ht="22.5" hidden="1" customHeight="1">
      <c r="C1023" s="270"/>
      <c r="D1023" s="270"/>
      <c r="E1023" s="270"/>
      <c r="F1023" s="270"/>
      <c r="G1023" s="270"/>
      <c r="H1023" s="270"/>
      <c r="I1023" s="271"/>
      <c r="J1023" s="271"/>
      <c r="K1023" s="270"/>
      <c r="M1023" s="272"/>
    </row>
    <row r="1024" ht="22.5" hidden="1" customHeight="1">
      <c r="C1024" s="270"/>
      <c r="D1024" s="270"/>
      <c r="E1024" s="270"/>
      <c r="F1024" s="270"/>
      <c r="G1024" s="270"/>
      <c r="H1024" s="270"/>
      <c r="I1024" s="271"/>
      <c r="J1024" s="271"/>
      <c r="K1024" s="270"/>
      <c r="M1024" s="272"/>
    </row>
    <row r="1025" ht="22.5" hidden="1" customHeight="1">
      <c r="C1025" s="270"/>
      <c r="D1025" s="270"/>
      <c r="E1025" s="270"/>
      <c r="F1025" s="270"/>
      <c r="G1025" s="270"/>
      <c r="H1025" s="270"/>
      <c r="I1025" s="271"/>
      <c r="J1025" s="271"/>
      <c r="K1025" s="270"/>
      <c r="M1025" s="272"/>
    </row>
    <row r="1026" ht="22.5" hidden="1" customHeight="1">
      <c r="C1026" s="270"/>
      <c r="D1026" s="270"/>
      <c r="E1026" s="270"/>
      <c r="F1026" s="270"/>
      <c r="G1026" s="270"/>
      <c r="H1026" s="270"/>
      <c r="I1026" s="271"/>
      <c r="J1026" s="271"/>
      <c r="K1026" s="270"/>
      <c r="M1026" s="272"/>
    </row>
    <row r="1027" ht="22.5" hidden="1" customHeight="1">
      <c r="C1027" s="270"/>
      <c r="D1027" s="270"/>
      <c r="E1027" s="270"/>
      <c r="F1027" s="270"/>
      <c r="G1027" s="270"/>
      <c r="H1027" s="270"/>
      <c r="I1027" s="271"/>
      <c r="J1027" s="271"/>
      <c r="K1027" s="270"/>
      <c r="M1027" s="272"/>
    </row>
    <row r="1028" ht="22.5" hidden="1" customHeight="1">
      <c r="C1028" s="270"/>
      <c r="D1028" s="270"/>
      <c r="E1028" s="270"/>
      <c r="F1028" s="270"/>
      <c r="G1028" s="270"/>
      <c r="H1028" s="270"/>
      <c r="I1028" s="271"/>
      <c r="J1028" s="271"/>
      <c r="K1028" s="270"/>
      <c r="M1028" s="272"/>
    </row>
    <row r="1029" ht="22.5" hidden="1" customHeight="1">
      <c r="C1029" s="270"/>
      <c r="D1029" s="270"/>
      <c r="E1029" s="270"/>
      <c r="F1029" s="270"/>
      <c r="G1029" s="270"/>
      <c r="H1029" s="270"/>
      <c r="I1029" s="271"/>
      <c r="J1029" s="271"/>
      <c r="K1029" s="270"/>
      <c r="M1029" s="272"/>
    </row>
    <row r="1030" ht="22.5" hidden="1" customHeight="1">
      <c r="C1030" s="270"/>
      <c r="D1030" s="270"/>
      <c r="E1030" s="270"/>
      <c r="F1030" s="270"/>
      <c r="G1030" s="270"/>
      <c r="H1030" s="270"/>
      <c r="I1030" s="271"/>
      <c r="J1030" s="271"/>
      <c r="K1030" s="270"/>
      <c r="M1030" s="272"/>
    </row>
    <row r="1031" ht="22.5" hidden="1" customHeight="1">
      <c r="C1031" s="270"/>
      <c r="D1031" s="270"/>
      <c r="E1031" s="270"/>
      <c r="F1031" s="270"/>
      <c r="G1031" s="270"/>
      <c r="H1031" s="270"/>
      <c r="I1031" s="271"/>
      <c r="J1031" s="271"/>
      <c r="K1031" s="270"/>
      <c r="M1031" s="272"/>
    </row>
    <row r="1032" ht="22.5" hidden="1" customHeight="1">
      <c r="C1032" s="270"/>
      <c r="D1032" s="270"/>
      <c r="E1032" s="270"/>
      <c r="F1032" s="270"/>
      <c r="G1032" s="270"/>
      <c r="H1032" s="270"/>
      <c r="I1032" s="271"/>
      <c r="J1032" s="271"/>
      <c r="K1032" s="270"/>
      <c r="M1032" s="272"/>
    </row>
    <row r="1033" ht="22.5" hidden="1" customHeight="1">
      <c r="C1033" s="270"/>
      <c r="D1033" s="270"/>
      <c r="E1033" s="270"/>
      <c r="F1033" s="270"/>
      <c r="G1033" s="270"/>
      <c r="H1033" s="270"/>
      <c r="I1033" s="271"/>
      <c r="J1033" s="271"/>
      <c r="K1033" s="270"/>
      <c r="M1033" s="272"/>
    </row>
    <row r="1034" ht="22.5" hidden="1" customHeight="1">
      <c r="C1034" s="270"/>
      <c r="D1034" s="270"/>
      <c r="E1034" s="270"/>
      <c r="F1034" s="270"/>
      <c r="G1034" s="270"/>
      <c r="H1034" s="270"/>
      <c r="I1034" s="271"/>
      <c r="J1034" s="271"/>
      <c r="M1034" s="272"/>
    </row>
    <row r="1035" ht="22.5" hidden="1" customHeight="1">
      <c r="C1035" s="270"/>
      <c r="D1035" s="270"/>
      <c r="E1035" s="270"/>
      <c r="F1035" s="270"/>
      <c r="G1035" s="270"/>
      <c r="H1035" s="270"/>
      <c r="I1035" s="271"/>
      <c r="J1035" s="271"/>
      <c r="M1035" s="272"/>
    </row>
    <row r="1036" ht="22.5" hidden="1" customHeight="1">
      <c r="C1036" s="270"/>
      <c r="D1036" s="270"/>
      <c r="E1036" s="270"/>
      <c r="F1036" s="270"/>
      <c r="G1036" s="270"/>
      <c r="H1036" s="270"/>
      <c r="I1036" s="271"/>
      <c r="J1036" s="271"/>
      <c r="M1036" s="272"/>
    </row>
    <row r="1037" ht="22.5" hidden="1" customHeight="1">
      <c r="C1037" s="270"/>
      <c r="D1037" s="270"/>
      <c r="E1037" s="270"/>
      <c r="F1037" s="270"/>
      <c r="G1037" s="270"/>
      <c r="H1037" s="270"/>
      <c r="I1037" s="271"/>
      <c r="J1037" s="271"/>
      <c r="M1037" s="272"/>
    </row>
    <row r="1038" ht="22.5" hidden="1" customHeight="1">
      <c r="C1038" s="270"/>
      <c r="D1038" s="270"/>
      <c r="E1038" s="270"/>
      <c r="F1038" s="270"/>
      <c r="G1038" s="270"/>
      <c r="H1038" s="270"/>
      <c r="I1038" s="271"/>
      <c r="J1038" s="271"/>
      <c r="M1038" s="272"/>
    </row>
    <row r="1039" ht="22.5" hidden="1" customHeight="1">
      <c r="C1039" s="270"/>
      <c r="D1039" s="270"/>
      <c r="E1039" s="270"/>
      <c r="F1039" s="270"/>
      <c r="G1039" s="270"/>
      <c r="H1039" s="270"/>
      <c r="I1039" s="271"/>
      <c r="J1039" s="271"/>
      <c r="M1039" s="272"/>
    </row>
    <row r="1040" ht="22.5" hidden="1" customHeight="1">
      <c r="C1040" s="270"/>
      <c r="D1040" s="270"/>
      <c r="E1040" s="270"/>
      <c r="F1040" s="270"/>
      <c r="G1040" s="270"/>
      <c r="H1040" s="270"/>
      <c r="I1040" s="271"/>
      <c r="J1040" s="271"/>
      <c r="M1040" s="272"/>
    </row>
    <row r="1041" ht="22.5" hidden="1" customHeight="1">
      <c r="C1041" s="270"/>
      <c r="D1041" s="270"/>
      <c r="E1041" s="270"/>
      <c r="F1041" s="270"/>
      <c r="G1041" s="270"/>
      <c r="H1041" s="270"/>
      <c r="I1041" s="271"/>
      <c r="J1041" s="271"/>
      <c r="M1041" s="272"/>
    </row>
    <row r="1042" ht="22.5" hidden="1" customHeight="1">
      <c r="C1042" s="270"/>
      <c r="D1042" s="270"/>
      <c r="E1042" s="270"/>
      <c r="F1042" s="270"/>
      <c r="G1042" s="270"/>
      <c r="H1042" s="270"/>
      <c r="I1042" s="271"/>
      <c r="J1042" s="271"/>
      <c r="M1042" s="272"/>
    </row>
    <row r="1043" ht="22.5" hidden="1" customHeight="1">
      <c r="C1043" s="270"/>
      <c r="D1043" s="270"/>
      <c r="E1043" s="270"/>
      <c r="F1043" s="270"/>
      <c r="G1043" s="270"/>
      <c r="H1043" s="270"/>
      <c r="I1043" s="271"/>
      <c r="J1043" s="271"/>
      <c r="M1043" s="272"/>
    </row>
    <row r="1044" ht="22.5" hidden="1" customHeight="1">
      <c r="C1044" s="270"/>
      <c r="D1044" s="270"/>
      <c r="E1044" s="270"/>
      <c r="F1044" s="270"/>
      <c r="G1044" s="270"/>
      <c r="H1044" s="270"/>
      <c r="I1044" s="271"/>
      <c r="J1044" s="271"/>
      <c r="M1044" s="272"/>
    </row>
    <row r="1045" ht="22.5" hidden="1" customHeight="1">
      <c r="C1045" s="270"/>
      <c r="D1045" s="270"/>
      <c r="E1045" s="270"/>
      <c r="F1045" s="270"/>
      <c r="G1045" s="270"/>
      <c r="H1045" s="270"/>
      <c r="I1045" s="271"/>
      <c r="J1045" s="271"/>
      <c r="M1045" s="272"/>
    </row>
    <row r="1046" ht="22.5" hidden="1" customHeight="1">
      <c r="C1046" s="270"/>
      <c r="D1046" s="270"/>
      <c r="E1046" s="270"/>
      <c r="F1046" s="270"/>
      <c r="G1046" s="270"/>
      <c r="H1046" s="270"/>
      <c r="I1046" s="271"/>
      <c r="J1046" s="271"/>
      <c r="M1046" s="272"/>
    </row>
    <row r="1047" ht="22.5" hidden="1" customHeight="1">
      <c r="C1047" s="270"/>
      <c r="D1047" s="270"/>
      <c r="E1047" s="270"/>
      <c r="F1047" s="270"/>
      <c r="G1047" s="270"/>
      <c r="H1047" s="270"/>
      <c r="I1047" s="271"/>
      <c r="J1047" s="271"/>
      <c r="M1047" s="272"/>
    </row>
    <row r="1048" ht="22.5" hidden="1" customHeight="1">
      <c r="C1048" s="270"/>
      <c r="D1048" s="270"/>
      <c r="E1048" s="270"/>
      <c r="F1048" s="270"/>
      <c r="G1048" s="270"/>
      <c r="H1048" s="270"/>
      <c r="I1048" s="271"/>
      <c r="J1048" s="271"/>
      <c r="M1048" s="272"/>
    </row>
    <row r="1049" ht="22.5" hidden="1" customHeight="1">
      <c r="C1049" s="270"/>
      <c r="D1049" s="270"/>
      <c r="E1049" s="270"/>
      <c r="F1049" s="270"/>
      <c r="G1049" s="270"/>
      <c r="H1049" s="270"/>
      <c r="I1049" s="271"/>
      <c r="J1049" s="271"/>
      <c r="M1049" s="272"/>
    </row>
    <row r="1050" ht="22.5" hidden="1" customHeight="1">
      <c r="C1050" s="270"/>
      <c r="D1050" s="270"/>
      <c r="E1050" s="270"/>
      <c r="F1050" s="270"/>
      <c r="G1050" s="270"/>
      <c r="H1050" s="270"/>
      <c r="I1050" s="271"/>
      <c r="J1050" s="271"/>
      <c r="M1050" s="272"/>
    </row>
    <row r="1051" ht="22.5" hidden="1" customHeight="1">
      <c r="C1051" s="270"/>
      <c r="D1051" s="270"/>
      <c r="E1051" s="270"/>
      <c r="F1051" s="270"/>
      <c r="G1051" s="270"/>
      <c r="H1051" s="270"/>
      <c r="I1051" s="271"/>
      <c r="J1051" s="271"/>
      <c r="M1051" s="272"/>
    </row>
    <row r="1052" ht="22.5" hidden="1" customHeight="1">
      <c r="C1052" s="270"/>
      <c r="D1052" s="270"/>
      <c r="E1052" s="270"/>
      <c r="F1052" s="270"/>
      <c r="G1052" s="270"/>
      <c r="H1052" s="270"/>
      <c r="I1052" s="271"/>
      <c r="J1052" s="271"/>
      <c r="M1052" s="272"/>
    </row>
    <row r="1053" ht="22.5" customHeight="1">
      <c r="C1053" s="270"/>
      <c r="D1053" s="270"/>
      <c r="E1053" s="270"/>
      <c r="F1053" s="270"/>
      <c r="G1053" s="270"/>
      <c r="H1053" s="270"/>
      <c r="I1053" s="271"/>
      <c r="J1053" s="271"/>
      <c r="M1053" s="272"/>
    </row>
    <row r="1054" ht="22.5" customHeight="1">
      <c r="C1054" s="270"/>
      <c r="D1054" s="270"/>
      <c r="E1054" s="270"/>
      <c r="F1054" s="270"/>
      <c r="G1054" s="270"/>
      <c r="H1054" s="270"/>
      <c r="I1054" s="271"/>
      <c r="J1054" s="271"/>
      <c r="M1054" s="272"/>
    </row>
    <row r="1055" ht="22.5" customHeight="1">
      <c r="C1055" s="270"/>
      <c r="D1055" s="270"/>
      <c r="E1055" s="270"/>
      <c r="F1055" s="270"/>
      <c r="G1055" s="270"/>
      <c r="H1055" s="270"/>
      <c r="I1055" s="271"/>
      <c r="J1055" s="271"/>
      <c r="M1055" s="272"/>
    </row>
    <row r="1056" ht="22.5" customHeight="1">
      <c r="C1056" s="270"/>
      <c r="D1056" s="270"/>
      <c r="E1056" s="270"/>
      <c r="F1056" s="270"/>
      <c r="G1056" s="270"/>
      <c r="H1056" s="270"/>
      <c r="I1056" s="271"/>
      <c r="J1056" s="271"/>
      <c r="M1056" s="272"/>
    </row>
    <row r="1057" ht="22.5" customHeight="1">
      <c r="C1057" s="270"/>
      <c r="D1057" s="270"/>
      <c r="E1057" s="270"/>
      <c r="F1057" s="270"/>
      <c r="G1057" s="270"/>
      <c r="H1057" s="270"/>
      <c r="I1057" s="271"/>
      <c r="J1057" s="271"/>
      <c r="M1057" s="272"/>
    </row>
    <row r="1058" ht="22.5" customHeight="1">
      <c r="C1058" s="270"/>
      <c r="D1058" s="270"/>
      <c r="E1058" s="270"/>
      <c r="F1058" s="270"/>
      <c r="G1058" s="270"/>
      <c r="H1058" s="270"/>
      <c r="I1058" s="271"/>
      <c r="J1058" s="271"/>
      <c r="M1058" s="272"/>
    </row>
    <row r="1059" ht="22.5" customHeight="1">
      <c r="C1059" s="270"/>
      <c r="D1059" s="270"/>
      <c r="E1059" s="270"/>
      <c r="F1059" s="270"/>
      <c r="G1059" s="270"/>
      <c r="H1059" s="270"/>
      <c r="I1059" s="271"/>
      <c r="J1059" s="271"/>
      <c r="M1059" s="272"/>
    </row>
    <row r="1060" ht="22.5" customHeight="1">
      <c r="C1060" s="270"/>
      <c r="D1060" s="270"/>
      <c r="E1060" s="270"/>
      <c r="F1060" s="270"/>
      <c r="G1060" s="270"/>
      <c r="H1060" s="270"/>
      <c r="I1060" s="271"/>
      <c r="J1060" s="271"/>
      <c r="M1060" s="272"/>
    </row>
    <row r="1061" ht="22.5" customHeight="1">
      <c r="C1061" s="270"/>
      <c r="D1061" s="270"/>
      <c r="E1061" s="270"/>
      <c r="F1061" s="270"/>
      <c r="G1061" s="270"/>
      <c r="H1061" s="270"/>
      <c r="I1061" s="271"/>
      <c r="J1061" s="271"/>
      <c r="M1061" s="272"/>
    </row>
    <row r="1062" ht="22.5" customHeight="1">
      <c r="C1062" s="270"/>
      <c r="D1062" s="270"/>
      <c r="E1062" s="270"/>
      <c r="F1062" s="270"/>
      <c r="G1062" s="270"/>
      <c r="H1062" s="270"/>
      <c r="I1062" s="271"/>
      <c r="J1062" s="271"/>
      <c r="M1062" s="272"/>
    </row>
  </sheetData>
  <dataValidations>
    <dataValidation type="custom" allowBlank="1" showDropDown="1" sqref="I2:I1062">
      <formula1>OR(NOT(ISERROR(DATEVALUE(I2))), AND(ISNUMBER(I2), LEFT(CELL("format", I2))="D"))</formula1>
    </dataValidation>
    <dataValidation type="custom" allowBlank="1" showDropDown="1" sqref="H2:H1062">
      <formula1>AND(ISNUMBER(H2),(NOT(OR(NOT(ISERROR(DATEVALUE(H2))), AND(ISNUMBER(H2), LEFT(CELL("format", H2))="D")))))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4"/>
      <c r="B1" s="284"/>
      <c r="C1" s="285"/>
      <c r="D1" s="285"/>
      <c r="E1" s="285"/>
      <c r="F1" s="285"/>
      <c r="G1" s="285"/>
      <c r="H1" s="285"/>
      <c r="I1" s="286"/>
      <c r="J1" s="286"/>
      <c r="K1" s="285"/>
      <c r="L1" s="284"/>
      <c r="M1" s="287"/>
      <c r="N1" s="284"/>
      <c r="O1" s="284"/>
      <c r="P1" s="284"/>
      <c r="Q1" s="284"/>
      <c r="R1" s="284"/>
      <c r="S1" s="284"/>
      <c r="T1" s="284"/>
      <c r="U1" s="284"/>
      <c r="V1" s="284"/>
      <c r="W1" s="284"/>
      <c r="X1" s="284"/>
      <c r="Y1" s="284"/>
      <c r="Z1" s="284"/>
      <c r="AA1" s="284"/>
    </row>
    <row r="2">
      <c r="A2" s="284"/>
      <c r="B2" s="284"/>
      <c r="C2" s="285"/>
      <c r="D2" s="285"/>
      <c r="E2" s="285"/>
      <c r="F2" s="285"/>
      <c r="G2" s="285"/>
      <c r="H2" s="285"/>
      <c r="I2" s="286"/>
      <c r="J2" s="286"/>
      <c r="K2" s="285"/>
      <c r="L2" s="284"/>
      <c r="M2" s="287"/>
      <c r="N2" s="284"/>
      <c r="O2" s="284"/>
      <c r="P2" s="284"/>
      <c r="Q2" s="284"/>
      <c r="R2" s="284"/>
      <c r="S2" s="284"/>
      <c r="T2" s="284"/>
      <c r="U2" s="284"/>
      <c r="V2" s="284"/>
      <c r="W2" s="284"/>
      <c r="X2" s="284"/>
      <c r="Y2" s="284"/>
      <c r="Z2" s="284"/>
      <c r="AA2" s="284"/>
    </row>
    <row r="3">
      <c r="A3" s="284"/>
      <c r="B3" s="284"/>
      <c r="C3" s="285"/>
      <c r="D3" s="285"/>
      <c r="E3" s="285"/>
      <c r="F3" s="285"/>
      <c r="G3" s="285"/>
      <c r="H3" s="285"/>
      <c r="I3" s="286"/>
      <c r="J3" s="286"/>
      <c r="K3" s="285"/>
      <c r="L3" s="284"/>
      <c r="M3" s="287"/>
      <c r="N3" s="284"/>
      <c r="O3" s="284"/>
      <c r="P3" s="284"/>
      <c r="Q3" s="284"/>
      <c r="R3" s="284"/>
      <c r="S3" s="284"/>
      <c r="T3" s="284"/>
      <c r="U3" s="284"/>
      <c r="V3" s="284"/>
      <c r="W3" s="284"/>
      <c r="X3" s="284"/>
      <c r="Y3" s="284"/>
      <c r="Z3" s="284"/>
      <c r="AA3" s="284"/>
    </row>
    <row r="4" ht="22.5" customHeight="1">
      <c r="A4" s="284"/>
      <c r="B4" s="284"/>
      <c r="C4" s="285"/>
      <c r="D4" s="285"/>
      <c r="E4" s="285"/>
      <c r="F4" s="285"/>
      <c r="G4" s="285"/>
      <c r="H4" s="285"/>
      <c r="I4" s="286"/>
      <c r="J4" s="286"/>
      <c r="K4" s="284"/>
      <c r="L4" s="284"/>
      <c r="M4" s="287"/>
      <c r="N4" s="284"/>
      <c r="O4" s="284"/>
      <c r="P4" s="288">
        <v>45336.0</v>
      </c>
      <c r="Q4" s="284" t="s">
        <v>17</v>
      </c>
      <c r="R4" s="284"/>
      <c r="S4" s="4" t="s">
        <v>2338</v>
      </c>
      <c r="T4" s="137" t="s">
        <v>553</v>
      </c>
      <c r="U4" s="4" t="s">
        <v>8</v>
      </c>
      <c r="V4" s="4" t="s">
        <v>554</v>
      </c>
      <c r="W4" s="284"/>
      <c r="X4" s="284"/>
      <c r="Y4" s="284"/>
      <c r="Z4" s="284"/>
      <c r="AA4" s="284"/>
    </row>
    <row r="5" ht="22.5" customHeight="1">
      <c r="A5" s="284"/>
      <c r="B5" s="284"/>
      <c r="C5" s="285"/>
      <c r="D5" s="285"/>
      <c r="E5" s="285"/>
      <c r="F5" s="285"/>
      <c r="G5" s="285"/>
      <c r="H5" s="285"/>
      <c r="I5" s="286"/>
      <c r="J5" s="286"/>
      <c r="K5" s="284"/>
      <c r="L5" s="285"/>
      <c r="M5" s="287"/>
      <c r="N5" s="284"/>
      <c r="O5" s="284"/>
      <c r="P5" s="284" t="s">
        <v>100</v>
      </c>
      <c r="Q5" s="289">
        <v>83.111</v>
      </c>
      <c r="R5" s="284"/>
      <c r="S5" s="138" t="s">
        <v>100</v>
      </c>
      <c r="T5" s="80" t="s">
        <v>17</v>
      </c>
      <c r="U5" s="89">
        <f>IFERROR(__xludf.DUMMYFUNCTION("GOOGLEFINANCE(""Currency:""&amp;S5&amp;T5)"),95.7005)</f>
        <v>95.7005</v>
      </c>
      <c r="V5" s="11">
        <f>IFERROR(__xludf.DUMMYFUNCTION("GOOGLEFINANCE(""Currency:""&amp;T5&amp;S5)"),0.01044927)</f>
        <v>0.01044927</v>
      </c>
      <c r="W5" s="284"/>
      <c r="X5" s="284"/>
      <c r="Y5" s="284"/>
      <c r="Z5" s="284"/>
      <c r="AA5" s="284"/>
    </row>
    <row r="6" ht="22.5" customHeight="1">
      <c r="A6" s="284"/>
      <c r="B6" s="290" t="s">
        <v>2339</v>
      </c>
      <c r="C6" s="285"/>
      <c r="D6" s="285"/>
      <c r="E6" s="285"/>
      <c r="F6" s="285"/>
      <c r="G6" s="285"/>
      <c r="H6" s="285"/>
      <c r="I6" s="286"/>
      <c r="J6" s="286" t="s">
        <v>2233</v>
      </c>
      <c r="K6" s="291">
        <f> Today()</f>
        <v>46167</v>
      </c>
      <c r="L6" s="285"/>
      <c r="M6" s="287"/>
      <c r="N6" s="284"/>
      <c r="O6" s="284"/>
      <c r="P6" s="284" t="s">
        <v>41</v>
      </c>
      <c r="Q6" s="289">
        <v>19.0</v>
      </c>
      <c r="R6" s="284"/>
      <c r="S6" s="141" t="s">
        <v>41</v>
      </c>
      <c r="T6" s="142" t="s">
        <v>17</v>
      </c>
      <c r="U6" s="292">
        <f>IFERROR(__xludf.DUMMYFUNCTION("GOOGLEFINANCE(""Currency:""&amp;S6&amp;T6)"),24.22137)</f>
        <v>24.22137</v>
      </c>
      <c r="V6" s="185">
        <f>IFERROR(__xludf.DUMMYFUNCTION("GOOGLEFINANCE(""Currency:""&amp;T6&amp;S6)"),0.0415)</f>
        <v>0.0415</v>
      </c>
      <c r="W6" s="284"/>
      <c r="X6" s="284"/>
      <c r="Y6" s="284"/>
      <c r="Z6" s="284"/>
      <c r="AA6" s="284"/>
    </row>
    <row r="7" ht="22.5" customHeight="1">
      <c r="A7" s="293" t="s">
        <v>181</v>
      </c>
      <c r="B7" s="293" t="s">
        <v>2216</v>
      </c>
      <c r="C7" s="294" t="s">
        <v>131</v>
      </c>
      <c r="D7" s="294" t="s">
        <v>2217</v>
      </c>
      <c r="E7" s="294" t="s">
        <v>8</v>
      </c>
      <c r="F7" s="294" t="s">
        <v>873</v>
      </c>
      <c r="G7" s="294" t="s">
        <v>17</v>
      </c>
      <c r="H7" s="294" t="s">
        <v>874</v>
      </c>
      <c r="I7" s="295" t="s">
        <v>2218</v>
      </c>
      <c r="J7" s="295" t="s">
        <v>876</v>
      </c>
      <c r="K7" s="293" t="s">
        <v>877</v>
      </c>
      <c r="L7" s="294" t="s">
        <v>878</v>
      </c>
      <c r="M7" s="296" t="s">
        <v>2219</v>
      </c>
      <c r="N7" s="293" t="s">
        <v>2220</v>
      </c>
      <c r="O7" s="284"/>
      <c r="P7" s="284" t="s">
        <v>22</v>
      </c>
      <c r="Q7" s="289">
        <v>0.3</v>
      </c>
      <c r="R7" s="284"/>
      <c r="S7" s="138" t="s">
        <v>22</v>
      </c>
      <c r="T7" s="80" t="s">
        <v>17</v>
      </c>
      <c r="U7" s="89">
        <f>IFERROR(__xludf.DUMMYFUNCTION("GOOGLEFINANCE(""Currency:""&amp;S7&amp;T7)"),0.34329281700000003)</f>
        <v>0.343292817</v>
      </c>
      <c r="V7" s="11">
        <f>IFERROR(__xludf.DUMMYFUNCTION("GOOGLEFINANCE(""Currency:""&amp;T7&amp;S7)"),2.913036806)</f>
        <v>2.913036806</v>
      </c>
      <c r="W7" s="284"/>
      <c r="X7" s="284"/>
      <c r="Y7" s="284"/>
      <c r="Z7" s="284"/>
      <c r="AA7" s="284"/>
    </row>
    <row r="8" ht="22.5" customHeight="1">
      <c r="A8" s="284" t="s">
        <v>2234</v>
      </c>
      <c r="B8" s="284" t="s">
        <v>2235</v>
      </c>
      <c r="C8" s="285" t="str">
        <f t="shared" ref="C8:C23" si="1">if(OR(G8=0,G8=""),"","x")</f>
        <v>x</v>
      </c>
      <c r="D8" s="297">
        <v>2.5</v>
      </c>
      <c r="E8" s="297">
        <v>100.0</v>
      </c>
      <c r="F8" s="297">
        <f t="shared" ref="F8:F13" si="2">D8*E8</f>
        <v>250</v>
      </c>
      <c r="G8" s="297">
        <f>F8*Q$8</f>
        <v>5540</v>
      </c>
      <c r="H8" s="297">
        <v>0.0</v>
      </c>
      <c r="I8" s="288">
        <v>45280.0</v>
      </c>
      <c r="J8" s="288">
        <v>45311.0</v>
      </c>
      <c r="K8" s="289">
        <f t="shared" ref="K8:K10" si="3">if(H8=0,1,0)</f>
        <v>1</v>
      </c>
      <c r="L8" s="297">
        <f t="shared" ref="L8:L16" si="4">if(J8="","",J8-$K$6)</f>
        <v>-856</v>
      </c>
      <c r="M8" s="298">
        <v>45335.0</v>
      </c>
      <c r="N8" s="284"/>
      <c r="O8" s="284"/>
      <c r="P8" s="284" t="s">
        <v>15</v>
      </c>
      <c r="Q8" s="289">
        <v>22.16</v>
      </c>
      <c r="R8" s="284"/>
      <c r="S8" s="141" t="s">
        <v>15</v>
      </c>
      <c r="T8" s="142" t="s">
        <v>17</v>
      </c>
      <c r="U8" s="292">
        <f>IFERROR(__xludf.DUMMYFUNCTION("GOOGLEFINANCE(""Currency:""&amp;S8&amp;T8)"),25.46836013)</f>
        <v>25.46836013</v>
      </c>
      <c r="V8" s="185">
        <f>IFERROR(__xludf.DUMMYFUNCTION("GOOGLEFINANCE(""Currency:""&amp;T8&amp;S8)"),0.039264407700000004)</f>
        <v>0.0392644077</v>
      </c>
      <c r="W8" s="284"/>
      <c r="X8" s="284"/>
      <c r="Y8" s="284"/>
      <c r="Z8" s="284"/>
      <c r="AA8" s="284"/>
    </row>
    <row r="9" ht="22.5" customHeight="1">
      <c r="A9" s="284" t="s">
        <v>825</v>
      </c>
      <c r="B9" s="284" t="s">
        <v>2237</v>
      </c>
      <c r="C9" s="285" t="str">
        <f t="shared" si="1"/>
        <v>x</v>
      </c>
      <c r="D9" s="297">
        <v>1.0</v>
      </c>
      <c r="E9" s="297">
        <v>5.0</v>
      </c>
      <c r="F9" s="297">
        <f t="shared" si="2"/>
        <v>5</v>
      </c>
      <c r="G9" s="297">
        <f t="shared" ref="G9:G10" si="5">F9*$Q$5</f>
        <v>415.555</v>
      </c>
      <c r="H9" s="297">
        <v>0.0</v>
      </c>
      <c r="I9" s="288">
        <v>45288.0</v>
      </c>
      <c r="J9" s="288">
        <v>45292.0</v>
      </c>
      <c r="K9" s="289">
        <f t="shared" si="3"/>
        <v>1</v>
      </c>
      <c r="L9" s="297">
        <f t="shared" si="4"/>
        <v>-875</v>
      </c>
      <c r="M9" s="298">
        <v>45339.0</v>
      </c>
      <c r="N9" s="297">
        <v>1397.0</v>
      </c>
      <c r="O9" s="284"/>
      <c r="P9" s="284" t="s">
        <v>555</v>
      </c>
      <c r="Q9" s="289">
        <v>220.53</v>
      </c>
      <c r="R9" s="284"/>
      <c r="S9" s="138" t="s">
        <v>555</v>
      </c>
      <c r="T9" s="80" t="s">
        <v>17</v>
      </c>
      <c r="U9" s="89">
        <f>IFERROR(__xludf.DUMMYFUNCTION("GOOGLEFINANCE(""Currency:""&amp;S9&amp;T9)"),253.40361779999998)</f>
        <v>253.4036178</v>
      </c>
      <c r="V9" s="11">
        <f>IFERROR(__xludf.DUMMYFUNCTION("GOOGLEFINANCE(""Currency:""&amp;T9&amp;S9)"),0.0039462739)</f>
        <v>0.0039462739</v>
      </c>
      <c r="W9" s="284"/>
      <c r="X9" s="284"/>
      <c r="Y9" s="284"/>
      <c r="Z9" s="284"/>
      <c r="AA9" s="284"/>
    </row>
    <row r="10" ht="22.5" customHeight="1">
      <c r="A10" s="284" t="s">
        <v>2238</v>
      </c>
      <c r="B10" s="284" t="s">
        <v>2239</v>
      </c>
      <c r="C10" s="285" t="str">
        <f t="shared" si="1"/>
        <v>x</v>
      </c>
      <c r="D10" s="297">
        <v>1.0</v>
      </c>
      <c r="E10" s="297">
        <v>3.0</v>
      </c>
      <c r="F10" s="297">
        <f t="shared" si="2"/>
        <v>3</v>
      </c>
      <c r="G10" s="297">
        <f t="shared" si="5"/>
        <v>249.333</v>
      </c>
      <c r="H10" s="297">
        <v>0.0</v>
      </c>
      <c r="I10" s="288">
        <v>45288.0</v>
      </c>
      <c r="J10" s="288">
        <v>45292.0</v>
      </c>
      <c r="K10" s="289">
        <f t="shared" si="3"/>
        <v>1</v>
      </c>
      <c r="L10" s="297">
        <f t="shared" si="4"/>
        <v>-875</v>
      </c>
      <c r="M10" s="298">
        <v>45339.0</v>
      </c>
      <c r="N10" s="289">
        <v>838.2</v>
      </c>
      <c r="O10" s="284"/>
      <c r="P10" s="284" t="s">
        <v>430</v>
      </c>
      <c r="Q10" s="289">
        <v>104.59</v>
      </c>
      <c r="R10" s="284"/>
      <c r="S10" s="141" t="s">
        <v>19</v>
      </c>
      <c r="T10" s="142" t="s">
        <v>17</v>
      </c>
      <c r="U10" s="292">
        <f>IFERROR(__xludf.DUMMYFUNCTION("GOOGLEFINANCE(""Currency:""&amp;S10&amp;T10)"),128.6215)</f>
        <v>128.6215</v>
      </c>
      <c r="V10" s="185">
        <f>IFERROR(__xludf.DUMMYFUNCTION("GOOGLEFINANCE(""Currency:""&amp;T10&amp;S10)"),0.007774752)</f>
        <v>0.007774752</v>
      </c>
      <c r="W10" s="284"/>
      <c r="X10" s="284"/>
      <c r="Y10" s="284"/>
      <c r="Z10" s="284"/>
      <c r="AA10" s="284"/>
    </row>
    <row r="11" ht="22.5" customHeight="1">
      <c r="A11" s="284"/>
      <c r="B11" s="284" t="s">
        <v>2240</v>
      </c>
      <c r="C11" s="285" t="str">
        <f t="shared" si="1"/>
        <v/>
      </c>
      <c r="D11" s="297">
        <v>0.0</v>
      </c>
      <c r="E11" s="297">
        <v>1500.0</v>
      </c>
      <c r="F11" s="297">
        <f t="shared" si="2"/>
        <v>0</v>
      </c>
      <c r="G11" s="297">
        <f>F11*$Q$7</f>
        <v>0</v>
      </c>
      <c r="H11" s="297">
        <v>0.0</v>
      </c>
      <c r="I11" s="286"/>
      <c r="J11" s="286"/>
      <c r="K11" s="284" t="str">
        <f t="shared" ref="K11:K16" si="6">if(J11="","",if(H11=0,1,0))</f>
        <v/>
      </c>
      <c r="L11" s="285" t="str">
        <f t="shared" si="4"/>
        <v/>
      </c>
      <c r="M11" s="287"/>
      <c r="N11" s="284"/>
      <c r="O11" s="284"/>
      <c r="P11" s="284"/>
      <c r="Q11" s="284"/>
      <c r="R11" s="284"/>
      <c r="S11" s="149"/>
      <c r="T11" s="82"/>
      <c r="U11" s="45"/>
      <c r="V11" s="55"/>
      <c r="W11" s="284"/>
      <c r="X11" s="284"/>
      <c r="Y11" s="284"/>
      <c r="Z11" s="284"/>
      <c r="AA11" s="284"/>
    </row>
    <row r="12" ht="22.5" customHeight="1">
      <c r="A12" s="284"/>
      <c r="B12" s="284" t="s">
        <v>2241</v>
      </c>
      <c r="C12" s="285" t="str">
        <f t="shared" si="1"/>
        <v/>
      </c>
      <c r="D12" s="297">
        <v>0.0</v>
      </c>
      <c r="E12" s="297">
        <v>500.0</v>
      </c>
      <c r="F12" s="297">
        <f t="shared" si="2"/>
        <v>0</v>
      </c>
      <c r="G12" s="297">
        <f>F12</f>
        <v>0</v>
      </c>
      <c r="H12" s="297">
        <v>0.0</v>
      </c>
      <c r="I12" s="286"/>
      <c r="J12" s="286"/>
      <c r="K12" s="284" t="str">
        <f t="shared" si="6"/>
        <v/>
      </c>
      <c r="L12" s="285" t="str">
        <f t="shared" si="4"/>
        <v/>
      </c>
      <c r="M12" s="287"/>
      <c r="N12" s="284"/>
      <c r="O12" s="284"/>
      <c r="P12" s="288">
        <f> Today()</f>
        <v>46167</v>
      </c>
      <c r="Q12" s="284"/>
      <c r="R12" s="284"/>
      <c r="S12" s="145"/>
      <c r="T12" s="146"/>
      <c r="U12" s="186"/>
      <c r="V12" s="187"/>
      <c r="W12" s="284"/>
      <c r="X12" s="284"/>
      <c r="Y12" s="284"/>
      <c r="Z12" s="284"/>
      <c r="AA12" s="284"/>
    </row>
    <row r="13" ht="22.5" customHeight="1">
      <c r="A13" s="284"/>
      <c r="B13" s="284" t="s">
        <v>2242</v>
      </c>
      <c r="C13" s="285" t="str">
        <f t="shared" si="1"/>
        <v>x</v>
      </c>
      <c r="D13" s="297">
        <v>5.0</v>
      </c>
      <c r="E13" s="297">
        <v>22.0</v>
      </c>
      <c r="F13" s="297">
        <f t="shared" si="2"/>
        <v>110</v>
      </c>
      <c r="G13" s="297">
        <f t="shared" ref="G13:G14" si="7">F13*$Q$6</f>
        <v>2090</v>
      </c>
      <c r="H13" s="297">
        <v>0.0</v>
      </c>
      <c r="I13" s="288">
        <v>45267.0</v>
      </c>
      <c r="J13" s="288">
        <v>45292.0</v>
      </c>
      <c r="K13" s="289">
        <f t="shared" si="6"/>
        <v>1</v>
      </c>
      <c r="L13" s="297">
        <f t="shared" si="4"/>
        <v>-875</v>
      </c>
      <c r="M13" s="298">
        <v>45323.0</v>
      </c>
      <c r="N13" s="284"/>
      <c r="O13" s="284"/>
      <c r="P13" s="284" t="s">
        <v>100</v>
      </c>
      <c r="Q13" s="289">
        <f t="shared" ref="Q13:Q18" si="8">U5</f>
        <v>95.7005</v>
      </c>
      <c r="R13" s="284"/>
      <c r="S13" s="149"/>
      <c r="T13" s="82"/>
      <c r="U13" s="45"/>
      <c r="V13" s="55"/>
      <c r="W13" s="284"/>
      <c r="X13" s="284"/>
      <c r="Y13" s="284"/>
      <c r="Z13" s="284"/>
      <c r="AA13" s="284"/>
    </row>
    <row r="14" ht="22.5" customHeight="1">
      <c r="A14" s="284"/>
      <c r="B14" s="284" t="s">
        <v>2243</v>
      </c>
      <c r="C14" s="285" t="str">
        <f t="shared" si="1"/>
        <v/>
      </c>
      <c r="D14" s="297">
        <v>0.0</v>
      </c>
      <c r="E14" s="297">
        <v>110.0</v>
      </c>
      <c r="F14" s="297">
        <v>0.0</v>
      </c>
      <c r="G14" s="297">
        <f t="shared" si="7"/>
        <v>0</v>
      </c>
      <c r="H14" s="297">
        <v>0.0</v>
      </c>
      <c r="I14" s="286"/>
      <c r="J14" s="286"/>
      <c r="K14" s="284" t="str">
        <f t="shared" si="6"/>
        <v/>
      </c>
      <c r="L14" s="285" t="str">
        <f t="shared" si="4"/>
        <v/>
      </c>
      <c r="M14" s="287"/>
      <c r="N14" s="284"/>
      <c r="O14" s="284"/>
      <c r="P14" s="284" t="s">
        <v>41</v>
      </c>
      <c r="Q14" s="289">
        <f t="shared" si="8"/>
        <v>24.22137</v>
      </c>
      <c r="R14" s="284"/>
      <c r="S14" s="145"/>
      <c r="T14" s="146"/>
      <c r="U14" s="186"/>
      <c r="V14" s="187"/>
      <c r="W14" s="284"/>
      <c r="X14" s="284"/>
      <c r="Y14" s="284"/>
      <c r="Z14" s="284"/>
      <c r="AA14" s="284"/>
    </row>
    <row r="15" ht="22.5" customHeight="1">
      <c r="A15" s="284"/>
      <c r="B15" s="284" t="s">
        <v>2244</v>
      </c>
      <c r="C15" s="285" t="str">
        <f t="shared" si="1"/>
        <v>x</v>
      </c>
      <c r="D15" s="297">
        <v>1.0</v>
      </c>
      <c r="E15" s="297">
        <v>15000.0</v>
      </c>
      <c r="F15" s="297">
        <v>15000.0</v>
      </c>
      <c r="G15" s="297">
        <f>F15*$Q$7</f>
        <v>4500</v>
      </c>
      <c r="H15" s="297">
        <v>0.0</v>
      </c>
      <c r="I15" s="288">
        <v>45273.0</v>
      </c>
      <c r="J15" s="288">
        <f>Edate(I15,1)</f>
        <v>45304</v>
      </c>
      <c r="K15" s="289">
        <f t="shared" si="6"/>
        <v>1</v>
      </c>
      <c r="L15" s="297">
        <f t="shared" si="4"/>
        <v>-863</v>
      </c>
      <c r="M15" s="287"/>
      <c r="N15" s="289">
        <v>13500.0</v>
      </c>
      <c r="O15" s="284"/>
      <c r="P15" s="284" t="s">
        <v>22</v>
      </c>
      <c r="Q15" s="289">
        <f t="shared" si="8"/>
        <v>0.343292817</v>
      </c>
      <c r="R15" s="284"/>
      <c r="S15" s="149"/>
      <c r="T15" s="82"/>
      <c r="U15" s="45"/>
      <c r="V15" s="55"/>
      <c r="W15" s="284"/>
      <c r="X15" s="284"/>
      <c r="Y15" s="284"/>
      <c r="Z15" s="284"/>
      <c r="AA15" s="284"/>
    </row>
    <row r="16" ht="22.5" customHeight="1">
      <c r="A16" s="284"/>
      <c r="B16" s="284" t="s">
        <v>2245</v>
      </c>
      <c r="C16" s="285" t="str">
        <f t="shared" si="1"/>
        <v/>
      </c>
      <c r="D16" s="297">
        <v>0.0</v>
      </c>
      <c r="E16" s="297">
        <v>0.0</v>
      </c>
      <c r="F16" s="297">
        <v>0.0</v>
      </c>
      <c r="G16" s="297">
        <v>0.0</v>
      </c>
      <c r="H16" s="297">
        <v>0.0</v>
      </c>
      <c r="I16" s="286"/>
      <c r="J16" s="286"/>
      <c r="K16" s="284" t="str">
        <f t="shared" si="6"/>
        <v/>
      </c>
      <c r="L16" s="285" t="str">
        <f t="shared" si="4"/>
        <v/>
      </c>
      <c r="M16" s="287"/>
      <c r="N16" s="284"/>
      <c r="O16" s="284"/>
      <c r="P16" s="284" t="s">
        <v>15</v>
      </c>
      <c r="Q16" s="289">
        <f t="shared" si="8"/>
        <v>25.46836013</v>
      </c>
      <c r="R16" s="284"/>
      <c r="S16" s="145"/>
      <c r="T16" s="146"/>
      <c r="U16" s="186"/>
      <c r="V16" s="187"/>
      <c r="W16" s="284"/>
      <c r="X16" s="284"/>
      <c r="Y16" s="284"/>
      <c r="Z16" s="284"/>
      <c r="AA16" s="284"/>
    </row>
    <row r="17" ht="22.5" customHeight="1">
      <c r="A17" s="284"/>
      <c r="B17" s="284"/>
      <c r="C17" s="285" t="str">
        <f t="shared" si="1"/>
        <v/>
      </c>
      <c r="D17" s="285"/>
      <c r="E17" s="285"/>
      <c r="F17" s="285"/>
      <c r="G17" s="285"/>
      <c r="H17" s="285"/>
      <c r="I17" s="286"/>
      <c r="J17" s="286"/>
      <c r="K17" s="284"/>
      <c r="L17" s="285"/>
      <c r="M17" s="287"/>
      <c r="N17" s="284"/>
      <c r="O17" s="284"/>
      <c r="P17" s="284" t="s">
        <v>555</v>
      </c>
      <c r="Q17" s="289">
        <f t="shared" si="8"/>
        <v>253.4036178</v>
      </c>
      <c r="R17" s="284"/>
      <c r="S17" s="149"/>
      <c r="T17" s="82"/>
      <c r="U17" s="45"/>
      <c r="V17" s="55"/>
      <c r="W17" s="284"/>
      <c r="X17" s="284"/>
      <c r="Y17" s="284"/>
      <c r="Z17" s="284"/>
      <c r="AA17" s="284"/>
    </row>
    <row r="18" ht="22.5" customHeight="1">
      <c r="A18" s="284"/>
      <c r="B18" s="284"/>
      <c r="C18" s="285" t="str">
        <f t="shared" si="1"/>
        <v/>
      </c>
      <c r="D18" s="285"/>
      <c r="E18" s="285"/>
      <c r="F18" s="285"/>
      <c r="G18" s="285"/>
      <c r="H18" s="285"/>
      <c r="I18" s="286"/>
      <c r="J18" s="286"/>
      <c r="K18" s="284"/>
      <c r="L18" s="285"/>
      <c r="M18" s="287"/>
      <c r="N18" s="284"/>
      <c r="O18" s="284"/>
      <c r="P18" s="284" t="s">
        <v>430</v>
      </c>
      <c r="Q18" s="289">
        <f t="shared" si="8"/>
        <v>128.6215</v>
      </c>
      <c r="R18" s="284"/>
      <c r="S18" s="145"/>
      <c r="T18" s="146"/>
      <c r="U18" s="186"/>
      <c r="V18" s="187"/>
      <c r="W18" s="284"/>
      <c r="X18" s="284"/>
      <c r="Y18" s="284"/>
      <c r="Z18" s="284"/>
      <c r="AA18" s="284"/>
    </row>
    <row r="19" ht="22.5" customHeight="1">
      <c r="A19" s="284"/>
      <c r="B19" s="284"/>
      <c r="C19" s="285" t="str">
        <f t="shared" si="1"/>
        <v/>
      </c>
      <c r="D19" s="285"/>
      <c r="E19" s="285"/>
      <c r="F19" s="285"/>
      <c r="G19" s="285"/>
      <c r="H19" s="285"/>
      <c r="I19" s="286"/>
      <c r="J19" s="286"/>
      <c r="K19" s="284"/>
      <c r="L19" s="285"/>
      <c r="M19" s="287"/>
      <c r="N19" s="284"/>
      <c r="O19" s="284"/>
      <c r="P19" s="284"/>
      <c r="Q19" s="284"/>
      <c r="R19" s="284"/>
      <c r="S19" s="149"/>
      <c r="T19" s="82"/>
      <c r="U19" s="45"/>
      <c r="V19" s="55"/>
      <c r="W19" s="284"/>
      <c r="X19" s="284"/>
      <c r="Y19" s="284"/>
      <c r="Z19" s="284"/>
      <c r="AA19" s="284"/>
    </row>
    <row r="20" ht="22.5" customHeight="1">
      <c r="A20" s="284"/>
      <c r="B20" s="284"/>
      <c r="C20" s="285" t="str">
        <f t="shared" si="1"/>
        <v/>
      </c>
      <c r="D20" s="285"/>
      <c r="E20" s="285"/>
      <c r="F20" s="285"/>
      <c r="G20" s="285"/>
      <c r="H20" s="285"/>
      <c r="I20" s="286"/>
      <c r="J20" s="286"/>
      <c r="K20" s="284"/>
      <c r="L20" s="285"/>
      <c r="M20" s="287"/>
      <c r="N20" s="284"/>
      <c r="O20" s="284"/>
      <c r="P20" s="284"/>
      <c r="Q20" s="284"/>
      <c r="R20" s="284"/>
      <c r="S20" s="152"/>
      <c r="T20" s="153"/>
      <c r="U20" s="299"/>
      <c r="V20" s="300"/>
      <c r="W20" s="284"/>
      <c r="X20" s="284"/>
      <c r="Y20" s="284"/>
      <c r="Z20" s="284"/>
      <c r="AA20" s="284"/>
    </row>
    <row r="21">
      <c r="A21" s="284"/>
      <c r="B21" s="284"/>
      <c r="C21" s="285" t="str">
        <f t="shared" si="1"/>
        <v/>
      </c>
      <c r="D21" s="285"/>
      <c r="E21" s="285"/>
      <c r="F21" s="285"/>
      <c r="G21" s="285"/>
      <c r="H21" s="285"/>
      <c r="I21" s="286"/>
      <c r="J21" s="286"/>
      <c r="K21" s="284"/>
      <c r="L21" s="285"/>
      <c r="M21" s="287"/>
      <c r="N21" s="284"/>
      <c r="O21" s="284"/>
      <c r="P21" s="284"/>
      <c r="Q21" s="284"/>
      <c r="R21" s="284"/>
      <c r="S21" s="284"/>
      <c r="T21" s="284"/>
      <c r="U21" s="284"/>
      <c r="V21" s="284"/>
      <c r="W21" s="284"/>
      <c r="X21" s="284"/>
      <c r="Y21" s="284"/>
      <c r="Z21" s="284"/>
      <c r="AA21" s="284"/>
    </row>
    <row r="22">
      <c r="A22" s="284"/>
      <c r="B22" s="284"/>
      <c r="C22" s="285" t="str">
        <f t="shared" si="1"/>
        <v/>
      </c>
      <c r="D22" s="285"/>
      <c r="E22" s="285"/>
      <c r="F22" s="285"/>
      <c r="G22" s="285"/>
      <c r="H22" s="285"/>
      <c r="I22" s="286"/>
      <c r="J22" s="286"/>
      <c r="K22" s="284"/>
      <c r="L22" s="285"/>
      <c r="M22" s="287"/>
      <c r="N22" s="284"/>
      <c r="O22" s="284"/>
      <c r="P22" s="284"/>
      <c r="Q22" s="284"/>
      <c r="R22" s="284"/>
      <c r="S22" s="284"/>
      <c r="T22" s="284"/>
      <c r="U22" s="284"/>
      <c r="V22" s="284"/>
      <c r="W22" s="284"/>
      <c r="X22" s="284"/>
      <c r="Y22" s="284"/>
      <c r="Z22" s="284"/>
      <c r="AA22" s="284"/>
    </row>
    <row r="23">
      <c r="A23" s="284"/>
      <c r="B23" s="284"/>
      <c r="C23" s="285" t="str">
        <f t="shared" si="1"/>
        <v/>
      </c>
      <c r="D23" s="285"/>
      <c r="E23" s="285"/>
      <c r="F23" s="285"/>
      <c r="G23" s="285"/>
      <c r="H23" s="285"/>
      <c r="I23" s="286"/>
      <c r="J23" s="286"/>
      <c r="K23" s="284"/>
      <c r="L23" s="285"/>
      <c r="M23" s="287"/>
      <c r="N23" s="284"/>
      <c r="O23" s="284"/>
      <c r="P23" s="284"/>
      <c r="Q23" s="284"/>
      <c r="R23" s="284"/>
      <c r="S23" s="284"/>
      <c r="T23" s="284"/>
      <c r="U23" s="284"/>
      <c r="V23" s="284"/>
      <c r="W23" s="284"/>
      <c r="X23" s="284"/>
      <c r="Y23" s="284"/>
      <c r="Z23" s="284"/>
      <c r="AA23" s="284"/>
    </row>
    <row r="24">
      <c r="A24" s="284"/>
      <c r="B24" s="293" t="s">
        <v>2246</v>
      </c>
      <c r="C24" s="289">
        <f>countif(C7:C23,"x")</f>
        <v>5</v>
      </c>
      <c r="D24" s="285"/>
      <c r="E24" s="285"/>
      <c r="F24" s="285" t="s">
        <v>874</v>
      </c>
      <c r="G24" s="297">
        <f t="shared" ref="G24:H24" si="9">sum(G7:G23)</f>
        <v>12794.888</v>
      </c>
      <c r="H24" s="297">
        <f t="shared" si="9"/>
        <v>0</v>
      </c>
      <c r="I24" s="286"/>
      <c r="J24" s="286"/>
      <c r="K24" s="284"/>
      <c r="L24" s="285"/>
      <c r="M24" s="287"/>
      <c r="N24" s="284"/>
      <c r="O24" s="284"/>
      <c r="P24" s="284"/>
      <c r="Q24" s="284"/>
      <c r="R24" s="284"/>
      <c r="S24" s="284"/>
      <c r="T24" s="284"/>
      <c r="U24" s="284"/>
      <c r="V24" s="284"/>
      <c r="W24" s="284"/>
      <c r="X24" s="284"/>
      <c r="Y24" s="284"/>
      <c r="Z24" s="284"/>
      <c r="AA24" s="284"/>
    </row>
    <row r="25">
      <c r="A25" s="284"/>
      <c r="B25" s="284"/>
      <c r="C25" s="285"/>
      <c r="D25" s="285"/>
      <c r="E25" s="285"/>
      <c r="F25" s="285" t="s">
        <v>2247</v>
      </c>
      <c r="G25" s="285"/>
      <c r="H25" s="297">
        <f>H24+H1</f>
        <v>0</v>
      </c>
      <c r="I25" s="286"/>
      <c r="J25" s="286"/>
      <c r="K25" s="284"/>
      <c r="L25" s="285"/>
      <c r="M25" s="287"/>
      <c r="N25" s="284"/>
      <c r="O25" s="284"/>
      <c r="P25" s="284"/>
      <c r="Q25" s="284"/>
      <c r="R25" s="284"/>
      <c r="S25" s="284"/>
      <c r="T25" s="284"/>
      <c r="U25" s="284"/>
      <c r="V25" s="284"/>
      <c r="W25" s="284"/>
      <c r="X25" s="284"/>
      <c r="Y25" s="284"/>
      <c r="Z25" s="284"/>
      <c r="AA25" s="284"/>
    </row>
    <row r="26">
      <c r="A26" s="284"/>
      <c r="B26" s="284"/>
      <c r="C26" s="285"/>
      <c r="D26" s="285"/>
      <c r="E26" s="285"/>
      <c r="F26" s="285"/>
      <c r="G26" s="285"/>
      <c r="H26" s="285"/>
      <c r="I26" s="286"/>
      <c r="J26" s="286"/>
      <c r="K26" s="284"/>
      <c r="L26" s="285"/>
      <c r="M26" s="287"/>
      <c r="N26" s="284"/>
      <c r="O26" s="284"/>
      <c r="P26" s="284"/>
      <c r="Q26" s="284"/>
      <c r="R26" s="284"/>
      <c r="S26" s="284"/>
      <c r="T26" s="284"/>
      <c r="U26" s="284"/>
      <c r="V26" s="284"/>
      <c r="W26" s="284"/>
      <c r="X26" s="284"/>
      <c r="Y26" s="284"/>
      <c r="Z26" s="284"/>
      <c r="AA26" s="284"/>
    </row>
    <row r="27">
      <c r="A27" s="284"/>
      <c r="B27" s="284"/>
      <c r="C27" s="285"/>
      <c r="D27" s="285"/>
      <c r="E27" s="285"/>
      <c r="F27" s="285"/>
      <c r="G27" s="285"/>
      <c r="H27" s="285"/>
      <c r="I27" s="286"/>
      <c r="J27" s="286"/>
      <c r="K27" s="284"/>
      <c r="L27" s="285"/>
      <c r="M27" s="287"/>
      <c r="N27" s="284"/>
      <c r="O27" s="284"/>
      <c r="P27" s="284"/>
      <c r="Q27" s="284"/>
      <c r="R27" s="284"/>
      <c r="S27" s="284"/>
      <c r="T27" s="284"/>
      <c r="U27" s="284"/>
      <c r="V27" s="284"/>
      <c r="W27" s="284"/>
      <c r="X27" s="284"/>
      <c r="Y27" s="284"/>
      <c r="Z27" s="284"/>
      <c r="AA27" s="284"/>
    </row>
    <row r="28">
      <c r="A28" s="284"/>
      <c r="B28" s="290" t="s">
        <v>2340</v>
      </c>
      <c r="C28" s="285"/>
      <c r="D28" s="285"/>
      <c r="E28" s="285"/>
      <c r="F28" s="285"/>
      <c r="G28" s="285"/>
      <c r="H28" s="285"/>
      <c r="I28" s="286"/>
      <c r="J28" s="286" t="s">
        <v>2233</v>
      </c>
      <c r="K28" s="291">
        <f> Today()</f>
        <v>46167</v>
      </c>
      <c r="L28" s="285"/>
      <c r="M28" s="287"/>
      <c r="N28" s="284"/>
      <c r="O28" s="284"/>
      <c r="P28" s="284"/>
      <c r="Q28" s="284"/>
      <c r="R28" s="284"/>
      <c r="S28" s="284"/>
      <c r="T28" s="284"/>
      <c r="U28" s="284"/>
      <c r="V28" s="284"/>
      <c r="W28" s="284"/>
      <c r="X28" s="284"/>
      <c r="Y28" s="284"/>
      <c r="Z28" s="284"/>
      <c r="AA28" s="284"/>
    </row>
    <row r="29">
      <c r="A29" s="293" t="s">
        <v>181</v>
      </c>
      <c r="B29" s="293" t="s">
        <v>2216</v>
      </c>
      <c r="C29" s="294" t="s">
        <v>131</v>
      </c>
      <c r="D29" s="294" t="s">
        <v>2217</v>
      </c>
      <c r="E29" s="294" t="s">
        <v>8</v>
      </c>
      <c r="F29" s="294" t="s">
        <v>873</v>
      </c>
      <c r="G29" s="294" t="s">
        <v>17</v>
      </c>
      <c r="H29" s="294" t="s">
        <v>874</v>
      </c>
      <c r="I29" s="295" t="s">
        <v>2218</v>
      </c>
      <c r="J29" s="295" t="s">
        <v>876</v>
      </c>
      <c r="K29" s="293" t="s">
        <v>877</v>
      </c>
      <c r="L29" s="294" t="s">
        <v>878</v>
      </c>
      <c r="M29" s="296" t="s">
        <v>2219</v>
      </c>
      <c r="N29" s="293" t="s">
        <v>2220</v>
      </c>
      <c r="O29" s="284"/>
      <c r="P29" s="284"/>
      <c r="Q29" s="284"/>
      <c r="R29" s="284"/>
      <c r="S29" s="284"/>
      <c r="T29" s="284"/>
      <c r="U29" s="284"/>
      <c r="V29" s="284"/>
      <c r="W29" s="284"/>
      <c r="X29" s="284"/>
      <c r="Y29" s="284"/>
      <c r="Z29" s="284"/>
      <c r="AA29" s="284"/>
    </row>
    <row r="30">
      <c r="A30" s="284" t="s">
        <v>2248</v>
      </c>
      <c r="B30" s="284" t="s">
        <v>2249</v>
      </c>
      <c r="C30" s="285" t="str">
        <f t="shared" ref="C30:C44" si="10">if(OR(G30=0,G30=""),"","x")</f>
        <v>x</v>
      </c>
      <c r="D30" s="297">
        <v>3.0</v>
      </c>
      <c r="E30" s="297">
        <v>100.0</v>
      </c>
      <c r="F30" s="297">
        <v>250.0</v>
      </c>
      <c r="G30" s="297">
        <f>F30*Q$8</f>
        <v>5540</v>
      </c>
      <c r="H30" s="297">
        <v>0.0</v>
      </c>
      <c r="I30" s="288">
        <v>45311.0</v>
      </c>
      <c r="J30" s="288">
        <f t="shared" ref="J30:J32" si="11">Edate(I30,1)</f>
        <v>45342</v>
      </c>
      <c r="K30" s="289">
        <f t="shared" ref="K30:K37" si="12">if(J30="","",if(H30=0,1,0))</f>
        <v>1</v>
      </c>
      <c r="L30" s="297">
        <f t="shared" ref="L30:L37" si="13">if(J30="","",J30-$K$6)</f>
        <v>-825</v>
      </c>
      <c r="M30" s="287"/>
      <c r="N30" s="284"/>
      <c r="O30" s="284"/>
      <c r="P30" s="284"/>
      <c r="Q30" s="284"/>
      <c r="R30" s="284"/>
      <c r="S30" s="284"/>
      <c r="T30" s="284"/>
      <c r="U30" s="284"/>
      <c r="V30" s="284"/>
      <c r="W30" s="284"/>
      <c r="X30" s="284"/>
      <c r="Y30" s="284"/>
      <c r="Z30" s="284"/>
      <c r="AA30" s="284"/>
    </row>
    <row r="31">
      <c r="A31" s="284" t="s">
        <v>2250</v>
      </c>
      <c r="B31" s="284" t="s">
        <v>2251</v>
      </c>
      <c r="C31" s="285" t="str">
        <f t="shared" si="10"/>
        <v>x</v>
      </c>
      <c r="D31" s="297">
        <v>12.0</v>
      </c>
      <c r="E31" s="297">
        <v>5.0</v>
      </c>
      <c r="F31" s="297">
        <f t="shared" ref="F31:F35" si="14">D31*E31</f>
        <v>60</v>
      </c>
      <c r="G31" s="297">
        <f t="shared" ref="G31:G32" si="15">F31*$Q$5</f>
        <v>4986.66</v>
      </c>
      <c r="H31" s="297">
        <v>0.0</v>
      </c>
      <c r="I31" s="288">
        <v>45292.0</v>
      </c>
      <c r="J31" s="288">
        <f t="shared" si="11"/>
        <v>45323</v>
      </c>
      <c r="K31" s="289">
        <f t="shared" si="12"/>
        <v>1</v>
      </c>
      <c r="L31" s="297">
        <f t="shared" si="13"/>
        <v>-844</v>
      </c>
      <c r="M31" s="298">
        <v>45339.0</v>
      </c>
      <c r="N31" s="284" t="s">
        <v>2252</v>
      </c>
      <c r="O31" s="284"/>
      <c r="P31" s="284"/>
      <c r="Q31" s="284"/>
      <c r="R31" s="284"/>
      <c r="S31" s="284"/>
      <c r="T31" s="284"/>
      <c r="U31" s="284"/>
      <c r="V31" s="284"/>
      <c r="W31" s="284"/>
      <c r="X31" s="284"/>
      <c r="Y31" s="284"/>
      <c r="Z31" s="284"/>
      <c r="AA31" s="284"/>
    </row>
    <row r="32">
      <c r="A32" s="284" t="s">
        <v>2253</v>
      </c>
      <c r="B32" s="284" t="s">
        <v>2254</v>
      </c>
      <c r="C32" s="285" t="str">
        <f t="shared" si="10"/>
        <v>x</v>
      </c>
      <c r="D32" s="297">
        <v>7.0</v>
      </c>
      <c r="E32" s="297">
        <v>3.0</v>
      </c>
      <c r="F32" s="297">
        <f t="shared" si="14"/>
        <v>21</v>
      </c>
      <c r="G32" s="297">
        <f t="shared" si="15"/>
        <v>1745.331</v>
      </c>
      <c r="H32" s="297">
        <v>0.0</v>
      </c>
      <c r="I32" s="288">
        <v>45292.0</v>
      </c>
      <c r="J32" s="288">
        <f t="shared" si="11"/>
        <v>45323</v>
      </c>
      <c r="K32" s="289">
        <f t="shared" si="12"/>
        <v>1</v>
      </c>
      <c r="L32" s="297">
        <f t="shared" si="13"/>
        <v>-844</v>
      </c>
      <c r="M32" s="298">
        <v>45339.0</v>
      </c>
      <c r="N32" s="289">
        <v>5867.4</v>
      </c>
      <c r="O32" s="284"/>
      <c r="P32" s="284"/>
      <c r="Q32" s="284"/>
      <c r="R32" s="284"/>
      <c r="S32" s="284"/>
      <c r="T32" s="284"/>
      <c r="U32" s="284"/>
      <c r="V32" s="284"/>
      <c r="W32" s="284"/>
      <c r="X32" s="284"/>
      <c r="Y32" s="284"/>
      <c r="Z32" s="284"/>
      <c r="AA32" s="284"/>
    </row>
    <row r="33">
      <c r="A33" s="284" t="s">
        <v>1350</v>
      </c>
      <c r="B33" s="284" t="s">
        <v>2255</v>
      </c>
      <c r="C33" s="285" t="str">
        <f t="shared" si="10"/>
        <v/>
      </c>
      <c r="D33" s="297">
        <v>0.0</v>
      </c>
      <c r="E33" s="297">
        <v>1500.0</v>
      </c>
      <c r="F33" s="297">
        <f t="shared" si="14"/>
        <v>0</v>
      </c>
      <c r="G33" s="297">
        <f>F33*$Q$7</f>
        <v>0</v>
      </c>
      <c r="H33" s="297">
        <v>0.0</v>
      </c>
      <c r="I33" s="286"/>
      <c r="J33" s="286"/>
      <c r="K33" s="284" t="str">
        <f t="shared" si="12"/>
        <v/>
      </c>
      <c r="L33" s="285" t="str">
        <f t="shared" si="13"/>
        <v/>
      </c>
      <c r="M33" s="287"/>
      <c r="N33" s="284"/>
      <c r="O33" s="284"/>
      <c r="P33" s="284"/>
      <c r="Q33" s="284"/>
      <c r="R33" s="284"/>
      <c r="S33" s="284"/>
      <c r="T33" s="284"/>
      <c r="U33" s="284"/>
      <c r="V33" s="284"/>
      <c r="W33" s="284"/>
      <c r="X33" s="284"/>
      <c r="Y33" s="284"/>
      <c r="Z33" s="284"/>
      <c r="AA33" s="284"/>
    </row>
    <row r="34">
      <c r="A34" s="284"/>
      <c r="B34" s="284" t="s">
        <v>2256</v>
      </c>
      <c r="C34" s="285" t="str">
        <f t="shared" si="10"/>
        <v/>
      </c>
      <c r="D34" s="297">
        <v>0.0</v>
      </c>
      <c r="E34" s="297">
        <v>500.0</v>
      </c>
      <c r="F34" s="297">
        <f t="shared" si="14"/>
        <v>0</v>
      </c>
      <c r="G34" s="297">
        <f>F34</f>
        <v>0</v>
      </c>
      <c r="H34" s="297">
        <v>0.0</v>
      </c>
      <c r="I34" s="286"/>
      <c r="J34" s="286"/>
      <c r="K34" s="284" t="str">
        <f t="shared" si="12"/>
        <v/>
      </c>
      <c r="L34" s="285" t="str">
        <f t="shared" si="13"/>
        <v/>
      </c>
      <c r="M34" s="287"/>
      <c r="N34" s="284"/>
      <c r="O34" s="284"/>
      <c r="P34" s="284"/>
      <c r="Q34" s="284"/>
      <c r="R34" s="284"/>
      <c r="S34" s="284"/>
      <c r="T34" s="284"/>
      <c r="U34" s="284"/>
      <c r="V34" s="284"/>
      <c r="W34" s="284"/>
      <c r="X34" s="284"/>
      <c r="Y34" s="284"/>
      <c r="Z34" s="284"/>
      <c r="AA34" s="284"/>
    </row>
    <row r="35">
      <c r="A35" s="284"/>
      <c r="B35" s="284" t="s">
        <v>2257</v>
      </c>
      <c r="C35" s="285" t="str">
        <f t="shared" si="10"/>
        <v>x</v>
      </c>
      <c r="D35" s="297">
        <v>10.0</v>
      </c>
      <c r="E35" s="297">
        <v>22.0</v>
      </c>
      <c r="F35" s="297">
        <f t="shared" si="14"/>
        <v>220</v>
      </c>
      <c r="G35" s="297">
        <f t="shared" ref="G35:G36" si="16">F35*$Q$6</f>
        <v>4180</v>
      </c>
      <c r="H35" s="297">
        <v>0.0</v>
      </c>
      <c r="I35" s="288">
        <v>45292.0</v>
      </c>
      <c r="J35" s="288">
        <f t="shared" ref="J35:J37" si="17">Edate(I35,1)</f>
        <v>45323</v>
      </c>
      <c r="K35" s="289">
        <f t="shared" si="12"/>
        <v>1</v>
      </c>
      <c r="L35" s="297">
        <f t="shared" si="13"/>
        <v>-844</v>
      </c>
      <c r="M35" s="298">
        <v>45323.0</v>
      </c>
      <c r="N35" s="284"/>
      <c r="O35" s="284"/>
      <c r="P35" s="284"/>
      <c r="Q35" s="284"/>
      <c r="R35" s="284"/>
      <c r="S35" s="284"/>
      <c r="T35" s="284"/>
      <c r="U35" s="284"/>
      <c r="V35" s="284"/>
      <c r="W35" s="284"/>
      <c r="X35" s="284"/>
      <c r="Y35" s="284"/>
      <c r="Z35" s="284"/>
      <c r="AA35" s="284"/>
    </row>
    <row r="36">
      <c r="A36" s="284"/>
      <c r="B36" s="284" t="s">
        <v>2258</v>
      </c>
      <c r="C36" s="285" t="str">
        <f t="shared" si="10"/>
        <v>x</v>
      </c>
      <c r="D36" s="297">
        <v>1.0</v>
      </c>
      <c r="E36" s="297">
        <v>110.0</v>
      </c>
      <c r="F36" s="297">
        <v>110.0</v>
      </c>
      <c r="G36" s="297">
        <f t="shared" si="16"/>
        <v>2090</v>
      </c>
      <c r="H36" s="297">
        <v>0.0</v>
      </c>
      <c r="I36" s="288">
        <v>45303.0</v>
      </c>
      <c r="J36" s="288">
        <f t="shared" si="17"/>
        <v>45334</v>
      </c>
      <c r="K36" s="289">
        <f t="shared" si="12"/>
        <v>1</v>
      </c>
      <c r="L36" s="297">
        <f t="shared" si="13"/>
        <v>-833</v>
      </c>
      <c r="M36" s="287"/>
      <c r="N36" s="284"/>
      <c r="O36" s="284"/>
      <c r="P36" s="284"/>
      <c r="Q36" s="284"/>
      <c r="R36" s="284"/>
      <c r="S36" s="284"/>
      <c r="T36" s="284"/>
      <c r="U36" s="284"/>
      <c r="V36" s="284"/>
      <c r="W36" s="284"/>
      <c r="X36" s="284"/>
      <c r="Y36" s="284"/>
      <c r="Z36" s="284"/>
      <c r="AA36" s="284"/>
    </row>
    <row r="37">
      <c r="A37" s="284"/>
      <c r="B37" s="284" t="s">
        <v>2259</v>
      </c>
      <c r="C37" s="285" t="str">
        <f t="shared" si="10"/>
        <v>x</v>
      </c>
      <c r="D37" s="297">
        <v>1.0</v>
      </c>
      <c r="E37" s="297">
        <v>15000.0</v>
      </c>
      <c r="F37" s="297">
        <f>D37*E37</f>
        <v>15000</v>
      </c>
      <c r="G37" s="297">
        <f>F37*$Q$7</f>
        <v>4500</v>
      </c>
      <c r="H37" s="297">
        <v>0.0</v>
      </c>
      <c r="I37" s="288">
        <v>45304.0</v>
      </c>
      <c r="J37" s="288">
        <f t="shared" si="17"/>
        <v>45335</v>
      </c>
      <c r="K37" s="289">
        <f t="shared" si="12"/>
        <v>1</v>
      </c>
      <c r="L37" s="297">
        <f t="shared" si="13"/>
        <v>-832</v>
      </c>
      <c r="M37" s="287"/>
      <c r="N37" s="289">
        <v>15000.0</v>
      </c>
      <c r="O37" s="284"/>
      <c r="P37" s="284"/>
      <c r="Q37" s="284"/>
      <c r="R37" s="284"/>
      <c r="S37" s="284"/>
      <c r="T37" s="284"/>
      <c r="U37" s="284"/>
      <c r="V37" s="284"/>
      <c r="W37" s="284"/>
      <c r="X37" s="284"/>
      <c r="Y37" s="284"/>
      <c r="Z37" s="284"/>
      <c r="AA37" s="284"/>
    </row>
    <row r="38">
      <c r="A38" s="284"/>
      <c r="B38" s="284"/>
      <c r="C38" s="285" t="str">
        <f t="shared" si="10"/>
        <v/>
      </c>
      <c r="D38" s="285"/>
      <c r="E38" s="285"/>
      <c r="F38" s="285"/>
      <c r="G38" s="285"/>
      <c r="H38" s="285"/>
      <c r="I38" s="286"/>
      <c r="J38" s="286"/>
      <c r="K38" s="285"/>
      <c r="L38" s="284"/>
      <c r="M38" s="287"/>
      <c r="N38" s="284"/>
      <c r="O38" s="284"/>
      <c r="P38" s="284"/>
      <c r="Q38" s="284"/>
      <c r="R38" s="284"/>
      <c r="S38" s="284"/>
      <c r="T38" s="284"/>
      <c r="U38" s="284"/>
      <c r="V38" s="284"/>
      <c r="W38" s="284"/>
      <c r="X38" s="284"/>
      <c r="Y38" s="284"/>
      <c r="Z38" s="284"/>
      <c r="AA38" s="284"/>
    </row>
    <row r="39">
      <c r="A39" s="284"/>
      <c r="B39" s="284"/>
      <c r="C39" s="285" t="str">
        <f t="shared" si="10"/>
        <v/>
      </c>
      <c r="D39" s="285"/>
      <c r="E39" s="285"/>
      <c r="F39" s="285"/>
      <c r="G39" s="285"/>
      <c r="H39" s="285"/>
      <c r="I39" s="286"/>
      <c r="J39" s="286"/>
      <c r="K39" s="285"/>
      <c r="L39" s="284"/>
      <c r="M39" s="287"/>
      <c r="N39" s="284"/>
      <c r="O39" s="284"/>
      <c r="P39" s="284"/>
      <c r="Q39" s="284"/>
      <c r="R39" s="284"/>
      <c r="S39" s="284"/>
      <c r="T39" s="284"/>
      <c r="U39" s="284"/>
      <c r="V39" s="284"/>
      <c r="W39" s="284"/>
      <c r="X39" s="284"/>
      <c r="Y39" s="284"/>
      <c r="Z39" s="284"/>
      <c r="AA39" s="284"/>
    </row>
    <row r="40">
      <c r="A40" s="284"/>
      <c r="B40" s="284"/>
      <c r="C40" s="285" t="str">
        <f t="shared" si="10"/>
        <v/>
      </c>
      <c r="D40" s="285"/>
      <c r="E40" s="285"/>
      <c r="F40" s="285"/>
      <c r="G40" s="285"/>
      <c r="H40" s="285"/>
      <c r="I40" s="286"/>
      <c r="J40" s="286"/>
      <c r="K40" s="285"/>
      <c r="L40" s="284"/>
      <c r="M40" s="287"/>
      <c r="N40" s="284"/>
      <c r="O40" s="284"/>
      <c r="P40" s="284"/>
      <c r="Q40" s="284"/>
      <c r="R40" s="284"/>
      <c r="S40" s="284"/>
      <c r="T40" s="284"/>
      <c r="U40" s="284"/>
      <c r="V40" s="284"/>
      <c r="W40" s="284"/>
      <c r="X40" s="284"/>
      <c r="Y40" s="284"/>
      <c r="Z40" s="284"/>
      <c r="AA40" s="284"/>
    </row>
    <row r="41">
      <c r="A41" s="284"/>
      <c r="B41" s="284"/>
      <c r="C41" s="285" t="str">
        <f t="shared" si="10"/>
        <v/>
      </c>
      <c r="D41" s="285"/>
      <c r="E41" s="285"/>
      <c r="F41" s="285"/>
      <c r="G41" s="285"/>
      <c r="H41" s="285"/>
      <c r="I41" s="286"/>
      <c r="J41" s="286"/>
      <c r="K41" s="285"/>
      <c r="L41" s="284"/>
      <c r="M41" s="287"/>
      <c r="N41" s="284"/>
      <c r="O41" s="284"/>
      <c r="P41" s="284"/>
      <c r="Q41" s="284"/>
      <c r="R41" s="284"/>
      <c r="S41" s="284"/>
      <c r="T41" s="284"/>
      <c r="U41" s="284"/>
      <c r="V41" s="284"/>
      <c r="W41" s="284"/>
      <c r="X41" s="284"/>
      <c r="Y41" s="284"/>
      <c r="Z41" s="284"/>
      <c r="AA41" s="284"/>
    </row>
    <row r="42">
      <c r="A42" s="284"/>
      <c r="B42" s="284"/>
      <c r="C42" s="285" t="str">
        <f t="shared" si="10"/>
        <v/>
      </c>
      <c r="D42" s="285"/>
      <c r="E42" s="285"/>
      <c r="F42" s="285"/>
      <c r="G42" s="285"/>
      <c r="H42" s="285"/>
      <c r="I42" s="286"/>
      <c r="J42" s="286"/>
      <c r="K42" s="285"/>
      <c r="L42" s="284"/>
      <c r="M42" s="287"/>
      <c r="N42" s="284"/>
      <c r="O42" s="284"/>
      <c r="P42" s="284"/>
      <c r="Q42" s="284"/>
      <c r="R42" s="284"/>
      <c r="S42" s="284"/>
      <c r="T42" s="284"/>
      <c r="U42" s="284"/>
      <c r="V42" s="284"/>
      <c r="W42" s="284"/>
      <c r="X42" s="284"/>
      <c r="Y42" s="284"/>
      <c r="Z42" s="284"/>
      <c r="AA42" s="284"/>
    </row>
    <row r="43">
      <c r="A43" s="284"/>
      <c r="B43" s="284"/>
      <c r="C43" s="285" t="str">
        <f t="shared" si="10"/>
        <v/>
      </c>
      <c r="D43" s="285"/>
      <c r="E43" s="285"/>
      <c r="F43" s="285"/>
      <c r="G43" s="285"/>
      <c r="H43" s="285"/>
      <c r="I43" s="286"/>
      <c r="J43" s="286"/>
      <c r="K43" s="285"/>
      <c r="L43" s="284"/>
      <c r="M43" s="287"/>
      <c r="N43" s="284"/>
      <c r="O43" s="284"/>
      <c r="P43" s="284"/>
      <c r="Q43" s="284"/>
      <c r="R43" s="284"/>
      <c r="S43" s="284"/>
      <c r="T43" s="284"/>
      <c r="U43" s="284"/>
      <c r="V43" s="284"/>
      <c r="W43" s="284"/>
      <c r="X43" s="284"/>
      <c r="Y43" s="284"/>
      <c r="Z43" s="284"/>
      <c r="AA43" s="284"/>
    </row>
    <row r="44">
      <c r="A44" s="284"/>
      <c r="B44" s="284"/>
      <c r="C44" s="285" t="str">
        <f t="shared" si="10"/>
        <v/>
      </c>
      <c r="D44" s="285"/>
      <c r="E44" s="285"/>
      <c r="F44" s="285"/>
      <c r="G44" s="285"/>
      <c r="H44" s="285"/>
      <c r="I44" s="286"/>
      <c r="J44" s="286"/>
      <c r="K44" s="285"/>
      <c r="L44" s="284"/>
      <c r="M44" s="287"/>
      <c r="N44" s="284"/>
      <c r="O44" s="284"/>
      <c r="P44" s="284"/>
      <c r="Q44" s="284"/>
      <c r="R44" s="284"/>
      <c r="S44" s="284"/>
      <c r="T44" s="284"/>
      <c r="U44" s="284"/>
      <c r="V44" s="284"/>
      <c r="W44" s="284"/>
      <c r="X44" s="284"/>
      <c r="Y44" s="284"/>
      <c r="Z44" s="284"/>
      <c r="AA44" s="284"/>
    </row>
    <row r="45">
      <c r="A45" s="284"/>
      <c r="B45" s="293" t="s">
        <v>2246</v>
      </c>
      <c r="C45" s="289">
        <f>countif(C28:C44,"x")</f>
        <v>6</v>
      </c>
      <c r="D45" s="285"/>
      <c r="E45" s="285"/>
      <c r="F45" s="285" t="s">
        <v>874</v>
      </c>
      <c r="G45" s="297">
        <f t="shared" ref="G45:H45" si="18">sum(G28:G44)</f>
        <v>23041.991</v>
      </c>
      <c r="H45" s="297">
        <f t="shared" si="18"/>
        <v>0</v>
      </c>
      <c r="I45" s="286"/>
      <c r="J45" s="286"/>
      <c r="K45" s="285"/>
      <c r="L45" s="284"/>
      <c r="M45" s="287"/>
      <c r="N45" s="284"/>
      <c r="O45" s="284"/>
      <c r="P45" s="284"/>
      <c r="Q45" s="284"/>
      <c r="R45" s="284"/>
      <c r="S45" s="284"/>
      <c r="T45" s="284"/>
      <c r="U45" s="284"/>
      <c r="V45" s="284"/>
      <c r="W45" s="284"/>
      <c r="X45" s="284"/>
      <c r="Y45" s="284"/>
      <c r="Z45" s="284"/>
      <c r="AA45" s="284"/>
    </row>
    <row r="46">
      <c r="A46" s="284"/>
      <c r="B46" s="284"/>
      <c r="C46" s="285" t="str">
        <f>if(G46=0,"","x")</f>
        <v/>
      </c>
      <c r="D46" s="285"/>
      <c r="E46" s="285"/>
      <c r="F46" s="285" t="s">
        <v>2247</v>
      </c>
      <c r="G46" s="285"/>
      <c r="H46" s="297">
        <f>H45+H22</f>
        <v>0</v>
      </c>
      <c r="I46" s="286"/>
      <c r="J46" s="286"/>
      <c r="K46" s="285"/>
      <c r="L46" s="284"/>
      <c r="M46" s="287"/>
      <c r="N46" s="284"/>
      <c r="O46" s="284"/>
      <c r="P46" s="284"/>
      <c r="Q46" s="284"/>
      <c r="R46" s="284"/>
      <c r="S46" s="284"/>
      <c r="T46" s="284"/>
      <c r="U46" s="284"/>
      <c r="V46" s="284"/>
      <c r="W46" s="284"/>
      <c r="X46" s="284"/>
      <c r="Y46" s="284"/>
      <c r="Z46" s="284"/>
      <c r="AA46" s="284"/>
    </row>
    <row r="47">
      <c r="A47" s="284"/>
      <c r="B47" s="284"/>
      <c r="C47" s="285"/>
      <c r="D47" s="285"/>
      <c r="E47" s="285"/>
      <c r="F47" s="285"/>
      <c r="G47" s="285"/>
      <c r="H47" s="285"/>
      <c r="I47" s="286"/>
      <c r="J47" s="286"/>
      <c r="K47" s="284"/>
      <c r="L47" s="285"/>
      <c r="M47" s="287"/>
      <c r="N47" s="284"/>
      <c r="O47" s="284"/>
      <c r="P47" s="284"/>
      <c r="Q47" s="284"/>
      <c r="R47" s="284"/>
      <c r="S47" s="284"/>
      <c r="T47" s="284"/>
      <c r="U47" s="284"/>
      <c r="V47" s="284"/>
      <c r="W47" s="284"/>
      <c r="X47" s="284"/>
      <c r="Y47" s="284"/>
      <c r="Z47" s="284"/>
      <c r="AA47" s="284"/>
    </row>
    <row r="48">
      <c r="A48" s="284"/>
      <c r="B48" s="284"/>
      <c r="C48" s="285"/>
      <c r="D48" s="285"/>
      <c r="E48" s="285"/>
      <c r="F48" s="285"/>
      <c r="G48" s="285"/>
      <c r="H48" s="285"/>
      <c r="I48" s="286"/>
      <c r="J48" s="286"/>
      <c r="K48" s="284"/>
      <c r="L48" s="285"/>
      <c r="M48" s="287"/>
      <c r="N48" s="284"/>
      <c r="O48" s="284"/>
      <c r="P48" s="284"/>
      <c r="Q48" s="284"/>
      <c r="R48" s="284"/>
      <c r="S48" s="284"/>
      <c r="T48" s="284"/>
      <c r="U48" s="284"/>
      <c r="V48" s="284"/>
      <c r="W48" s="284"/>
      <c r="X48" s="284"/>
      <c r="Y48" s="284"/>
      <c r="Z48" s="284"/>
      <c r="AA48" s="284"/>
    </row>
    <row r="49">
      <c r="A49" s="284"/>
      <c r="B49" s="290" t="s">
        <v>2341</v>
      </c>
      <c r="C49" s="285"/>
      <c r="D49" s="285"/>
      <c r="E49" s="285"/>
      <c r="F49" s="285"/>
      <c r="G49" s="285"/>
      <c r="H49" s="285"/>
      <c r="I49" s="286"/>
      <c r="J49" s="286" t="s">
        <v>2233</v>
      </c>
      <c r="K49" s="291">
        <f> Today()</f>
        <v>46167</v>
      </c>
      <c r="L49" s="285"/>
      <c r="M49" s="287"/>
      <c r="N49" s="284"/>
      <c r="O49" s="284"/>
      <c r="P49" s="284"/>
      <c r="Q49" s="284"/>
      <c r="R49" s="284"/>
      <c r="S49" s="284"/>
      <c r="T49" s="284"/>
      <c r="U49" s="284"/>
      <c r="V49" s="284"/>
      <c r="W49" s="284"/>
      <c r="X49" s="284"/>
      <c r="Y49" s="284"/>
      <c r="Z49" s="284"/>
      <c r="AA49" s="284"/>
    </row>
    <row r="50">
      <c r="A50" s="293" t="s">
        <v>181</v>
      </c>
      <c r="B50" s="293" t="s">
        <v>2216</v>
      </c>
      <c r="C50" s="294" t="s">
        <v>131</v>
      </c>
      <c r="D50" s="294" t="s">
        <v>2217</v>
      </c>
      <c r="E50" s="294" t="s">
        <v>8</v>
      </c>
      <c r="F50" s="294" t="s">
        <v>873</v>
      </c>
      <c r="G50" s="294" t="s">
        <v>17</v>
      </c>
      <c r="H50" s="294" t="s">
        <v>874</v>
      </c>
      <c r="I50" s="295" t="s">
        <v>2218</v>
      </c>
      <c r="J50" s="295" t="s">
        <v>876</v>
      </c>
      <c r="K50" s="293" t="s">
        <v>877</v>
      </c>
      <c r="L50" s="294" t="s">
        <v>878</v>
      </c>
      <c r="M50" s="296" t="s">
        <v>2219</v>
      </c>
      <c r="N50" s="293" t="s">
        <v>2220</v>
      </c>
      <c r="O50" s="284"/>
      <c r="P50" s="284"/>
      <c r="Q50" s="284"/>
      <c r="R50" s="284"/>
      <c r="S50" s="284"/>
      <c r="T50" s="284"/>
      <c r="U50" s="284"/>
      <c r="V50" s="284"/>
      <c r="W50" s="284"/>
      <c r="X50" s="284"/>
      <c r="Y50" s="284"/>
      <c r="Z50" s="284"/>
      <c r="AA50" s="284"/>
    </row>
    <row r="51">
      <c r="A51" s="284"/>
      <c r="B51" s="284" t="s">
        <v>2249</v>
      </c>
      <c r="C51" s="285" t="str">
        <f t="shared" ref="C51:C65" si="19">if(OR(G51=0,G51=""),"","x")</f>
        <v>x</v>
      </c>
      <c r="D51" s="297">
        <v>3.0</v>
      </c>
      <c r="E51" s="297">
        <v>100.0</v>
      </c>
      <c r="F51" s="297">
        <f>D51*E51</f>
        <v>300</v>
      </c>
      <c r="G51" s="297">
        <f>F51*Q$8</f>
        <v>6648</v>
      </c>
      <c r="H51" s="297">
        <v>0.0</v>
      </c>
      <c r="I51" s="288">
        <v>45342.0</v>
      </c>
      <c r="J51" s="288">
        <f t="shared" ref="J51:J53" si="20">Edate(I51,1)</f>
        <v>45371</v>
      </c>
      <c r="K51" s="289">
        <f t="shared" ref="K51:K58" si="21">if(J51="","",if(H51=0,1,0))</f>
        <v>1</v>
      </c>
      <c r="L51" s="297">
        <f t="shared" ref="L51:L58" si="22">if(J51="","",J51-$K$6)</f>
        <v>-796</v>
      </c>
      <c r="M51" s="298">
        <v>45405.0</v>
      </c>
      <c r="N51" s="284" t="s">
        <v>2260</v>
      </c>
      <c r="O51" s="284"/>
      <c r="P51" s="284"/>
      <c r="Q51" s="284"/>
      <c r="R51" s="284"/>
      <c r="S51" s="284"/>
      <c r="T51" s="284"/>
      <c r="U51" s="284"/>
      <c r="V51" s="284"/>
      <c r="W51" s="284"/>
      <c r="X51" s="284"/>
      <c r="Y51" s="284"/>
      <c r="Z51" s="284"/>
      <c r="AA51" s="284"/>
    </row>
    <row r="52">
      <c r="A52" s="284" t="s">
        <v>2261</v>
      </c>
      <c r="B52" s="284" t="s">
        <v>2251</v>
      </c>
      <c r="C52" s="285" t="str">
        <f t="shared" si="19"/>
        <v/>
      </c>
      <c r="D52" s="297">
        <v>0.0</v>
      </c>
      <c r="E52" s="297">
        <v>0.0</v>
      </c>
      <c r="F52" s="297">
        <v>0.0</v>
      </c>
      <c r="G52" s="297">
        <f t="shared" ref="G52:G53" si="23">F52*$Q$5</f>
        <v>0</v>
      </c>
      <c r="H52" s="297">
        <f>G52</f>
        <v>0</v>
      </c>
      <c r="I52" s="288">
        <v>45323.0</v>
      </c>
      <c r="J52" s="288">
        <f t="shared" si="20"/>
        <v>45352</v>
      </c>
      <c r="K52" s="289">
        <f t="shared" si="21"/>
        <v>1</v>
      </c>
      <c r="L52" s="297">
        <f t="shared" si="22"/>
        <v>-815</v>
      </c>
      <c r="M52" s="287"/>
      <c r="N52" s="284"/>
      <c r="O52" s="284"/>
      <c r="P52" s="284"/>
      <c r="Q52" s="284"/>
      <c r="R52" s="284"/>
      <c r="S52" s="284"/>
      <c r="T52" s="284"/>
      <c r="U52" s="284"/>
      <c r="V52" s="284"/>
      <c r="W52" s="284"/>
      <c r="X52" s="284"/>
      <c r="Y52" s="284"/>
      <c r="Z52" s="284"/>
      <c r="AA52" s="284"/>
    </row>
    <row r="53">
      <c r="A53" s="284"/>
      <c r="B53" s="284" t="s">
        <v>2254</v>
      </c>
      <c r="C53" s="285" t="str">
        <f t="shared" si="19"/>
        <v>x</v>
      </c>
      <c r="D53" s="297">
        <v>8.0</v>
      </c>
      <c r="E53" s="297">
        <v>3.0</v>
      </c>
      <c r="F53" s="297">
        <f t="shared" ref="F53:F58" si="24">D53*E53</f>
        <v>24</v>
      </c>
      <c r="G53" s="297">
        <f t="shared" si="23"/>
        <v>1994.664</v>
      </c>
      <c r="H53" s="297">
        <v>0.0</v>
      </c>
      <c r="I53" s="288">
        <v>45323.0</v>
      </c>
      <c r="J53" s="288">
        <f t="shared" si="20"/>
        <v>45352</v>
      </c>
      <c r="K53" s="289">
        <f t="shared" si="21"/>
        <v>1</v>
      </c>
      <c r="L53" s="297">
        <f t="shared" si="22"/>
        <v>-815</v>
      </c>
      <c r="M53" s="298">
        <v>45388.0</v>
      </c>
      <c r="N53" s="284"/>
      <c r="O53" s="284"/>
      <c r="P53" s="284"/>
      <c r="Q53" s="284"/>
      <c r="R53" s="284"/>
      <c r="S53" s="284"/>
      <c r="T53" s="284"/>
      <c r="U53" s="284"/>
      <c r="V53" s="284"/>
      <c r="W53" s="284"/>
      <c r="X53" s="284"/>
      <c r="Y53" s="284"/>
      <c r="Z53" s="284"/>
      <c r="AA53" s="284"/>
    </row>
    <row r="54">
      <c r="A54" s="284" t="s">
        <v>1350</v>
      </c>
      <c r="B54" s="284" t="s">
        <v>2255</v>
      </c>
      <c r="C54" s="285" t="str">
        <f t="shared" si="19"/>
        <v/>
      </c>
      <c r="D54" s="297">
        <v>0.0</v>
      </c>
      <c r="E54" s="297">
        <v>0.0</v>
      </c>
      <c r="F54" s="297">
        <f t="shared" si="24"/>
        <v>0</v>
      </c>
      <c r="G54" s="297">
        <f>F54*$Q$7</f>
        <v>0</v>
      </c>
      <c r="H54" s="297">
        <f>G54</f>
        <v>0</v>
      </c>
      <c r="I54" s="286"/>
      <c r="J54" s="286"/>
      <c r="K54" s="284" t="str">
        <f t="shared" si="21"/>
        <v/>
      </c>
      <c r="L54" s="285" t="str">
        <f t="shared" si="22"/>
        <v/>
      </c>
      <c r="M54" s="287"/>
      <c r="N54" s="284"/>
      <c r="O54" s="284"/>
      <c r="P54" s="284"/>
      <c r="Q54" s="284"/>
      <c r="R54" s="284"/>
      <c r="S54" s="284"/>
      <c r="T54" s="284"/>
      <c r="U54" s="284"/>
      <c r="V54" s="284"/>
      <c r="W54" s="284"/>
      <c r="X54" s="284"/>
      <c r="Y54" s="284"/>
      <c r="Z54" s="284"/>
      <c r="AA54" s="284"/>
    </row>
    <row r="55">
      <c r="A55" s="284" t="s">
        <v>1350</v>
      </c>
      <c r="B55" s="284" t="s">
        <v>2256</v>
      </c>
      <c r="C55" s="285" t="str">
        <f t="shared" si="19"/>
        <v/>
      </c>
      <c r="D55" s="297">
        <v>0.0</v>
      </c>
      <c r="E55" s="297">
        <v>0.0</v>
      </c>
      <c r="F55" s="297">
        <f t="shared" si="24"/>
        <v>0</v>
      </c>
      <c r="G55" s="297">
        <f t="shared" ref="G55:H55" si="25">F55</f>
        <v>0</v>
      </c>
      <c r="H55" s="297">
        <f t="shared" si="25"/>
        <v>0</v>
      </c>
      <c r="I55" s="286"/>
      <c r="J55" s="286"/>
      <c r="K55" s="284" t="str">
        <f t="shared" si="21"/>
        <v/>
      </c>
      <c r="L55" s="285" t="str">
        <f t="shared" si="22"/>
        <v/>
      </c>
      <c r="M55" s="287"/>
      <c r="N55" s="284"/>
      <c r="O55" s="284"/>
      <c r="P55" s="284"/>
      <c r="Q55" s="284"/>
      <c r="R55" s="284"/>
      <c r="S55" s="284"/>
      <c r="T55" s="284"/>
      <c r="U55" s="284"/>
      <c r="V55" s="284"/>
      <c r="W55" s="284"/>
      <c r="X55" s="284"/>
      <c r="Y55" s="284"/>
      <c r="Z55" s="284"/>
      <c r="AA55" s="284"/>
    </row>
    <row r="56">
      <c r="A56" s="284"/>
      <c r="B56" s="284" t="s">
        <v>2257</v>
      </c>
      <c r="C56" s="285" t="str">
        <f t="shared" si="19"/>
        <v>x</v>
      </c>
      <c r="D56" s="297">
        <v>6.0</v>
      </c>
      <c r="E56" s="297">
        <v>22.0</v>
      </c>
      <c r="F56" s="297">
        <f t="shared" si="24"/>
        <v>132</v>
      </c>
      <c r="G56" s="297">
        <f t="shared" ref="G56:G57" si="26">F56*$Q$6</f>
        <v>2508</v>
      </c>
      <c r="H56" s="297">
        <v>0.0</v>
      </c>
      <c r="I56" s="288">
        <v>45323.0</v>
      </c>
      <c r="J56" s="288">
        <f t="shared" ref="J56:J58" si="27">Edate(I56,1)</f>
        <v>45352</v>
      </c>
      <c r="K56" s="289">
        <f t="shared" si="21"/>
        <v>1</v>
      </c>
      <c r="L56" s="297">
        <f t="shared" si="22"/>
        <v>-815</v>
      </c>
      <c r="M56" s="298">
        <v>45383.0</v>
      </c>
      <c r="N56" s="284"/>
      <c r="O56" s="284"/>
      <c r="P56" s="284"/>
      <c r="Q56" s="284"/>
      <c r="R56" s="284"/>
      <c r="S56" s="284"/>
      <c r="T56" s="284"/>
      <c r="U56" s="284"/>
      <c r="V56" s="284"/>
      <c r="W56" s="284"/>
      <c r="X56" s="284"/>
      <c r="Y56" s="284"/>
      <c r="Z56" s="284"/>
      <c r="AA56" s="284"/>
    </row>
    <row r="57">
      <c r="A57" s="284" t="s">
        <v>1350</v>
      </c>
      <c r="B57" s="284" t="s">
        <v>2258</v>
      </c>
      <c r="C57" s="285" t="str">
        <f t="shared" si="19"/>
        <v/>
      </c>
      <c r="D57" s="297">
        <v>1.0</v>
      </c>
      <c r="E57" s="297">
        <v>0.0</v>
      </c>
      <c r="F57" s="297">
        <f t="shared" si="24"/>
        <v>0</v>
      </c>
      <c r="G57" s="297">
        <f t="shared" si="26"/>
        <v>0</v>
      </c>
      <c r="H57" s="297">
        <f>G57</f>
        <v>0</v>
      </c>
      <c r="I57" s="288">
        <v>45334.0</v>
      </c>
      <c r="J57" s="288">
        <f t="shared" si="27"/>
        <v>45363</v>
      </c>
      <c r="K57" s="289">
        <f t="shared" si="21"/>
        <v>1</v>
      </c>
      <c r="L57" s="297">
        <f t="shared" si="22"/>
        <v>-804</v>
      </c>
      <c r="M57" s="287"/>
      <c r="N57" s="284"/>
      <c r="O57" s="284"/>
      <c r="P57" s="284"/>
      <c r="Q57" s="284"/>
      <c r="R57" s="284"/>
      <c r="S57" s="284"/>
      <c r="T57" s="284"/>
      <c r="U57" s="284"/>
      <c r="V57" s="284"/>
      <c r="W57" s="284"/>
      <c r="X57" s="284"/>
      <c r="Y57" s="284"/>
      <c r="Z57" s="284"/>
      <c r="AA57" s="284"/>
    </row>
    <row r="58">
      <c r="A58" s="284"/>
      <c r="B58" s="284" t="s">
        <v>2259</v>
      </c>
      <c r="C58" s="285" t="str">
        <f t="shared" si="19"/>
        <v>x</v>
      </c>
      <c r="D58" s="297">
        <v>1.0</v>
      </c>
      <c r="E58" s="297">
        <v>15000.0</v>
      </c>
      <c r="F58" s="297">
        <f t="shared" si="24"/>
        <v>15000</v>
      </c>
      <c r="G58" s="297">
        <f>F58*$Q$7</f>
        <v>4500</v>
      </c>
      <c r="H58" s="297">
        <v>0.0</v>
      </c>
      <c r="I58" s="288">
        <v>45335.0</v>
      </c>
      <c r="J58" s="288">
        <f t="shared" si="27"/>
        <v>45364</v>
      </c>
      <c r="K58" s="289">
        <f t="shared" si="21"/>
        <v>1</v>
      </c>
      <c r="L58" s="297">
        <f t="shared" si="22"/>
        <v>-803</v>
      </c>
      <c r="M58" s="287"/>
      <c r="N58" s="284"/>
      <c r="O58" s="284"/>
      <c r="P58" s="284"/>
      <c r="Q58" s="284"/>
      <c r="R58" s="284"/>
      <c r="S58" s="284"/>
      <c r="T58" s="284"/>
      <c r="U58" s="284"/>
      <c r="V58" s="284"/>
      <c r="W58" s="284"/>
      <c r="X58" s="284"/>
      <c r="Y58" s="284"/>
      <c r="Z58" s="284"/>
      <c r="AA58" s="284"/>
    </row>
    <row r="59">
      <c r="A59" s="284"/>
      <c r="B59" s="284"/>
      <c r="C59" s="285" t="str">
        <f t="shared" si="19"/>
        <v/>
      </c>
      <c r="D59" s="285"/>
      <c r="E59" s="285"/>
      <c r="F59" s="285"/>
      <c r="G59" s="285"/>
      <c r="H59" s="285"/>
      <c r="I59" s="286"/>
      <c r="J59" s="286"/>
      <c r="K59" s="284"/>
      <c r="L59" s="284"/>
      <c r="M59" s="287"/>
      <c r="N59" s="284"/>
      <c r="O59" s="284"/>
      <c r="P59" s="284"/>
      <c r="Q59" s="284"/>
      <c r="R59" s="284"/>
      <c r="S59" s="284"/>
      <c r="T59" s="284"/>
      <c r="U59" s="284"/>
      <c r="V59" s="284"/>
      <c r="W59" s="284"/>
      <c r="X59" s="284"/>
      <c r="Y59" s="284"/>
      <c r="Z59" s="284"/>
      <c r="AA59" s="284"/>
    </row>
    <row r="60">
      <c r="A60" s="284"/>
      <c r="B60" s="284"/>
      <c r="C60" s="285" t="str">
        <f t="shared" si="19"/>
        <v/>
      </c>
      <c r="D60" s="285"/>
      <c r="E60" s="285"/>
      <c r="F60" s="285"/>
      <c r="G60" s="285"/>
      <c r="H60" s="285"/>
      <c r="I60" s="286"/>
      <c r="J60" s="286"/>
      <c r="K60" s="285"/>
      <c r="L60" s="284"/>
      <c r="M60" s="287"/>
      <c r="N60" s="284"/>
      <c r="O60" s="284"/>
      <c r="P60" s="284"/>
      <c r="Q60" s="284"/>
      <c r="R60" s="284"/>
      <c r="S60" s="284"/>
      <c r="T60" s="284"/>
      <c r="U60" s="284"/>
      <c r="V60" s="284"/>
      <c r="W60" s="284"/>
      <c r="X60" s="284"/>
      <c r="Y60" s="284"/>
      <c r="Z60" s="284"/>
      <c r="AA60" s="284"/>
    </row>
    <row r="61">
      <c r="A61" s="284"/>
      <c r="B61" s="284"/>
      <c r="C61" s="285" t="str">
        <f t="shared" si="19"/>
        <v/>
      </c>
      <c r="D61" s="285"/>
      <c r="E61" s="285"/>
      <c r="F61" s="285"/>
      <c r="G61" s="285"/>
      <c r="H61" s="285"/>
      <c r="I61" s="286"/>
      <c r="J61" s="286"/>
      <c r="K61" s="285"/>
      <c r="L61" s="284"/>
      <c r="M61" s="287"/>
      <c r="N61" s="284"/>
      <c r="O61" s="284"/>
      <c r="P61" s="284"/>
      <c r="Q61" s="284"/>
      <c r="R61" s="284"/>
      <c r="S61" s="284"/>
      <c r="T61" s="284"/>
      <c r="U61" s="284"/>
      <c r="V61" s="284"/>
      <c r="W61" s="284"/>
      <c r="X61" s="284"/>
      <c r="Y61" s="284"/>
      <c r="Z61" s="284"/>
      <c r="AA61" s="284"/>
    </row>
    <row r="62">
      <c r="A62" s="284"/>
      <c r="B62" s="284"/>
      <c r="C62" s="285" t="str">
        <f t="shared" si="19"/>
        <v/>
      </c>
      <c r="D62" s="285"/>
      <c r="E62" s="285"/>
      <c r="F62" s="285"/>
      <c r="G62" s="285"/>
      <c r="H62" s="285"/>
      <c r="I62" s="286"/>
      <c r="J62" s="286"/>
      <c r="K62" s="285"/>
      <c r="L62" s="284"/>
      <c r="M62" s="287"/>
      <c r="N62" s="284"/>
      <c r="O62" s="284"/>
      <c r="P62" s="284"/>
      <c r="Q62" s="284"/>
      <c r="R62" s="284"/>
      <c r="S62" s="284"/>
      <c r="T62" s="284"/>
      <c r="U62" s="284"/>
      <c r="V62" s="284"/>
      <c r="W62" s="284"/>
      <c r="X62" s="284"/>
      <c r="Y62" s="284"/>
      <c r="Z62" s="284"/>
      <c r="AA62" s="284"/>
    </row>
    <row r="63">
      <c r="A63" s="284"/>
      <c r="B63" s="284"/>
      <c r="C63" s="285" t="str">
        <f t="shared" si="19"/>
        <v/>
      </c>
      <c r="D63" s="285"/>
      <c r="E63" s="285"/>
      <c r="F63" s="285"/>
      <c r="G63" s="285"/>
      <c r="H63" s="285"/>
      <c r="I63" s="286"/>
      <c r="J63" s="286"/>
      <c r="K63" s="285"/>
      <c r="L63" s="284"/>
      <c r="M63" s="287"/>
      <c r="N63" s="284"/>
      <c r="O63" s="284"/>
      <c r="P63" s="284"/>
      <c r="Q63" s="284"/>
      <c r="R63" s="284"/>
      <c r="S63" s="284"/>
      <c r="T63" s="284"/>
      <c r="U63" s="284"/>
      <c r="V63" s="284"/>
      <c r="W63" s="284"/>
      <c r="X63" s="284"/>
      <c r="Y63" s="284"/>
      <c r="Z63" s="284"/>
      <c r="AA63" s="284"/>
    </row>
    <row r="64">
      <c r="A64" s="284"/>
      <c r="B64" s="284"/>
      <c r="C64" s="285" t="str">
        <f t="shared" si="19"/>
        <v/>
      </c>
      <c r="D64" s="285"/>
      <c r="E64" s="285"/>
      <c r="F64" s="285"/>
      <c r="G64" s="285"/>
      <c r="H64" s="285"/>
      <c r="I64" s="286"/>
      <c r="J64" s="286"/>
      <c r="K64" s="285"/>
      <c r="L64" s="284"/>
      <c r="M64" s="287"/>
      <c r="N64" s="284"/>
      <c r="O64" s="284"/>
      <c r="P64" s="284"/>
      <c r="Q64" s="284"/>
      <c r="R64" s="284"/>
      <c r="S64" s="284"/>
      <c r="T64" s="284"/>
      <c r="U64" s="284"/>
      <c r="V64" s="284"/>
      <c r="W64" s="284"/>
      <c r="X64" s="284"/>
      <c r="Y64" s="284"/>
      <c r="Z64" s="284"/>
      <c r="AA64" s="284"/>
    </row>
    <row r="65">
      <c r="A65" s="284"/>
      <c r="B65" s="284"/>
      <c r="C65" s="285" t="str">
        <f t="shared" si="19"/>
        <v/>
      </c>
      <c r="D65" s="285"/>
      <c r="E65" s="285"/>
      <c r="F65" s="285"/>
      <c r="G65" s="285"/>
      <c r="H65" s="285"/>
      <c r="I65" s="286"/>
      <c r="J65" s="286"/>
      <c r="K65" s="285"/>
      <c r="L65" s="284"/>
      <c r="M65" s="287"/>
      <c r="N65" s="284"/>
      <c r="O65" s="284"/>
      <c r="P65" s="284"/>
      <c r="Q65" s="284"/>
      <c r="R65" s="284"/>
      <c r="S65" s="284"/>
      <c r="T65" s="284"/>
      <c r="U65" s="284"/>
      <c r="V65" s="284"/>
      <c r="W65" s="284"/>
      <c r="X65" s="284"/>
      <c r="Y65" s="284"/>
      <c r="Z65" s="284"/>
      <c r="AA65" s="284"/>
    </row>
    <row r="66">
      <c r="A66" s="284"/>
      <c r="B66" s="293" t="s">
        <v>2246</v>
      </c>
      <c r="C66" s="289">
        <f>countif(C49:C65,"x")</f>
        <v>4</v>
      </c>
      <c r="D66" s="285"/>
      <c r="E66" s="285"/>
      <c r="F66" s="285" t="s">
        <v>874</v>
      </c>
      <c r="G66" s="297">
        <f t="shared" ref="G66:H66" si="28">sum(G49:G65)</f>
        <v>15650.664</v>
      </c>
      <c r="H66" s="297">
        <f t="shared" si="28"/>
        <v>0</v>
      </c>
      <c r="I66" s="286"/>
      <c r="J66" s="286"/>
      <c r="K66" s="285"/>
      <c r="L66" s="284"/>
      <c r="M66" s="287"/>
      <c r="N66" s="284"/>
      <c r="O66" s="284"/>
      <c r="P66" s="284"/>
      <c r="Q66" s="284"/>
      <c r="R66" s="284"/>
      <c r="S66" s="284"/>
      <c r="T66" s="284"/>
      <c r="U66" s="284"/>
      <c r="V66" s="284"/>
      <c r="W66" s="284"/>
      <c r="X66" s="284"/>
      <c r="Y66" s="284"/>
      <c r="Z66" s="284"/>
      <c r="AA66" s="284"/>
    </row>
    <row r="67">
      <c r="A67" s="284"/>
      <c r="B67" s="284"/>
      <c r="C67" s="285" t="str">
        <f>if(G67=0,"","x")</f>
        <v/>
      </c>
      <c r="D67" s="285"/>
      <c r="E67" s="285"/>
      <c r="F67" s="285" t="s">
        <v>2247</v>
      </c>
      <c r="G67" s="285"/>
      <c r="H67" s="297">
        <f>H66+H43</f>
        <v>0</v>
      </c>
      <c r="I67" s="286"/>
      <c r="J67" s="286"/>
      <c r="K67" s="284"/>
      <c r="L67" s="284"/>
      <c r="M67" s="287"/>
      <c r="N67" s="284"/>
      <c r="O67" s="284"/>
      <c r="P67" s="284"/>
      <c r="Q67" s="284"/>
      <c r="R67" s="284"/>
      <c r="S67" s="284"/>
      <c r="T67" s="284"/>
      <c r="U67" s="284"/>
      <c r="V67" s="284"/>
      <c r="W67" s="284"/>
      <c r="X67" s="284"/>
      <c r="Y67" s="284"/>
      <c r="Z67" s="284"/>
      <c r="AA67" s="284"/>
    </row>
    <row r="68">
      <c r="A68" s="284"/>
      <c r="B68" s="284"/>
      <c r="C68" s="285"/>
      <c r="D68" s="285"/>
      <c r="E68" s="285"/>
      <c r="F68" s="285"/>
      <c r="G68" s="285"/>
      <c r="H68" s="285"/>
      <c r="I68" s="286"/>
      <c r="J68" s="286"/>
      <c r="K68" s="284"/>
      <c r="L68" s="285"/>
      <c r="M68" s="287"/>
      <c r="N68" s="284"/>
      <c r="O68" s="284"/>
      <c r="P68" s="284"/>
      <c r="Q68" s="284"/>
      <c r="R68" s="284"/>
      <c r="S68" s="284"/>
      <c r="T68" s="284"/>
      <c r="U68" s="284"/>
      <c r="V68" s="284"/>
      <c r="W68" s="284"/>
      <c r="X68" s="284"/>
      <c r="Y68" s="284"/>
      <c r="Z68" s="284"/>
      <c r="AA68" s="284"/>
    </row>
    <row r="69">
      <c r="A69" s="284"/>
      <c r="B69" s="284"/>
      <c r="C69" s="285"/>
      <c r="D69" s="285"/>
      <c r="E69" s="285"/>
      <c r="F69" s="285"/>
      <c r="G69" s="285"/>
      <c r="H69" s="285"/>
      <c r="I69" s="286"/>
      <c r="J69" s="286"/>
      <c r="K69" s="284"/>
      <c r="L69" s="285"/>
      <c r="M69" s="287"/>
      <c r="N69" s="284"/>
      <c r="O69" s="284"/>
      <c r="P69" s="284"/>
      <c r="Q69" s="284"/>
      <c r="R69" s="284"/>
      <c r="S69" s="284"/>
      <c r="T69" s="284"/>
      <c r="U69" s="284"/>
      <c r="V69" s="284"/>
      <c r="W69" s="284"/>
      <c r="X69" s="284"/>
      <c r="Y69" s="284"/>
      <c r="Z69" s="284"/>
      <c r="AA69" s="284"/>
    </row>
    <row r="70">
      <c r="A70" s="284"/>
      <c r="B70" s="290" t="s">
        <v>2342</v>
      </c>
      <c r="C70" s="285"/>
      <c r="D70" s="285"/>
      <c r="E70" s="285"/>
      <c r="F70" s="285"/>
      <c r="G70" s="285"/>
      <c r="H70" s="285"/>
      <c r="I70" s="286"/>
      <c r="J70" s="286" t="s">
        <v>2233</v>
      </c>
      <c r="K70" s="291">
        <f> Today()</f>
        <v>46167</v>
      </c>
      <c r="L70" s="285"/>
      <c r="M70" s="287"/>
      <c r="N70" s="284"/>
      <c r="O70" s="284"/>
      <c r="P70" s="284"/>
      <c r="Q70" s="284"/>
      <c r="R70" s="284"/>
      <c r="S70" s="284"/>
      <c r="T70" s="284"/>
      <c r="U70" s="284"/>
      <c r="V70" s="284"/>
      <c r="W70" s="284"/>
      <c r="X70" s="284"/>
      <c r="Y70" s="284"/>
      <c r="Z70" s="284"/>
      <c r="AA70" s="284"/>
    </row>
    <row r="71">
      <c r="A71" s="293" t="s">
        <v>181</v>
      </c>
      <c r="B71" s="293" t="s">
        <v>2216</v>
      </c>
      <c r="C71" s="294" t="s">
        <v>131</v>
      </c>
      <c r="D71" s="294" t="s">
        <v>2217</v>
      </c>
      <c r="E71" s="294" t="s">
        <v>8</v>
      </c>
      <c r="F71" s="294" t="s">
        <v>873</v>
      </c>
      <c r="G71" s="294" t="s">
        <v>17</v>
      </c>
      <c r="H71" s="294" t="s">
        <v>874</v>
      </c>
      <c r="I71" s="295" t="s">
        <v>2218</v>
      </c>
      <c r="J71" s="295" t="s">
        <v>876</v>
      </c>
      <c r="K71" s="293" t="s">
        <v>877</v>
      </c>
      <c r="L71" s="294" t="s">
        <v>878</v>
      </c>
      <c r="M71" s="296" t="s">
        <v>2219</v>
      </c>
      <c r="N71" s="293" t="s">
        <v>2220</v>
      </c>
      <c r="O71" s="284"/>
      <c r="P71" s="284"/>
      <c r="Q71" s="284"/>
      <c r="R71" s="284"/>
      <c r="S71" s="284"/>
      <c r="T71" s="284"/>
      <c r="U71" s="284"/>
      <c r="V71" s="284"/>
      <c r="W71" s="284"/>
      <c r="X71" s="284"/>
      <c r="Y71" s="284"/>
      <c r="Z71" s="284"/>
      <c r="AA71" s="284"/>
    </row>
    <row r="72">
      <c r="A72" s="284" t="s">
        <v>1350</v>
      </c>
      <c r="B72" s="284" t="s">
        <v>2249</v>
      </c>
      <c r="C72" s="285" t="str">
        <f t="shared" ref="C72:C86" si="29">if(OR(G72=0,G72=""),"","x")</f>
        <v/>
      </c>
      <c r="D72" s="297">
        <v>0.0</v>
      </c>
      <c r="E72" s="297">
        <v>100.0</v>
      </c>
      <c r="F72" s="297">
        <f t="shared" ref="F72:F77" si="30">D72*E72</f>
        <v>0</v>
      </c>
      <c r="G72" s="297">
        <f>F72*Q$8</f>
        <v>0</v>
      </c>
      <c r="H72" s="297">
        <v>0.0</v>
      </c>
      <c r="I72" s="288">
        <v>45371.0</v>
      </c>
      <c r="J72" s="288">
        <f t="shared" ref="J72:J74" si="31">Edate(I72,1)</f>
        <v>45402</v>
      </c>
      <c r="K72" s="289">
        <f t="shared" ref="K72:K80" si="32">if(J72="","",if(H72=0,1,0))</f>
        <v>1</v>
      </c>
      <c r="L72" s="297">
        <f t="shared" ref="L72:L86" si="33">if(J72="","",J72-$K$6)</f>
        <v>-765</v>
      </c>
      <c r="M72" s="287"/>
      <c r="N72" s="284"/>
      <c r="O72" s="284"/>
      <c r="P72" s="284"/>
      <c r="Q72" s="284"/>
      <c r="R72" s="284"/>
      <c r="S72" s="284"/>
      <c r="T72" s="284"/>
      <c r="U72" s="284"/>
      <c r="V72" s="284"/>
      <c r="W72" s="284"/>
      <c r="X72" s="284"/>
      <c r="Y72" s="284"/>
      <c r="Z72" s="284"/>
      <c r="AA72" s="284"/>
    </row>
    <row r="73">
      <c r="A73" s="284" t="s">
        <v>1350</v>
      </c>
      <c r="B73" s="284" t="s">
        <v>2251</v>
      </c>
      <c r="C73" s="285" t="str">
        <f t="shared" si="29"/>
        <v/>
      </c>
      <c r="D73" s="297">
        <v>0.0</v>
      </c>
      <c r="E73" s="297">
        <v>5.0</v>
      </c>
      <c r="F73" s="297">
        <f t="shared" si="30"/>
        <v>0</v>
      </c>
      <c r="G73" s="297">
        <f t="shared" ref="G73:G74" si="34">F73*$Q$5</f>
        <v>0</v>
      </c>
      <c r="H73" s="297">
        <v>0.0</v>
      </c>
      <c r="I73" s="288">
        <v>45352.0</v>
      </c>
      <c r="J73" s="288">
        <f t="shared" si="31"/>
        <v>45383</v>
      </c>
      <c r="K73" s="289">
        <f t="shared" si="32"/>
        <v>1</v>
      </c>
      <c r="L73" s="297">
        <f t="shared" si="33"/>
        <v>-784</v>
      </c>
      <c r="M73" s="287"/>
      <c r="N73" s="284"/>
      <c r="O73" s="284"/>
      <c r="P73" s="284"/>
      <c r="Q73" s="284"/>
      <c r="R73" s="284"/>
      <c r="S73" s="284"/>
      <c r="T73" s="284"/>
      <c r="U73" s="284"/>
      <c r="V73" s="284"/>
      <c r="W73" s="284"/>
      <c r="X73" s="284"/>
      <c r="Y73" s="284"/>
      <c r="Z73" s="284"/>
      <c r="AA73" s="284"/>
    </row>
    <row r="74">
      <c r="A74" s="284" t="s">
        <v>1350</v>
      </c>
      <c r="B74" s="284" t="s">
        <v>2254</v>
      </c>
      <c r="C74" s="285" t="str">
        <f t="shared" si="29"/>
        <v/>
      </c>
      <c r="D74" s="297">
        <v>0.0</v>
      </c>
      <c r="E74" s="297">
        <v>3.0</v>
      </c>
      <c r="F74" s="297">
        <f t="shared" si="30"/>
        <v>0</v>
      </c>
      <c r="G74" s="297">
        <f t="shared" si="34"/>
        <v>0</v>
      </c>
      <c r="H74" s="297">
        <v>0.0</v>
      </c>
      <c r="I74" s="288">
        <v>45352.0</v>
      </c>
      <c r="J74" s="288">
        <f t="shared" si="31"/>
        <v>45383</v>
      </c>
      <c r="K74" s="289">
        <f t="shared" si="32"/>
        <v>1</v>
      </c>
      <c r="L74" s="297">
        <f t="shared" si="33"/>
        <v>-784</v>
      </c>
      <c r="M74" s="287"/>
      <c r="N74" s="284"/>
      <c r="O74" s="284"/>
      <c r="P74" s="284"/>
      <c r="Q74" s="284"/>
      <c r="R74" s="284"/>
      <c r="S74" s="284"/>
      <c r="T74" s="284"/>
      <c r="U74" s="284"/>
      <c r="V74" s="284"/>
      <c r="W74" s="284"/>
      <c r="X74" s="284"/>
      <c r="Y74" s="284"/>
      <c r="Z74" s="284"/>
      <c r="AA74" s="284"/>
    </row>
    <row r="75">
      <c r="A75" s="284" t="s">
        <v>1350</v>
      </c>
      <c r="B75" s="284" t="s">
        <v>2255</v>
      </c>
      <c r="C75" s="285" t="str">
        <f t="shared" si="29"/>
        <v/>
      </c>
      <c r="D75" s="297">
        <v>0.0</v>
      </c>
      <c r="E75" s="297">
        <v>1500.0</v>
      </c>
      <c r="F75" s="297">
        <f t="shared" si="30"/>
        <v>0</v>
      </c>
      <c r="G75" s="297">
        <f>F75*$Q$7</f>
        <v>0</v>
      </c>
      <c r="H75" s="297">
        <v>0.0</v>
      </c>
      <c r="I75" s="286"/>
      <c r="J75" s="286"/>
      <c r="K75" s="284" t="str">
        <f t="shared" si="32"/>
        <v/>
      </c>
      <c r="L75" s="285" t="str">
        <f t="shared" si="33"/>
        <v/>
      </c>
      <c r="M75" s="287"/>
      <c r="N75" s="284"/>
      <c r="O75" s="284"/>
      <c r="P75" s="284"/>
      <c r="Q75" s="284"/>
      <c r="R75" s="284"/>
      <c r="S75" s="284"/>
      <c r="T75" s="284"/>
      <c r="U75" s="284"/>
      <c r="V75" s="284"/>
      <c r="W75" s="284"/>
      <c r="X75" s="284"/>
      <c r="Y75" s="284"/>
      <c r="Z75" s="284"/>
      <c r="AA75" s="284"/>
    </row>
    <row r="76">
      <c r="A76" s="284" t="s">
        <v>1350</v>
      </c>
      <c r="B76" s="284" t="s">
        <v>2256</v>
      </c>
      <c r="C76" s="285" t="str">
        <f t="shared" si="29"/>
        <v/>
      </c>
      <c r="D76" s="297">
        <v>0.0</v>
      </c>
      <c r="E76" s="297">
        <v>500.0</v>
      </c>
      <c r="F76" s="297">
        <f t="shared" si="30"/>
        <v>0</v>
      </c>
      <c r="G76" s="297">
        <f>F76</f>
        <v>0</v>
      </c>
      <c r="H76" s="297">
        <v>0.0</v>
      </c>
      <c r="I76" s="286"/>
      <c r="J76" s="286"/>
      <c r="K76" s="284" t="str">
        <f t="shared" si="32"/>
        <v/>
      </c>
      <c r="L76" s="285" t="str">
        <f t="shared" si="33"/>
        <v/>
      </c>
      <c r="M76" s="287"/>
      <c r="N76" s="284"/>
      <c r="O76" s="284"/>
      <c r="P76" s="284"/>
      <c r="Q76" s="284"/>
      <c r="R76" s="284"/>
      <c r="S76" s="284"/>
      <c r="T76" s="284"/>
      <c r="U76" s="284"/>
      <c r="V76" s="284"/>
      <c r="W76" s="284"/>
      <c r="X76" s="284"/>
      <c r="Y76" s="284"/>
      <c r="Z76" s="284"/>
      <c r="AA76" s="284"/>
    </row>
    <row r="77">
      <c r="A77" s="284"/>
      <c r="B77" s="284" t="s">
        <v>2257</v>
      </c>
      <c r="C77" s="285" t="str">
        <f t="shared" si="29"/>
        <v>x</v>
      </c>
      <c r="D77" s="297">
        <v>13.5</v>
      </c>
      <c r="E77" s="297">
        <v>22.0</v>
      </c>
      <c r="F77" s="297">
        <f t="shared" si="30"/>
        <v>297</v>
      </c>
      <c r="G77" s="297">
        <f>F77*$Q$6</f>
        <v>5643</v>
      </c>
      <c r="H77" s="297">
        <v>0.0</v>
      </c>
      <c r="I77" s="288">
        <v>45352.0</v>
      </c>
      <c r="J77" s="288">
        <f t="shared" ref="J77:J79" si="35">Edate(I77,1)</f>
        <v>45383</v>
      </c>
      <c r="K77" s="289">
        <f t="shared" si="32"/>
        <v>1</v>
      </c>
      <c r="L77" s="297">
        <f t="shared" si="33"/>
        <v>-784</v>
      </c>
      <c r="M77" s="298">
        <v>45383.0</v>
      </c>
      <c r="N77" s="284"/>
      <c r="O77" s="284"/>
      <c r="P77" s="284"/>
      <c r="Q77" s="284"/>
      <c r="R77" s="284"/>
      <c r="S77" s="284"/>
      <c r="T77" s="284"/>
      <c r="U77" s="284"/>
      <c r="V77" s="284"/>
      <c r="W77" s="284"/>
      <c r="X77" s="284"/>
      <c r="Y77" s="284"/>
      <c r="Z77" s="284"/>
      <c r="AA77" s="284"/>
    </row>
    <row r="78">
      <c r="A78" s="284" t="s">
        <v>2261</v>
      </c>
      <c r="B78" s="284" t="s">
        <v>2258</v>
      </c>
      <c r="C78" s="285" t="str">
        <f t="shared" si="29"/>
        <v/>
      </c>
      <c r="D78" s="297">
        <v>0.0</v>
      </c>
      <c r="E78" s="297">
        <v>22.0</v>
      </c>
      <c r="F78" s="297">
        <v>0.0</v>
      </c>
      <c r="G78" s="297">
        <v>0.0</v>
      </c>
      <c r="H78" s="297">
        <v>0.0</v>
      </c>
      <c r="I78" s="288">
        <v>45363.0</v>
      </c>
      <c r="J78" s="288">
        <f t="shared" si="35"/>
        <v>45394</v>
      </c>
      <c r="K78" s="289">
        <f t="shared" si="32"/>
        <v>1</v>
      </c>
      <c r="L78" s="297">
        <f t="shared" si="33"/>
        <v>-773</v>
      </c>
      <c r="M78" s="287"/>
      <c r="N78" s="284"/>
      <c r="O78" s="284"/>
      <c r="P78" s="284"/>
      <c r="Q78" s="284"/>
      <c r="R78" s="284"/>
      <c r="S78" s="284"/>
      <c r="T78" s="284"/>
      <c r="U78" s="284"/>
      <c r="V78" s="284"/>
      <c r="W78" s="284"/>
      <c r="X78" s="284"/>
      <c r="Y78" s="284"/>
      <c r="Z78" s="284"/>
      <c r="AA78" s="284"/>
    </row>
    <row r="79">
      <c r="A79" s="284"/>
      <c r="B79" s="284" t="s">
        <v>2259</v>
      </c>
      <c r="C79" s="285" t="str">
        <f t="shared" si="29"/>
        <v>x</v>
      </c>
      <c r="D79" s="297">
        <v>1.0</v>
      </c>
      <c r="E79" s="297">
        <v>15000.0</v>
      </c>
      <c r="F79" s="297">
        <f>D79*E79</f>
        <v>15000</v>
      </c>
      <c r="G79" s="297">
        <v>4500.0</v>
      </c>
      <c r="H79" s="297">
        <v>0.0</v>
      </c>
      <c r="I79" s="288">
        <v>45364.0</v>
      </c>
      <c r="J79" s="288">
        <f t="shared" si="35"/>
        <v>45395</v>
      </c>
      <c r="K79" s="289">
        <f t="shared" si="32"/>
        <v>1</v>
      </c>
      <c r="L79" s="297">
        <f t="shared" si="33"/>
        <v>-772</v>
      </c>
      <c r="M79" s="298">
        <v>45413.0</v>
      </c>
      <c r="N79" s="284" t="s">
        <v>2262</v>
      </c>
      <c r="O79" s="284"/>
      <c r="P79" s="284"/>
      <c r="Q79" s="284"/>
      <c r="R79" s="284"/>
      <c r="S79" s="284"/>
      <c r="T79" s="284"/>
      <c r="U79" s="284"/>
      <c r="V79" s="284"/>
      <c r="W79" s="284"/>
      <c r="X79" s="284"/>
      <c r="Y79" s="284"/>
      <c r="Z79" s="284"/>
      <c r="AA79" s="284"/>
    </row>
    <row r="80">
      <c r="A80" s="284"/>
      <c r="B80" s="284" t="s">
        <v>2263</v>
      </c>
      <c r="C80" s="285" t="str">
        <f t="shared" si="29"/>
        <v>x</v>
      </c>
      <c r="D80" s="297">
        <v>1.0</v>
      </c>
      <c r="E80" s="297">
        <v>6660.0</v>
      </c>
      <c r="F80" s="297">
        <v>6660.0</v>
      </c>
      <c r="G80" s="297">
        <v>1745.0</v>
      </c>
      <c r="H80" s="297">
        <v>0.0</v>
      </c>
      <c r="I80" s="286"/>
      <c r="J80" s="288">
        <v>45388.0</v>
      </c>
      <c r="K80" s="289">
        <f t="shared" si="32"/>
        <v>1</v>
      </c>
      <c r="L80" s="297">
        <f t="shared" si="33"/>
        <v>-779</v>
      </c>
      <c r="M80" s="298">
        <v>45413.0</v>
      </c>
      <c r="N80" s="284" t="s">
        <v>2264</v>
      </c>
      <c r="O80" s="284"/>
      <c r="P80" s="284"/>
      <c r="Q80" s="284"/>
      <c r="R80" s="284"/>
      <c r="S80" s="284"/>
      <c r="T80" s="284"/>
      <c r="U80" s="284"/>
      <c r="V80" s="284"/>
      <c r="W80" s="284"/>
      <c r="X80" s="284"/>
      <c r="Y80" s="284"/>
      <c r="Z80" s="284"/>
      <c r="AA80" s="284"/>
    </row>
    <row r="81">
      <c r="A81" s="284"/>
      <c r="B81" s="284"/>
      <c r="C81" s="285" t="str">
        <f t="shared" si="29"/>
        <v/>
      </c>
      <c r="D81" s="285"/>
      <c r="E81" s="285"/>
      <c r="F81" s="285"/>
      <c r="G81" s="285"/>
      <c r="H81" s="285"/>
      <c r="I81" s="286"/>
      <c r="J81" s="286"/>
      <c r="K81" s="285"/>
      <c r="L81" s="285" t="str">
        <f t="shared" si="33"/>
        <v/>
      </c>
      <c r="M81" s="287"/>
      <c r="N81" s="284"/>
      <c r="O81" s="284"/>
      <c r="P81" s="284"/>
      <c r="Q81" s="284"/>
      <c r="R81" s="284"/>
      <c r="S81" s="284"/>
      <c r="T81" s="284"/>
      <c r="U81" s="284"/>
      <c r="V81" s="284"/>
      <c r="W81" s="284"/>
      <c r="X81" s="284"/>
      <c r="Y81" s="284"/>
      <c r="Z81" s="284"/>
      <c r="AA81" s="284"/>
    </row>
    <row r="82">
      <c r="A82" s="284"/>
      <c r="B82" s="284"/>
      <c r="C82" s="285" t="str">
        <f t="shared" si="29"/>
        <v/>
      </c>
      <c r="D82" s="285"/>
      <c r="E82" s="285"/>
      <c r="F82" s="285"/>
      <c r="G82" s="285"/>
      <c r="H82" s="285"/>
      <c r="I82" s="286"/>
      <c r="J82" s="286"/>
      <c r="K82" s="285"/>
      <c r="L82" s="285" t="str">
        <f t="shared" si="33"/>
        <v/>
      </c>
      <c r="M82" s="287"/>
      <c r="N82" s="284"/>
      <c r="O82" s="284"/>
      <c r="P82" s="284"/>
      <c r="Q82" s="284"/>
      <c r="R82" s="284"/>
      <c r="S82" s="284"/>
      <c r="T82" s="284"/>
      <c r="U82" s="284"/>
      <c r="V82" s="284"/>
      <c r="W82" s="284"/>
      <c r="X82" s="284"/>
      <c r="Y82" s="284"/>
      <c r="Z82" s="284"/>
      <c r="AA82" s="284"/>
    </row>
    <row r="83">
      <c r="A83" s="284"/>
      <c r="B83" s="284"/>
      <c r="C83" s="285" t="str">
        <f t="shared" si="29"/>
        <v/>
      </c>
      <c r="D83" s="285"/>
      <c r="E83" s="285"/>
      <c r="F83" s="285"/>
      <c r="G83" s="285"/>
      <c r="H83" s="285"/>
      <c r="I83" s="286"/>
      <c r="J83" s="286"/>
      <c r="K83" s="285"/>
      <c r="L83" s="285" t="str">
        <f t="shared" si="33"/>
        <v/>
      </c>
      <c r="M83" s="287"/>
      <c r="N83" s="284"/>
      <c r="O83" s="284"/>
      <c r="P83" s="284"/>
      <c r="Q83" s="284"/>
      <c r="R83" s="284"/>
      <c r="S83" s="284"/>
      <c r="T83" s="284"/>
      <c r="U83" s="284"/>
      <c r="V83" s="284"/>
      <c r="W83" s="284"/>
      <c r="X83" s="284"/>
      <c r="Y83" s="284"/>
      <c r="Z83" s="284"/>
      <c r="AA83" s="284"/>
    </row>
    <row r="84">
      <c r="A84" s="284"/>
      <c r="B84" s="284"/>
      <c r="C84" s="285" t="str">
        <f t="shared" si="29"/>
        <v/>
      </c>
      <c r="D84" s="285"/>
      <c r="E84" s="285"/>
      <c r="F84" s="285"/>
      <c r="G84" s="285"/>
      <c r="H84" s="285"/>
      <c r="I84" s="286"/>
      <c r="J84" s="286"/>
      <c r="K84" s="285"/>
      <c r="L84" s="285" t="str">
        <f t="shared" si="33"/>
        <v/>
      </c>
      <c r="M84" s="287"/>
      <c r="N84" s="284"/>
      <c r="O84" s="284"/>
      <c r="P84" s="284"/>
      <c r="Q84" s="284"/>
      <c r="R84" s="284"/>
      <c r="S84" s="284"/>
      <c r="T84" s="284"/>
      <c r="U84" s="284"/>
      <c r="V84" s="284"/>
      <c r="W84" s="284"/>
      <c r="X84" s="284"/>
      <c r="Y84" s="284"/>
      <c r="Z84" s="284"/>
      <c r="AA84" s="284"/>
    </row>
    <row r="85">
      <c r="A85" s="284"/>
      <c r="B85" s="284"/>
      <c r="C85" s="285" t="str">
        <f t="shared" si="29"/>
        <v/>
      </c>
      <c r="D85" s="285"/>
      <c r="E85" s="285"/>
      <c r="F85" s="285"/>
      <c r="G85" s="285"/>
      <c r="H85" s="285"/>
      <c r="I85" s="286"/>
      <c r="J85" s="286"/>
      <c r="K85" s="285"/>
      <c r="L85" s="285" t="str">
        <f t="shared" si="33"/>
        <v/>
      </c>
      <c r="M85" s="287"/>
      <c r="N85" s="284"/>
      <c r="O85" s="284"/>
      <c r="P85" s="284"/>
      <c r="Q85" s="284"/>
      <c r="R85" s="284"/>
      <c r="S85" s="284"/>
      <c r="T85" s="284"/>
      <c r="U85" s="284"/>
      <c r="V85" s="284"/>
      <c r="W85" s="284"/>
      <c r="X85" s="284"/>
      <c r="Y85" s="284"/>
      <c r="Z85" s="284"/>
      <c r="AA85" s="284"/>
    </row>
    <row r="86">
      <c r="A86" s="284"/>
      <c r="B86" s="284"/>
      <c r="C86" s="285" t="str">
        <f t="shared" si="29"/>
        <v/>
      </c>
      <c r="D86" s="285"/>
      <c r="E86" s="285"/>
      <c r="F86" s="285"/>
      <c r="G86" s="285"/>
      <c r="H86" s="285"/>
      <c r="I86" s="286"/>
      <c r="J86" s="286"/>
      <c r="K86" s="285"/>
      <c r="L86" s="285" t="str">
        <f t="shared" si="33"/>
        <v/>
      </c>
      <c r="M86" s="287"/>
      <c r="N86" s="284"/>
      <c r="O86" s="284"/>
      <c r="P86" s="284"/>
      <c r="Q86" s="284"/>
      <c r="R86" s="284"/>
      <c r="S86" s="284"/>
      <c r="T86" s="284"/>
      <c r="U86" s="284"/>
      <c r="V86" s="284"/>
      <c r="W86" s="284"/>
      <c r="X86" s="284"/>
      <c r="Y86" s="284"/>
      <c r="Z86" s="284"/>
      <c r="AA86" s="284"/>
    </row>
    <row r="87">
      <c r="A87" s="284"/>
      <c r="B87" s="293" t="s">
        <v>2246</v>
      </c>
      <c r="C87" s="289">
        <f>countif(C70:C86,"x")</f>
        <v>3</v>
      </c>
      <c r="D87" s="285"/>
      <c r="E87" s="285"/>
      <c r="F87" s="285" t="s">
        <v>874</v>
      </c>
      <c r="G87" s="297">
        <f t="shared" ref="G87:H87" si="36">sum(G70:G86)</f>
        <v>11888</v>
      </c>
      <c r="H87" s="297">
        <f t="shared" si="36"/>
        <v>0</v>
      </c>
      <c r="I87" s="286"/>
      <c r="J87" s="286"/>
      <c r="K87" s="285"/>
      <c r="L87" s="284"/>
      <c r="M87" s="287"/>
      <c r="N87" s="284"/>
      <c r="O87" s="284"/>
      <c r="P87" s="284"/>
      <c r="Q87" s="284"/>
      <c r="R87" s="284"/>
      <c r="S87" s="284"/>
      <c r="T87" s="284"/>
      <c r="U87" s="284"/>
      <c r="V87" s="284"/>
      <c r="W87" s="284"/>
      <c r="X87" s="284"/>
      <c r="Y87" s="284"/>
      <c r="Z87" s="284"/>
      <c r="AA87" s="284"/>
    </row>
    <row r="88">
      <c r="A88" s="284"/>
      <c r="B88" s="284"/>
      <c r="C88" s="285" t="str">
        <f>if(G88=0,"","x")</f>
        <v/>
      </c>
      <c r="D88" s="285"/>
      <c r="E88" s="285"/>
      <c r="F88" s="285" t="s">
        <v>2247</v>
      </c>
      <c r="G88" s="285"/>
      <c r="H88" s="297">
        <f>H87+H64</f>
        <v>0</v>
      </c>
      <c r="I88" s="286"/>
      <c r="J88" s="286"/>
      <c r="K88" s="285"/>
      <c r="L88" s="284"/>
      <c r="M88" s="287"/>
      <c r="N88" s="284"/>
      <c r="O88" s="284"/>
      <c r="P88" s="284"/>
      <c r="Q88" s="284"/>
      <c r="R88" s="284"/>
      <c r="S88" s="284"/>
      <c r="T88" s="284"/>
      <c r="U88" s="284"/>
      <c r="V88" s="284"/>
      <c r="W88" s="284"/>
      <c r="X88" s="284"/>
      <c r="Y88" s="284"/>
      <c r="Z88" s="284"/>
      <c r="AA88" s="284"/>
    </row>
    <row r="89">
      <c r="A89" s="284"/>
      <c r="B89" s="284"/>
      <c r="C89" s="285"/>
      <c r="D89" s="285"/>
      <c r="E89" s="285"/>
      <c r="F89" s="285"/>
      <c r="G89" s="285"/>
      <c r="H89" s="285"/>
      <c r="I89" s="286"/>
      <c r="J89" s="286"/>
      <c r="K89" s="285"/>
      <c r="L89" s="284"/>
      <c r="M89" s="287"/>
      <c r="N89" s="284"/>
      <c r="O89" s="284"/>
      <c r="P89" s="284"/>
      <c r="Q89" s="284"/>
      <c r="R89" s="284"/>
      <c r="S89" s="284"/>
      <c r="T89" s="284"/>
      <c r="U89" s="284"/>
      <c r="V89" s="284"/>
      <c r="W89" s="284"/>
      <c r="X89" s="284"/>
      <c r="Y89" s="284"/>
      <c r="Z89" s="284"/>
      <c r="AA89" s="284"/>
    </row>
    <row r="90">
      <c r="A90" s="284"/>
      <c r="B90" s="284"/>
      <c r="C90" s="285"/>
      <c r="D90" s="285"/>
      <c r="E90" s="285"/>
      <c r="F90" s="285"/>
      <c r="G90" s="285"/>
      <c r="H90" s="285"/>
      <c r="I90" s="286"/>
      <c r="J90" s="286"/>
      <c r="K90" s="284"/>
      <c r="L90" s="285"/>
      <c r="M90" s="287"/>
      <c r="N90" s="284"/>
      <c r="O90" s="284"/>
      <c r="P90" s="284"/>
      <c r="Q90" s="284"/>
      <c r="R90" s="284"/>
      <c r="S90" s="284"/>
      <c r="T90" s="284"/>
      <c r="U90" s="284"/>
      <c r="V90" s="284"/>
      <c r="W90" s="284"/>
      <c r="X90" s="284"/>
      <c r="Y90" s="284"/>
      <c r="Z90" s="284"/>
      <c r="AA90" s="284"/>
    </row>
    <row r="91">
      <c r="A91" s="284"/>
      <c r="B91" s="290" t="s">
        <v>2343</v>
      </c>
      <c r="C91" s="285"/>
      <c r="D91" s="285"/>
      <c r="E91" s="285"/>
      <c r="F91" s="285"/>
      <c r="G91" s="285"/>
      <c r="H91" s="285"/>
      <c r="I91" s="286"/>
      <c r="J91" s="286" t="s">
        <v>2233</v>
      </c>
      <c r="K91" s="291">
        <f> Today()</f>
        <v>46167</v>
      </c>
      <c r="L91" s="285"/>
      <c r="M91" s="287"/>
      <c r="N91" s="284"/>
      <c r="O91" s="284"/>
      <c r="P91" s="284"/>
      <c r="Q91" s="284"/>
      <c r="R91" s="284"/>
      <c r="S91" s="284"/>
      <c r="T91" s="284"/>
      <c r="U91" s="284"/>
      <c r="V91" s="284"/>
      <c r="W91" s="284"/>
      <c r="X91" s="284"/>
      <c r="Y91" s="284"/>
      <c r="Z91" s="284"/>
      <c r="AA91" s="284"/>
    </row>
    <row r="92">
      <c r="A92" s="293" t="s">
        <v>181</v>
      </c>
      <c r="B92" s="293" t="s">
        <v>2216</v>
      </c>
      <c r="C92" s="294" t="s">
        <v>131</v>
      </c>
      <c r="D92" s="294" t="s">
        <v>2217</v>
      </c>
      <c r="E92" s="294" t="s">
        <v>8</v>
      </c>
      <c r="F92" s="294" t="s">
        <v>873</v>
      </c>
      <c r="G92" s="294" t="s">
        <v>17</v>
      </c>
      <c r="H92" s="294" t="s">
        <v>874</v>
      </c>
      <c r="I92" s="295" t="s">
        <v>2218</v>
      </c>
      <c r="J92" s="295" t="s">
        <v>876</v>
      </c>
      <c r="K92" s="293" t="s">
        <v>877</v>
      </c>
      <c r="L92" s="294" t="s">
        <v>878</v>
      </c>
      <c r="M92" s="296" t="s">
        <v>2219</v>
      </c>
      <c r="N92" s="293" t="s">
        <v>2220</v>
      </c>
      <c r="O92" s="284"/>
      <c r="P92" s="284"/>
      <c r="Q92" s="284"/>
      <c r="R92" s="284"/>
      <c r="S92" s="284"/>
      <c r="T92" s="284"/>
      <c r="U92" s="284"/>
      <c r="V92" s="284"/>
      <c r="W92" s="284"/>
      <c r="X92" s="284"/>
      <c r="Y92" s="284"/>
      <c r="Z92" s="284"/>
      <c r="AA92" s="284"/>
    </row>
    <row r="93">
      <c r="A93" s="284" t="s">
        <v>1350</v>
      </c>
      <c r="B93" s="284" t="s">
        <v>2249</v>
      </c>
      <c r="C93" s="285" t="str">
        <f t="shared" ref="C93:C107" si="37">if(OR(G93=0,G93=""),"","x")</f>
        <v/>
      </c>
      <c r="D93" s="297">
        <v>0.0</v>
      </c>
      <c r="E93" s="297">
        <v>100.0</v>
      </c>
      <c r="F93" s="297">
        <f>D93*E93</f>
        <v>0</v>
      </c>
      <c r="G93" s="297">
        <f>F93*Q$8</f>
        <v>0</v>
      </c>
      <c r="H93" s="297">
        <f>G93</f>
        <v>0</v>
      </c>
      <c r="I93" s="288">
        <v>45402.0</v>
      </c>
      <c r="J93" s="288">
        <f t="shared" ref="J93:J95" si="38">Edate(I93,1)</f>
        <v>45432</v>
      </c>
      <c r="K93" s="289">
        <f t="shared" ref="K93:K102" si="39">if(J93="","",if(H93=0,1,0))</f>
        <v>1</v>
      </c>
      <c r="L93" s="297">
        <f t="shared" ref="L93:L107" si="40">if(J93="","",J93-$K$6)</f>
        <v>-735</v>
      </c>
      <c r="M93" s="287"/>
      <c r="N93" s="284"/>
      <c r="O93" s="284"/>
      <c r="P93" s="284"/>
      <c r="Q93" s="284"/>
      <c r="R93" s="284"/>
      <c r="S93" s="284"/>
      <c r="T93" s="284"/>
      <c r="U93" s="284"/>
      <c r="V93" s="284"/>
      <c r="W93" s="284"/>
      <c r="X93" s="284"/>
      <c r="Y93" s="284"/>
      <c r="Z93" s="284"/>
      <c r="AA93" s="284"/>
    </row>
    <row r="94">
      <c r="A94" s="284"/>
      <c r="B94" s="284" t="s">
        <v>2251</v>
      </c>
      <c r="C94" s="285" t="str">
        <f t="shared" si="37"/>
        <v>x</v>
      </c>
      <c r="D94" s="297">
        <v>3.0</v>
      </c>
      <c r="E94" s="297">
        <v>5.0</v>
      </c>
      <c r="F94" s="297">
        <v>15.0</v>
      </c>
      <c r="G94" s="297">
        <f t="shared" ref="G94:G95" si="41">F94*$Q$5</f>
        <v>1246.665</v>
      </c>
      <c r="H94" s="297">
        <v>0.0</v>
      </c>
      <c r="I94" s="288">
        <v>45383.0</v>
      </c>
      <c r="J94" s="288">
        <f t="shared" si="38"/>
        <v>45413</v>
      </c>
      <c r="K94" s="289">
        <f t="shared" si="39"/>
        <v>1</v>
      </c>
      <c r="L94" s="297">
        <f t="shared" si="40"/>
        <v>-754</v>
      </c>
      <c r="M94" s="298">
        <v>45413.0</v>
      </c>
      <c r="N94" s="284" t="s">
        <v>2265</v>
      </c>
      <c r="O94" s="284"/>
      <c r="P94" s="284"/>
      <c r="Q94" s="284"/>
      <c r="R94" s="284"/>
      <c r="S94" s="284"/>
      <c r="T94" s="284"/>
      <c r="U94" s="284"/>
      <c r="V94" s="284"/>
      <c r="W94" s="284"/>
      <c r="X94" s="284"/>
      <c r="Y94" s="284"/>
      <c r="Z94" s="284"/>
      <c r="AA94" s="284"/>
    </row>
    <row r="95">
      <c r="A95" s="284" t="s">
        <v>1350</v>
      </c>
      <c r="B95" s="284" t="s">
        <v>2254</v>
      </c>
      <c r="C95" s="285" t="str">
        <f t="shared" si="37"/>
        <v/>
      </c>
      <c r="D95" s="297">
        <v>0.0</v>
      </c>
      <c r="E95" s="297">
        <v>3.0</v>
      </c>
      <c r="F95" s="297">
        <f t="shared" ref="F95:F98" si="42">D95*E95</f>
        <v>0</v>
      </c>
      <c r="G95" s="297">
        <f t="shared" si="41"/>
        <v>0</v>
      </c>
      <c r="H95" s="297">
        <f t="shared" ref="H95:H96" si="43">G95</f>
        <v>0</v>
      </c>
      <c r="I95" s="288">
        <v>45383.0</v>
      </c>
      <c r="J95" s="288">
        <f t="shared" si="38"/>
        <v>45413</v>
      </c>
      <c r="K95" s="289">
        <f t="shared" si="39"/>
        <v>1</v>
      </c>
      <c r="L95" s="297">
        <f t="shared" si="40"/>
        <v>-754</v>
      </c>
      <c r="M95" s="287"/>
      <c r="N95" s="284"/>
      <c r="O95" s="284"/>
      <c r="P95" s="284"/>
      <c r="Q95" s="284"/>
      <c r="R95" s="284"/>
      <c r="S95" s="284"/>
      <c r="T95" s="284"/>
      <c r="U95" s="284"/>
      <c r="V95" s="284"/>
      <c r="W95" s="284"/>
      <c r="X95" s="284"/>
      <c r="Y95" s="284"/>
      <c r="Z95" s="284"/>
      <c r="AA95" s="284"/>
    </row>
    <row r="96">
      <c r="A96" s="284" t="s">
        <v>1350</v>
      </c>
      <c r="B96" s="284" t="s">
        <v>2255</v>
      </c>
      <c r="C96" s="285" t="str">
        <f t="shared" si="37"/>
        <v/>
      </c>
      <c r="D96" s="297">
        <v>0.0</v>
      </c>
      <c r="E96" s="297">
        <v>1500.0</v>
      </c>
      <c r="F96" s="297">
        <f t="shared" si="42"/>
        <v>0</v>
      </c>
      <c r="G96" s="297">
        <f>F96*$Q$7</f>
        <v>0</v>
      </c>
      <c r="H96" s="297">
        <f t="shared" si="43"/>
        <v>0</v>
      </c>
      <c r="I96" s="286"/>
      <c r="J96" s="286"/>
      <c r="K96" s="284" t="str">
        <f t="shared" si="39"/>
        <v/>
      </c>
      <c r="L96" s="285" t="str">
        <f t="shared" si="40"/>
        <v/>
      </c>
      <c r="M96" s="287"/>
      <c r="N96" s="284"/>
      <c r="O96" s="284"/>
      <c r="P96" s="284"/>
      <c r="Q96" s="284"/>
      <c r="R96" s="284"/>
      <c r="S96" s="284"/>
      <c r="T96" s="284"/>
      <c r="U96" s="284"/>
      <c r="V96" s="284"/>
      <c r="W96" s="284"/>
      <c r="X96" s="284"/>
      <c r="Y96" s="284"/>
      <c r="Z96" s="284"/>
      <c r="AA96" s="284"/>
    </row>
    <row r="97">
      <c r="A97" s="284" t="s">
        <v>1350</v>
      </c>
      <c r="B97" s="284" t="s">
        <v>2256</v>
      </c>
      <c r="C97" s="285" t="str">
        <f t="shared" si="37"/>
        <v/>
      </c>
      <c r="D97" s="297">
        <v>0.0</v>
      </c>
      <c r="E97" s="297">
        <v>500.0</v>
      </c>
      <c r="F97" s="297">
        <f t="shared" si="42"/>
        <v>0</v>
      </c>
      <c r="G97" s="297">
        <f t="shared" ref="G97:H97" si="44">F97</f>
        <v>0</v>
      </c>
      <c r="H97" s="297">
        <f t="shared" si="44"/>
        <v>0</v>
      </c>
      <c r="I97" s="286"/>
      <c r="J97" s="286"/>
      <c r="K97" s="284" t="str">
        <f t="shared" si="39"/>
        <v/>
      </c>
      <c r="L97" s="285" t="str">
        <f t="shared" si="40"/>
        <v/>
      </c>
      <c r="M97" s="287"/>
      <c r="N97" s="284"/>
      <c r="O97" s="284"/>
      <c r="P97" s="284"/>
      <c r="Q97" s="284"/>
      <c r="R97" s="284"/>
      <c r="S97" s="284"/>
      <c r="T97" s="284"/>
      <c r="U97" s="284"/>
      <c r="V97" s="284"/>
      <c r="W97" s="284"/>
      <c r="X97" s="284"/>
      <c r="Y97" s="284"/>
      <c r="Z97" s="284"/>
      <c r="AA97" s="284"/>
    </row>
    <row r="98">
      <c r="A98" s="284"/>
      <c r="B98" s="284" t="s">
        <v>2257</v>
      </c>
      <c r="C98" s="285" t="str">
        <f t="shared" si="37"/>
        <v>x</v>
      </c>
      <c r="D98" s="297">
        <v>16.5</v>
      </c>
      <c r="E98" s="297">
        <v>22.0</v>
      </c>
      <c r="F98" s="297">
        <f t="shared" si="42"/>
        <v>363</v>
      </c>
      <c r="G98" s="297">
        <f t="shared" ref="G98:G99" si="45">F98*$Q$6</f>
        <v>6897</v>
      </c>
      <c r="H98" s="297">
        <v>0.0</v>
      </c>
      <c r="I98" s="286"/>
      <c r="J98" s="286"/>
      <c r="K98" s="284" t="str">
        <f t="shared" si="39"/>
        <v/>
      </c>
      <c r="L98" s="285" t="str">
        <f t="shared" si="40"/>
        <v/>
      </c>
      <c r="M98" s="287" t="s">
        <v>2266</v>
      </c>
      <c r="N98" s="284"/>
      <c r="O98" s="284"/>
      <c r="P98" s="284"/>
      <c r="Q98" s="284"/>
      <c r="R98" s="284"/>
      <c r="S98" s="284"/>
      <c r="T98" s="284"/>
      <c r="U98" s="284"/>
      <c r="V98" s="284"/>
      <c r="W98" s="284"/>
      <c r="X98" s="284"/>
      <c r="Y98" s="284"/>
      <c r="Z98" s="284"/>
      <c r="AA98" s="284"/>
    </row>
    <row r="99">
      <c r="A99" s="284" t="s">
        <v>2261</v>
      </c>
      <c r="B99" s="284" t="s">
        <v>2258</v>
      </c>
      <c r="C99" s="285" t="str">
        <f t="shared" si="37"/>
        <v/>
      </c>
      <c r="D99" s="297">
        <v>0.0</v>
      </c>
      <c r="E99" s="297">
        <v>0.0</v>
      </c>
      <c r="F99" s="297">
        <v>0.0</v>
      </c>
      <c r="G99" s="297">
        <f t="shared" si="45"/>
        <v>0</v>
      </c>
      <c r="H99" s="297">
        <f>G99</f>
        <v>0</v>
      </c>
      <c r="I99" s="288">
        <v>45394.0</v>
      </c>
      <c r="J99" s="288">
        <f t="shared" ref="J99:J100" si="46">Edate(I99,1)</f>
        <v>45424</v>
      </c>
      <c r="K99" s="289">
        <f t="shared" si="39"/>
        <v>1</v>
      </c>
      <c r="L99" s="297">
        <f t="shared" si="40"/>
        <v>-743</v>
      </c>
      <c r="M99" s="287"/>
      <c r="N99" s="284"/>
      <c r="O99" s="284"/>
      <c r="P99" s="284"/>
      <c r="Q99" s="284"/>
      <c r="R99" s="284"/>
      <c r="S99" s="284"/>
      <c r="T99" s="284"/>
      <c r="U99" s="284"/>
      <c r="V99" s="284"/>
      <c r="W99" s="284"/>
      <c r="X99" s="284"/>
      <c r="Y99" s="284"/>
      <c r="Z99" s="284"/>
      <c r="AA99" s="284"/>
    </row>
    <row r="100">
      <c r="A100" s="284"/>
      <c r="B100" s="284" t="s">
        <v>2259</v>
      </c>
      <c r="C100" s="285" t="str">
        <f t="shared" si="37"/>
        <v>x</v>
      </c>
      <c r="D100" s="297">
        <v>1.0</v>
      </c>
      <c r="E100" s="297">
        <v>15000.0</v>
      </c>
      <c r="F100" s="297">
        <f t="shared" ref="F100:F101" si="47">D100*E100</f>
        <v>15000</v>
      </c>
      <c r="G100" s="297">
        <f t="shared" ref="G100:G102" si="48">F100*$Q$7</f>
        <v>4500</v>
      </c>
      <c r="H100" s="297">
        <v>0.0</v>
      </c>
      <c r="I100" s="288">
        <v>45395.0</v>
      </c>
      <c r="J100" s="288">
        <f t="shared" si="46"/>
        <v>45425</v>
      </c>
      <c r="K100" s="289">
        <f t="shared" si="39"/>
        <v>1</v>
      </c>
      <c r="L100" s="297">
        <f t="shared" si="40"/>
        <v>-742</v>
      </c>
      <c r="M100" s="287"/>
      <c r="N100" s="284"/>
      <c r="O100" s="284"/>
      <c r="P100" s="284"/>
      <c r="Q100" s="284"/>
      <c r="R100" s="284"/>
      <c r="S100" s="284"/>
      <c r="T100" s="284"/>
      <c r="U100" s="284"/>
      <c r="V100" s="284"/>
      <c r="W100" s="284"/>
      <c r="X100" s="284"/>
      <c r="Y100" s="284"/>
      <c r="Z100" s="284"/>
      <c r="AA100" s="284"/>
    </row>
    <row r="101">
      <c r="A101" s="284"/>
      <c r="B101" s="284" t="s">
        <v>2267</v>
      </c>
      <c r="C101" s="285" t="str">
        <f t="shared" si="37"/>
        <v>x</v>
      </c>
      <c r="D101" s="297">
        <v>3.0</v>
      </c>
      <c r="E101" s="297">
        <v>3000.0</v>
      </c>
      <c r="F101" s="297">
        <f t="shared" si="47"/>
        <v>9000</v>
      </c>
      <c r="G101" s="297">
        <f t="shared" si="48"/>
        <v>2700</v>
      </c>
      <c r="H101" s="297">
        <v>0.0</v>
      </c>
      <c r="I101" s="286"/>
      <c r="J101" s="286"/>
      <c r="K101" s="284" t="str">
        <f t="shared" si="39"/>
        <v/>
      </c>
      <c r="L101" s="285" t="str">
        <f t="shared" si="40"/>
        <v/>
      </c>
      <c r="M101" s="287" t="s">
        <v>2268</v>
      </c>
      <c r="N101" s="284"/>
      <c r="O101" s="284"/>
      <c r="P101" s="284"/>
      <c r="Q101" s="284"/>
      <c r="R101" s="284"/>
      <c r="S101" s="284"/>
      <c r="T101" s="284"/>
      <c r="U101" s="284"/>
      <c r="V101" s="284"/>
      <c r="W101" s="284"/>
      <c r="X101" s="284"/>
      <c r="Y101" s="284"/>
      <c r="Z101" s="284"/>
      <c r="AA101" s="284"/>
    </row>
    <row r="102">
      <c r="A102" s="284"/>
      <c r="B102" s="284" t="s">
        <v>2263</v>
      </c>
      <c r="C102" s="285" t="str">
        <f t="shared" si="37"/>
        <v>x</v>
      </c>
      <c r="D102" s="297">
        <v>1.0</v>
      </c>
      <c r="E102" s="297">
        <v>-13340.0</v>
      </c>
      <c r="F102" s="297">
        <v>-13340.0</v>
      </c>
      <c r="G102" s="297">
        <f t="shared" si="48"/>
        <v>-4002</v>
      </c>
      <c r="H102" s="297">
        <v>0.0</v>
      </c>
      <c r="I102" s="286"/>
      <c r="J102" s="286"/>
      <c r="K102" s="284" t="str">
        <f t="shared" si="39"/>
        <v/>
      </c>
      <c r="L102" s="285" t="str">
        <f t="shared" si="40"/>
        <v/>
      </c>
      <c r="M102" s="287"/>
      <c r="N102" s="284"/>
      <c r="O102" s="284"/>
      <c r="P102" s="284"/>
      <c r="Q102" s="284"/>
      <c r="R102" s="284"/>
      <c r="S102" s="284"/>
      <c r="T102" s="284"/>
      <c r="U102" s="284"/>
      <c r="V102" s="284"/>
      <c r="W102" s="284"/>
      <c r="X102" s="284"/>
      <c r="Y102" s="284"/>
      <c r="Z102" s="284"/>
      <c r="AA102" s="284"/>
    </row>
    <row r="103">
      <c r="A103" s="284"/>
      <c r="B103" s="284"/>
      <c r="C103" s="285" t="str">
        <f t="shared" si="37"/>
        <v/>
      </c>
      <c r="D103" s="285"/>
      <c r="E103" s="285"/>
      <c r="F103" s="285"/>
      <c r="G103" s="285"/>
      <c r="H103" s="285"/>
      <c r="I103" s="286"/>
      <c r="J103" s="286"/>
      <c r="K103" s="285"/>
      <c r="L103" s="285" t="str">
        <f t="shared" si="40"/>
        <v/>
      </c>
      <c r="M103" s="287"/>
      <c r="N103" s="284"/>
      <c r="O103" s="284"/>
      <c r="P103" s="284"/>
      <c r="Q103" s="284"/>
      <c r="R103" s="284"/>
      <c r="S103" s="284"/>
      <c r="T103" s="284"/>
      <c r="U103" s="284"/>
      <c r="V103" s="284"/>
      <c r="W103" s="284"/>
      <c r="X103" s="284"/>
      <c r="Y103" s="284"/>
      <c r="Z103" s="284"/>
      <c r="AA103" s="284"/>
    </row>
    <row r="104">
      <c r="A104" s="284"/>
      <c r="B104" s="284"/>
      <c r="C104" s="285" t="str">
        <f t="shared" si="37"/>
        <v/>
      </c>
      <c r="D104" s="285"/>
      <c r="E104" s="285"/>
      <c r="F104" s="285"/>
      <c r="G104" s="285"/>
      <c r="H104" s="285"/>
      <c r="I104" s="286"/>
      <c r="J104" s="286"/>
      <c r="K104" s="285"/>
      <c r="L104" s="285" t="str">
        <f t="shared" si="40"/>
        <v/>
      </c>
      <c r="M104" s="287"/>
      <c r="N104" s="284"/>
      <c r="O104" s="284"/>
      <c r="P104" s="284"/>
      <c r="Q104" s="284"/>
      <c r="R104" s="284"/>
      <c r="S104" s="284"/>
      <c r="T104" s="284"/>
      <c r="U104" s="284"/>
      <c r="V104" s="284"/>
      <c r="W104" s="284"/>
      <c r="X104" s="284"/>
      <c r="Y104" s="284"/>
      <c r="Z104" s="284"/>
      <c r="AA104" s="284"/>
    </row>
    <row r="105">
      <c r="A105" s="284"/>
      <c r="B105" s="284"/>
      <c r="C105" s="285" t="str">
        <f t="shared" si="37"/>
        <v/>
      </c>
      <c r="D105" s="285"/>
      <c r="E105" s="285"/>
      <c r="F105" s="285"/>
      <c r="G105" s="285"/>
      <c r="H105" s="285"/>
      <c r="I105" s="286"/>
      <c r="J105" s="286"/>
      <c r="K105" s="285"/>
      <c r="L105" s="285" t="str">
        <f t="shared" si="40"/>
        <v/>
      </c>
      <c r="M105" s="287"/>
      <c r="N105" s="284"/>
      <c r="O105" s="284"/>
      <c r="P105" s="284"/>
      <c r="Q105" s="284"/>
      <c r="R105" s="284"/>
      <c r="S105" s="284"/>
      <c r="T105" s="284"/>
      <c r="U105" s="284"/>
      <c r="V105" s="284"/>
      <c r="W105" s="284"/>
      <c r="X105" s="284"/>
      <c r="Y105" s="284"/>
      <c r="Z105" s="284"/>
      <c r="AA105" s="284"/>
    </row>
    <row r="106">
      <c r="A106" s="284"/>
      <c r="B106" s="284"/>
      <c r="C106" s="285" t="str">
        <f t="shared" si="37"/>
        <v/>
      </c>
      <c r="D106" s="285"/>
      <c r="E106" s="285"/>
      <c r="F106" s="285"/>
      <c r="G106" s="285"/>
      <c r="H106" s="285"/>
      <c r="I106" s="286"/>
      <c r="J106" s="286"/>
      <c r="K106" s="285"/>
      <c r="L106" s="285" t="str">
        <f t="shared" si="40"/>
        <v/>
      </c>
      <c r="M106" s="287"/>
      <c r="N106" s="284"/>
      <c r="O106" s="284"/>
      <c r="P106" s="284"/>
      <c r="Q106" s="284"/>
      <c r="R106" s="284"/>
      <c r="S106" s="284"/>
      <c r="T106" s="284"/>
      <c r="U106" s="284"/>
      <c r="V106" s="284"/>
      <c r="W106" s="284"/>
      <c r="X106" s="284"/>
      <c r="Y106" s="284"/>
      <c r="Z106" s="284"/>
      <c r="AA106" s="284"/>
    </row>
    <row r="107">
      <c r="A107" s="284"/>
      <c r="B107" s="284"/>
      <c r="C107" s="285" t="str">
        <f t="shared" si="37"/>
        <v/>
      </c>
      <c r="D107" s="285"/>
      <c r="E107" s="285"/>
      <c r="F107" s="285"/>
      <c r="G107" s="285"/>
      <c r="H107" s="285"/>
      <c r="I107" s="286"/>
      <c r="J107" s="286"/>
      <c r="K107" s="285"/>
      <c r="L107" s="285" t="str">
        <f t="shared" si="40"/>
        <v/>
      </c>
      <c r="M107" s="287"/>
      <c r="N107" s="284"/>
      <c r="O107" s="284"/>
      <c r="P107" s="284"/>
      <c r="Q107" s="284"/>
      <c r="R107" s="284"/>
      <c r="S107" s="284"/>
      <c r="T107" s="284"/>
      <c r="U107" s="284"/>
      <c r="V107" s="284"/>
      <c r="W107" s="284"/>
      <c r="X107" s="284"/>
      <c r="Y107" s="284"/>
      <c r="Z107" s="284"/>
      <c r="AA107" s="284"/>
    </row>
    <row r="108">
      <c r="A108" s="284"/>
      <c r="B108" s="293" t="s">
        <v>2246</v>
      </c>
      <c r="C108" s="289">
        <f>countif(C91:C107,"x")</f>
        <v>5</v>
      </c>
      <c r="D108" s="285"/>
      <c r="E108" s="285"/>
      <c r="F108" s="285" t="s">
        <v>874</v>
      </c>
      <c r="G108" s="297">
        <f t="shared" ref="G108:H108" si="49">sum(G91:G107)</f>
        <v>11341.665</v>
      </c>
      <c r="H108" s="297">
        <f t="shared" si="49"/>
        <v>0</v>
      </c>
      <c r="I108" s="286"/>
      <c r="J108" s="286"/>
      <c r="K108" s="285"/>
      <c r="L108" s="284"/>
      <c r="M108" s="287"/>
      <c r="N108" s="284"/>
      <c r="O108" s="284"/>
      <c r="P108" s="284"/>
      <c r="Q108" s="284"/>
      <c r="R108" s="284"/>
      <c r="S108" s="284"/>
      <c r="T108" s="284"/>
      <c r="U108" s="284"/>
      <c r="V108" s="284"/>
      <c r="W108" s="284"/>
      <c r="X108" s="284"/>
      <c r="Y108" s="284"/>
      <c r="Z108" s="284"/>
      <c r="AA108" s="284"/>
    </row>
    <row r="109">
      <c r="A109" s="284"/>
      <c r="B109" s="284"/>
      <c r="C109" s="285" t="str">
        <f>if(G109=0,"","x")</f>
        <v/>
      </c>
      <c r="D109" s="285"/>
      <c r="E109" s="285"/>
      <c r="F109" s="285" t="s">
        <v>2247</v>
      </c>
      <c r="G109" s="285"/>
      <c r="H109" s="297">
        <f>H108+H85</f>
        <v>0</v>
      </c>
      <c r="I109" s="286"/>
      <c r="J109" s="286"/>
      <c r="K109" s="285"/>
      <c r="L109" s="284"/>
      <c r="M109" s="287"/>
      <c r="N109" s="284"/>
      <c r="O109" s="284"/>
      <c r="P109" s="284"/>
      <c r="Q109" s="284"/>
      <c r="R109" s="284"/>
      <c r="S109" s="284"/>
      <c r="T109" s="284"/>
      <c r="U109" s="284"/>
      <c r="V109" s="284"/>
      <c r="W109" s="284"/>
      <c r="X109" s="284"/>
      <c r="Y109" s="284"/>
      <c r="Z109" s="284"/>
      <c r="AA109" s="284"/>
    </row>
    <row r="110">
      <c r="A110" s="284"/>
      <c r="B110" s="284"/>
      <c r="C110" s="285"/>
      <c r="D110" s="285"/>
      <c r="E110" s="285"/>
      <c r="F110" s="285"/>
      <c r="G110" s="285"/>
      <c r="H110" s="285"/>
      <c r="I110" s="286"/>
      <c r="J110" s="286"/>
      <c r="K110" s="285"/>
      <c r="L110" s="284"/>
      <c r="M110" s="287"/>
      <c r="N110" s="284"/>
      <c r="O110" s="284"/>
      <c r="P110" s="284"/>
      <c r="Q110" s="284"/>
      <c r="R110" s="284"/>
      <c r="S110" s="284"/>
      <c r="T110" s="284"/>
      <c r="U110" s="284"/>
      <c r="V110" s="284"/>
      <c r="W110" s="284"/>
      <c r="X110" s="284"/>
      <c r="Y110" s="284"/>
      <c r="Z110" s="284"/>
      <c r="AA110" s="284"/>
    </row>
    <row r="111">
      <c r="A111" s="284"/>
      <c r="B111" s="284"/>
      <c r="C111" s="285"/>
      <c r="D111" s="285"/>
      <c r="E111" s="285"/>
      <c r="F111" s="285"/>
      <c r="G111" s="285"/>
      <c r="H111" s="285"/>
      <c r="I111" s="286"/>
      <c r="J111" s="286"/>
      <c r="K111" s="285"/>
      <c r="L111" s="284"/>
      <c r="M111" s="287"/>
      <c r="N111" s="284"/>
      <c r="O111" s="284"/>
      <c r="P111" s="284"/>
      <c r="Q111" s="284"/>
      <c r="R111" s="284"/>
      <c r="S111" s="284"/>
      <c r="T111" s="284"/>
      <c r="U111" s="284"/>
      <c r="V111" s="284"/>
      <c r="W111" s="284"/>
      <c r="X111" s="284"/>
      <c r="Y111" s="284"/>
      <c r="Z111" s="284"/>
      <c r="AA111" s="284"/>
    </row>
    <row r="112">
      <c r="A112" s="284"/>
      <c r="B112" s="290" t="s">
        <v>2344</v>
      </c>
      <c r="C112" s="285"/>
      <c r="D112" s="285"/>
      <c r="E112" s="285"/>
      <c r="F112" s="285"/>
      <c r="G112" s="285"/>
      <c r="H112" s="285"/>
      <c r="I112" s="286"/>
      <c r="J112" s="286" t="s">
        <v>2233</v>
      </c>
      <c r="K112" s="291">
        <f> Today()</f>
        <v>46167</v>
      </c>
      <c r="L112" s="285"/>
      <c r="M112" s="287"/>
      <c r="N112" s="284"/>
      <c r="O112" s="284"/>
      <c r="P112" s="284"/>
      <c r="Q112" s="284"/>
      <c r="R112" s="284"/>
      <c r="S112" s="284"/>
      <c r="T112" s="284"/>
      <c r="U112" s="284"/>
      <c r="V112" s="284"/>
      <c r="W112" s="284"/>
      <c r="X112" s="284"/>
      <c r="Y112" s="284"/>
      <c r="Z112" s="284"/>
      <c r="AA112" s="284"/>
    </row>
    <row r="113">
      <c r="A113" s="293" t="s">
        <v>181</v>
      </c>
      <c r="B113" s="293" t="s">
        <v>2216</v>
      </c>
      <c r="C113" s="294" t="s">
        <v>131</v>
      </c>
      <c r="D113" s="294" t="s">
        <v>2217</v>
      </c>
      <c r="E113" s="294" t="s">
        <v>8</v>
      </c>
      <c r="F113" s="294" t="s">
        <v>873</v>
      </c>
      <c r="G113" s="294" t="s">
        <v>17</v>
      </c>
      <c r="H113" s="294" t="s">
        <v>874</v>
      </c>
      <c r="I113" s="295" t="s">
        <v>2218</v>
      </c>
      <c r="J113" s="295" t="s">
        <v>876</v>
      </c>
      <c r="K113" s="293" t="s">
        <v>877</v>
      </c>
      <c r="L113" s="294" t="s">
        <v>878</v>
      </c>
      <c r="M113" s="296" t="s">
        <v>2219</v>
      </c>
      <c r="N113" s="293" t="s">
        <v>2220</v>
      </c>
      <c r="O113" s="284"/>
      <c r="P113" s="284"/>
      <c r="Q113" s="284"/>
      <c r="R113" s="284"/>
      <c r="S113" s="284"/>
      <c r="T113" s="284"/>
      <c r="U113" s="284"/>
      <c r="V113" s="284"/>
      <c r="W113" s="284"/>
      <c r="X113" s="284"/>
      <c r="Y113" s="284"/>
      <c r="Z113" s="284"/>
      <c r="AA113" s="284"/>
    </row>
    <row r="114">
      <c r="A114" s="284"/>
      <c r="B114" s="284" t="s">
        <v>2249</v>
      </c>
      <c r="C114" s="285" t="str">
        <f t="shared" ref="C114:C128" si="50">if(OR(G114=0,G114=""),"","x")</f>
        <v>x</v>
      </c>
      <c r="D114" s="297">
        <v>3.0</v>
      </c>
      <c r="E114" s="297">
        <v>100.0</v>
      </c>
      <c r="F114" s="297">
        <f>D114*E114</f>
        <v>300</v>
      </c>
      <c r="G114" s="297">
        <f>F114*Q$8</f>
        <v>6648</v>
      </c>
      <c r="H114" s="297">
        <f>G114</f>
        <v>6648</v>
      </c>
      <c r="I114" s="288">
        <v>45432.0</v>
      </c>
      <c r="J114" s="288">
        <f t="shared" ref="J114:J116" si="51">Edate(I114,1)</f>
        <v>45463</v>
      </c>
      <c r="K114" s="289">
        <f t="shared" ref="K114:K122" si="52">if(J114="","",if(H114=0,1,0))</f>
        <v>0</v>
      </c>
      <c r="L114" s="297">
        <f t="shared" ref="L114:L128" si="53">if(J114="","",J114-$K$6)</f>
        <v>-704</v>
      </c>
      <c r="M114" s="287"/>
      <c r="N114" s="284"/>
      <c r="O114" s="284"/>
      <c r="P114" s="284"/>
      <c r="Q114" s="284"/>
      <c r="R114" s="284"/>
      <c r="S114" s="284"/>
      <c r="T114" s="284"/>
      <c r="U114" s="284"/>
      <c r="V114" s="284"/>
      <c r="W114" s="284"/>
      <c r="X114" s="284"/>
      <c r="Y114" s="284"/>
      <c r="Z114" s="284"/>
      <c r="AA114" s="284"/>
    </row>
    <row r="115">
      <c r="A115" s="284"/>
      <c r="B115" s="284" t="s">
        <v>2251</v>
      </c>
      <c r="C115" s="285" t="str">
        <f t="shared" si="50"/>
        <v>x</v>
      </c>
      <c r="D115" s="297">
        <v>7.0</v>
      </c>
      <c r="E115" s="297">
        <v>5.0</v>
      </c>
      <c r="F115" s="297">
        <v>35.0</v>
      </c>
      <c r="G115" s="297">
        <f t="shared" ref="G115:G116" si="54">F115*$Q$5</f>
        <v>2908.885</v>
      </c>
      <c r="H115" s="297">
        <v>0.0</v>
      </c>
      <c r="I115" s="288">
        <v>45413.0</v>
      </c>
      <c r="J115" s="288">
        <f t="shared" si="51"/>
        <v>45444</v>
      </c>
      <c r="K115" s="289">
        <f t="shared" si="52"/>
        <v>1</v>
      </c>
      <c r="L115" s="297">
        <f t="shared" si="53"/>
        <v>-723</v>
      </c>
      <c r="M115" s="298">
        <v>45458.0</v>
      </c>
      <c r="N115" s="284"/>
      <c r="O115" s="284"/>
      <c r="P115" s="284"/>
      <c r="Q115" s="284"/>
      <c r="R115" s="284"/>
      <c r="S115" s="284"/>
      <c r="T115" s="284"/>
      <c r="U115" s="284"/>
      <c r="V115" s="284"/>
      <c r="W115" s="284"/>
      <c r="X115" s="284"/>
      <c r="Y115" s="284"/>
      <c r="Z115" s="284"/>
      <c r="AA115" s="284"/>
    </row>
    <row r="116">
      <c r="A116" s="284"/>
      <c r="B116" s="284" t="s">
        <v>2254</v>
      </c>
      <c r="C116" s="285" t="str">
        <f t="shared" si="50"/>
        <v>x</v>
      </c>
      <c r="D116" s="297">
        <v>6.0</v>
      </c>
      <c r="E116" s="297">
        <v>3.0</v>
      </c>
      <c r="F116" s="297">
        <f t="shared" ref="F116:F118" si="55">D116*E116</f>
        <v>18</v>
      </c>
      <c r="G116" s="297">
        <f t="shared" si="54"/>
        <v>1495.998</v>
      </c>
      <c r="H116" s="297">
        <v>0.0</v>
      </c>
      <c r="I116" s="288">
        <v>45413.0</v>
      </c>
      <c r="J116" s="288">
        <f t="shared" si="51"/>
        <v>45444</v>
      </c>
      <c r="K116" s="289">
        <f t="shared" si="52"/>
        <v>1</v>
      </c>
      <c r="L116" s="297">
        <f t="shared" si="53"/>
        <v>-723</v>
      </c>
      <c r="M116" s="298">
        <v>45458.0</v>
      </c>
      <c r="N116" s="284"/>
      <c r="O116" s="284"/>
      <c r="P116" s="284"/>
      <c r="Q116" s="284"/>
      <c r="R116" s="284"/>
      <c r="S116" s="284"/>
      <c r="T116" s="284"/>
      <c r="U116" s="284"/>
      <c r="V116" s="284"/>
      <c r="W116" s="284"/>
      <c r="X116" s="284"/>
      <c r="Y116" s="284"/>
      <c r="Z116" s="284"/>
      <c r="AA116" s="284"/>
    </row>
    <row r="117">
      <c r="A117" s="284"/>
      <c r="B117" s="284" t="s">
        <v>2255</v>
      </c>
      <c r="C117" s="285" t="str">
        <f t="shared" si="50"/>
        <v/>
      </c>
      <c r="D117" s="297">
        <v>0.0</v>
      </c>
      <c r="E117" s="297">
        <v>1500.0</v>
      </c>
      <c r="F117" s="297">
        <f t="shared" si="55"/>
        <v>0</v>
      </c>
      <c r="G117" s="297">
        <f>F117*$Q$7</f>
        <v>0</v>
      </c>
      <c r="H117" s="297">
        <f>G117</f>
        <v>0</v>
      </c>
      <c r="I117" s="286"/>
      <c r="J117" s="286"/>
      <c r="K117" s="284" t="str">
        <f t="shared" si="52"/>
        <v/>
      </c>
      <c r="L117" s="285" t="str">
        <f t="shared" si="53"/>
        <v/>
      </c>
      <c r="M117" s="287"/>
      <c r="N117" s="284"/>
      <c r="O117" s="284"/>
      <c r="P117" s="284"/>
      <c r="Q117" s="284"/>
      <c r="R117" s="284"/>
      <c r="S117" s="284"/>
      <c r="T117" s="284"/>
      <c r="U117" s="284"/>
      <c r="V117" s="284"/>
      <c r="W117" s="284"/>
      <c r="X117" s="284"/>
      <c r="Y117" s="284"/>
      <c r="Z117" s="284"/>
      <c r="AA117" s="284"/>
    </row>
    <row r="118">
      <c r="A118" s="284"/>
      <c r="B118" s="284" t="s">
        <v>2256</v>
      </c>
      <c r="C118" s="285" t="str">
        <f t="shared" si="50"/>
        <v/>
      </c>
      <c r="D118" s="297">
        <v>0.0</v>
      </c>
      <c r="E118" s="297">
        <v>500.0</v>
      </c>
      <c r="F118" s="297">
        <f t="shared" si="55"/>
        <v>0</v>
      </c>
      <c r="G118" s="297">
        <f t="shared" ref="G118:H118" si="56">F118</f>
        <v>0</v>
      </c>
      <c r="H118" s="297">
        <f t="shared" si="56"/>
        <v>0</v>
      </c>
      <c r="I118" s="286"/>
      <c r="J118" s="286"/>
      <c r="K118" s="284" t="str">
        <f t="shared" si="52"/>
        <v/>
      </c>
      <c r="L118" s="285" t="str">
        <f t="shared" si="53"/>
        <v/>
      </c>
      <c r="M118" s="287"/>
      <c r="N118" s="284"/>
      <c r="O118" s="284"/>
      <c r="P118" s="284"/>
      <c r="Q118" s="284"/>
      <c r="R118" s="284"/>
      <c r="S118" s="284"/>
      <c r="T118" s="284"/>
      <c r="U118" s="284"/>
      <c r="V118" s="284"/>
      <c r="W118" s="284"/>
      <c r="X118" s="284"/>
      <c r="Y118" s="284"/>
      <c r="Z118" s="284"/>
      <c r="AA118" s="284"/>
    </row>
    <row r="119">
      <c r="A119" s="301" t="s">
        <v>2269</v>
      </c>
      <c r="B119" s="284" t="s">
        <v>2257</v>
      </c>
      <c r="C119" s="285" t="str">
        <f t="shared" si="50"/>
        <v>x</v>
      </c>
      <c r="D119" s="297">
        <v>24.0</v>
      </c>
      <c r="E119" s="297">
        <v>22.0</v>
      </c>
      <c r="F119" s="297">
        <v>462.0</v>
      </c>
      <c r="G119" s="297">
        <f t="shared" ref="G119:G120" si="57">F119*$Q$6</f>
        <v>8778</v>
      </c>
      <c r="H119" s="297">
        <v>0.0</v>
      </c>
      <c r="I119" s="288">
        <v>45413.0</v>
      </c>
      <c r="J119" s="288">
        <v>45444.0</v>
      </c>
      <c r="K119" s="289">
        <f t="shared" si="52"/>
        <v>1</v>
      </c>
      <c r="L119" s="297">
        <f t="shared" si="53"/>
        <v>-723</v>
      </c>
      <c r="M119" s="298">
        <v>45458.0</v>
      </c>
      <c r="N119" s="284"/>
      <c r="O119" s="284"/>
      <c r="P119" s="284"/>
      <c r="Q119" s="284"/>
      <c r="R119" s="284"/>
      <c r="S119" s="284"/>
      <c r="T119" s="284"/>
      <c r="U119" s="284"/>
      <c r="V119" s="284"/>
      <c r="W119" s="284"/>
      <c r="X119" s="284"/>
      <c r="Y119" s="284"/>
      <c r="Z119" s="284"/>
      <c r="AA119" s="284"/>
    </row>
    <row r="120">
      <c r="A120" s="284"/>
      <c r="B120" s="284" t="s">
        <v>2258</v>
      </c>
      <c r="C120" s="285" t="str">
        <f t="shared" si="50"/>
        <v/>
      </c>
      <c r="D120" s="297">
        <v>0.0</v>
      </c>
      <c r="E120" s="297">
        <v>0.0</v>
      </c>
      <c r="F120" s="297">
        <v>0.0</v>
      </c>
      <c r="G120" s="297">
        <f t="shared" si="57"/>
        <v>0</v>
      </c>
      <c r="H120" s="297">
        <f>G120</f>
        <v>0</v>
      </c>
      <c r="I120" s="288">
        <v>45424.0</v>
      </c>
      <c r="J120" s="288">
        <f t="shared" ref="J120:J121" si="58">Edate(I120,1)</f>
        <v>45455</v>
      </c>
      <c r="K120" s="289">
        <f t="shared" si="52"/>
        <v>1</v>
      </c>
      <c r="L120" s="297">
        <f t="shared" si="53"/>
        <v>-712</v>
      </c>
      <c r="M120" s="287"/>
      <c r="N120" s="284"/>
      <c r="O120" s="284"/>
      <c r="P120" s="284"/>
      <c r="Q120" s="284"/>
      <c r="R120" s="284"/>
      <c r="S120" s="284"/>
      <c r="T120" s="284"/>
      <c r="U120" s="284"/>
      <c r="V120" s="284"/>
      <c r="W120" s="284"/>
      <c r="X120" s="284"/>
      <c r="Y120" s="284"/>
      <c r="Z120" s="284"/>
      <c r="AA120" s="284"/>
    </row>
    <row r="121">
      <c r="A121" s="284"/>
      <c r="B121" s="284" t="s">
        <v>2259</v>
      </c>
      <c r="C121" s="285" t="str">
        <f t="shared" si="50"/>
        <v>x</v>
      </c>
      <c r="D121" s="297">
        <v>1.0</v>
      </c>
      <c r="E121" s="297">
        <v>15000.0</v>
      </c>
      <c r="F121" s="297">
        <v>15000.0</v>
      </c>
      <c r="G121" s="297">
        <f t="shared" ref="G121:G122" si="59">F121*$Q$7</f>
        <v>4500</v>
      </c>
      <c r="H121" s="297">
        <v>0.0</v>
      </c>
      <c r="I121" s="288">
        <v>45425.0</v>
      </c>
      <c r="J121" s="288">
        <f t="shared" si="58"/>
        <v>45456</v>
      </c>
      <c r="K121" s="289">
        <f t="shared" si="52"/>
        <v>1</v>
      </c>
      <c r="L121" s="297">
        <f t="shared" si="53"/>
        <v>-711</v>
      </c>
      <c r="M121" s="298">
        <v>45458.0</v>
      </c>
      <c r="N121" s="284"/>
      <c r="O121" s="284"/>
      <c r="P121" s="284"/>
      <c r="Q121" s="284"/>
      <c r="R121" s="284"/>
      <c r="S121" s="284"/>
      <c r="T121" s="284"/>
      <c r="U121" s="284"/>
      <c r="V121" s="284"/>
      <c r="W121" s="284"/>
      <c r="X121" s="284"/>
      <c r="Y121" s="284"/>
      <c r="Z121" s="284"/>
      <c r="AA121" s="284"/>
    </row>
    <row r="122">
      <c r="A122" s="284"/>
      <c r="B122" s="284" t="s">
        <v>2267</v>
      </c>
      <c r="C122" s="285" t="str">
        <f t="shared" si="50"/>
        <v/>
      </c>
      <c r="D122" s="297">
        <v>0.0</v>
      </c>
      <c r="E122" s="297">
        <v>3000.0</v>
      </c>
      <c r="F122" s="297">
        <v>0.0</v>
      </c>
      <c r="G122" s="297">
        <f t="shared" si="59"/>
        <v>0</v>
      </c>
      <c r="H122" s="297">
        <f>G122</f>
        <v>0</v>
      </c>
      <c r="I122" s="286"/>
      <c r="J122" s="286"/>
      <c r="K122" s="284" t="str">
        <f t="shared" si="52"/>
        <v/>
      </c>
      <c r="L122" s="285" t="str">
        <f t="shared" si="53"/>
        <v/>
      </c>
      <c r="M122" s="287"/>
      <c r="N122" s="284"/>
      <c r="O122" s="284"/>
      <c r="P122" s="284"/>
      <c r="Q122" s="284"/>
      <c r="R122" s="284"/>
      <c r="S122" s="284"/>
      <c r="T122" s="284"/>
      <c r="U122" s="284"/>
      <c r="V122" s="284"/>
      <c r="W122" s="284"/>
      <c r="X122" s="284"/>
      <c r="Y122" s="284"/>
      <c r="Z122" s="284"/>
      <c r="AA122" s="284"/>
    </row>
    <row r="123">
      <c r="A123" s="284"/>
      <c r="B123" s="284"/>
      <c r="C123" s="285" t="str">
        <f t="shared" si="50"/>
        <v/>
      </c>
      <c r="D123" s="285"/>
      <c r="E123" s="285"/>
      <c r="F123" s="285"/>
      <c r="G123" s="285"/>
      <c r="H123" s="285"/>
      <c r="I123" s="286"/>
      <c r="J123" s="286"/>
      <c r="K123" s="284"/>
      <c r="L123" s="285" t="str">
        <f t="shared" si="53"/>
        <v/>
      </c>
      <c r="M123" s="287"/>
      <c r="N123" s="284"/>
      <c r="O123" s="284"/>
      <c r="P123" s="284"/>
      <c r="Q123" s="284"/>
      <c r="R123" s="284"/>
      <c r="S123" s="284"/>
      <c r="T123" s="284"/>
      <c r="U123" s="284"/>
      <c r="V123" s="284"/>
      <c r="W123" s="284"/>
      <c r="X123" s="284"/>
      <c r="Y123" s="284"/>
      <c r="Z123" s="284"/>
      <c r="AA123" s="284"/>
    </row>
    <row r="124">
      <c r="A124" s="284"/>
      <c r="B124" s="284"/>
      <c r="C124" s="285" t="str">
        <f t="shared" si="50"/>
        <v/>
      </c>
      <c r="D124" s="285"/>
      <c r="E124" s="285"/>
      <c r="F124" s="285"/>
      <c r="G124" s="285"/>
      <c r="H124" s="285"/>
      <c r="I124" s="286"/>
      <c r="J124" s="286"/>
      <c r="K124" s="285"/>
      <c r="L124" s="285" t="str">
        <f t="shared" si="53"/>
        <v/>
      </c>
      <c r="M124" s="287"/>
      <c r="N124" s="284"/>
      <c r="O124" s="284"/>
      <c r="P124" s="284"/>
      <c r="Q124" s="284"/>
      <c r="R124" s="284"/>
      <c r="S124" s="284"/>
      <c r="T124" s="284"/>
      <c r="U124" s="284"/>
      <c r="V124" s="284"/>
      <c r="W124" s="284"/>
      <c r="X124" s="284"/>
      <c r="Y124" s="284"/>
      <c r="Z124" s="284"/>
      <c r="AA124" s="284"/>
    </row>
    <row r="125">
      <c r="A125" s="284"/>
      <c r="B125" s="284"/>
      <c r="C125" s="285" t="str">
        <f t="shared" si="50"/>
        <v/>
      </c>
      <c r="D125" s="285"/>
      <c r="E125" s="285"/>
      <c r="F125" s="285"/>
      <c r="G125" s="285"/>
      <c r="H125" s="285"/>
      <c r="I125" s="286"/>
      <c r="J125" s="286"/>
      <c r="K125" s="285"/>
      <c r="L125" s="285" t="str">
        <f t="shared" si="53"/>
        <v/>
      </c>
      <c r="M125" s="287"/>
      <c r="N125" s="284"/>
      <c r="O125" s="284"/>
      <c r="P125" s="284"/>
      <c r="Q125" s="284"/>
      <c r="R125" s="284"/>
      <c r="S125" s="284"/>
      <c r="T125" s="284"/>
      <c r="U125" s="284"/>
      <c r="V125" s="284"/>
      <c r="W125" s="284"/>
      <c r="X125" s="284"/>
      <c r="Y125" s="284"/>
      <c r="Z125" s="284"/>
      <c r="AA125" s="284"/>
    </row>
    <row r="126">
      <c r="A126" s="284"/>
      <c r="B126" s="284"/>
      <c r="C126" s="285" t="str">
        <f t="shared" si="50"/>
        <v/>
      </c>
      <c r="D126" s="285"/>
      <c r="E126" s="285"/>
      <c r="F126" s="285"/>
      <c r="G126" s="285"/>
      <c r="H126" s="285"/>
      <c r="I126" s="286"/>
      <c r="J126" s="286"/>
      <c r="K126" s="285"/>
      <c r="L126" s="285" t="str">
        <f t="shared" si="53"/>
        <v/>
      </c>
      <c r="M126" s="287"/>
      <c r="N126" s="284"/>
      <c r="O126" s="284"/>
      <c r="P126" s="284"/>
      <c r="Q126" s="284"/>
      <c r="R126" s="284"/>
      <c r="S126" s="284"/>
      <c r="T126" s="284"/>
      <c r="U126" s="284"/>
      <c r="V126" s="284"/>
      <c r="W126" s="284"/>
      <c r="X126" s="284"/>
      <c r="Y126" s="284"/>
      <c r="Z126" s="284"/>
      <c r="AA126" s="284"/>
    </row>
    <row r="127">
      <c r="A127" s="284"/>
      <c r="B127" s="284"/>
      <c r="C127" s="285" t="str">
        <f t="shared" si="50"/>
        <v/>
      </c>
      <c r="D127" s="285"/>
      <c r="E127" s="285"/>
      <c r="F127" s="285"/>
      <c r="G127" s="285"/>
      <c r="H127" s="285"/>
      <c r="I127" s="286"/>
      <c r="J127" s="286"/>
      <c r="K127" s="285"/>
      <c r="L127" s="285" t="str">
        <f t="shared" si="53"/>
        <v/>
      </c>
      <c r="M127" s="287"/>
      <c r="N127" s="284"/>
      <c r="O127" s="284"/>
      <c r="P127" s="284"/>
      <c r="Q127" s="284"/>
      <c r="R127" s="284"/>
      <c r="S127" s="284"/>
      <c r="T127" s="284"/>
      <c r="U127" s="284"/>
      <c r="V127" s="284"/>
      <c r="W127" s="284"/>
      <c r="X127" s="284"/>
      <c r="Y127" s="284"/>
      <c r="Z127" s="284"/>
      <c r="AA127" s="284"/>
    </row>
    <row r="128">
      <c r="A128" s="284"/>
      <c r="B128" s="284"/>
      <c r="C128" s="285" t="str">
        <f t="shared" si="50"/>
        <v/>
      </c>
      <c r="D128" s="285"/>
      <c r="E128" s="285"/>
      <c r="F128" s="285"/>
      <c r="G128" s="285"/>
      <c r="H128" s="285"/>
      <c r="I128" s="286"/>
      <c r="J128" s="286"/>
      <c r="K128" s="285"/>
      <c r="L128" s="285" t="str">
        <f t="shared" si="53"/>
        <v/>
      </c>
      <c r="M128" s="287"/>
      <c r="N128" s="284"/>
      <c r="O128" s="284"/>
      <c r="P128" s="284"/>
      <c r="Q128" s="284"/>
      <c r="R128" s="284"/>
      <c r="S128" s="284"/>
      <c r="T128" s="284"/>
      <c r="U128" s="284"/>
      <c r="V128" s="284"/>
      <c r="W128" s="284"/>
      <c r="X128" s="284"/>
      <c r="Y128" s="284"/>
      <c r="Z128" s="284"/>
      <c r="AA128" s="284"/>
    </row>
    <row r="129">
      <c r="A129" s="284"/>
      <c r="B129" s="293" t="s">
        <v>2246</v>
      </c>
      <c r="C129" s="289">
        <f>countif(C112:C128,"x")</f>
        <v>5</v>
      </c>
      <c r="D129" s="285"/>
      <c r="E129" s="285"/>
      <c r="F129" s="285" t="s">
        <v>874</v>
      </c>
      <c r="G129" s="297">
        <f t="shared" ref="G129:H129" si="60">sum(G112:G128)</f>
        <v>24330.883</v>
      </c>
      <c r="H129" s="297">
        <f t="shared" si="60"/>
        <v>6648</v>
      </c>
      <c r="I129" s="286"/>
      <c r="J129" s="286"/>
      <c r="K129" s="285"/>
      <c r="L129" s="284"/>
      <c r="M129" s="287"/>
      <c r="N129" s="284"/>
      <c r="O129" s="284"/>
      <c r="P129" s="284"/>
      <c r="Q129" s="284"/>
      <c r="R129" s="284"/>
      <c r="S129" s="284"/>
      <c r="T129" s="284"/>
      <c r="U129" s="284"/>
      <c r="V129" s="284"/>
      <c r="W129" s="284"/>
      <c r="X129" s="284"/>
      <c r="Y129" s="284"/>
      <c r="Z129" s="284"/>
      <c r="AA129" s="284"/>
    </row>
    <row r="130">
      <c r="A130" s="284"/>
      <c r="B130" s="284"/>
      <c r="C130" s="285" t="str">
        <f>if(G130=0,"","x")</f>
        <v/>
      </c>
      <c r="D130" s="285"/>
      <c r="E130" s="285"/>
      <c r="F130" s="285" t="s">
        <v>2247</v>
      </c>
      <c r="G130" s="285"/>
      <c r="H130" s="297">
        <f>H129+H106</f>
        <v>6648</v>
      </c>
      <c r="I130" s="286"/>
      <c r="J130" s="286"/>
      <c r="K130" s="285"/>
      <c r="L130" s="284"/>
      <c r="M130" s="287"/>
      <c r="N130" s="284"/>
      <c r="O130" s="284"/>
      <c r="P130" s="284"/>
      <c r="Q130" s="284"/>
      <c r="R130" s="284"/>
      <c r="S130" s="284"/>
      <c r="T130" s="284"/>
      <c r="U130" s="284"/>
      <c r="V130" s="284"/>
      <c r="W130" s="284"/>
      <c r="X130" s="284"/>
      <c r="Y130" s="284"/>
      <c r="Z130" s="284"/>
      <c r="AA130" s="284"/>
    </row>
    <row r="131">
      <c r="A131" s="284"/>
      <c r="B131" s="284"/>
      <c r="C131" s="285"/>
      <c r="D131" s="285"/>
      <c r="E131" s="285"/>
      <c r="F131" s="285"/>
      <c r="G131" s="285"/>
      <c r="H131" s="285"/>
      <c r="I131" s="286"/>
      <c r="J131" s="286"/>
      <c r="K131" s="285"/>
      <c r="L131" s="284"/>
      <c r="M131" s="287"/>
      <c r="N131" s="284"/>
      <c r="O131" s="284"/>
      <c r="P131" s="284"/>
      <c r="Q131" s="284"/>
      <c r="R131" s="284"/>
      <c r="S131" s="284"/>
      <c r="T131" s="284"/>
      <c r="U131" s="284"/>
      <c r="V131" s="284"/>
      <c r="W131" s="284"/>
      <c r="X131" s="284"/>
      <c r="Y131" s="284"/>
      <c r="Z131" s="284"/>
      <c r="AA131" s="284"/>
    </row>
    <row r="132">
      <c r="A132" s="284"/>
      <c r="B132" s="284"/>
      <c r="C132" s="285"/>
      <c r="D132" s="285"/>
      <c r="E132" s="285"/>
      <c r="F132" s="285"/>
      <c r="G132" s="285"/>
      <c r="H132" s="285"/>
      <c r="I132" s="286"/>
      <c r="J132" s="286"/>
      <c r="K132" s="285"/>
      <c r="L132" s="284"/>
      <c r="M132" s="287"/>
      <c r="N132" s="284"/>
      <c r="O132" s="284"/>
      <c r="P132" s="284"/>
      <c r="Q132" s="284"/>
      <c r="R132" s="284"/>
      <c r="S132" s="284"/>
      <c r="T132" s="284"/>
      <c r="U132" s="284"/>
      <c r="V132" s="284"/>
      <c r="W132" s="284"/>
      <c r="X132" s="284"/>
      <c r="Y132" s="284"/>
      <c r="Z132" s="284"/>
      <c r="AA132" s="284"/>
    </row>
    <row r="133">
      <c r="A133" s="284"/>
      <c r="B133" s="290" t="s">
        <v>2345</v>
      </c>
      <c r="C133" s="285"/>
      <c r="D133" s="285"/>
      <c r="E133" s="285"/>
      <c r="F133" s="285"/>
      <c r="G133" s="285"/>
      <c r="H133" s="285"/>
      <c r="I133" s="286"/>
      <c r="J133" s="286" t="s">
        <v>2233</v>
      </c>
      <c r="K133" s="291">
        <f> Today()</f>
        <v>46167</v>
      </c>
      <c r="L133" s="285"/>
      <c r="M133" s="287"/>
      <c r="N133" s="284"/>
      <c r="O133" s="284"/>
      <c r="P133" s="284"/>
      <c r="Q133" s="284"/>
      <c r="R133" s="284"/>
      <c r="S133" s="284"/>
      <c r="T133" s="284"/>
      <c r="U133" s="284"/>
      <c r="V133" s="284"/>
      <c r="W133" s="284"/>
      <c r="X133" s="284"/>
      <c r="Y133" s="284"/>
      <c r="Z133" s="284"/>
      <c r="AA133" s="284"/>
    </row>
    <row r="134">
      <c r="A134" s="293" t="s">
        <v>181</v>
      </c>
      <c r="B134" s="293" t="s">
        <v>2216</v>
      </c>
      <c r="C134" s="294" t="s">
        <v>131</v>
      </c>
      <c r="D134" s="294" t="s">
        <v>2217</v>
      </c>
      <c r="E134" s="294" t="s">
        <v>8</v>
      </c>
      <c r="F134" s="294" t="s">
        <v>873</v>
      </c>
      <c r="G134" s="294" t="s">
        <v>17</v>
      </c>
      <c r="H134" s="294" t="s">
        <v>874</v>
      </c>
      <c r="I134" s="295" t="s">
        <v>2218</v>
      </c>
      <c r="J134" s="295" t="s">
        <v>876</v>
      </c>
      <c r="K134" s="293" t="s">
        <v>877</v>
      </c>
      <c r="L134" s="294" t="s">
        <v>878</v>
      </c>
      <c r="M134" s="296" t="s">
        <v>2219</v>
      </c>
      <c r="N134" s="293" t="s">
        <v>2220</v>
      </c>
      <c r="O134" s="284"/>
      <c r="P134" s="284"/>
      <c r="Q134" s="284"/>
      <c r="R134" s="284"/>
      <c r="S134" s="284"/>
      <c r="T134" s="284"/>
      <c r="U134" s="284"/>
      <c r="V134" s="284"/>
      <c r="W134" s="284"/>
      <c r="X134" s="284"/>
      <c r="Y134" s="284"/>
      <c r="Z134" s="284"/>
      <c r="AA134" s="284"/>
    </row>
    <row r="135">
      <c r="A135" s="301" t="s">
        <v>2270</v>
      </c>
      <c r="B135" s="284" t="s">
        <v>2249</v>
      </c>
      <c r="C135" s="285" t="str">
        <f t="shared" ref="C135:C150" si="61">if(OR(G135=0,G135=""),"","x")</f>
        <v>x</v>
      </c>
      <c r="D135" s="297">
        <v>3.0</v>
      </c>
      <c r="E135" s="297">
        <v>100.0</v>
      </c>
      <c r="F135" s="297">
        <f>25+75+37.5+210</f>
        <v>347.5</v>
      </c>
      <c r="G135" s="297">
        <f>F135*Q$8</f>
        <v>7700.6</v>
      </c>
      <c r="H135" s="297">
        <f>G135</f>
        <v>7700.6</v>
      </c>
      <c r="I135" s="288">
        <v>45463.0</v>
      </c>
      <c r="J135" s="288">
        <f t="shared" ref="J135:J137" si="62">Edate(I135,1)</f>
        <v>45493</v>
      </c>
      <c r="K135" s="289">
        <f t="shared" ref="K135:K146" si="63">if(J135="","",if(H135=0,1,0))</f>
        <v>0</v>
      </c>
      <c r="L135" s="297">
        <f t="shared" ref="L135:L149" si="64">if(J135="","",J135-$K$6)</f>
        <v>-674</v>
      </c>
      <c r="M135" s="287"/>
      <c r="N135" s="284"/>
      <c r="O135" s="284"/>
      <c r="P135" s="284"/>
      <c r="Q135" s="284"/>
      <c r="R135" s="284"/>
      <c r="S135" s="284"/>
      <c r="T135" s="284"/>
      <c r="U135" s="284"/>
      <c r="V135" s="284"/>
      <c r="W135" s="284"/>
      <c r="X135" s="284"/>
      <c r="Y135" s="284"/>
      <c r="Z135" s="284"/>
      <c r="AA135" s="284"/>
    </row>
    <row r="136">
      <c r="A136" s="284"/>
      <c r="B136" s="284" t="s">
        <v>2251</v>
      </c>
      <c r="C136" s="285" t="str">
        <f t="shared" si="61"/>
        <v/>
      </c>
      <c r="D136" s="297">
        <v>0.0</v>
      </c>
      <c r="E136" s="297">
        <v>5.0</v>
      </c>
      <c r="F136" s="297">
        <v>0.0</v>
      </c>
      <c r="G136" s="297">
        <v>0.0</v>
      </c>
      <c r="H136" s="297">
        <v>0.0</v>
      </c>
      <c r="I136" s="288">
        <v>45444.0</v>
      </c>
      <c r="J136" s="288">
        <f t="shared" si="62"/>
        <v>45474</v>
      </c>
      <c r="K136" s="289">
        <f t="shared" si="63"/>
        <v>1</v>
      </c>
      <c r="L136" s="297">
        <f t="shared" si="64"/>
        <v>-693</v>
      </c>
      <c r="M136" s="287"/>
      <c r="N136" s="284" t="s">
        <v>2265</v>
      </c>
      <c r="O136" s="284"/>
      <c r="P136" s="284"/>
      <c r="Q136" s="284"/>
      <c r="R136" s="284"/>
      <c r="S136" s="284"/>
      <c r="T136" s="284"/>
      <c r="U136" s="284"/>
      <c r="V136" s="284"/>
      <c r="W136" s="284"/>
      <c r="X136" s="284"/>
      <c r="Y136" s="284"/>
      <c r="Z136" s="284"/>
      <c r="AA136" s="284"/>
    </row>
    <row r="137">
      <c r="A137" s="284"/>
      <c r="B137" s="284" t="s">
        <v>2254</v>
      </c>
      <c r="C137" s="285" t="str">
        <f t="shared" si="61"/>
        <v>x</v>
      </c>
      <c r="D137" s="297">
        <v>4.0</v>
      </c>
      <c r="E137" s="297">
        <v>3.0</v>
      </c>
      <c r="F137" s="297">
        <f t="shared" ref="F137:F139" si="65">D137*E137</f>
        <v>12</v>
      </c>
      <c r="G137" s="297">
        <f>F137*$Q$5</f>
        <v>997.332</v>
      </c>
      <c r="H137" s="297">
        <v>0.0</v>
      </c>
      <c r="I137" s="288">
        <v>45444.0</v>
      </c>
      <c r="J137" s="288">
        <f t="shared" si="62"/>
        <v>45474</v>
      </c>
      <c r="K137" s="289">
        <f t="shared" si="63"/>
        <v>1</v>
      </c>
      <c r="L137" s="297">
        <f t="shared" si="64"/>
        <v>-693</v>
      </c>
      <c r="M137" s="298">
        <v>45518.0</v>
      </c>
      <c r="N137" s="284"/>
      <c r="O137" s="284"/>
      <c r="P137" s="284"/>
      <c r="Q137" s="284"/>
      <c r="R137" s="284"/>
      <c r="S137" s="284"/>
      <c r="T137" s="284"/>
      <c r="U137" s="284"/>
      <c r="V137" s="284"/>
      <c r="W137" s="284"/>
      <c r="X137" s="284"/>
      <c r="Y137" s="284"/>
      <c r="Z137" s="284"/>
      <c r="AA137" s="284"/>
    </row>
    <row r="138">
      <c r="A138" s="284"/>
      <c r="B138" s="284" t="s">
        <v>2255</v>
      </c>
      <c r="C138" s="285" t="str">
        <f t="shared" si="61"/>
        <v/>
      </c>
      <c r="D138" s="297">
        <v>0.0</v>
      </c>
      <c r="E138" s="297">
        <v>1500.0</v>
      </c>
      <c r="F138" s="297">
        <f t="shared" si="65"/>
        <v>0</v>
      </c>
      <c r="G138" s="297">
        <f>F138*$Q$7</f>
        <v>0</v>
      </c>
      <c r="H138" s="297">
        <f>G138</f>
        <v>0</v>
      </c>
      <c r="I138" s="286"/>
      <c r="J138" s="286"/>
      <c r="K138" s="284" t="str">
        <f t="shared" si="63"/>
        <v/>
      </c>
      <c r="L138" s="285" t="str">
        <f t="shared" si="64"/>
        <v/>
      </c>
      <c r="M138" s="287"/>
      <c r="N138" s="284"/>
      <c r="O138" s="284"/>
      <c r="P138" s="284"/>
      <c r="Q138" s="284"/>
      <c r="R138" s="284"/>
      <c r="S138" s="284"/>
      <c r="T138" s="284"/>
      <c r="U138" s="284"/>
      <c r="V138" s="284"/>
      <c r="W138" s="284"/>
      <c r="X138" s="284"/>
      <c r="Y138" s="284"/>
      <c r="Z138" s="284"/>
      <c r="AA138" s="284"/>
    </row>
    <row r="139">
      <c r="A139" s="284"/>
      <c r="B139" s="284" t="s">
        <v>2256</v>
      </c>
      <c r="C139" s="285" t="str">
        <f t="shared" si="61"/>
        <v/>
      </c>
      <c r="D139" s="297">
        <v>0.0</v>
      </c>
      <c r="E139" s="297">
        <v>500.0</v>
      </c>
      <c r="F139" s="297">
        <f t="shared" si="65"/>
        <v>0</v>
      </c>
      <c r="G139" s="297">
        <f t="shared" ref="G139:H139" si="66">F139</f>
        <v>0</v>
      </c>
      <c r="H139" s="297">
        <f t="shared" si="66"/>
        <v>0</v>
      </c>
      <c r="I139" s="286"/>
      <c r="J139" s="286"/>
      <c r="K139" s="284" t="str">
        <f t="shared" si="63"/>
        <v/>
      </c>
      <c r="L139" s="285" t="str">
        <f t="shared" si="64"/>
        <v/>
      </c>
      <c r="M139" s="287"/>
      <c r="N139" s="284"/>
      <c r="O139" s="284"/>
      <c r="P139" s="284"/>
      <c r="Q139" s="284"/>
      <c r="R139" s="284"/>
      <c r="S139" s="284"/>
      <c r="T139" s="284"/>
      <c r="U139" s="284"/>
      <c r="V139" s="284"/>
      <c r="W139" s="284"/>
      <c r="X139" s="284"/>
      <c r="Y139" s="284"/>
      <c r="Z139" s="284"/>
      <c r="AA139" s="284"/>
    </row>
    <row r="140">
      <c r="A140" s="284"/>
      <c r="B140" s="284" t="s">
        <v>2257</v>
      </c>
      <c r="C140" s="285" t="str">
        <f t="shared" si="61"/>
        <v>x</v>
      </c>
      <c r="D140" s="297">
        <v>21.0</v>
      </c>
      <c r="E140" s="297">
        <v>22.0</v>
      </c>
      <c r="F140" s="297">
        <v>462.0</v>
      </c>
      <c r="G140" s="297">
        <f t="shared" ref="G140:G141" si="67">F140*$Q$6</f>
        <v>8778</v>
      </c>
      <c r="H140" s="297">
        <v>0.0</v>
      </c>
      <c r="I140" s="288">
        <v>45444.0</v>
      </c>
      <c r="J140" s="288">
        <f t="shared" ref="J140:J142" si="68">Edate(I140,1)</f>
        <v>45474</v>
      </c>
      <c r="K140" s="289">
        <f t="shared" si="63"/>
        <v>1</v>
      </c>
      <c r="L140" s="297">
        <f t="shared" si="64"/>
        <v>-693</v>
      </c>
      <c r="M140" s="287" t="s">
        <v>2271</v>
      </c>
      <c r="N140" s="284" t="s">
        <v>2272</v>
      </c>
      <c r="O140" s="284"/>
      <c r="P140" s="284"/>
      <c r="Q140" s="284"/>
      <c r="R140" s="284"/>
      <c r="S140" s="284"/>
      <c r="T140" s="284"/>
      <c r="U140" s="284"/>
      <c r="V140" s="284"/>
      <c r="W140" s="284"/>
      <c r="X140" s="284"/>
      <c r="Y140" s="284"/>
      <c r="Z140" s="284"/>
      <c r="AA140" s="284"/>
    </row>
    <row r="141">
      <c r="A141" s="284"/>
      <c r="B141" s="284" t="s">
        <v>2258</v>
      </c>
      <c r="C141" s="285" t="str">
        <f t="shared" si="61"/>
        <v/>
      </c>
      <c r="D141" s="297">
        <v>0.0</v>
      </c>
      <c r="E141" s="297">
        <v>0.0</v>
      </c>
      <c r="F141" s="297">
        <v>0.0</v>
      </c>
      <c r="G141" s="297">
        <f t="shared" si="67"/>
        <v>0</v>
      </c>
      <c r="H141" s="297">
        <f>G141</f>
        <v>0</v>
      </c>
      <c r="I141" s="288">
        <v>45455.0</v>
      </c>
      <c r="J141" s="288">
        <f t="shared" si="68"/>
        <v>45485</v>
      </c>
      <c r="K141" s="289">
        <f t="shared" si="63"/>
        <v>1</v>
      </c>
      <c r="L141" s="297">
        <f t="shared" si="64"/>
        <v>-682</v>
      </c>
      <c r="M141" s="287"/>
      <c r="N141" s="284"/>
      <c r="O141" s="284"/>
      <c r="P141" s="284"/>
      <c r="Q141" s="284"/>
      <c r="R141" s="284"/>
      <c r="S141" s="284"/>
      <c r="T141" s="284"/>
      <c r="U141" s="284"/>
      <c r="V141" s="284"/>
      <c r="W141" s="284"/>
      <c r="X141" s="284"/>
      <c r="Y141" s="284"/>
      <c r="Z141" s="284"/>
      <c r="AA141" s="284"/>
    </row>
    <row r="142">
      <c r="A142" s="284"/>
      <c r="B142" s="284" t="s">
        <v>2259</v>
      </c>
      <c r="C142" s="285" t="str">
        <f t="shared" si="61"/>
        <v>x</v>
      </c>
      <c r="D142" s="297">
        <v>1.0</v>
      </c>
      <c r="E142" s="297">
        <v>15000.0</v>
      </c>
      <c r="F142" s="297">
        <f t="shared" ref="F142:F143" si="69">D142*E142</f>
        <v>15000</v>
      </c>
      <c r="G142" s="297">
        <f t="shared" ref="G142:G144" si="70">F142*$Q$7</f>
        <v>4500</v>
      </c>
      <c r="H142" s="297">
        <v>0.0</v>
      </c>
      <c r="I142" s="288">
        <v>45456.0</v>
      </c>
      <c r="J142" s="288">
        <f t="shared" si="68"/>
        <v>45486</v>
      </c>
      <c r="K142" s="289">
        <f t="shared" si="63"/>
        <v>1</v>
      </c>
      <c r="L142" s="297">
        <f t="shared" si="64"/>
        <v>-681</v>
      </c>
      <c r="M142" s="298">
        <v>45458.0</v>
      </c>
      <c r="N142" s="284"/>
      <c r="O142" s="284"/>
      <c r="P142" s="284"/>
      <c r="Q142" s="284"/>
      <c r="R142" s="284"/>
      <c r="S142" s="284"/>
      <c r="T142" s="284"/>
      <c r="U142" s="284"/>
      <c r="V142" s="284"/>
      <c r="W142" s="284"/>
      <c r="X142" s="284"/>
      <c r="Y142" s="284"/>
      <c r="Z142" s="284"/>
      <c r="AA142" s="284"/>
    </row>
    <row r="143">
      <c r="A143" s="284"/>
      <c r="B143" s="284" t="s">
        <v>2267</v>
      </c>
      <c r="C143" s="285" t="str">
        <f t="shared" si="61"/>
        <v/>
      </c>
      <c r="D143" s="297">
        <v>0.0</v>
      </c>
      <c r="E143" s="297">
        <v>3000.0</v>
      </c>
      <c r="F143" s="297">
        <f t="shared" si="69"/>
        <v>0</v>
      </c>
      <c r="G143" s="297">
        <f t="shared" si="70"/>
        <v>0</v>
      </c>
      <c r="H143" s="297">
        <v>0.0</v>
      </c>
      <c r="I143" s="286"/>
      <c r="J143" s="286"/>
      <c r="K143" s="284" t="str">
        <f t="shared" si="63"/>
        <v/>
      </c>
      <c r="L143" s="285" t="str">
        <f t="shared" si="64"/>
        <v/>
      </c>
      <c r="M143" s="298">
        <v>45457.0</v>
      </c>
      <c r="N143" s="284"/>
      <c r="O143" s="284"/>
      <c r="P143" s="284"/>
      <c r="Q143" s="284"/>
      <c r="R143" s="284"/>
      <c r="S143" s="284"/>
      <c r="T143" s="284"/>
      <c r="U143" s="284"/>
      <c r="V143" s="284"/>
      <c r="W143" s="284"/>
      <c r="X143" s="284"/>
      <c r="Y143" s="284"/>
      <c r="Z143" s="284"/>
      <c r="AA143" s="284"/>
    </row>
    <row r="144">
      <c r="A144" s="284"/>
      <c r="B144" s="284" t="s">
        <v>2263</v>
      </c>
      <c r="C144" s="285" t="str">
        <f t="shared" si="61"/>
        <v>x</v>
      </c>
      <c r="D144" s="297">
        <v>1.0</v>
      </c>
      <c r="E144" s="297">
        <v>-13340.0</v>
      </c>
      <c r="F144" s="297">
        <v>-16426.0</v>
      </c>
      <c r="G144" s="297">
        <f t="shared" si="70"/>
        <v>-4927.8</v>
      </c>
      <c r="H144" s="297">
        <v>0.0</v>
      </c>
      <c r="I144" s="286"/>
      <c r="J144" s="286"/>
      <c r="K144" s="284" t="str">
        <f t="shared" si="63"/>
        <v/>
      </c>
      <c r="L144" s="285" t="str">
        <f t="shared" si="64"/>
        <v/>
      </c>
      <c r="M144" s="287"/>
      <c r="N144" s="284"/>
      <c r="O144" s="284"/>
      <c r="P144" s="284"/>
      <c r="Q144" s="284"/>
      <c r="R144" s="284"/>
      <c r="S144" s="284"/>
      <c r="T144" s="284"/>
      <c r="U144" s="284"/>
      <c r="V144" s="284"/>
      <c r="W144" s="284"/>
      <c r="X144" s="284"/>
      <c r="Y144" s="284"/>
      <c r="Z144" s="284"/>
      <c r="AA144" s="284"/>
    </row>
    <row r="145">
      <c r="A145" s="284"/>
      <c r="B145" s="284"/>
      <c r="C145" s="285" t="str">
        <f t="shared" si="61"/>
        <v/>
      </c>
      <c r="D145" s="285"/>
      <c r="E145" s="285"/>
      <c r="F145" s="285"/>
      <c r="G145" s="285"/>
      <c r="H145" s="285"/>
      <c r="I145" s="286"/>
      <c r="J145" s="286"/>
      <c r="K145" s="284" t="str">
        <f t="shared" si="63"/>
        <v/>
      </c>
      <c r="L145" s="285" t="str">
        <f t="shared" si="64"/>
        <v/>
      </c>
      <c r="M145" s="298">
        <v>45516.0</v>
      </c>
      <c r="N145" s="284"/>
      <c r="O145" s="284"/>
      <c r="P145" s="284"/>
      <c r="Q145" s="284"/>
      <c r="R145" s="284"/>
      <c r="S145" s="284"/>
      <c r="T145" s="284"/>
      <c r="U145" s="284"/>
      <c r="V145" s="284"/>
      <c r="W145" s="284"/>
      <c r="X145" s="284"/>
      <c r="Y145" s="284"/>
      <c r="Z145" s="284"/>
      <c r="AA145" s="284"/>
    </row>
    <row r="146">
      <c r="A146" s="302" t="s">
        <v>2273</v>
      </c>
      <c r="B146" s="284" t="s">
        <v>2274</v>
      </c>
      <c r="C146" s="285" t="str">
        <f t="shared" si="61"/>
        <v>x</v>
      </c>
      <c r="D146" s="297">
        <v>1.0</v>
      </c>
      <c r="E146" s="297">
        <v>21477.0</v>
      </c>
      <c r="F146" s="303">
        <v>-21477.0</v>
      </c>
      <c r="G146" s="297">
        <f>F146*$Q$7</f>
        <v>-6443.1</v>
      </c>
      <c r="H146" s="285"/>
      <c r="I146" s="288">
        <v>45458.0</v>
      </c>
      <c r="J146" s="288">
        <v>45458.0</v>
      </c>
      <c r="K146" s="289">
        <f t="shared" si="63"/>
        <v>1</v>
      </c>
      <c r="L146" s="297">
        <f t="shared" si="64"/>
        <v>-709</v>
      </c>
      <c r="M146" s="298">
        <v>45458.0</v>
      </c>
      <c r="N146" s="284"/>
      <c r="O146" s="284"/>
      <c r="P146" s="284"/>
      <c r="Q146" s="284"/>
      <c r="R146" s="284"/>
      <c r="S146" s="284"/>
      <c r="T146" s="284"/>
      <c r="U146" s="284"/>
      <c r="V146" s="284"/>
      <c r="W146" s="284"/>
      <c r="X146" s="284"/>
      <c r="Y146" s="284"/>
      <c r="Z146" s="284"/>
      <c r="AA146" s="284"/>
    </row>
    <row r="147">
      <c r="A147" s="284"/>
      <c r="B147" s="284"/>
      <c r="C147" s="285" t="str">
        <f t="shared" si="61"/>
        <v/>
      </c>
      <c r="D147" s="285"/>
      <c r="E147" s="285"/>
      <c r="F147" s="285"/>
      <c r="G147" s="285"/>
      <c r="H147" s="285"/>
      <c r="I147" s="286"/>
      <c r="J147" s="286"/>
      <c r="K147" s="284"/>
      <c r="L147" s="285" t="str">
        <f t="shared" si="64"/>
        <v/>
      </c>
      <c r="M147" s="287"/>
      <c r="N147" s="284"/>
      <c r="O147" s="284"/>
      <c r="P147" s="284"/>
      <c r="Q147" s="284"/>
      <c r="R147" s="284"/>
      <c r="S147" s="284"/>
      <c r="T147" s="284"/>
      <c r="U147" s="284"/>
      <c r="V147" s="284"/>
      <c r="W147" s="284"/>
      <c r="X147" s="284"/>
      <c r="Y147" s="284"/>
      <c r="Z147" s="284"/>
      <c r="AA147" s="284"/>
    </row>
    <row r="148">
      <c r="A148" s="284"/>
      <c r="B148" s="284"/>
      <c r="C148" s="285" t="str">
        <f t="shared" si="61"/>
        <v/>
      </c>
      <c r="D148" s="285"/>
      <c r="E148" s="285"/>
      <c r="F148" s="285"/>
      <c r="G148" s="285"/>
      <c r="H148" s="285"/>
      <c r="I148" s="286"/>
      <c r="J148" s="286"/>
      <c r="K148" s="285"/>
      <c r="L148" s="285" t="str">
        <f t="shared" si="64"/>
        <v/>
      </c>
      <c r="M148" s="287"/>
      <c r="N148" s="284"/>
      <c r="O148" s="284"/>
      <c r="P148" s="284"/>
      <c r="Q148" s="284"/>
      <c r="R148" s="284"/>
      <c r="S148" s="284"/>
      <c r="T148" s="284"/>
      <c r="U148" s="284"/>
      <c r="V148" s="284"/>
      <c r="W148" s="284"/>
      <c r="X148" s="284"/>
      <c r="Y148" s="284"/>
      <c r="Z148" s="284"/>
      <c r="AA148" s="284"/>
    </row>
    <row r="149">
      <c r="A149" s="284"/>
      <c r="B149" s="284"/>
      <c r="C149" s="285" t="str">
        <f t="shared" si="61"/>
        <v/>
      </c>
      <c r="D149" s="285"/>
      <c r="E149" s="285"/>
      <c r="F149" s="285"/>
      <c r="G149" s="285"/>
      <c r="H149" s="285"/>
      <c r="I149" s="286"/>
      <c r="J149" s="286"/>
      <c r="K149" s="285"/>
      <c r="L149" s="285" t="str">
        <f t="shared" si="64"/>
        <v/>
      </c>
      <c r="M149" s="287"/>
      <c r="N149" s="284"/>
      <c r="O149" s="284"/>
      <c r="P149" s="284"/>
      <c r="Q149" s="284"/>
      <c r="R149" s="284"/>
      <c r="S149" s="284"/>
      <c r="T149" s="284"/>
      <c r="U149" s="284"/>
      <c r="V149" s="284"/>
      <c r="W149" s="284"/>
      <c r="X149" s="284"/>
      <c r="Y149" s="284"/>
      <c r="Z149" s="284"/>
      <c r="AA149" s="284"/>
    </row>
    <row r="150">
      <c r="A150" s="284"/>
      <c r="B150" s="284"/>
      <c r="C150" s="285" t="str">
        <f t="shared" si="61"/>
        <v/>
      </c>
      <c r="D150" s="285"/>
      <c r="E150" s="285"/>
      <c r="F150" s="285"/>
      <c r="G150" s="285"/>
      <c r="H150" s="285"/>
      <c r="I150" s="286"/>
      <c r="J150" s="286"/>
      <c r="K150" s="285"/>
      <c r="L150" s="284"/>
      <c r="M150" s="287"/>
      <c r="N150" s="284"/>
      <c r="O150" s="284"/>
      <c r="P150" s="284"/>
      <c r="Q150" s="284"/>
      <c r="R150" s="284"/>
      <c r="S150" s="284"/>
      <c r="T150" s="284"/>
      <c r="U150" s="284"/>
      <c r="V150" s="284"/>
      <c r="W150" s="284"/>
      <c r="X150" s="284"/>
      <c r="Y150" s="284"/>
      <c r="Z150" s="284"/>
      <c r="AA150" s="284"/>
    </row>
    <row r="151">
      <c r="A151" s="284"/>
      <c r="B151" s="284"/>
      <c r="C151" s="285" t="str">
        <f>if(G151=0,"","x")</f>
        <v/>
      </c>
      <c r="D151" s="285"/>
      <c r="E151" s="285"/>
      <c r="F151" s="285"/>
      <c r="G151" s="285"/>
      <c r="H151" s="285"/>
      <c r="I151" s="286"/>
      <c r="J151" s="286"/>
      <c r="K151" s="285"/>
      <c r="L151" s="284"/>
      <c r="M151" s="287"/>
      <c r="N151" s="284"/>
      <c r="O151" s="284"/>
      <c r="P151" s="284"/>
      <c r="Q151" s="284"/>
      <c r="R151" s="284"/>
      <c r="S151" s="284"/>
      <c r="T151" s="284"/>
      <c r="U151" s="284"/>
      <c r="V151" s="284"/>
      <c r="W151" s="284"/>
      <c r="X151" s="284"/>
      <c r="Y151" s="284"/>
      <c r="Z151" s="284"/>
      <c r="AA151" s="284"/>
    </row>
    <row r="152">
      <c r="A152" s="284"/>
      <c r="B152" s="284"/>
      <c r="C152" s="285"/>
      <c r="D152" s="285"/>
      <c r="E152" s="285"/>
      <c r="F152" s="285"/>
      <c r="G152" s="285"/>
      <c r="H152" s="285"/>
      <c r="I152" s="286"/>
      <c r="J152" s="286"/>
      <c r="K152" s="285"/>
      <c r="L152" s="284"/>
      <c r="M152" s="287"/>
      <c r="N152" s="284"/>
      <c r="O152" s="284"/>
      <c r="P152" s="284"/>
      <c r="Q152" s="284"/>
      <c r="R152" s="284"/>
      <c r="S152" s="284"/>
      <c r="T152" s="284"/>
      <c r="U152" s="284"/>
      <c r="V152" s="284"/>
      <c r="W152" s="284"/>
      <c r="X152" s="284"/>
      <c r="Y152" s="284"/>
      <c r="Z152" s="284"/>
      <c r="AA152" s="284"/>
    </row>
    <row r="153">
      <c r="A153" s="284"/>
      <c r="B153" s="293" t="s">
        <v>2246</v>
      </c>
      <c r="C153" s="289">
        <f>countif(C136:C152,"x")</f>
        <v>5</v>
      </c>
      <c r="D153" s="285"/>
      <c r="E153" s="285"/>
      <c r="F153" s="285" t="s">
        <v>874</v>
      </c>
      <c r="G153" s="297">
        <f t="shared" ref="G153:H153" si="71">sum(G135:G152)</f>
        <v>10605.032</v>
      </c>
      <c r="H153" s="297">
        <f t="shared" si="71"/>
        <v>7700.6</v>
      </c>
      <c r="I153" s="286"/>
      <c r="J153" s="286"/>
      <c r="K153" s="285"/>
      <c r="L153" s="284"/>
      <c r="M153" s="287"/>
      <c r="N153" s="284"/>
      <c r="O153" s="284"/>
      <c r="P153" s="284"/>
      <c r="Q153" s="284"/>
      <c r="R153" s="284"/>
      <c r="S153" s="284"/>
      <c r="T153" s="284"/>
      <c r="U153" s="284"/>
      <c r="V153" s="284"/>
      <c r="W153" s="284"/>
      <c r="X153" s="284"/>
      <c r="Y153" s="284"/>
      <c r="Z153" s="284"/>
      <c r="AA153" s="284"/>
    </row>
    <row r="154">
      <c r="A154" s="284"/>
      <c r="B154" s="284"/>
      <c r="C154" s="285"/>
      <c r="D154" s="285"/>
      <c r="E154" s="285"/>
      <c r="F154" s="285" t="s">
        <v>2247</v>
      </c>
      <c r="G154" s="285"/>
      <c r="H154" s="297">
        <f>H153+H130</f>
        <v>14348.6</v>
      </c>
      <c r="I154" s="286"/>
      <c r="J154" s="286"/>
      <c r="K154" s="285"/>
      <c r="L154" s="284"/>
      <c r="M154" s="287"/>
      <c r="N154" s="284"/>
      <c r="O154" s="284"/>
      <c r="P154" s="284"/>
      <c r="Q154" s="284"/>
      <c r="R154" s="284"/>
      <c r="S154" s="284"/>
      <c r="T154" s="284"/>
      <c r="U154" s="284"/>
      <c r="V154" s="284"/>
      <c r="W154" s="284"/>
      <c r="X154" s="284"/>
      <c r="Y154" s="284"/>
      <c r="Z154" s="284"/>
      <c r="AA154" s="284"/>
    </row>
    <row r="155">
      <c r="A155" s="284"/>
      <c r="B155" s="284"/>
      <c r="C155" s="285"/>
      <c r="D155" s="285"/>
      <c r="E155" s="285"/>
      <c r="F155" s="285"/>
      <c r="G155" s="285"/>
      <c r="H155" s="285"/>
      <c r="I155" s="286"/>
      <c r="J155" s="286"/>
      <c r="K155" s="285"/>
      <c r="L155" s="284"/>
      <c r="M155" s="287"/>
      <c r="N155" s="284"/>
      <c r="O155" s="284"/>
      <c r="P155" s="284"/>
      <c r="Q155" s="284"/>
      <c r="R155" s="284"/>
      <c r="S155" s="284"/>
      <c r="T155" s="284"/>
      <c r="U155" s="284"/>
      <c r="V155" s="284"/>
      <c r="W155" s="284"/>
      <c r="X155" s="284"/>
      <c r="Y155" s="284"/>
      <c r="Z155" s="284"/>
      <c r="AA155" s="284"/>
    </row>
    <row r="156">
      <c r="A156" s="284"/>
      <c r="B156" s="284"/>
      <c r="C156" s="285"/>
      <c r="D156" s="285"/>
      <c r="E156" s="285"/>
      <c r="F156" s="285"/>
      <c r="G156" s="285"/>
      <c r="H156" s="285"/>
      <c r="I156" s="286"/>
      <c r="J156" s="286"/>
      <c r="K156" s="285"/>
      <c r="L156" s="284"/>
      <c r="M156" s="287"/>
      <c r="N156" s="284"/>
      <c r="O156" s="284"/>
      <c r="P156" s="284"/>
      <c r="Q156" s="284"/>
      <c r="R156" s="284"/>
      <c r="S156" s="284"/>
      <c r="T156" s="284"/>
      <c r="U156" s="284"/>
      <c r="V156" s="284"/>
      <c r="W156" s="284"/>
      <c r="X156" s="284"/>
      <c r="Y156" s="284"/>
      <c r="Z156" s="284"/>
      <c r="AA156" s="284"/>
    </row>
    <row r="157">
      <c r="A157" s="284"/>
      <c r="B157" s="290" t="s">
        <v>2346</v>
      </c>
      <c r="C157" s="285"/>
      <c r="D157" s="285"/>
      <c r="E157" s="285"/>
      <c r="F157" s="285"/>
      <c r="G157" s="285"/>
      <c r="H157" s="285"/>
      <c r="I157" s="286"/>
      <c r="J157" s="286" t="s">
        <v>2233</v>
      </c>
      <c r="K157" s="291">
        <f> Today()</f>
        <v>46167</v>
      </c>
      <c r="L157" s="285"/>
      <c r="M157" s="287"/>
      <c r="N157" s="284"/>
      <c r="O157" s="284"/>
      <c r="P157" s="284"/>
      <c r="Q157" s="284"/>
      <c r="R157" s="284"/>
      <c r="S157" s="284"/>
      <c r="T157" s="284"/>
      <c r="U157" s="284"/>
      <c r="V157" s="284"/>
      <c r="W157" s="284"/>
      <c r="X157" s="284"/>
      <c r="Y157" s="284"/>
      <c r="Z157" s="284"/>
      <c r="AA157" s="284"/>
    </row>
    <row r="158">
      <c r="A158" s="293" t="s">
        <v>181</v>
      </c>
      <c r="B158" s="293" t="s">
        <v>2216</v>
      </c>
      <c r="C158" s="294" t="s">
        <v>131</v>
      </c>
      <c r="D158" s="294" t="s">
        <v>2217</v>
      </c>
      <c r="E158" s="294" t="s">
        <v>8</v>
      </c>
      <c r="F158" s="294" t="s">
        <v>873</v>
      </c>
      <c r="G158" s="294" t="s">
        <v>17</v>
      </c>
      <c r="H158" s="294" t="s">
        <v>874</v>
      </c>
      <c r="I158" s="295" t="s">
        <v>2218</v>
      </c>
      <c r="J158" s="295" t="s">
        <v>876</v>
      </c>
      <c r="K158" s="293" t="s">
        <v>877</v>
      </c>
      <c r="L158" s="294" t="s">
        <v>878</v>
      </c>
      <c r="M158" s="296" t="s">
        <v>2219</v>
      </c>
      <c r="N158" s="293" t="s">
        <v>2220</v>
      </c>
      <c r="O158" s="284"/>
      <c r="P158" s="284"/>
      <c r="Q158" s="284"/>
      <c r="R158" s="284"/>
      <c r="S158" s="284"/>
      <c r="T158" s="284"/>
      <c r="U158" s="284"/>
      <c r="V158" s="284"/>
      <c r="W158" s="284"/>
      <c r="X158" s="284"/>
      <c r="Y158" s="284"/>
      <c r="Z158" s="284"/>
      <c r="AA158" s="284"/>
    </row>
    <row r="159">
      <c r="A159" s="284"/>
      <c r="B159" s="284" t="s">
        <v>2249</v>
      </c>
      <c r="C159" s="285" t="str">
        <f t="shared" ref="C159:C174" si="72">if(OR(G159=0,G159=""),"","x")</f>
        <v/>
      </c>
      <c r="D159" s="297">
        <v>0.0</v>
      </c>
      <c r="E159" s="297">
        <v>100.0</v>
      </c>
      <c r="F159" s="297">
        <f>D159*E159</f>
        <v>0</v>
      </c>
      <c r="G159" s="297">
        <f>F159*Q$8</f>
        <v>0</v>
      </c>
      <c r="H159" s="297">
        <f t="shared" ref="H159:H160" si="73">G159</f>
        <v>0</v>
      </c>
      <c r="I159" s="286"/>
      <c r="J159" s="286"/>
      <c r="K159" s="284" t="str">
        <f t="shared" ref="K159:K170" si="74">if(J159="","",if(H159=0,1,0))</f>
        <v/>
      </c>
      <c r="L159" s="285" t="str">
        <f t="shared" ref="L159:L173" si="75">if(J159="","",J159-$K$6)</f>
        <v/>
      </c>
      <c r="M159" s="287"/>
      <c r="N159" s="284"/>
      <c r="O159" s="284"/>
      <c r="P159" s="284"/>
      <c r="Q159" s="284"/>
      <c r="R159" s="284"/>
      <c r="S159" s="284"/>
      <c r="T159" s="284"/>
      <c r="U159" s="284"/>
      <c r="V159" s="284"/>
      <c r="W159" s="284"/>
      <c r="X159" s="284"/>
      <c r="Y159" s="284"/>
      <c r="Z159" s="284"/>
      <c r="AA159" s="284"/>
    </row>
    <row r="160">
      <c r="A160" s="284"/>
      <c r="B160" s="284" t="s">
        <v>2251</v>
      </c>
      <c r="C160" s="285" t="str">
        <f t="shared" si="72"/>
        <v>x</v>
      </c>
      <c r="D160" s="297">
        <v>3.0</v>
      </c>
      <c r="E160" s="297">
        <v>5.0</v>
      </c>
      <c r="F160" s="297">
        <v>15.0</v>
      </c>
      <c r="G160" s="297">
        <f t="shared" ref="G160:G161" si="76">F160*$Q$5</f>
        <v>1246.665</v>
      </c>
      <c r="H160" s="297">
        <f t="shared" si="73"/>
        <v>1246.665</v>
      </c>
      <c r="I160" s="288">
        <v>45474.0</v>
      </c>
      <c r="J160" s="288">
        <f t="shared" ref="J160:J161" si="77">Edate(I160,1)</f>
        <v>45505</v>
      </c>
      <c r="K160" s="289">
        <f t="shared" si="74"/>
        <v>0</v>
      </c>
      <c r="L160" s="297">
        <f t="shared" si="75"/>
        <v>-662</v>
      </c>
      <c r="M160" s="287"/>
      <c r="N160" s="284"/>
      <c r="O160" s="284"/>
      <c r="P160" s="284"/>
      <c r="Q160" s="284"/>
      <c r="R160" s="284"/>
      <c r="S160" s="284"/>
      <c r="T160" s="284"/>
      <c r="U160" s="284"/>
      <c r="V160" s="284"/>
      <c r="W160" s="284"/>
      <c r="X160" s="284"/>
      <c r="Y160" s="284"/>
      <c r="Z160" s="284"/>
      <c r="AA160" s="284"/>
    </row>
    <row r="161">
      <c r="A161" s="284"/>
      <c r="B161" s="284" t="s">
        <v>2254</v>
      </c>
      <c r="C161" s="285" t="str">
        <f t="shared" si="72"/>
        <v>x</v>
      </c>
      <c r="D161" s="297">
        <v>8.0</v>
      </c>
      <c r="E161" s="297">
        <v>3.0</v>
      </c>
      <c r="F161" s="297">
        <f t="shared" ref="F161:F164" si="78">D161*E161</f>
        <v>24</v>
      </c>
      <c r="G161" s="297">
        <f t="shared" si="76"/>
        <v>1994.664</v>
      </c>
      <c r="H161" s="297">
        <v>0.0</v>
      </c>
      <c r="I161" s="288">
        <v>45474.0</v>
      </c>
      <c r="J161" s="288">
        <f t="shared" si="77"/>
        <v>45505</v>
      </c>
      <c r="K161" s="289">
        <f t="shared" si="74"/>
        <v>1</v>
      </c>
      <c r="L161" s="297">
        <f t="shared" si="75"/>
        <v>-662</v>
      </c>
      <c r="M161" s="298">
        <v>45518.0</v>
      </c>
      <c r="N161" s="284" t="s">
        <v>2275</v>
      </c>
      <c r="O161" s="284"/>
      <c r="P161" s="284"/>
      <c r="Q161" s="284"/>
      <c r="R161" s="284"/>
      <c r="S161" s="284"/>
      <c r="T161" s="284"/>
      <c r="U161" s="284"/>
      <c r="V161" s="284"/>
      <c r="W161" s="284"/>
      <c r="X161" s="284"/>
      <c r="Y161" s="284"/>
      <c r="Z161" s="284"/>
      <c r="AA161" s="284"/>
    </row>
    <row r="162">
      <c r="A162" s="284"/>
      <c r="B162" s="284" t="s">
        <v>2255</v>
      </c>
      <c r="C162" s="285" t="str">
        <f t="shared" si="72"/>
        <v/>
      </c>
      <c r="D162" s="297">
        <v>0.0</v>
      </c>
      <c r="E162" s="297">
        <v>1500.0</v>
      </c>
      <c r="F162" s="297">
        <f t="shared" si="78"/>
        <v>0</v>
      </c>
      <c r="G162" s="297">
        <f>F162*$Q$7</f>
        <v>0</v>
      </c>
      <c r="H162" s="297">
        <f>G162</f>
        <v>0</v>
      </c>
      <c r="I162" s="286"/>
      <c r="J162" s="286"/>
      <c r="K162" s="284" t="str">
        <f t="shared" si="74"/>
        <v/>
      </c>
      <c r="L162" s="285" t="str">
        <f t="shared" si="75"/>
        <v/>
      </c>
      <c r="M162" s="287"/>
      <c r="N162" s="284"/>
      <c r="O162" s="284"/>
      <c r="P162" s="284"/>
      <c r="Q162" s="284"/>
      <c r="R162" s="284"/>
      <c r="S162" s="284"/>
      <c r="T162" s="284"/>
      <c r="U162" s="284"/>
      <c r="V162" s="284"/>
      <c r="W162" s="284"/>
      <c r="X162" s="284"/>
      <c r="Y162" s="284"/>
      <c r="Z162" s="284"/>
      <c r="AA162" s="284"/>
    </row>
    <row r="163">
      <c r="A163" s="284"/>
      <c r="B163" s="284" t="s">
        <v>2256</v>
      </c>
      <c r="C163" s="285" t="str">
        <f t="shared" si="72"/>
        <v/>
      </c>
      <c r="D163" s="297">
        <v>0.0</v>
      </c>
      <c r="E163" s="297">
        <v>500.0</v>
      </c>
      <c r="F163" s="297">
        <f t="shared" si="78"/>
        <v>0</v>
      </c>
      <c r="G163" s="297">
        <f t="shared" ref="G163:H163" si="79">F163</f>
        <v>0</v>
      </c>
      <c r="H163" s="297">
        <f t="shared" si="79"/>
        <v>0</v>
      </c>
      <c r="I163" s="286"/>
      <c r="J163" s="286"/>
      <c r="K163" s="284" t="str">
        <f t="shared" si="74"/>
        <v/>
      </c>
      <c r="L163" s="285" t="str">
        <f t="shared" si="75"/>
        <v/>
      </c>
      <c r="M163" s="287"/>
      <c r="N163" s="284"/>
      <c r="O163" s="284"/>
      <c r="P163" s="284"/>
      <c r="Q163" s="284"/>
      <c r="R163" s="284"/>
      <c r="S163" s="284"/>
      <c r="T163" s="284"/>
      <c r="U163" s="284"/>
      <c r="V163" s="284"/>
      <c r="W163" s="284"/>
      <c r="X163" s="284"/>
      <c r="Y163" s="284"/>
      <c r="Z163" s="284"/>
      <c r="AA163" s="284"/>
    </row>
    <row r="164">
      <c r="A164" s="284" t="s">
        <v>2276</v>
      </c>
      <c r="B164" s="284" t="s">
        <v>2257</v>
      </c>
      <c r="C164" s="285" t="str">
        <f t="shared" si="72"/>
        <v>x</v>
      </c>
      <c r="D164" s="297">
        <v>21.5</v>
      </c>
      <c r="E164" s="297">
        <v>22.0</v>
      </c>
      <c r="F164" s="297">
        <f t="shared" si="78"/>
        <v>473</v>
      </c>
      <c r="G164" s="297">
        <f t="shared" ref="G164:G165" si="80">F164*$Q$6</f>
        <v>8987</v>
      </c>
      <c r="H164" s="297">
        <v>0.0</v>
      </c>
      <c r="I164" s="288">
        <v>45474.0</v>
      </c>
      <c r="J164" s="288">
        <f t="shared" ref="J164:J166" si="81">Edate(I164,1)</f>
        <v>45505</v>
      </c>
      <c r="K164" s="289">
        <f t="shared" si="74"/>
        <v>1</v>
      </c>
      <c r="L164" s="297">
        <f t="shared" si="75"/>
        <v>-662</v>
      </c>
      <c r="M164" s="287" t="s">
        <v>2277</v>
      </c>
      <c r="N164" s="284"/>
      <c r="O164" s="284"/>
      <c r="P164" s="284"/>
      <c r="Q164" s="284"/>
      <c r="R164" s="284"/>
      <c r="S164" s="284"/>
      <c r="T164" s="284"/>
      <c r="U164" s="284"/>
      <c r="V164" s="284"/>
      <c r="W164" s="284"/>
      <c r="X164" s="284"/>
      <c r="Y164" s="284"/>
      <c r="Z164" s="284"/>
      <c r="AA164" s="284"/>
    </row>
    <row r="165">
      <c r="A165" s="284"/>
      <c r="B165" s="284" t="s">
        <v>2258</v>
      </c>
      <c r="C165" s="285" t="str">
        <f t="shared" si="72"/>
        <v/>
      </c>
      <c r="D165" s="297">
        <v>0.0</v>
      </c>
      <c r="E165" s="297">
        <v>0.0</v>
      </c>
      <c r="F165" s="297">
        <v>0.0</v>
      </c>
      <c r="G165" s="297">
        <f t="shared" si="80"/>
        <v>0</v>
      </c>
      <c r="H165" s="297">
        <f>G165</f>
        <v>0</v>
      </c>
      <c r="I165" s="288">
        <v>45485.0</v>
      </c>
      <c r="J165" s="288">
        <f t="shared" si="81"/>
        <v>45516</v>
      </c>
      <c r="K165" s="289">
        <f t="shared" si="74"/>
        <v>1</v>
      </c>
      <c r="L165" s="297">
        <f t="shared" si="75"/>
        <v>-651</v>
      </c>
      <c r="M165" s="287"/>
      <c r="N165" s="284"/>
      <c r="O165" s="284"/>
      <c r="P165" s="284"/>
      <c r="Q165" s="284"/>
      <c r="R165" s="284"/>
      <c r="S165" s="284"/>
      <c r="T165" s="284"/>
      <c r="U165" s="284"/>
      <c r="V165" s="284"/>
      <c r="W165" s="284"/>
      <c r="X165" s="284"/>
      <c r="Y165" s="284"/>
      <c r="Z165" s="284"/>
      <c r="AA165" s="284"/>
    </row>
    <row r="166">
      <c r="A166" s="284"/>
      <c r="B166" s="284" t="s">
        <v>2259</v>
      </c>
      <c r="C166" s="285" t="str">
        <f t="shared" si="72"/>
        <v>x</v>
      </c>
      <c r="D166" s="297">
        <v>1.0</v>
      </c>
      <c r="E166" s="297">
        <v>15000.0</v>
      </c>
      <c r="F166" s="297">
        <f t="shared" ref="F166:F167" si="82">D166*E166</f>
        <v>15000</v>
      </c>
      <c r="G166" s="297">
        <f t="shared" ref="G166:G170" si="83">F166*$Q$7</f>
        <v>4500</v>
      </c>
      <c r="H166" s="297">
        <v>0.0</v>
      </c>
      <c r="I166" s="288">
        <v>45486.0</v>
      </c>
      <c r="J166" s="288">
        <f t="shared" si="81"/>
        <v>45517</v>
      </c>
      <c r="K166" s="289">
        <f t="shared" si="74"/>
        <v>1</v>
      </c>
      <c r="L166" s="297">
        <f t="shared" si="75"/>
        <v>-650</v>
      </c>
      <c r="M166" s="298">
        <v>45560.0</v>
      </c>
      <c r="N166" s="284"/>
      <c r="O166" s="284"/>
      <c r="P166" s="284"/>
      <c r="Q166" s="284"/>
      <c r="R166" s="284"/>
      <c r="S166" s="284"/>
      <c r="T166" s="284"/>
      <c r="U166" s="284"/>
      <c r="V166" s="284"/>
      <c r="W166" s="284"/>
      <c r="X166" s="284"/>
      <c r="Y166" s="284"/>
      <c r="Z166" s="284"/>
      <c r="AA166" s="284"/>
    </row>
    <row r="167">
      <c r="A167" s="284"/>
      <c r="B167" s="284" t="s">
        <v>2267</v>
      </c>
      <c r="C167" s="285" t="str">
        <f t="shared" si="72"/>
        <v>x</v>
      </c>
      <c r="D167" s="297">
        <v>3.0</v>
      </c>
      <c r="E167" s="297">
        <v>3000.0</v>
      </c>
      <c r="F167" s="297">
        <f t="shared" si="82"/>
        <v>9000</v>
      </c>
      <c r="G167" s="297">
        <f t="shared" si="83"/>
        <v>2700</v>
      </c>
      <c r="H167" s="297">
        <v>0.0</v>
      </c>
      <c r="I167" s="286"/>
      <c r="J167" s="286"/>
      <c r="K167" s="284" t="str">
        <f t="shared" si="74"/>
        <v/>
      </c>
      <c r="L167" s="285" t="str">
        <f t="shared" si="75"/>
        <v/>
      </c>
      <c r="M167" s="287"/>
      <c r="N167" s="284"/>
      <c r="O167" s="284"/>
      <c r="P167" s="284"/>
      <c r="Q167" s="284"/>
      <c r="R167" s="284"/>
      <c r="S167" s="284"/>
      <c r="T167" s="284"/>
      <c r="U167" s="284"/>
      <c r="V167" s="284"/>
      <c r="W167" s="284"/>
      <c r="X167" s="284"/>
      <c r="Y167" s="284"/>
      <c r="Z167" s="284"/>
      <c r="AA167" s="284"/>
    </row>
    <row r="168">
      <c r="A168" s="284"/>
      <c r="B168" s="284" t="s">
        <v>2263</v>
      </c>
      <c r="C168" s="285" t="str">
        <f t="shared" si="72"/>
        <v>x</v>
      </c>
      <c r="D168" s="297">
        <v>1.0</v>
      </c>
      <c r="E168" s="297">
        <v>-13340.0</v>
      </c>
      <c r="F168" s="297">
        <v>-16426.0</v>
      </c>
      <c r="G168" s="297">
        <f t="shared" si="83"/>
        <v>-4927.8</v>
      </c>
      <c r="H168" s="297">
        <v>0.0</v>
      </c>
      <c r="I168" s="286"/>
      <c r="J168" s="286"/>
      <c r="K168" s="284" t="str">
        <f t="shared" si="74"/>
        <v/>
      </c>
      <c r="L168" s="285" t="str">
        <f t="shared" si="75"/>
        <v/>
      </c>
      <c r="M168" s="287"/>
      <c r="N168" s="284"/>
      <c r="O168" s="284"/>
      <c r="P168" s="284"/>
      <c r="Q168" s="284"/>
      <c r="R168" s="284"/>
      <c r="S168" s="284"/>
      <c r="T168" s="284"/>
      <c r="U168" s="284"/>
      <c r="V168" s="284"/>
      <c r="W168" s="284"/>
      <c r="X168" s="284"/>
      <c r="Y168" s="284"/>
      <c r="Z168" s="284"/>
      <c r="AA168" s="284"/>
    </row>
    <row r="169">
      <c r="A169" s="284" t="s">
        <v>2278</v>
      </c>
      <c r="B169" s="284" t="s">
        <v>2279</v>
      </c>
      <c r="C169" s="285" t="str">
        <f t="shared" si="72"/>
        <v>x</v>
      </c>
      <c r="D169" s="297">
        <v>1.0</v>
      </c>
      <c r="E169" s="297">
        <v>5015.0</v>
      </c>
      <c r="F169" s="297">
        <f>D169*E169</f>
        <v>5015</v>
      </c>
      <c r="G169" s="297">
        <f t="shared" si="83"/>
        <v>1504.5</v>
      </c>
      <c r="H169" s="297">
        <v>0.0</v>
      </c>
      <c r="I169" s="288">
        <v>45482.0</v>
      </c>
      <c r="J169" s="288">
        <f>Edate(I169,1)</f>
        <v>45513</v>
      </c>
      <c r="K169" s="289">
        <f t="shared" si="74"/>
        <v>1</v>
      </c>
      <c r="L169" s="297">
        <f t="shared" si="75"/>
        <v>-654</v>
      </c>
      <c r="M169" s="298">
        <v>45478.0</v>
      </c>
      <c r="N169" s="284"/>
      <c r="O169" s="284"/>
      <c r="P169" s="284"/>
      <c r="Q169" s="284"/>
      <c r="R169" s="284"/>
      <c r="S169" s="284"/>
      <c r="T169" s="284"/>
      <c r="U169" s="284"/>
      <c r="V169" s="284"/>
      <c r="W169" s="284"/>
      <c r="X169" s="284"/>
      <c r="Y169" s="284"/>
      <c r="Z169" s="284"/>
      <c r="AA169" s="284"/>
    </row>
    <row r="170">
      <c r="A170" s="302" t="s">
        <v>2273</v>
      </c>
      <c r="B170" s="284" t="s">
        <v>2274</v>
      </c>
      <c r="C170" s="285" t="str">
        <f t="shared" si="72"/>
        <v>x</v>
      </c>
      <c r="D170" s="297">
        <v>1.0</v>
      </c>
      <c r="E170" s="297">
        <v>21477.0</v>
      </c>
      <c r="F170" s="303">
        <v>-16462.0</v>
      </c>
      <c r="G170" s="297">
        <f t="shared" si="83"/>
        <v>-4938.6</v>
      </c>
      <c r="H170" s="297">
        <v>0.0</v>
      </c>
      <c r="I170" s="288">
        <v>45478.0</v>
      </c>
      <c r="J170" s="288">
        <v>45478.0</v>
      </c>
      <c r="K170" s="289">
        <f t="shared" si="74"/>
        <v>1</v>
      </c>
      <c r="L170" s="297">
        <f t="shared" si="75"/>
        <v>-689</v>
      </c>
      <c r="M170" s="298">
        <v>45478.0</v>
      </c>
      <c r="N170" s="284"/>
      <c r="O170" s="284"/>
      <c r="P170" s="284"/>
      <c r="Q170" s="284"/>
      <c r="R170" s="284"/>
      <c r="S170" s="284"/>
      <c r="T170" s="284"/>
      <c r="U170" s="284"/>
      <c r="V170" s="284"/>
      <c r="W170" s="284"/>
      <c r="X170" s="284"/>
      <c r="Y170" s="284"/>
      <c r="Z170" s="284"/>
      <c r="AA170" s="284"/>
    </row>
    <row r="171">
      <c r="A171" s="284"/>
      <c r="B171" s="284"/>
      <c r="C171" s="285" t="str">
        <f t="shared" si="72"/>
        <v/>
      </c>
      <c r="D171" s="285"/>
      <c r="E171" s="285"/>
      <c r="F171" s="285"/>
      <c r="G171" s="285"/>
      <c r="H171" s="285"/>
      <c r="I171" s="286"/>
      <c r="J171" s="286"/>
      <c r="K171" s="285"/>
      <c r="L171" s="285" t="str">
        <f t="shared" si="75"/>
        <v/>
      </c>
      <c r="M171" s="287"/>
      <c r="N171" s="284"/>
      <c r="O171" s="284"/>
      <c r="P171" s="284"/>
      <c r="Q171" s="284"/>
      <c r="R171" s="284"/>
      <c r="S171" s="284"/>
      <c r="T171" s="284"/>
      <c r="U171" s="284"/>
      <c r="V171" s="284"/>
      <c r="W171" s="284"/>
      <c r="X171" s="284"/>
      <c r="Y171" s="284"/>
      <c r="Z171" s="284"/>
      <c r="AA171" s="284"/>
    </row>
    <row r="172">
      <c r="A172" s="284"/>
      <c r="B172" s="284"/>
      <c r="C172" s="285" t="str">
        <f t="shared" si="72"/>
        <v/>
      </c>
      <c r="D172" s="285"/>
      <c r="E172" s="285"/>
      <c r="F172" s="285"/>
      <c r="G172" s="285"/>
      <c r="H172" s="285"/>
      <c r="I172" s="286"/>
      <c r="J172" s="286"/>
      <c r="K172" s="285"/>
      <c r="L172" s="285" t="str">
        <f t="shared" si="75"/>
        <v/>
      </c>
      <c r="M172" s="287"/>
      <c r="N172" s="284"/>
      <c r="O172" s="284"/>
      <c r="P172" s="284"/>
      <c r="Q172" s="284"/>
      <c r="R172" s="284"/>
      <c r="S172" s="284"/>
      <c r="T172" s="284"/>
      <c r="U172" s="284"/>
      <c r="V172" s="284"/>
      <c r="W172" s="284"/>
      <c r="X172" s="284"/>
      <c r="Y172" s="284"/>
      <c r="Z172" s="284"/>
      <c r="AA172" s="284"/>
    </row>
    <row r="173">
      <c r="A173" s="284"/>
      <c r="B173" s="284"/>
      <c r="C173" s="285" t="str">
        <f t="shared" si="72"/>
        <v/>
      </c>
      <c r="D173" s="285"/>
      <c r="E173" s="285"/>
      <c r="F173" s="285"/>
      <c r="G173" s="285"/>
      <c r="H173" s="285"/>
      <c r="I173" s="286"/>
      <c r="J173" s="286"/>
      <c r="K173" s="285"/>
      <c r="L173" s="285" t="str">
        <f t="shared" si="75"/>
        <v/>
      </c>
      <c r="M173" s="287"/>
      <c r="N173" s="284"/>
      <c r="O173" s="284"/>
      <c r="P173" s="284"/>
      <c r="Q173" s="284"/>
      <c r="R173" s="284"/>
      <c r="S173" s="284"/>
      <c r="T173" s="284"/>
      <c r="U173" s="284"/>
      <c r="V173" s="284"/>
      <c r="W173" s="284"/>
      <c r="X173" s="284"/>
      <c r="Y173" s="284"/>
      <c r="Z173" s="284"/>
      <c r="AA173" s="284"/>
    </row>
    <row r="174">
      <c r="A174" s="284"/>
      <c r="B174" s="284"/>
      <c r="C174" s="285" t="str">
        <f t="shared" si="72"/>
        <v/>
      </c>
      <c r="D174" s="285"/>
      <c r="E174" s="285"/>
      <c r="F174" s="285"/>
      <c r="G174" s="285"/>
      <c r="H174" s="285"/>
      <c r="I174" s="286"/>
      <c r="J174" s="286"/>
      <c r="K174" s="285"/>
      <c r="L174" s="284"/>
      <c r="M174" s="287"/>
      <c r="N174" s="284"/>
      <c r="O174" s="284"/>
      <c r="P174" s="284"/>
      <c r="Q174" s="284"/>
      <c r="R174" s="284"/>
      <c r="S174" s="284"/>
      <c r="T174" s="284"/>
      <c r="U174" s="284"/>
      <c r="V174" s="284"/>
      <c r="W174" s="284"/>
      <c r="X174" s="284"/>
      <c r="Y174" s="284"/>
      <c r="Z174" s="284"/>
      <c r="AA174" s="284"/>
    </row>
    <row r="175">
      <c r="A175" s="284"/>
      <c r="B175" s="284"/>
      <c r="C175" s="285" t="str">
        <f>if(G175=0,"","x")</f>
        <v/>
      </c>
      <c r="D175" s="285"/>
      <c r="E175" s="285"/>
      <c r="F175" s="285"/>
      <c r="G175" s="285"/>
      <c r="H175" s="285"/>
      <c r="I175" s="286"/>
      <c r="J175" s="286"/>
      <c r="K175" s="285"/>
      <c r="L175" s="284"/>
      <c r="M175" s="287"/>
      <c r="N175" s="284"/>
      <c r="O175" s="284"/>
      <c r="P175" s="284"/>
      <c r="Q175" s="284"/>
      <c r="R175" s="284"/>
      <c r="S175" s="284"/>
      <c r="T175" s="284"/>
      <c r="U175" s="284"/>
      <c r="V175" s="284"/>
      <c r="W175" s="284"/>
      <c r="X175" s="284"/>
      <c r="Y175" s="284"/>
      <c r="Z175" s="284"/>
      <c r="AA175" s="284"/>
    </row>
    <row r="176">
      <c r="A176" s="284"/>
      <c r="B176" s="284"/>
      <c r="C176" s="285"/>
      <c r="D176" s="285"/>
      <c r="E176" s="285"/>
      <c r="F176" s="285"/>
      <c r="G176" s="285"/>
      <c r="H176" s="285"/>
      <c r="I176" s="286"/>
      <c r="J176" s="286"/>
      <c r="K176" s="285"/>
      <c r="L176" s="284"/>
      <c r="M176" s="287"/>
      <c r="N176" s="284"/>
      <c r="O176" s="284"/>
      <c r="P176" s="284"/>
      <c r="Q176" s="284"/>
      <c r="R176" s="284"/>
      <c r="S176" s="284"/>
      <c r="T176" s="284"/>
      <c r="U176" s="284"/>
      <c r="V176" s="284"/>
      <c r="W176" s="284"/>
      <c r="X176" s="284"/>
      <c r="Y176" s="284"/>
      <c r="Z176" s="284"/>
      <c r="AA176" s="284"/>
    </row>
    <row r="177">
      <c r="A177" s="284"/>
      <c r="B177" s="293" t="s">
        <v>2246</v>
      </c>
      <c r="C177" s="289">
        <f>countif(C160:C176,"x")</f>
        <v>8</v>
      </c>
      <c r="D177" s="285"/>
      <c r="E177" s="285"/>
      <c r="F177" s="285" t="s">
        <v>874</v>
      </c>
      <c r="G177" s="297">
        <f t="shared" ref="G177:H177" si="84">sum(G159:G176)</f>
        <v>11066.429</v>
      </c>
      <c r="H177" s="297">
        <f t="shared" si="84"/>
        <v>1246.665</v>
      </c>
      <c r="I177" s="286"/>
      <c r="J177" s="286"/>
      <c r="K177" s="285"/>
      <c r="L177" s="284"/>
      <c r="M177" s="287"/>
      <c r="N177" s="284"/>
      <c r="O177" s="284"/>
      <c r="P177" s="284"/>
      <c r="Q177" s="284"/>
      <c r="R177" s="284"/>
      <c r="S177" s="284"/>
      <c r="T177" s="284"/>
      <c r="U177" s="284"/>
      <c r="V177" s="284"/>
      <c r="W177" s="284"/>
      <c r="X177" s="284"/>
      <c r="Y177" s="284"/>
      <c r="Z177" s="284"/>
      <c r="AA177" s="284"/>
    </row>
    <row r="178">
      <c r="A178" s="284"/>
      <c r="B178" s="284"/>
      <c r="C178" s="285"/>
      <c r="D178" s="285"/>
      <c r="E178" s="285"/>
      <c r="F178" s="285" t="s">
        <v>2247</v>
      </c>
      <c r="G178" s="285"/>
      <c r="H178" s="297">
        <f>H177+H154</f>
        <v>15595.265</v>
      </c>
      <c r="I178" s="286"/>
      <c r="J178" s="286"/>
      <c r="K178" s="285"/>
      <c r="L178" s="284"/>
      <c r="M178" s="287"/>
      <c r="N178" s="284"/>
      <c r="O178" s="284"/>
      <c r="P178" s="284"/>
      <c r="Q178" s="284"/>
      <c r="R178" s="284"/>
      <c r="S178" s="284"/>
      <c r="T178" s="284"/>
      <c r="U178" s="284"/>
      <c r="V178" s="284"/>
      <c r="W178" s="284"/>
      <c r="X178" s="284"/>
      <c r="Y178" s="284"/>
      <c r="Z178" s="284"/>
      <c r="AA178" s="284"/>
    </row>
    <row r="179">
      <c r="A179" s="284"/>
      <c r="B179" s="284"/>
      <c r="C179" s="285"/>
      <c r="D179" s="285"/>
      <c r="E179" s="285"/>
      <c r="F179" s="285"/>
      <c r="G179" s="285"/>
      <c r="H179" s="285"/>
      <c r="I179" s="286"/>
      <c r="J179" s="286"/>
      <c r="K179" s="285"/>
      <c r="L179" s="284"/>
      <c r="M179" s="287"/>
      <c r="N179" s="284"/>
      <c r="O179" s="284"/>
      <c r="P179" s="284"/>
      <c r="Q179" s="284"/>
      <c r="R179" s="284"/>
      <c r="S179" s="284"/>
      <c r="T179" s="284"/>
      <c r="U179" s="284"/>
      <c r="V179" s="284"/>
      <c r="W179" s="284"/>
      <c r="X179" s="284"/>
      <c r="Y179" s="284"/>
      <c r="Z179" s="284"/>
      <c r="AA179" s="284"/>
    </row>
    <row r="180">
      <c r="A180" s="284"/>
      <c r="B180" s="284"/>
      <c r="C180" s="285"/>
      <c r="D180" s="285"/>
      <c r="E180" s="285"/>
      <c r="F180" s="285"/>
      <c r="G180" s="285"/>
      <c r="H180" s="285"/>
      <c r="I180" s="286"/>
      <c r="J180" s="286"/>
      <c r="K180" s="285"/>
      <c r="L180" s="284"/>
      <c r="M180" s="287"/>
      <c r="N180" s="284"/>
      <c r="O180" s="284"/>
      <c r="P180" s="284"/>
      <c r="Q180" s="284"/>
      <c r="R180" s="284"/>
      <c r="S180" s="284"/>
      <c r="T180" s="284"/>
      <c r="U180" s="284"/>
      <c r="V180" s="284"/>
      <c r="W180" s="284"/>
      <c r="X180" s="284"/>
      <c r="Y180" s="284"/>
      <c r="Z180" s="284"/>
      <c r="AA180" s="284"/>
    </row>
    <row r="181">
      <c r="A181" s="284"/>
      <c r="B181" s="290" t="s">
        <v>2347</v>
      </c>
      <c r="C181" s="285"/>
      <c r="D181" s="285"/>
      <c r="E181" s="285"/>
      <c r="F181" s="285"/>
      <c r="G181" s="285"/>
      <c r="H181" s="285"/>
      <c r="I181" s="286"/>
      <c r="J181" s="286" t="s">
        <v>2233</v>
      </c>
      <c r="K181" s="291">
        <f> Today()</f>
        <v>46167</v>
      </c>
      <c r="L181" s="285"/>
      <c r="M181" s="287"/>
      <c r="N181" s="284"/>
      <c r="O181" s="284"/>
      <c r="P181" s="284"/>
      <c r="Q181" s="284"/>
      <c r="R181" s="284"/>
      <c r="S181" s="284"/>
      <c r="T181" s="284"/>
      <c r="U181" s="284"/>
      <c r="V181" s="284"/>
      <c r="W181" s="284"/>
      <c r="X181" s="284"/>
      <c r="Y181" s="284"/>
      <c r="Z181" s="284"/>
      <c r="AA181" s="284"/>
    </row>
    <row r="182">
      <c r="A182" s="293" t="s">
        <v>181</v>
      </c>
      <c r="B182" s="293" t="s">
        <v>2216</v>
      </c>
      <c r="C182" s="294" t="s">
        <v>131</v>
      </c>
      <c r="D182" s="294" t="s">
        <v>2217</v>
      </c>
      <c r="E182" s="294" t="s">
        <v>8</v>
      </c>
      <c r="F182" s="294" t="s">
        <v>873</v>
      </c>
      <c r="G182" s="294" t="s">
        <v>17</v>
      </c>
      <c r="H182" s="294" t="s">
        <v>874</v>
      </c>
      <c r="I182" s="295" t="s">
        <v>2218</v>
      </c>
      <c r="J182" s="295" t="s">
        <v>876</v>
      </c>
      <c r="K182" s="293" t="s">
        <v>877</v>
      </c>
      <c r="L182" s="294" t="s">
        <v>878</v>
      </c>
      <c r="M182" s="296" t="s">
        <v>2219</v>
      </c>
      <c r="N182" s="293" t="s">
        <v>2220</v>
      </c>
      <c r="O182" s="284"/>
      <c r="P182" s="284"/>
      <c r="Q182" s="284"/>
      <c r="R182" s="284"/>
      <c r="S182" s="284"/>
      <c r="T182" s="284"/>
      <c r="U182" s="284"/>
      <c r="V182" s="284"/>
      <c r="W182" s="284"/>
      <c r="X182" s="284"/>
      <c r="Y182" s="284"/>
      <c r="Z182" s="284"/>
      <c r="AA182" s="284"/>
    </row>
    <row r="183">
      <c r="A183" s="284"/>
      <c r="B183" s="284" t="s">
        <v>2249</v>
      </c>
      <c r="C183" s="285" t="str">
        <f t="shared" ref="C183:C199" si="85">if(OR(G183=0,G183=""),"","x")</f>
        <v/>
      </c>
      <c r="D183" s="297">
        <v>0.0</v>
      </c>
      <c r="E183" s="297">
        <v>100.0</v>
      </c>
      <c r="F183" s="297">
        <f>D183*E183</f>
        <v>0</v>
      </c>
      <c r="G183" s="297">
        <f>F183*Q$8</f>
        <v>0</v>
      </c>
      <c r="H183" s="297">
        <f t="shared" ref="H183:H184" si="86">G183</f>
        <v>0</v>
      </c>
      <c r="I183" s="286"/>
      <c r="J183" s="286"/>
      <c r="K183" s="284" t="str">
        <f t="shared" ref="K183:K194" si="87">if(J183="","",if(H183=0,1,0))</f>
        <v/>
      </c>
      <c r="L183" s="285" t="str">
        <f t="shared" ref="L183:L197" si="88">if(J183="","",J183-$K$6)</f>
        <v/>
      </c>
      <c r="M183" s="287"/>
      <c r="N183" s="284"/>
      <c r="O183" s="284"/>
      <c r="P183" s="284"/>
      <c r="Q183" s="284"/>
      <c r="R183" s="284"/>
      <c r="S183" s="284"/>
      <c r="T183" s="284"/>
      <c r="U183" s="284"/>
      <c r="V183" s="284"/>
      <c r="W183" s="284"/>
      <c r="X183" s="284"/>
      <c r="Y183" s="284"/>
      <c r="Z183" s="284"/>
      <c r="AA183" s="284"/>
    </row>
    <row r="184">
      <c r="A184" s="284"/>
      <c r="B184" s="284" t="s">
        <v>2251</v>
      </c>
      <c r="C184" s="285" t="str">
        <f t="shared" si="85"/>
        <v/>
      </c>
      <c r="D184" s="297">
        <v>0.0</v>
      </c>
      <c r="E184" s="297">
        <v>5.0</v>
      </c>
      <c r="F184" s="297">
        <v>15.0</v>
      </c>
      <c r="G184" s="297">
        <v>0.0</v>
      </c>
      <c r="H184" s="297">
        <f t="shared" si="86"/>
        <v>0</v>
      </c>
      <c r="I184" s="288">
        <v>45505.0</v>
      </c>
      <c r="J184" s="288">
        <f t="shared" ref="J184:J185" si="89">Edate(I184,1)</f>
        <v>45536</v>
      </c>
      <c r="K184" s="289">
        <f t="shared" si="87"/>
        <v>1</v>
      </c>
      <c r="L184" s="297">
        <f t="shared" si="88"/>
        <v>-631</v>
      </c>
      <c r="M184" s="287"/>
      <c r="N184" s="284"/>
      <c r="O184" s="284"/>
      <c r="P184" s="284"/>
      <c r="Q184" s="284"/>
      <c r="R184" s="284"/>
      <c r="S184" s="284"/>
      <c r="T184" s="284"/>
      <c r="U184" s="284"/>
      <c r="V184" s="284"/>
      <c r="W184" s="284"/>
      <c r="X184" s="284"/>
      <c r="Y184" s="284"/>
      <c r="Z184" s="284"/>
      <c r="AA184" s="284"/>
    </row>
    <row r="185">
      <c r="A185" s="284"/>
      <c r="B185" s="284" t="s">
        <v>2254</v>
      </c>
      <c r="C185" s="285" t="str">
        <f t="shared" si="85"/>
        <v>x</v>
      </c>
      <c r="D185" s="297">
        <v>8.0</v>
      </c>
      <c r="E185" s="297">
        <v>3.0</v>
      </c>
      <c r="F185" s="297">
        <f t="shared" ref="F185:F188" si="90">D185*E185</f>
        <v>24</v>
      </c>
      <c r="G185" s="297">
        <f>F185*$Q$5</f>
        <v>1994.664</v>
      </c>
      <c r="H185" s="297">
        <v>0.0</v>
      </c>
      <c r="I185" s="288">
        <v>45505.0</v>
      </c>
      <c r="J185" s="288">
        <f t="shared" si="89"/>
        <v>45536</v>
      </c>
      <c r="K185" s="289">
        <f t="shared" si="87"/>
        <v>1</v>
      </c>
      <c r="L185" s="297">
        <f t="shared" si="88"/>
        <v>-631</v>
      </c>
      <c r="M185" s="298">
        <v>45560.0</v>
      </c>
      <c r="N185" s="284"/>
      <c r="O185" s="284"/>
      <c r="P185" s="284"/>
      <c r="Q185" s="284"/>
      <c r="R185" s="284"/>
      <c r="S185" s="284"/>
      <c r="T185" s="284"/>
      <c r="U185" s="284"/>
      <c r="V185" s="284"/>
      <c r="W185" s="284"/>
      <c r="X185" s="284"/>
      <c r="Y185" s="284"/>
      <c r="Z185" s="284"/>
      <c r="AA185" s="284"/>
    </row>
    <row r="186">
      <c r="A186" s="284"/>
      <c r="B186" s="284" t="s">
        <v>2255</v>
      </c>
      <c r="C186" s="285" t="str">
        <f t="shared" si="85"/>
        <v/>
      </c>
      <c r="D186" s="297">
        <v>0.0</v>
      </c>
      <c r="E186" s="297">
        <v>1500.0</v>
      </c>
      <c r="F186" s="297">
        <f t="shared" si="90"/>
        <v>0</v>
      </c>
      <c r="G186" s="297">
        <f>F186*$Q$7</f>
        <v>0</v>
      </c>
      <c r="H186" s="297">
        <f>G186</f>
        <v>0</v>
      </c>
      <c r="I186" s="286"/>
      <c r="J186" s="286"/>
      <c r="K186" s="284" t="str">
        <f t="shared" si="87"/>
        <v/>
      </c>
      <c r="L186" s="285" t="str">
        <f t="shared" si="88"/>
        <v/>
      </c>
      <c r="M186" s="287"/>
      <c r="N186" s="284"/>
      <c r="O186" s="284"/>
      <c r="P186" s="284"/>
      <c r="Q186" s="284"/>
      <c r="R186" s="284"/>
      <c r="S186" s="284"/>
      <c r="T186" s="284"/>
      <c r="U186" s="284"/>
      <c r="V186" s="284"/>
      <c r="W186" s="284"/>
      <c r="X186" s="284"/>
      <c r="Y186" s="284"/>
      <c r="Z186" s="284"/>
      <c r="AA186" s="284"/>
    </row>
    <row r="187">
      <c r="A187" s="284"/>
      <c r="B187" s="284" t="s">
        <v>2256</v>
      </c>
      <c r="C187" s="285" t="str">
        <f t="shared" si="85"/>
        <v/>
      </c>
      <c r="D187" s="297">
        <v>0.0</v>
      </c>
      <c r="E187" s="297">
        <v>500.0</v>
      </c>
      <c r="F187" s="297">
        <f t="shared" si="90"/>
        <v>0</v>
      </c>
      <c r="G187" s="297">
        <f t="shared" ref="G187:H187" si="91">F187</f>
        <v>0</v>
      </c>
      <c r="H187" s="297">
        <f t="shared" si="91"/>
        <v>0</v>
      </c>
      <c r="I187" s="286"/>
      <c r="J187" s="286"/>
      <c r="K187" s="284" t="str">
        <f t="shared" si="87"/>
        <v/>
      </c>
      <c r="L187" s="285" t="str">
        <f t="shared" si="88"/>
        <v/>
      </c>
      <c r="M187" s="287"/>
      <c r="N187" s="284"/>
      <c r="O187" s="284"/>
      <c r="P187" s="284"/>
      <c r="Q187" s="284"/>
      <c r="R187" s="284"/>
      <c r="S187" s="284"/>
      <c r="T187" s="284"/>
      <c r="U187" s="284"/>
      <c r="V187" s="284"/>
      <c r="W187" s="284"/>
      <c r="X187" s="284"/>
      <c r="Y187" s="284"/>
      <c r="Z187" s="284"/>
      <c r="AA187" s="284"/>
    </row>
    <row r="188">
      <c r="A188" s="284" t="s">
        <v>2280</v>
      </c>
      <c r="B188" s="284" t="s">
        <v>2257</v>
      </c>
      <c r="C188" s="285" t="str">
        <f t="shared" si="85"/>
        <v>x</v>
      </c>
      <c r="D188" s="297">
        <v>25.0</v>
      </c>
      <c r="E188" s="297">
        <v>22.0</v>
      </c>
      <c r="F188" s="297">
        <f t="shared" si="90"/>
        <v>550</v>
      </c>
      <c r="G188" s="297">
        <f t="shared" ref="G188:G189" si="92">F188*$Q$6</f>
        <v>10450</v>
      </c>
      <c r="H188" s="297">
        <v>0.0</v>
      </c>
      <c r="I188" s="288">
        <v>45505.0</v>
      </c>
      <c r="J188" s="288">
        <v>45536.0</v>
      </c>
      <c r="K188" s="289">
        <f t="shared" si="87"/>
        <v>1</v>
      </c>
      <c r="L188" s="297">
        <f t="shared" si="88"/>
        <v>-631</v>
      </c>
      <c r="M188" s="287" t="s">
        <v>2281</v>
      </c>
      <c r="N188" s="284" t="s">
        <v>2282</v>
      </c>
      <c r="O188" s="284"/>
      <c r="P188" s="284"/>
      <c r="Q188" s="284"/>
      <c r="R188" s="284"/>
      <c r="S188" s="284"/>
      <c r="T188" s="284"/>
      <c r="U188" s="284"/>
      <c r="V188" s="284"/>
      <c r="W188" s="284"/>
      <c r="X188" s="284"/>
      <c r="Y188" s="284"/>
      <c r="Z188" s="284"/>
      <c r="AA188" s="284"/>
    </row>
    <row r="189">
      <c r="A189" s="284"/>
      <c r="B189" s="284" t="s">
        <v>2258</v>
      </c>
      <c r="C189" s="285" t="str">
        <f t="shared" si="85"/>
        <v/>
      </c>
      <c r="D189" s="297">
        <v>0.0</v>
      </c>
      <c r="E189" s="297">
        <v>0.0</v>
      </c>
      <c r="F189" s="297">
        <v>0.0</v>
      </c>
      <c r="G189" s="297">
        <f t="shared" si="92"/>
        <v>0</v>
      </c>
      <c r="H189" s="297">
        <f>G189</f>
        <v>0</v>
      </c>
      <c r="I189" s="288">
        <v>45516.0</v>
      </c>
      <c r="J189" s="288">
        <f t="shared" ref="J189:J190" si="93">Edate(I189,1)</f>
        <v>45547</v>
      </c>
      <c r="K189" s="289">
        <f t="shared" si="87"/>
        <v>1</v>
      </c>
      <c r="L189" s="297">
        <f t="shared" si="88"/>
        <v>-620</v>
      </c>
      <c r="M189" s="287"/>
      <c r="N189" s="284"/>
      <c r="O189" s="284"/>
      <c r="P189" s="284"/>
      <c r="Q189" s="284"/>
      <c r="R189" s="284"/>
      <c r="S189" s="284"/>
      <c r="T189" s="284"/>
      <c r="U189" s="284"/>
      <c r="V189" s="284"/>
      <c r="W189" s="284"/>
      <c r="X189" s="284"/>
      <c r="Y189" s="284"/>
      <c r="Z189" s="284"/>
      <c r="AA189" s="284"/>
    </row>
    <row r="190">
      <c r="A190" s="284"/>
      <c r="B190" s="284" t="s">
        <v>2259</v>
      </c>
      <c r="C190" s="285" t="str">
        <f t="shared" si="85"/>
        <v>x</v>
      </c>
      <c r="D190" s="297">
        <v>1.0</v>
      </c>
      <c r="E190" s="297">
        <v>15000.0</v>
      </c>
      <c r="F190" s="297">
        <f t="shared" ref="F190:F192" si="94">D190*E190</f>
        <v>15000</v>
      </c>
      <c r="G190" s="297">
        <f t="shared" ref="G190:G194" si="95">F190*$Q$7</f>
        <v>4500</v>
      </c>
      <c r="H190" s="297">
        <v>0.0</v>
      </c>
      <c r="I190" s="288">
        <v>45517.0</v>
      </c>
      <c r="J190" s="288">
        <f t="shared" si="93"/>
        <v>45548</v>
      </c>
      <c r="K190" s="289">
        <f t="shared" si="87"/>
        <v>1</v>
      </c>
      <c r="L190" s="297">
        <f t="shared" si="88"/>
        <v>-619</v>
      </c>
      <c r="M190" s="298">
        <v>45560.0</v>
      </c>
      <c r="N190" s="284"/>
      <c r="O190" s="284"/>
      <c r="P190" s="284"/>
      <c r="Q190" s="284"/>
      <c r="R190" s="284"/>
      <c r="S190" s="284"/>
      <c r="T190" s="284"/>
      <c r="U190" s="284"/>
      <c r="V190" s="284"/>
      <c r="W190" s="284"/>
      <c r="X190" s="284"/>
      <c r="Y190" s="284"/>
      <c r="Z190" s="284"/>
      <c r="AA190" s="284"/>
    </row>
    <row r="191">
      <c r="A191" s="284"/>
      <c r="B191" s="284" t="s">
        <v>2267</v>
      </c>
      <c r="C191" s="285" t="str">
        <f t="shared" si="85"/>
        <v/>
      </c>
      <c r="D191" s="297">
        <v>0.0</v>
      </c>
      <c r="E191" s="297">
        <v>3000.0</v>
      </c>
      <c r="F191" s="297">
        <f t="shared" si="94"/>
        <v>0</v>
      </c>
      <c r="G191" s="297">
        <f t="shared" si="95"/>
        <v>0</v>
      </c>
      <c r="H191" s="297">
        <f>G191</f>
        <v>0</v>
      </c>
      <c r="I191" s="286"/>
      <c r="J191" s="286"/>
      <c r="K191" s="284" t="str">
        <f t="shared" si="87"/>
        <v/>
      </c>
      <c r="L191" s="285" t="str">
        <f t="shared" si="88"/>
        <v/>
      </c>
      <c r="M191" s="287"/>
      <c r="N191" s="284"/>
      <c r="O191" s="284"/>
      <c r="P191" s="284"/>
      <c r="Q191" s="284"/>
      <c r="R191" s="284"/>
      <c r="S191" s="284"/>
      <c r="T191" s="284"/>
      <c r="U191" s="284"/>
      <c r="V191" s="284"/>
      <c r="W191" s="284"/>
      <c r="X191" s="284"/>
      <c r="Y191" s="284"/>
      <c r="Z191" s="284"/>
      <c r="AA191" s="284"/>
    </row>
    <row r="192">
      <c r="A192" s="284"/>
      <c r="B192" s="284" t="s">
        <v>2279</v>
      </c>
      <c r="C192" s="285" t="str">
        <f t="shared" si="85"/>
        <v>x</v>
      </c>
      <c r="D192" s="297">
        <v>1.0</v>
      </c>
      <c r="E192" s="297">
        <v>5015.0</v>
      </c>
      <c r="F192" s="297">
        <f t="shared" si="94"/>
        <v>5015</v>
      </c>
      <c r="G192" s="297">
        <f t="shared" si="95"/>
        <v>1504.5</v>
      </c>
      <c r="H192" s="297">
        <v>0.0</v>
      </c>
      <c r="I192" s="288">
        <v>45513.0</v>
      </c>
      <c r="J192" s="288">
        <f>Edate(I192,1)</f>
        <v>45544</v>
      </c>
      <c r="K192" s="289">
        <f t="shared" si="87"/>
        <v>1</v>
      </c>
      <c r="L192" s="297">
        <f t="shared" si="88"/>
        <v>-623</v>
      </c>
      <c r="M192" s="298">
        <v>45516.0</v>
      </c>
      <c r="N192" s="284"/>
      <c r="O192" s="284"/>
      <c r="P192" s="284"/>
      <c r="Q192" s="284"/>
      <c r="R192" s="284"/>
      <c r="S192" s="284"/>
      <c r="T192" s="284"/>
      <c r="U192" s="284"/>
      <c r="V192" s="284"/>
      <c r="W192" s="284"/>
      <c r="X192" s="284"/>
      <c r="Y192" s="284"/>
      <c r="Z192" s="284"/>
      <c r="AA192" s="284"/>
    </row>
    <row r="193">
      <c r="A193" s="284"/>
      <c r="B193" s="284" t="s">
        <v>2263</v>
      </c>
      <c r="C193" s="285" t="str">
        <f t="shared" si="85"/>
        <v>x</v>
      </c>
      <c r="D193" s="297">
        <v>1.0</v>
      </c>
      <c r="E193" s="297">
        <v>21477.0</v>
      </c>
      <c r="F193" s="303">
        <v>-11477.0</v>
      </c>
      <c r="G193" s="297">
        <f t="shared" si="95"/>
        <v>-3443.1</v>
      </c>
      <c r="H193" s="297">
        <v>0.0</v>
      </c>
      <c r="I193" s="288">
        <v>45516.0</v>
      </c>
      <c r="J193" s="288">
        <v>45516.0</v>
      </c>
      <c r="K193" s="289">
        <f t="shared" si="87"/>
        <v>1</v>
      </c>
      <c r="L193" s="297">
        <f t="shared" si="88"/>
        <v>-651</v>
      </c>
      <c r="M193" s="298">
        <v>45516.0</v>
      </c>
      <c r="N193" s="284"/>
      <c r="O193" s="284"/>
      <c r="P193" s="284"/>
      <c r="Q193" s="284"/>
      <c r="R193" s="284"/>
      <c r="S193" s="284"/>
      <c r="T193" s="284"/>
      <c r="U193" s="284"/>
      <c r="V193" s="284"/>
      <c r="W193" s="284"/>
      <c r="X193" s="284"/>
      <c r="Y193" s="284"/>
      <c r="Z193" s="284"/>
      <c r="AA193" s="284"/>
    </row>
    <row r="194">
      <c r="A194" s="284"/>
      <c r="B194" s="284" t="s">
        <v>2263</v>
      </c>
      <c r="C194" s="285" t="str">
        <f t="shared" si="85"/>
        <v>x</v>
      </c>
      <c r="D194" s="297">
        <v>1.0</v>
      </c>
      <c r="E194" s="297">
        <v>21477.0</v>
      </c>
      <c r="F194" s="297">
        <v>-1379.0</v>
      </c>
      <c r="G194" s="297">
        <f t="shared" si="95"/>
        <v>-413.7</v>
      </c>
      <c r="H194" s="297">
        <v>0.0</v>
      </c>
      <c r="I194" s="288">
        <v>45516.0</v>
      </c>
      <c r="J194" s="288">
        <v>45516.0</v>
      </c>
      <c r="K194" s="289">
        <f t="shared" si="87"/>
        <v>1</v>
      </c>
      <c r="L194" s="297">
        <f t="shared" si="88"/>
        <v>-651</v>
      </c>
      <c r="M194" s="298">
        <v>45516.0</v>
      </c>
      <c r="N194" s="284"/>
      <c r="O194" s="284"/>
      <c r="P194" s="284"/>
      <c r="Q194" s="284"/>
      <c r="R194" s="284"/>
      <c r="S194" s="284"/>
      <c r="T194" s="284"/>
      <c r="U194" s="284"/>
      <c r="V194" s="284"/>
      <c r="W194" s="284"/>
      <c r="X194" s="284"/>
      <c r="Y194" s="284"/>
      <c r="Z194" s="284"/>
      <c r="AA194" s="284"/>
    </row>
    <row r="195">
      <c r="A195" s="284"/>
      <c r="B195" s="284"/>
      <c r="C195" s="285" t="str">
        <f t="shared" si="85"/>
        <v/>
      </c>
      <c r="D195" s="285"/>
      <c r="E195" s="285"/>
      <c r="F195" s="285"/>
      <c r="G195" s="285"/>
      <c r="H195" s="285"/>
      <c r="I195" s="286"/>
      <c r="J195" s="286"/>
      <c r="K195" s="285"/>
      <c r="L195" s="285" t="str">
        <f t="shared" si="88"/>
        <v/>
      </c>
      <c r="M195" s="287"/>
      <c r="N195" s="284"/>
      <c r="O195" s="284"/>
      <c r="P195" s="284"/>
      <c r="Q195" s="284"/>
      <c r="R195" s="284"/>
      <c r="S195" s="284"/>
      <c r="T195" s="284"/>
      <c r="U195" s="284"/>
      <c r="V195" s="284"/>
      <c r="W195" s="284"/>
      <c r="X195" s="284"/>
      <c r="Y195" s="284"/>
      <c r="Z195" s="284"/>
      <c r="AA195" s="284"/>
    </row>
    <row r="196">
      <c r="A196" s="284"/>
      <c r="B196" s="284"/>
      <c r="C196" s="285" t="str">
        <f t="shared" si="85"/>
        <v/>
      </c>
      <c r="D196" s="285"/>
      <c r="E196" s="285"/>
      <c r="F196" s="285"/>
      <c r="G196" s="285"/>
      <c r="H196" s="285"/>
      <c r="I196" s="286"/>
      <c r="J196" s="286"/>
      <c r="K196" s="285"/>
      <c r="L196" s="285" t="str">
        <f t="shared" si="88"/>
        <v/>
      </c>
      <c r="M196" s="287"/>
      <c r="N196" s="284"/>
      <c r="O196" s="284"/>
      <c r="P196" s="284"/>
      <c r="Q196" s="284"/>
      <c r="R196" s="284"/>
      <c r="S196" s="284"/>
      <c r="T196" s="284"/>
      <c r="U196" s="284"/>
      <c r="V196" s="284"/>
      <c r="W196" s="284"/>
      <c r="X196" s="284"/>
      <c r="Y196" s="284"/>
      <c r="Z196" s="284"/>
      <c r="AA196" s="284"/>
    </row>
    <row r="197">
      <c r="A197" s="284"/>
      <c r="B197" s="284"/>
      <c r="C197" s="285" t="str">
        <f t="shared" si="85"/>
        <v/>
      </c>
      <c r="D197" s="285"/>
      <c r="E197" s="285"/>
      <c r="F197" s="285"/>
      <c r="G197" s="285"/>
      <c r="H197" s="285"/>
      <c r="I197" s="286"/>
      <c r="J197" s="286"/>
      <c r="K197" s="285"/>
      <c r="L197" s="285" t="str">
        <f t="shared" si="88"/>
        <v/>
      </c>
      <c r="M197" s="287"/>
      <c r="N197" s="284"/>
      <c r="O197" s="284"/>
      <c r="P197" s="284"/>
      <c r="Q197" s="284"/>
      <c r="R197" s="284"/>
      <c r="S197" s="284"/>
      <c r="T197" s="284"/>
      <c r="U197" s="284"/>
      <c r="V197" s="284"/>
      <c r="W197" s="284"/>
      <c r="X197" s="284"/>
      <c r="Y197" s="284"/>
      <c r="Z197" s="284"/>
      <c r="AA197" s="284"/>
    </row>
    <row r="198">
      <c r="A198" s="284"/>
      <c r="B198" s="284"/>
      <c r="C198" s="285" t="str">
        <f t="shared" si="85"/>
        <v/>
      </c>
      <c r="D198" s="285"/>
      <c r="E198" s="285"/>
      <c r="F198" s="285"/>
      <c r="G198" s="285"/>
      <c r="H198" s="285"/>
      <c r="I198" s="286"/>
      <c r="J198" s="286"/>
      <c r="K198" s="285"/>
      <c r="L198" s="284"/>
      <c r="M198" s="287"/>
      <c r="N198" s="284"/>
      <c r="O198" s="284"/>
      <c r="P198" s="284"/>
      <c r="Q198" s="284"/>
      <c r="R198" s="284"/>
      <c r="S198" s="284"/>
      <c r="T198" s="284"/>
      <c r="U198" s="284"/>
      <c r="V198" s="284"/>
      <c r="W198" s="284"/>
      <c r="X198" s="284"/>
      <c r="Y198" s="284"/>
      <c r="Z198" s="284"/>
      <c r="AA198" s="284"/>
    </row>
    <row r="199">
      <c r="A199" s="284"/>
      <c r="B199" s="284"/>
      <c r="C199" s="285" t="str">
        <f t="shared" si="85"/>
        <v/>
      </c>
      <c r="D199" s="285"/>
      <c r="E199" s="285"/>
      <c r="F199" s="285"/>
      <c r="G199" s="285"/>
      <c r="H199" s="285"/>
      <c r="I199" s="286"/>
      <c r="J199" s="286"/>
      <c r="K199" s="285"/>
      <c r="L199" s="284"/>
      <c r="M199" s="287"/>
      <c r="N199" s="284"/>
      <c r="O199" s="284"/>
      <c r="P199" s="284"/>
      <c r="Q199" s="284"/>
      <c r="R199" s="284"/>
      <c r="S199" s="284"/>
      <c r="T199" s="284"/>
      <c r="U199" s="284"/>
      <c r="V199" s="284"/>
      <c r="W199" s="284"/>
      <c r="X199" s="284"/>
      <c r="Y199" s="284"/>
      <c r="Z199" s="284"/>
      <c r="AA199" s="284"/>
    </row>
    <row r="200">
      <c r="A200" s="284"/>
      <c r="B200" s="293" t="s">
        <v>2246</v>
      </c>
      <c r="C200" s="289">
        <f>countif(C183:C199,"x")</f>
        <v>6</v>
      </c>
      <c r="D200" s="285"/>
      <c r="E200" s="285"/>
      <c r="F200" s="285" t="s">
        <v>874</v>
      </c>
      <c r="G200" s="297">
        <f t="shared" ref="G200:H200" si="96">sum(G183:G199)</f>
        <v>14592.364</v>
      </c>
      <c r="H200" s="297">
        <f t="shared" si="96"/>
        <v>0</v>
      </c>
      <c r="I200" s="286"/>
      <c r="J200" s="286"/>
      <c r="K200" s="285"/>
      <c r="L200" s="284"/>
      <c r="M200" s="287"/>
      <c r="N200" s="284"/>
      <c r="O200" s="284"/>
      <c r="P200" s="284"/>
      <c r="Q200" s="284"/>
      <c r="R200" s="284"/>
      <c r="S200" s="284"/>
      <c r="T200" s="284"/>
      <c r="U200" s="284"/>
      <c r="V200" s="284"/>
      <c r="W200" s="284"/>
      <c r="X200" s="284"/>
      <c r="Y200" s="284"/>
      <c r="Z200" s="284"/>
      <c r="AA200" s="284"/>
    </row>
    <row r="201">
      <c r="A201" s="284"/>
      <c r="B201" s="284"/>
      <c r="C201" s="285"/>
      <c r="D201" s="285"/>
      <c r="E201" s="285"/>
      <c r="F201" s="285" t="s">
        <v>2247</v>
      </c>
      <c r="G201" s="285"/>
      <c r="H201" s="297">
        <f>H200+H178</f>
        <v>15595.265</v>
      </c>
      <c r="I201" s="286"/>
      <c r="J201" s="286"/>
      <c r="K201" s="285"/>
      <c r="L201" s="284"/>
      <c r="M201" s="287"/>
      <c r="N201" s="284"/>
      <c r="O201" s="284"/>
      <c r="P201" s="284"/>
      <c r="Q201" s="284"/>
      <c r="R201" s="284"/>
      <c r="S201" s="284"/>
      <c r="T201" s="284"/>
      <c r="U201" s="284"/>
      <c r="V201" s="284"/>
      <c r="W201" s="284"/>
      <c r="X201" s="284"/>
      <c r="Y201" s="284"/>
      <c r="Z201" s="284"/>
      <c r="AA201" s="284"/>
    </row>
    <row r="202">
      <c r="A202" s="284"/>
      <c r="B202" s="284"/>
      <c r="C202" s="285"/>
      <c r="D202" s="285"/>
      <c r="E202" s="285"/>
      <c r="F202" s="285"/>
      <c r="G202" s="285"/>
      <c r="H202" s="285"/>
      <c r="I202" s="286"/>
      <c r="J202" s="286"/>
      <c r="K202" s="285"/>
      <c r="L202" s="284"/>
      <c r="M202" s="287"/>
      <c r="N202" s="284"/>
      <c r="O202" s="284"/>
      <c r="P202" s="284"/>
      <c r="Q202" s="284"/>
      <c r="R202" s="284"/>
      <c r="S202" s="284"/>
      <c r="T202" s="284"/>
      <c r="U202" s="284"/>
      <c r="V202" s="284"/>
      <c r="W202" s="284"/>
      <c r="X202" s="284"/>
      <c r="Y202" s="284"/>
      <c r="Z202" s="284"/>
      <c r="AA202" s="284"/>
    </row>
    <row r="203">
      <c r="A203" s="284"/>
      <c r="B203" s="284"/>
      <c r="C203" s="285"/>
      <c r="D203" s="285"/>
      <c r="E203" s="285"/>
      <c r="F203" s="285"/>
      <c r="G203" s="285"/>
      <c r="H203" s="285"/>
      <c r="I203" s="286"/>
      <c r="J203" s="286"/>
      <c r="K203" s="285"/>
      <c r="L203" s="284"/>
      <c r="M203" s="287"/>
      <c r="N203" s="284"/>
      <c r="O203" s="284"/>
      <c r="P203" s="284"/>
      <c r="Q203" s="284"/>
      <c r="R203" s="284"/>
      <c r="S203" s="284"/>
      <c r="T203" s="284"/>
      <c r="U203" s="284"/>
      <c r="V203" s="284"/>
      <c r="W203" s="284"/>
      <c r="X203" s="284"/>
      <c r="Y203" s="284"/>
      <c r="Z203" s="284"/>
      <c r="AA203" s="284"/>
    </row>
    <row r="204">
      <c r="A204" s="284"/>
      <c r="B204" s="284"/>
      <c r="C204" s="285"/>
      <c r="D204" s="285"/>
      <c r="E204" s="285"/>
      <c r="F204" s="285"/>
      <c r="G204" s="285"/>
      <c r="H204" s="285"/>
      <c r="I204" s="286"/>
      <c r="J204" s="286"/>
      <c r="K204" s="285"/>
      <c r="L204" s="284"/>
      <c r="M204" s="287"/>
      <c r="N204" s="284"/>
      <c r="O204" s="284"/>
      <c r="P204" s="284"/>
      <c r="Q204" s="284"/>
      <c r="R204" s="284"/>
      <c r="S204" s="284"/>
      <c r="T204" s="284"/>
      <c r="U204" s="284"/>
      <c r="V204" s="284"/>
      <c r="W204" s="284"/>
      <c r="X204" s="284"/>
      <c r="Y204" s="284"/>
      <c r="Z204" s="284"/>
      <c r="AA204" s="284"/>
    </row>
    <row r="205">
      <c r="A205" s="284"/>
      <c r="B205" s="290" t="s">
        <v>2348</v>
      </c>
      <c r="C205" s="285"/>
      <c r="D205" s="285"/>
      <c r="E205" s="285"/>
      <c r="F205" s="285"/>
      <c r="G205" s="285"/>
      <c r="H205" s="285"/>
      <c r="I205" s="286"/>
      <c r="J205" s="286" t="s">
        <v>2233</v>
      </c>
      <c r="K205" s="291">
        <f> Today()</f>
        <v>46167</v>
      </c>
      <c r="L205" s="285"/>
      <c r="M205" s="287"/>
      <c r="N205" s="284"/>
      <c r="O205" s="284"/>
      <c r="P205" s="284"/>
      <c r="Q205" s="284"/>
      <c r="R205" s="284"/>
      <c r="S205" s="284"/>
      <c r="T205" s="284"/>
      <c r="U205" s="284"/>
      <c r="V205" s="284"/>
      <c r="W205" s="284"/>
      <c r="X205" s="284"/>
      <c r="Y205" s="284"/>
      <c r="Z205" s="284"/>
      <c r="AA205" s="284"/>
    </row>
    <row r="206">
      <c r="A206" s="293" t="s">
        <v>181</v>
      </c>
      <c r="B206" s="293" t="s">
        <v>2216</v>
      </c>
      <c r="C206" s="294" t="s">
        <v>131</v>
      </c>
      <c r="D206" s="304" t="s">
        <v>2217</v>
      </c>
      <c r="E206" s="294" t="s">
        <v>8</v>
      </c>
      <c r="F206" s="294" t="s">
        <v>873</v>
      </c>
      <c r="G206" s="294" t="s">
        <v>17</v>
      </c>
      <c r="H206" s="294" t="s">
        <v>874</v>
      </c>
      <c r="I206" s="295" t="s">
        <v>2218</v>
      </c>
      <c r="J206" s="295" t="s">
        <v>876</v>
      </c>
      <c r="K206" s="293" t="s">
        <v>877</v>
      </c>
      <c r="L206" s="294" t="s">
        <v>878</v>
      </c>
      <c r="M206" s="296" t="s">
        <v>2219</v>
      </c>
      <c r="N206" s="293" t="s">
        <v>2220</v>
      </c>
      <c r="O206" s="284"/>
      <c r="P206" s="284"/>
      <c r="Q206" s="284"/>
      <c r="R206" s="284"/>
      <c r="S206" s="284"/>
      <c r="T206" s="284"/>
      <c r="U206" s="284"/>
      <c r="V206" s="284"/>
      <c r="W206" s="284"/>
      <c r="X206" s="284"/>
      <c r="Y206" s="284"/>
      <c r="Z206" s="284"/>
      <c r="AA206" s="284"/>
    </row>
    <row r="207">
      <c r="A207" s="284"/>
      <c r="B207" s="284" t="s">
        <v>2249</v>
      </c>
      <c r="C207" s="285" t="str">
        <f t="shared" ref="C207:C217" si="97">if(OR(G207=0,G207=""),"","x")</f>
        <v/>
      </c>
      <c r="D207" s="297">
        <v>0.0</v>
      </c>
      <c r="E207" s="297">
        <v>100.0</v>
      </c>
      <c r="F207" s="297">
        <f>D207*E207</f>
        <v>0</v>
      </c>
      <c r="G207" s="297">
        <f>F207*Q$8</f>
        <v>0</v>
      </c>
      <c r="H207" s="297">
        <f t="shared" ref="H207:H208" si="98">G207</f>
        <v>0</v>
      </c>
      <c r="I207" s="286"/>
      <c r="J207" s="286"/>
      <c r="K207" s="284" t="str">
        <f t="shared" ref="K207:K208" si="99">if(J207="","",if(H207=0,1,0))</f>
        <v/>
      </c>
      <c r="L207" s="285" t="str">
        <f t="shared" ref="L207:L217" si="100">if(J207="","",J207-$K$6)</f>
        <v/>
      </c>
      <c r="M207" s="287"/>
      <c r="N207" s="284"/>
      <c r="O207" s="284"/>
      <c r="P207" s="284"/>
      <c r="Q207" s="284"/>
      <c r="R207" s="284"/>
      <c r="S207" s="284"/>
      <c r="T207" s="284"/>
      <c r="U207" s="284"/>
      <c r="V207" s="284"/>
      <c r="W207" s="284"/>
      <c r="X207" s="284"/>
      <c r="Y207" s="284"/>
      <c r="Z207" s="284"/>
      <c r="AA207" s="284"/>
    </row>
    <row r="208">
      <c r="A208" s="284"/>
      <c r="B208" s="284" t="s">
        <v>2251</v>
      </c>
      <c r="C208" s="285" t="str">
        <f t="shared" si="97"/>
        <v/>
      </c>
      <c r="D208" s="297">
        <v>0.0</v>
      </c>
      <c r="E208" s="297">
        <v>5.0</v>
      </c>
      <c r="F208" s="297">
        <v>15.0</v>
      </c>
      <c r="G208" s="297">
        <v>0.0</v>
      </c>
      <c r="H208" s="297">
        <f t="shared" si="98"/>
        <v>0</v>
      </c>
      <c r="I208" s="288">
        <v>45536.0</v>
      </c>
      <c r="J208" s="288">
        <f t="shared" ref="J208:J209" si="101">Edate(I208,1)</f>
        <v>45566</v>
      </c>
      <c r="K208" s="289">
        <f t="shared" si="99"/>
        <v>1</v>
      </c>
      <c r="L208" s="297">
        <f t="shared" si="100"/>
        <v>-601</v>
      </c>
      <c r="M208" s="287"/>
      <c r="N208" s="284"/>
      <c r="O208" s="284"/>
      <c r="P208" s="284"/>
      <c r="Q208" s="284"/>
      <c r="R208" s="284"/>
      <c r="S208" s="284"/>
      <c r="T208" s="284"/>
      <c r="U208" s="284"/>
      <c r="V208" s="284"/>
      <c r="W208" s="284"/>
      <c r="X208" s="284"/>
      <c r="Y208" s="284"/>
      <c r="Z208" s="284"/>
      <c r="AA208" s="284"/>
    </row>
    <row r="209">
      <c r="A209" s="284" t="s">
        <v>1930</v>
      </c>
      <c r="B209" s="284" t="s">
        <v>2254</v>
      </c>
      <c r="C209" s="285" t="str">
        <f t="shared" si="97"/>
        <v>x</v>
      </c>
      <c r="D209" s="297">
        <v>6.0</v>
      </c>
      <c r="E209" s="297">
        <v>3.0</v>
      </c>
      <c r="F209" s="297">
        <f t="shared" ref="F209:F212" si="102">D209*E209</f>
        <v>18</v>
      </c>
      <c r="G209" s="297">
        <f>F209*$Q$5</f>
        <v>1495.998</v>
      </c>
      <c r="H209" s="297">
        <v>0.0</v>
      </c>
      <c r="I209" s="288">
        <v>45536.0</v>
      </c>
      <c r="J209" s="288">
        <f t="shared" si="101"/>
        <v>45566</v>
      </c>
      <c r="K209" s="289">
        <v>1.0</v>
      </c>
      <c r="L209" s="297">
        <f t="shared" si="100"/>
        <v>-601</v>
      </c>
      <c r="M209" s="287" t="s">
        <v>2283</v>
      </c>
      <c r="N209" s="284" t="s">
        <v>2284</v>
      </c>
      <c r="O209" s="284"/>
      <c r="P209" s="284"/>
      <c r="Q209" s="284"/>
      <c r="R209" s="284"/>
      <c r="S209" s="284"/>
      <c r="T209" s="284"/>
      <c r="U209" s="284"/>
      <c r="V209" s="284"/>
      <c r="W209" s="284"/>
      <c r="X209" s="284"/>
      <c r="Y209" s="284"/>
      <c r="Z209" s="284"/>
      <c r="AA209" s="284"/>
    </row>
    <row r="210">
      <c r="A210" s="284"/>
      <c r="B210" s="284" t="s">
        <v>2255</v>
      </c>
      <c r="C210" s="285" t="str">
        <f t="shared" si="97"/>
        <v/>
      </c>
      <c r="D210" s="297">
        <v>0.0</v>
      </c>
      <c r="E210" s="297">
        <v>1500.0</v>
      </c>
      <c r="F210" s="297">
        <f t="shared" si="102"/>
        <v>0</v>
      </c>
      <c r="G210" s="297">
        <f>F210*$Q$7</f>
        <v>0</v>
      </c>
      <c r="H210" s="297">
        <f>G210</f>
        <v>0</v>
      </c>
      <c r="I210" s="286"/>
      <c r="J210" s="286"/>
      <c r="K210" s="284" t="str">
        <f t="shared" ref="K210:K217" si="104">if(J210="","",if(H210=0,1,0))</f>
        <v/>
      </c>
      <c r="L210" s="285" t="str">
        <f t="shared" si="100"/>
        <v/>
      </c>
      <c r="M210" s="287"/>
      <c r="N210" s="284"/>
      <c r="O210" s="284"/>
      <c r="P210" s="284"/>
      <c r="Q210" s="284"/>
      <c r="R210" s="284"/>
      <c r="S210" s="284"/>
      <c r="T210" s="284"/>
      <c r="U210" s="284"/>
      <c r="V210" s="284"/>
      <c r="W210" s="284"/>
      <c r="X210" s="284"/>
      <c r="Y210" s="284"/>
      <c r="Z210" s="284"/>
      <c r="AA210" s="284"/>
    </row>
    <row r="211">
      <c r="A211" s="284"/>
      <c r="B211" s="284" t="s">
        <v>2256</v>
      </c>
      <c r="C211" s="285" t="str">
        <f t="shared" si="97"/>
        <v/>
      </c>
      <c r="D211" s="297">
        <v>0.0</v>
      </c>
      <c r="E211" s="297">
        <v>500.0</v>
      </c>
      <c r="F211" s="297">
        <f t="shared" si="102"/>
        <v>0</v>
      </c>
      <c r="G211" s="297">
        <f t="shared" ref="G211:H211" si="103">F211</f>
        <v>0</v>
      </c>
      <c r="H211" s="297">
        <f t="shared" si="103"/>
        <v>0</v>
      </c>
      <c r="I211" s="286"/>
      <c r="J211" s="286"/>
      <c r="K211" s="284" t="str">
        <f t="shared" si="104"/>
        <v/>
      </c>
      <c r="L211" s="285" t="str">
        <f t="shared" si="100"/>
        <v/>
      </c>
      <c r="M211" s="287"/>
      <c r="N211" s="284"/>
      <c r="O211" s="284"/>
      <c r="P211" s="284"/>
      <c r="Q211" s="284"/>
      <c r="R211" s="284"/>
      <c r="S211" s="284"/>
      <c r="T211" s="284"/>
      <c r="U211" s="284"/>
      <c r="V211" s="284"/>
      <c r="W211" s="284"/>
      <c r="X211" s="284"/>
      <c r="Y211" s="284"/>
      <c r="Z211" s="284"/>
      <c r="AA211" s="284"/>
    </row>
    <row r="212">
      <c r="A212" s="284" t="s">
        <v>2285</v>
      </c>
      <c r="B212" s="284" t="s">
        <v>2257</v>
      </c>
      <c r="C212" s="285" t="str">
        <f t="shared" si="97"/>
        <v>x</v>
      </c>
      <c r="D212" s="305">
        <v>13.5</v>
      </c>
      <c r="E212" s="297">
        <v>22.0</v>
      </c>
      <c r="F212" s="305">
        <f t="shared" si="102"/>
        <v>297</v>
      </c>
      <c r="G212" s="297">
        <f t="shared" ref="G212:G213" si="105">F212*$Q$6</f>
        <v>5643</v>
      </c>
      <c r="H212" s="297">
        <v>0.0</v>
      </c>
      <c r="I212" s="288">
        <v>45536.0</v>
      </c>
      <c r="J212" s="288">
        <v>45566.0</v>
      </c>
      <c r="K212" s="289">
        <f t="shared" si="104"/>
        <v>1</v>
      </c>
      <c r="L212" s="297">
        <f t="shared" si="100"/>
        <v>-601</v>
      </c>
      <c r="M212" s="298">
        <v>45631.0</v>
      </c>
      <c r="N212" s="284"/>
      <c r="O212" s="284"/>
      <c r="P212" s="284"/>
      <c r="Q212" s="284"/>
      <c r="R212" s="284"/>
      <c r="S212" s="284"/>
      <c r="T212" s="284"/>
      <c r="U212" s="284"/>
      <c r="V212" s="284"/>
      <c r="W212" s="284"/>
      <c r="X212" s="284"/>
      <c r="Y212" s="284"/>
      <c r="Z212" s="284"/>
      <c r="AA212" s="284"/>
    </row>
    <row r="213">
      <c r="A213" s="284"/>
      <c r="B213" s="284" t="s">
        <v>2258</v>
      </c>
      <c r="C213" s="285" t="str">
        <f t="shared" si="97"/>
        <v/>
      </c>
      <c r="D213" s="297">
        <v>0.0</v>
      </c>
      <c r="E213" s="297">
        <v>0.0</v>
      </c>
      <c r="F213" s="297">
        <v>0.0</v>
      </c>
      <c r="G213" s="297">
        <f t="shared" si="105"/>
        <v>0</v>
      </c>
      <c r="H213" s="297">
        <f>G213</f>
        <v>0</v>
      </c>
      <c r="I213" s="288">
        <v>45547.0</v>
      </c>
      <c r="J213" s="288">
        <f t="shared" ref="J213:J214" si="106">Edate(I213,1)</f>
        <v>45577</v>
      </c>
      <c r="K213" s="289">
        <f t="shared" si="104"/>
        <v>1</v>
      </c>
      <c r="L213" s="297">
        <f t="shared" si="100"/>
        <v>-590</v>
      </c>
      <c r="M213" s="287"/>
      <c r="N213" s="284"/>
      <c r="O213" s="284"/>
      <c r="P213" s="284"/>
      <c r="Q213" s="284"/>
      <c r="R213" s="284"/>
      <c r="S213" s="284"/>
      <c r="T213" s="284"/>
      <c r="U213" s="284"/>
      <c r="V213" s="284"/>
      <c r="W213" s="284"/>
      <c r="X213" s="284"/>
      <c r="Y213" s="284"/>
      <c r="Z213" s="284"/>
      <c r="AA213" s="284"/>
    </row>
    <row r="214">
      <c r="A214" s="284"/>
      <c r="B214" s="284" t="s">
        <v>2259</v>
      </c>
      <c r="C214" s="285" t="str">
        <f t="shared" si="97"/>
        <v>x</v>
      </c>
      <c r="D214" s="297">
        <v>1.0</v>
      </c>
      <c r="E214" s="297">
        <v>15000.0</v>
      </c>
      <c r="F214" s="297">
        <f t="shared" ref="F214:F216" si="107">D214*E214</f>
        <v>15000</v>
      </c>
      <c r="G214" s="297">
        <f t="shared" ref="G214:G217" si="108">F214*$Q$7</f>
        <v>4500</v>
      </c>
      <c r="H214" s="297">
        <v>0.0</v>
      </c>
      <c r="I214" s="288">
        <v>45548.0</v>
      </c>
      <c r="J214" s="288">
        <f t="shared" si="106"/>
        <v>45578</v>
      </c>
      <c r="K214" s="289">
        <f t="shared" si="104"/>
        <v>1</v>
      </c>
      <c r="L214" s="297">
        <f t="shared" si="100"/>
        <v>-589</v>
      </c>
      <c r="M214" s="298">
        <v>45686.0</v>
      </c>
      <c r="N214" s="306"/>
      <c r="O214" s="284"/>
      <c r="P214" s="284"/>
      <c r="Q214" s="284"/>
      <c r="R214" s="284"/>
      <c r="S214" s="284"/>
      <c r="T214" s="284"/>
      <c r="U214" s="284"/>
      <c r="V214" s="284"/>
      <c r="W214" s="284"/>
      <c r="X214" s="284"/>
      <c r="Y214" s="284"/>
      <c r="Z214" s="284"/>
      <c r="AA214" s="284"/>
    </row>
    <row r="215">
      <c r="A215" s="284"/>
      <c r="B215" s="284" t="s">
        <v>2267</v>
      </c>
      <c r="C215" s="285" t="str">
        <f t="shared" si="97"/>
        <v/>
      </c>
      <c r="D215" s="297">
        <v>0.0</v>
      </c>
      <c r="E215" s="297">
        <v>3000.0</v>
      </c>
      <c r="F215" s="297">
        <f t="shared" si="107"/>
        <v>0</v>
      </c>
      <c r="G215" s="297">
        <f t="shared" si="108"/>
        <v>0</v>
      </c>
      <c r="H215" s="297">
        <f>G215</f>
        <v>0</v>
      </c>
      <c r="I215" s="286"/>
      <c r="J215" s="286"/>
      <c r="K215" s="284" t="str">
        <f t="shared" si="104"/>
        <v/>
      </c>
      <c r="L215" s="285" t="str">
        <f t="shared" si="100"/>
        <v/>
      </c>
      <c r="M215" s="287"/>
      <c r="N215" s="284"/>
      <c r="O215" s="284"/>
      <c r="P215" s="284"/>
      <c r="Q215" s="284"/>
      <c r="R215" s="284"/>
      <c r="S215" s="284"/>
      <c r="T215" s="284"/>
      <c r="U215" s="284"/>
      <c r="V215" s="284"/>
      <c r="W215" s="284"/>
      <c r="X215" s="284"/>
      <c r="Y215" s="284"/>
      <c r="Z215" s="284"/>
      <c r="AA215" s="284"/>
    </row>
    <row r="216">
      <c r="A216" s="284"/>
      <c r="B216" s="284" t="s">
        <v>2279</v>
      </c>
      <c r="C216" s="285" t="str">
        <f t="shared" si="97"/>
        <v>x</v>
      </c>
      <c r="D216" s="297">
        <v>1.0</v>
      </c>
      <c r="E216" s="297">
        <v>5000.0</v>
      </c>
      <c r="F216" s="297">
        <f t="shared" si="107"/>
        <v>5000</v>
      </c>
      <c r="G216" s="297">
        <f t="shared" si="108"/>
        <v>1500</v>
      </c>
      <c r="H216" s="297">
        <v>0.0</v>
      </c>
      <c r="I216" s="288">
        <v>45544.0</v>
      </c>
      <c r="J216" s="288">
        <f>Edate(I216,1)</f>
        <v>45574</v>
      </c>
      <c r="K216" s="289">
        <f t="shared" si="104"/>
        <v>1</v>
      </c>
      <c r="L216" s="297">
        <f t="shared" si="100"/>
        <v>-593</v>
      </c>
      <c r="M216" s="298">
        <v>45560.0</v>
      </c>
      <c r="N216" s="284"/>
      <c r="O216" s="284"/>
      <c r="P216" s="284"/>
      <c r="Q216" s="284"/>
      <c r="R216" s="284"/>
      <c r="S216" s="284"/>
      <c r="T216" s="284"/>
      <c r="U216" s="284"/>
      <c r="V216" s="284"/>
      <c r="W216" s="284"/>
      <c r="X216" s="284"/>
      <c r="Y216" s="284"/>
      <c r="Z216" s="284"/>
      <c r="AA216" s="284"/>
    </row>
    <row r="217">
      <c r="A217" s="284"/>
      <c r="B217" s="284" t="s">
        <v>2263</v>
      </c>
      <c r="C217" s="285" t="str">
        <f t="shared" si="97"/>
        <v>x</v>
      </c>
      <c r="D217" s="297">
        <v>1.0</v>
      </c>
      <c r="E217" s="297">
        <v>15500.0</v>
      </c>
      <c r="F217" s="303">
        <f>E217-11640</f>
        <v>3860</v>
      </c>
      <c r="G217" s="297">
        <f t="shared" si="108"/>
        <v>1158</v>
      </c>
      <c r="H217" s="297">
        <v>0.0</v>
      </c>
      <c r="I217" s="288">
        <v>45560.0</v>
      </c>
      <c r="J217" s="286"/>
      <c r="K217" s="284" t="str">
        <f t="shared" si="104"/>
        <v/>
      </c>
      <c r="L217" s="285" t="str">
        <f t="shared" si="100"/>
        <v/>
      </c>
      <c r="M217" s="298">
        <v>45560.0</v>
      </c>
      <c r="N217" s="284"/>
      <c r="O217" s="284"/>
      <c r="P217" s="284"/>
      <c r="Q217" s="284"/>
      <c r="R217" s="284"/>
      <c r="S217" s="284"/>
      <c r="T217" s="284"/>
      <c r="U217" s="284"/>
      <c r="V217" s="284"/>
      <c r="W217" s="284"/>
      <c r="X217" s="284"/>
      <c r="Y217" s="284"/>
      <c r="Z217" s="284"/>
      <c r="AA217" s="284"/>
    </row>
    <row r="218">
      <c r="A218" s="284"/>
      <c r="B218" s="284"/>
      <c r="C218" s="285"/>
      <c r="D218" s="285"/>
      <c r="E218" s="285"/>
      <c r="F218" s="285"/>
      <c r="G218" s="285"/>
      <c r="H218" s="285"/>
      <c r="I218" s="286"/>
      <c r="J218" s="286"/>
      <c r="K218" s="284"/>
      <c r="L218" s="285"/>
      <c r="M218" s="287"/>
      <c r="N218" s="284"/>
      <c r="O218" s="284"/>
      <c r="P218" s="284"/>
      <c r="Q218" s="284"/>
      <c r="R218" s="284"/>
      <c r="S218" s="284"/>
      <c r="T218" s="284"/>
      <c r="U218" s="284"/>
      <c r="V218" s="284"/>
      <c r="W218" s="284"/>
      <c r="X218" s="284"/>
      <c r="Y218" s="284"/>
      <c r="Z218" s="284"/>
      <c r="AA218" s="284"/>
    </row>
    <row r="219">
      <c r="A219" s="284"/>
      <c r="B219" s="284"/>
      <c r="C219" s="285" t="str">
        <f t="shared" ref="C219:C222" si="109">if(OR(G219=0,G219=""),"","x")</f>
        <v/>
      </c>
      <c r="D219" s="285"/>
      <c r="E219" s="285"/>
      <c r="F219" s="285"/>
      <c r="G219" s="285"/>
      <c r="H219" s="285"/>
      <c r="I219" s="286"/>
      <c r="J219" s="286"/>
      <c r="K219" s="285"/>
      <c r="L219" s="285" t="str">
        <f t="shared" ref="L219:L221" si="110">if(J219="","",J219-$K$6)</f>
        <v/>
      </c>
      <c r="M219" s="287"/>
      <c r="N219" s="284"/>
      <c r="O219" s="284"/>
      <c r="P219" s="284"/>
      <c r="Q219" s="284"/>
      <c r="R219" s="284"/>
      <c r="S219" s="284"/>
      <c r="T219" s="284"/>
      <c r="U219" s="284"/>
      <c r="V219" s="284"/>
      <c r="W219" s="284"/>
      <c r="X219" s="284"/>
      <c r="Y219" s="284"/>
      <c r="Z219" s="284"/>
      <c r="AA219" s="284"/>
    </row>
    <row r="220">
      <c r="A220" s="284"/>
      <c r="B220" s="284"/>
      <c r="C220" s="285" t="str">
        <f t="shared" si="109"/>
        <v/>
      </c>
      <c r="D220" s="285"/>
      <c r="E220" s="285"/>
      <c r="F220" s="285"/>
      <c r="G220" s="285"/>
      <c r="H220" s="285"/>
      <c r="I220" s="286"/>
      <c r="J220" s="286"/>
      <c r="K220" s="285"/>
      <c r="L220" s="285" t="str">
        <f t="shared" si="110"/>
        <v/>
      </c>
      <c r="M220" s="287"/>
      <c r="N220" s="284"/>
      <c r="O220" s="284"/>
      <c r="P220" s="284"/>
      <c r="Q220" s="284"/>
      <c r="R220" s="284"/>
      <c r="S220" s="284"/>
      <c r="T220" s="284"/>
      <c r="U220" s="284"/>
      <c r="V220" s="284"/>
      <c r="W220" s="284"/>
      <c r="X220" s="284"/>
      <c r="Y220" s="284"/>
      <c r="Z220" s="284"/>
      <c r="AA220" s="284"/>
    </row>
    <row r="221">
      <c r="A221" s="284"/>
      <c r="B221" s="284"/>
      <c r="C221" s="285" t="str">
        <f t="shared" si="109"/>
        <v/>
      </c>
      <c r="D221" s="285"/>
      <c r="E221" s="285"/>
      <c r="F221" s="285"/>
      <c r="G221" s="285"/>
      <c r="H221" s="285"/>
      <c r="I221" s="286"/>
      <c r="J221" s="286"/>
      <c r="K221" s="285"/>
      <c r="L221" s="285" t="str">
        <f t="shared" si="110"/>
        <v/>
      </c>
      <c r="M221" s="287"/>
      <c r="N221" s="284"/>
      <c r="O221" s="284"/>
      <c r="P221" s="284"/>
      <c r="Q221" s="284"/>
      <c r="R221" s="284"/>
      <c r="S221" s="284"/>
      <c r="T221" s="284"/>
      <c r="U221" s="284"/>
      <c r="V221" s="284"/>
      <c r="W221" s="284"/>
      <c r="X221" s="284"/>
      <c r="Y221" s="284"/>
      <c r="Z221" s="284"/>
      <c r="AA221" s="284"/>
    </row>
    <row r="222">
      <c r="A222" s="284"/>
      <c r="B222" s="284"/>
      <c r="C222" s="285" t="str">
        <f t="shared" si="109"/>
        <v/>
      </c>
      <c r="D222" s="285"/>
      <c r="E222" s="285"/>
      <c r="F222" s="285"/>
      <c r="G222" s="285"/>
      <c r="H222" s="285"/>
      <c r="I222" s="286"/>
      <c r="J222" s="286"/>
      <c r="K222" s="285"/>
      <c r="L222" s="284"/>
      <c r="M222" s="287"/>
      <c r="N222" s="284"/>
      <c r="O222" s="284"/>
      <c r="P222" s="284"/>
      <c r="Q222" s="284"/>
      <c r="R222" s="284"/>
      <c r="S222" s="284"/>
      <c r="T222" s="284"/>
      <c r="U222" s="284"/>
      <c r="V222" s="284"/>
      <c r="W222" s="284"/>
      <c r="X222" s="284"/>
      <c r="Y222" s="284"/>
      <c r="Z222" s="284"/>
      <c r="AA222" s="284"/>
    </row>
    <row r="223">
      <c r="A223" s="284"/>
      <c r="B223" s="284"/>
      <c r="C223" s="285" t="str">
        <f>if(G223=0,"","x")</f>
        <v/>
      </c>
      <c r="D223" s="285"/>
      <c r="E223" s="285"/>
      <c r="F223" s="285"/>
      <c r="G223" s="285"/>
      <c r="H223" s="285"/>
      <c r="I223" s="286"/>
      <c r="J223" s="286"/>
      <c r="K223" s="285"/>
      <c r="L223" s="284"/>
      <c r="M223" s="287"/>
      <c r="N223" s="284"/>
      <c r="O223" s="284"/>
      <c r="P223" s="284"/>
      <c r="Q223" s="284"/>
      <c r="R223" s="284"/>
      <c r="S223" s="284"/>
      <c r="T223" s="284"/>
      <c r="U223" s="284"/>
      <c r="V223" s="284"/>
      <c r="W223" s="284"/>
      <c r="X223" s="284"/>
      <c r="Y223" s="284"/>
      <c r="Z223" s="284"/>
      <c r="AA223" s="284"/>
    </row>
    <row r="224">
      <c r="A224" s="284"/>
      <c r="B224" s="293" t="s">
        <v>2246</v>
      </c>
      <c r="C224" s="289">
        <f>countif(C207:C223,"x")</f>
        <v>5</v>
      </c>
      <c r="D224" s="285"/>
      <c r="E224" s="285"/>
      <c r="F224" s="285" t="s">
        <v>874</v>
      </c>
      <c r="G224" s="297">
        <f t="shared" ref="G224:H224" si="111">sum(G207:G223)</f>
        <v>14296.998</v>
      </c>
      <c r="H224" s="297">
        <f t="shared" si="111"/>
        <v>0</v>
      </c>
      <c r="I224" s="286"/>
      <c r="J224" s="286"/>
      <c r="K224" s="285"/>
      <c r="L224" s="284"/>
      <c r="M224" s="287"/>
      <c r="N224" s="284"/>
      <c r="O224" s="284"/>
      <c r="P224" s="284"/>
      <c r="Q224" s="284"/>
      <c r="R224" s="284"/>
      <c r="S224" s="284"/>
      <c r="T224" s="284"/>
      <c r="U224" s="284"/>
      <c r="V224" s="284"/>
      <c r="W224" s="284"/>
      <c r="X224" s="284"/>
      <c r="Y224" s="284"/>
      <c r="Z224" s="284"/>
      <c r="AA224" s="284"/>
    </row>
    <row r="225">
      <c r="A225" s="284"/>
      <c r="B225" s="284"/>
      <c r="C225" s="285"/>
      <c r="D225" s="285"/>
      <c r="E225" s="285"/>
      <c r="F225" s="285" t="s">
        <v>2247</v>
      </c>
      <c r="G225" s="285"/>
      <c r="H225" s="297">
        <f>H224+H201</f>
        <v>15595.265</v>
      </c>
      <c r="I225" s="286"/>
      <c r="J225" s="286"/>
      <c r="K225" s="285"/>
      <c r="L225" s="284"/>
      <c r="M225" s="287"/>
      <c r="N225" s="284"/>
      <c r="O225" s="284"/>
      <c r="P225" s="284"/>
      <c r="Q225" s="284"/>
      <c r="R225" s="284"/>
      <c r="S225" s="284"/>
      <c r="T225" s="284"/>
      <c r="U225" s="284"/>
      <c r="V225" s="284"/>
      <c r="W225" s="284"/>
      <c r="X225" s="284"/>
      <c r="Y225" s="284"/>
      <c r="Z225" s="284"/>
      <c r="AA225" s="284"/>
    </row>
    <row r="226">
      <c r="A226" s="284"/>
      <c r="B226" s="284"/>
      <c r="C226" s="285"/>
      <c r="D226" s="285"/>
      <c r="E226" s="285"/>
      <c r="F226" s="285"/>
      <c r="G226" s="285"/>
      <c r="H226" s="285"/>
      <c r="I226" s="286"/>
      <c r="J226" s="286"/>
      <c r="K226" s="285"/>
      <c r="L226" s="284"/>
      <c r="M226" s="287"/>
      <c r="N226" s="284"/>
      <c r="O226" s="284"/>
      <c r="P226" s="284"/>
      <c r="Q226" s="284"/>
      <c r="R226" s="284"/>
      <c r="S226" s="284"/>
      <c r="T226" s="284"/>
      <c r="U226" s="284"/>
      <c r="V226" s="284"/>
      <c r="W226" s="284"/>
      <c r="X226" s="284"/>
      <c r="Y226" s="284"/>
      <c r="Z226" s="284"/>
      <c r="AA226" s="284"/>
    </row>
    <row r="227">
      <c r="A227" s="284"/>
      <c r="B227" s="284"/>
      <c r="C227" s="285"/>
      <c r="D227" s="285"/>
      <c r="E227" s="285"/>
      <c r="F227" s="285"/>
      <c r="G227" s="285"/>
      <c r="H227" s="285"/>
      <c r="I227" s="286"/>
      <c r="J227" s="286"/>
      <c r="K227" s="285"/>
      <c r="L227" s="284"/>
      <c r="M227" s="287"/>
      <c r="N227" s="284"/>
      <c r="O227" s="284"/>
      <c r="P227" s="284"/>
      <c r="Q227" s="284"/>
      <c r="R227" s="284"/>
      <c r="S227" s="284"/>
      <c r="T227" s="284"/>
      <c r="U227" s="284"/>
      <c r="V227" s="284"/>
      <c r="W227" s="284"/>
      <c r="X227" s="284"/>
      <c r="Y227" s="284"/>
      <c r="Z227" s="284"/>
      <c r="AA227" s="284"/>
    </row>
    <row r="228">
      <c r="A228" s="284"/>
      <c r="B228" s="284"/>
      <c r="C228" s="285"/>
      <c r="D228" s="285"/>
      <c r="E228" s="285"/>
      <c r="F228" s="285"/>
      <c r="G228" s="285"/>
      <c r="H228" s="285"/>
      <c r="I228" s="286"/>
      <c r="J228" s="286"/>
      <c r="K228" s="285"/>
      <c r="L228" s="284"/>
      <c r="M228" s="287"/>
      <c r="N228" s="284"/>
      <c r="O228" s="284"/>
      <c r="P228" s="284"/>
      <c r="Q228" s="284"/>
      <c r="R228" s="284"/>
      <c r="S228" s="284"/>
      <c r="T228" s="284"/>
      <c r="U228" s="284"/>
      <c r="V228" s="284"/>
      <c r="W228" s="284"/>
      <c r="X228" s="284"/>
      <c r="Y228" s="284"/>
      <c r="Z228" s="284"/>
      <c r="AA228" s="284"/>
    </row>
    <row r="229">
      <c r="A229" s="284"/>
      <c r="B229" s="290" t="s">
        <v>2349</v>
      </c>
      <c r="C229" s="285"/>
      <c r="D229" s="285"/>
      <c r="E229" s="285"/>
      <c r="F229" s="285"/>
      <c r="G229" s="285"/>
      <c r="H229" s="285"/>
      <c r="I229" s="286"/>
      <c r="J229" s="286" t="s">
        <v>2233</v>
      </c>
      <c r="K229" s="291">
        <f> Today()</f>
        <v>46167</v>
      </c>
      <c r="L229" s="285"/>
      <c r="M229" s="287"/>
      <c r="N229" s="284"/>
      <c r="O229" s="284"/>
      <c r="P229" s="284"/>
      <c r="Q229" s="284"/>
      <c r="R229" s="284"/>
      <c r="S229" s="284"/>
      <c r="T229" s="284"/>
      <c r="U229" s="284"/>
      <c r="V229" s="284"/>
      <c r="W229" s="284"/>
      <c r="X229" s="284"/>
      <c r="Y229" s="284"/>
      <c r="Z229" s="284"/>
      <c r="AA229" s="284"/>
    </row>
    <row r="230">
      <c r="A230" s="293" t="s">
        <v>181</v>
      </c>
      <c r="B230" s="293" t="s">
        <v>2216</v>
      </c>
      <c r="C230" s="294" t="s">
        <v>131</v>
      </c>
      <c r="D230" s="294" t="s">
        <v>2217</v>
      </c>
      <c r="E230" s="294" t="s">
        <v>8</v>
      </c>
      <c r="F230" s="294" t="s">
        <v>873</v>
      </c>
      <c r="G230" s="294" t="s">
        <v>17</v>
      </c>
      <c r="H230" s="294" t="s">
        <v>874</v>
      </c>
      <c r="I230" s="295" t="s">
        <v>2218</v>
      </c>
      <c r="J230" s="295" t="s">
        <v>876</v>
      </c>
      <c r="K230" s="293" t="s">
        <v>877</v>
      </c>
      <c r="L230" s="294" t="s">
        <v>878</v>
      </c>
      <c r="M230" s="296" t="s">
        <v>2219</v>
      </c>
      <c r="N230" s="293" t="s">
        <v>2220</v>
      </c>
      <c r="O230" s="284"/>
      <c r="P230" s="284"/>
      <c r="Q230" s="284"/>
      <c r="R230" s="284"/>
      <c r="S230" s="284"/>
      <c r="T230" s="284"/>
      <c r="U230" s="284"/>
      <c r="V230" s="284"/>
      <c r="W230" s="284"/>
      <c r="X230" s="284"/>
      <c r="Y230" s="284"/>
      <c r="Z230" s="284"/>
      <c r="AA230" s="284"/>
    </row>
    <row r="231">
      <c r="A231" s="284"/>
      <c r="B231" s="284" t="s">
        <v>2249</v>
      </c>
      <c r="C231" s="285" t="str">
        <f t="shared" ref="C231:C246" si="112">if(OR(G231=0,G231=""),"","x")</f>
        <v/>
      </c>
      <c r="D231" s="297">
        <v>0.0</v>
      </c>
      <c r="E231" s="297">
        <v>100.0</v>
      </c>
      <c r="F231" s="297">
        <f>D231*E231</f>
        <v>0</v>
      </c>
      <c r="G231" s="297">
        <f>F231*Q$8</f>
        <v>0</v>
      </c>
      <c r="H231" s="297">
        <f t="shared" ref="H231:H232" si="113">G231</f>
        <v>0</v>
      </c>
      <c r="I231" s="286"/>
      <c r="J231" s="286"/>
      <c r="K231" s="284" t="str">
        <f t="shared" ref="K231:K232" si="114">if(J231="","",if(H231=0,1,0))</f>
        <v/>
      </c>
      <c r="L231" s="285" t="str">
        <f t="shared" ref="L231:L245" si="115">if(J231="","",J231-$K$6)</f>
        <v/>
      </c>
      <c r="M231" s="287"/>
      <c r="N231" s="284"/>
      <c r="O231" s="284"/>
      <c r="P231" s="284"/>
      <c r="Q231" s="284"/>
      <c r="R231" s="284"/>
      <c r="S231" s="284"/>
      <c r="T231" s="284"/>
      <c r="U231" s="284"/>
      <c r="V231" s="284"/>
      <c r="W231" s="284"/>
      <c r="X231" s="284"/>
      <c r="Y231" s="284"/>
      <c r="Z231" s="284"/>
      <c r="AA231" s="284"/>
    </row>
    <row r="232">
      <c r="A232" s="284"/>
      <c r="B232" s="284" t="s">
        <v>2251</v>
      </c>
      <c r="C232" s="285" t="str">
        <f t="shared" si="112"/>
        <v/>
      </c>
      <c r="D232" s="297">
        <v>0.0</v>
      </c>
      <c r="E232" s="297">
        <v>5.0</v>
      </c>
      <c r="F232" s="297">
        <v>15.0</v>
      </c>
      <c r="G232" s="297">
        <v>0.0</v>
      </c>
      <c r="H232" s="297">
        <f t="shared" si="113"/>
        <v>0</v>
      </c>
      <c r="I232" s="288">
        <v>45566.0</v>
      </c>
      <c r="J232" s="288">
        <f t="shared" ref="J232:J233" si="116">Edate(I232,1)</f>
        <v>45597</v>
      </c>
      <c r="K232" s="289">
        <f t="shared" si="114"/>
        <v>1</v>
      </c>
      <c r="L232" s="297">
        <f t="shared" si="115"/>
        <v>-570</v>
      </c>
      <c r="M232" s="287"/>
      <c r="N232" s="284"/>
      <c r="O232" s="284"/>
      <c r="P232" s="284"/>
      <c r="Q232" s="284"/>
      <c r="R232" s="284"/>
      <c r="S232" s="284"/>
      <c r="T232" s="284"/>
      <c r="U232" s="284"/>
      <c r="V232" s="284"/>
      <c r="W232" s="284"/>
      <c r="X232" s="284"/>
      <c r="Y232" s="284"/>
      <c r="Z232" s="284"/>
      <c r="AA232" s="284"/>
    </row>
    <row r="233">
      <c r="A233" s="284"/>
      <c r="B233" s="284" t="s">
        <v>2254</v>
      </c>
      <c r="C233" s="285" t="str">
        <f t="shared" si="112"/>
        <v>x</v>
      </c>
      <c r="D233" s="297">
        <v>11.0</v>
      </c>
      <c r="E233" s="297">
        <v>3.0</v>
      </c>
      <c r="F233" s="297">
        <f t="shared" ref="F233:F236" si="117">D233*E233</f>
        <v>33</v>
      </c>
      <c r="G233" s="297">
        <f>F233*$Q$5</f>
        <v>2742.663</v>
      </c>
      <c r="H233" s="297">
        <v>0.0</v>
      </c>
      <c r="I233" s="288">
        <v>45566.0</v>
      </c>
      <c r="J233" s="288">
        <f t="shared" si="116"/>
        <v>45597</v>
      </c>
      <c r="K233" s="289">
        <v>1.0</v>
      </c>
      <c r="L233" s="297">
        <f t="shared" si="115"/>
        <v>-570</v>
      </c>
      <c r="M233" s="287" t="s">
        <v>2286</v>
      </c>
      <c r="N233" s="284"/>
      <c r="O233" s="284"/>
      <c r="P233" s="284"/>
      <c r="Q233" s="284"/>
      <c r="R233" s="284"/>
      <c r="S233" s="284"/>
      <c r="T233" s="284"/>
      <c r="U233" s="284"/>
      <c r="V233" s="284"/>
      <c r="W233" s="284"/>
      <c r="X233" s="284"/>
      <c r="Y233" s="284"/>
      <c r="Z233" s="284"/>
      <c r="AA233" s="284"/>
    </row>
    <row r="234">
      <c r="A234" s="284"/>
      <c r="B234" s="284" t="s">
        <v>2255</v>
      </c>
      <c r="C234" s="285" t="str">
        <f t="shared" si="112"/>
        <v/>
      </c>
      <c r="D234" s="297">
        <v>0.0</v>
      </c>
      <c r="E234" s="297">
        <v>1500.0</v>
      </c>
      <c r="F234" s="297">
        <f t="shared" si="117"/>
        <v>0</v>
      </c>
      <c r="G234" s="297">
        <f>F234*$Q$7</f>
        <v>0</v>
      </c>
      <c r="H234" s="297">
        <f>G234</f>
        <v>0</v>
      </c>
      <c r="I234" s="286"/>
      <c r="J234" s="286"/>
      <c r="K234" s="284" t="str">
        <f t="shared" ref="K234:K243" si="119">if(J234="","",if(H234=0,1,0))</f>
        <v/>
      </c>
      <c r="L234" s="285" t="str">
        <f t="shared" si="115"/>
        <v/>
      </c>
      <c r="M234" s="287"/>
      <c r="N234" s="284"/>
      <c r="O234" s="284"/>
      <c r="P234" s="284"/>
      <c r="Q234" s="284"/>
      <c r="R234" s="284"/>
      <c r="S234" s="284"/>
      <c r="T234" s="284"/>
      <c r="U234" s="284"/>
      <c r="V234" s="284"/>
      <c r="W234" s="284"/>
      <c r="X234" s="284"/>
      <c r="Y234" s="284"/>
      <c r="Z234" s="284"/>
      <c r="AA234" s="284"/>
    </row>
    <row r="235">
      <c r="A235" s="284"/>
      <c r="B235" s="284" t="s">
        <v>2256</v>
      </c>
      <c r="C235" s="285" t="str">
        <f t="shared" si="112"/>
        <v/>
      </c>
      <c r="D235" s="297">
        <v>0.0</v>
      </c>
      <c r="E235" s="297">
        <v>500.0</v>
      </c>
      <c r="F235" s="297">
        <f t="shared" si="117"/>
        <v>0</v>
      </c>
      <c r="G235" s="297">
        <f t="shared" ref="G235:H235" si="118">F235</f>
        <v>0</v>
      </c>
      <c r="H235" s="297">
        <f t="shared" si="118"/>
        <v>0</v>
      </c>
      <c r="I235" s="286"/>
      <c r="J235" s="286"/>
      <c r="K235" s="284" t="str">
        <f t="shared" si="119"/>
        <v/>
      </c>
      <c r="L235" s="285" t="str">
        <f t="shared" si="115"/>
        <v/>
      </c>
      <c r="M235" s="287"/>
      <c r="N235" s="284"/>
      <c r="O235" s="284"/>
      <c r="P235" s="284"/>
      <c r="Q235" s="284"/>
      <c r="R235" s="284"/>
      <c r="S235" s="284"/>
      <c r="T235" s="284"/>
      <c r="U235" s="284"/>
      <c r="V235" s="284"/>
      <c r="W235" s="284"/>
      <c r="X235" s="284"/>
      <c r="Y235" s="284"/>
      <c r="Z235" s="284"/>
      <c r="AA235" s="284"/>
    </row>
    <row r="236">
      <c r="A236" s="284" t="s">
        <v>2287</v>
      </c>
      <c r="B236" s="284" t="s">
        <v>2257</v>
      </c>
      <c r="C236" s="285" t="str">
        <f t="shared" si="112"/>
        <v>x</v>
      </c>
      <c r="D236" s="297">
        <v>24.0</v>
      </c>
      <c r="E236" s="297">
        <v>22.0</v>
      </c>
      <c r="F236" s="297">
        <f t="shared" si="117"/>
        <v>528</v>
      </c>
      <c r="G236" s="297">
        <f t="shared" ref="G236:G237" si="120">F236*$Q$6</f>
        <v>10032</v>
      </c>
      <c r="H236" s="297">
        <v>0.0</v>
      </c>
      <c r="I236" s="288">
        <v>45566.0</v>
      </c>
      <c r="J236" s="288">
        <v>45597.0</v>
      </c>
      <c r="K236" s="289">
        <f t="shared" si="119"/>
        <v>1</v>
      </c>
      <c r="L236" s="297">
        <f t="shared" si="115"/>
        <v>-570</v>
      </c>
      <c r="M236" s="298">
        <v>45686.0</v>
      </c>
      <c r="N236" s="284"/>
      <c r="O236" s="284"/>
      <c r="P236" s="284"/>
      <c r="Q236" s="284"/>
      <c r="R236" s="284"/>
      <c r="S236" s="284"/>
      <c r="T236" s="284"/>
      <c r="U236" s="284"/>
      <c r="V236" s="284"/>
      <c r="W236" s="284"/>
      <c r="X236" s="284"/>
      <c r="Y236" s="284"/>
      <c r="Z236" s="284"/>
      <c r="AA236" s="284"/>
    </row>
    <row r="237">
      <c r="A237" s="284"/>
      <c r="B237" s="284" t="s">
        <v>2258</v>
      </c>
      <c r="C237" s="285" t="str">
        <f t="shared" si="112"/>
        <v/>
      </c>
      <c r="D237" s="297">
        <v>0.0</v>
      </c>
      <c r="E237" s="297">
        <v>0.0</v>
      </c>
      <c r="F237" s="297">
        <v>0.0</v>
      </c>
      <c r="G237" s="297">
        <f t="shared" si="120"/>
        <v>0</v>
      </c>
      <c r="H237" s="297">
        <f>G237</f>
        <v>0</v>
      </c>
      <c r="I237" s="286"/>
      <c r="J237" s="286"/>
      <c r="K237" s="284" t="str">
        <f t="shared" si="119"/>
        <v/>
      </c>
      <c r="L237" s="285" t="str">
        <f t="shared" si="115"/>
        <v/>
      </c>
      <c r="M237" s="287"/>
      <c r="N237" s="284"/>
      <c r="O237" s="284"/>
      <c r="P237" s="284"/>
      <c r="Q237" s="284"/>
      <c r="R237" s="284"/>
      <c r="S237" s="284"/>
      <c r="T237" s="284"/>
      <c r="U237" s="284"/>
      <c r="V237" s="284"/>
      <c r="W237" s="284"/>
      <c r="X237" s="284"/>
      <c r="Y237" s="284"/>
      <c r="Z237" s="284"/>
      <c r="AA237" s="284"/>
    </row>
    <row r="238">
      <c r="A238" s="284"/>
      <c r="B238" s="284" t="s">
        <v>2259</v>
      </c>
      <c r="C238" s="285" t="str">
        <f t="shared" si="112"/>
        <v>x</v>
      </c>
      <c r="D238" s="297">
        <v>1.0</v>
      </c>
      <c r="E238" s="297">
        <v>15000.0</v>
      </c>
      <c r="F238" s="297">
        <f t="shared" ref="F238:F240" si="121">D238*E238</f>
        <v>15000</v>
      </c>
      <c r="G238" s="297">
        <f t="shared" ref="G238:G240" si="122">F238*$Q$7</f>
        <v>4500</v>
      </c>
      <c r="H238" s="297">
        <v>0.0</v>
      </c>
      <c r="I238" s="288">
        <v>45578.0</v>
      </c>
      <c r="J238" s="288">
        <f>Edate(I238,1)</f>
        <v>45609</v>
      </c>
      <c r="K238" s="289">
        <f t="shared" si="119"/>
        <v>1</v>
      </c>
      <c r="L238" s="297">
        <f t="shared" si="115"/>
        <v>-558</v>
      </c>
      <c r="M238" s="298">
        <v>45788.0</v>
      </c>
      <c r="N238" s="284"/>
      <c r="O238" s="284"/>
      <c r="P238" s="284"/>
      <c r="Q238" s="284"/>
      <c r="R238" s="284"/>
      <c r="S238" s="284"/>
      <c r="T238" s="284"/>
      <c r="U238" s="284"/>
      <c r="V238" s="284"/>
      <c r="W238" s="284"/>
      <c r="X238" s="284"/>
      <c r="Y238" s="284"/>
      <c r="Z238" s="284"/>
      <c r="AA238" s="284"/>
    </row>
    <row r="239">
      <c r="A239" s="284"/>
      <c r="B239" s="284" t="s">
        <v>2267</v>
      </c>
      <c r="C239" s="285" t="str">
        <f t="shared" si="112"/>
        <v/>
      </c>
      <c r="D239" s="297">
        <v>0.0</v>
      </c>
      <c r="E239" s="297">
        <v>3000.0</v>
      </c>
      <c r="F239" s="297">
        <f t="shared" si="121"/>
        <v>0</v>
      </c>
      <c r="G239" s="297">
        <f t="shared" si="122"/>
        <v>0</v>
      </c>
      <c r="H239" s="297">
        <f>G239</f>
        <v>0</v>
      </c>
      <c r="I239" s="286"/>
      <c r="J239" s="286"/>
      <c r="K239" s="284" t="str">
        <f t="shared" si="119"/>
        <v/>
      </c>
      <c r="L239" s="285" t="str">
        <f t="shared" si="115"/>
        <v/>
      </c>
      <c r="M239" s="287"/>
      <c r="N239" s="284"/>
      <c r="O239" s="284"/>
      <c r="P239" s="284"/>
      <c r="Q239" s="284"/>
      <c r="R239" s="284"/>
      <c r="S239" s="284"/>
      <c r="T239" s="284"/>
      <c r="U239" s="284"/>
      <c r="V239" s="284"/>
      <c r="W239" s="284"/>
      <c r="X239" s="284"/>
      <c r="Y239" s="284"/>
      <c r="Z239" s="284"/>
      <c r="AA239" s="284"/>
    </row>
    <row r="240">
      <c r="A240" s="284" t="s">
        <v>2288</v>
      </c>
      <c r="B240" s="284" t="s">
        <v>2279</v>
      </c>
      <c r="C240" s="285" t="str">
        <f t="shared" si="112"/>
        <v/>
      </c>
      <c r="D240" s="297">
        <v>0.0</v>
      </c>
      <c r="E240" s="297">
        <v>5000.0</v>
      </c>
      <c r="F240" s="297">
        <f t="shared" si="121"/>
        <v>0</v>
      </c>
      <c r="G240" s="297">
        <f t="shared" si="122"/>
        <v>0</v>
      </c>
      <c r="H240" s="297">
        <v>0.0</v>
      </c>
      <c r="I240" s="286"/>
      <c r="J240" s="286"/>
      <c r="K240" s="284" t="str">
        <f t="shared" si="119"/>
        <v/>
      </c>
      <c r="L240" s="285" t="str">
        <f t="shared" si="115"/>
        <v/>
      </c>
      <c r="M240" s="287"/>
      <c r="N240" s="284"/>
      <c r="O240" s="284"/>
      <c r="P240" s="284"/>
      <c r="Q240" s="284"/>
      <c r="R240" s="284"/>
      <c r="S240" s="284"/>
      <c r="T240" s="284"/>
      <c r="U240" s="284"/>
      <c r="V240" s="284"/>
      <c r="W240" s="284"/>
      <c r="X240" s="284"/>
      <c r="Y240" s="284"/>
      <c r="Z240" s="284"/>
      <c r="AA240" s="284"/>
    </row>
    <row r="241">
      <c r="A241" s="284"/>
      <c r="B241" s="284" t="s">
        <v>2263</v>
      </c>
      <c r="C241" s="285" t="str">
        <f t="shared" si="112"/>
        <v/>
      </c>
      <c r="D241" s="297">
        <v>1.0</v>
      </c>
      <c r="E241" s="285"/>
      <c r="F241" s="303"/>
      <c r="G241" s="297">
        <v>0.0</v>
      </c>
      <c r="H241" s="297">
        <v>0.0</v>
      </c>
      <c r="I241" s="286"/>
      <c r="J241" s="286"/>
      <c r="K241" s="284" t="str">
        <f t="shared" si="119"/>
        <v/>
      </c>
      <c r="L241" s="285" t="str">
        <f t="shared" si="115"/>
        <v/>
      </c>
      <c r="M241" s="287"/>
      <c r="N241" s="284"/>
      <c r="O241" s="284"/>
      <c r="P241" s="284"/>
      <c r="Q241" s="284"/>
      <c r="R241" s="284"/>
      <c r="S241" s="284"/>
      <c r="T241" s="284"/>
      <c r="U241" s="284"/>
      <c r="V241" s="284"/>
      <c r="W241" s="284"/>
      <c r="X241" s="284"/>
      <c r="Y241" s="284"/>
      <c r="Z241" s="284"/>
      <c r="AA241" s="284"/>
    </row>
    <row r="242">
      <c r="A242" s="284"/>
      <c r="B242" s="284" t="s">
        <v>2289</v>
      </c>
      <c r="C242" s="285" t="str">
        <f t="shared" si="112"/>
        <v>x</v>
      </c>
      <c r="D242" s="297">
        <v>1.0</v>
      </c>
      <c r="E242" s="297">
        <v>5000.0</v>
      </c>
      <c r="F242" s="297">
        <v>5000.0</v>
      </c>
      <c r="G242" s="285" t="s">
        <v>2290</v>
      </c>
      <c r="H242" s="285" t="str">
        <f t="shared" ref="H242:H243" si="123">G242</f>
        <v>Probation</v>
      </c>
      <c r="I242" s="288">
        <v>45589.0</v>
      </c>
      <c r="J242" s="288">
        <f>Edate(I242,1)</f>
        <v>45620</v>
      </c>
      <c r="K242" s="289">
        <f t="shared" si="119"/>
        <v>0</v>
      </c>
      <c r="L242" s="297">
        <f t="shared" si="115"/>
        <v>-547</v>
      </c>
      <c r="M242" s="287"/>
      <c r="N242" s="284"/>
      <c r="O242" s="284"/>
      <c r="P242" s="284"/>
      <c r="Q242" s="284"/>
      <c r="R242" s="284"/>
      <c r="S242" s="284"/>
      <c r="T242" s="284"/>
      <c r="U242" s="284"/>
      <c r="V242" s="284"/>
      <c r="W242" s="284"/>
      <c r="X242" s="284"/>
      <c r="Y242" s="284"/>
      <c r="Z242" s="284"/>
      <c r="AA242" s="284"/>
    </row>
    <row r="243">
      <c r="A243" s="284" t="s">
        <v>2291</v>
      </c>
      <c r="B243" s="284" t="s">
        <v>2292</v>
      </c>
      <c r="C243" s="285" t="str">
        <f t="shared" si="112"/>
        <v>x</v>
      </c>
      <c r="D243" s="297">
        <v>1.0</v>
      </c>
      <c r="E243" s="297">
        <v>5000.0</v>
      </c>
      <c r="F243" s="297">
        <v>5000.0</v>
      </c>
      <c r="G243" s="285" t="s">
        <v>2290</v>
      </c>
      <c r="H243" s="285" t="str">
        <f t="shared" si="123"/>
        <v>Probation</v>
      </c>
      <c r="I243" s="288">
        <v>45562.0</v>
      </c>
      <c r="J243" s="288">
        <f>Edate(I243,1) + 11</f>
        <v>45603</v>
      </c>
      <c r="K243" s="289">
        <f t="shared" si="119"/>
        <v>0</v>
      </c>
      <c r="L243" s="297">
        <f t="shared" si="115"/>
        <v>-564</v>
      </c>
      <c r="M243" s="287"/>
      <c r="N243" s="284"/>
      <c r="O243" s="284"/>
      <c r="P243" s="284"/>
      <c r="Q243" s="284"/>
      <c r="R243" s="284"/>
      <c r="S243" s="284"/>
      <c r="T243" s="284"/>
      <c r="U243" s="284"/>
      <c r="V243" s="284"/>
      <c r="W243" s="284"/>
      <c r="X243" s="284"/>
      <c r="Y243" s="284"/>
      <c r="Z243" s="284"/>
      <c r="AA243" s="284"/>
    </row>
    <row r="244">
      <c r="A244" s="284"/>
      <c r="B244" s="284"/>
      <c r="C244" s="285" t="str">
        <f t="shared" si="112"/>
        <v/>
      </c>
      <c r="D244" s="285"/>
      <c r="E244" s="285"/>
      <c r="F244" s="285"/>
      <c r="G244" s="285"/>
      <c r="H244" s="285"/>
      <c r="I244" s="286"/>
      <c r="J244" s="286"/>
      <c r="K244" s="285"/>
      <c r="L244" s="285" t="str">
        <f t="shared" si="115"/>
        <v/>
      </c>
      <c r="M244" s="287"/>
      <c r="N244" s="284"/>
      <c r="O244" s="284"/>
      <c r="P244" s="284"/>
      <c r="Q244" s="284"/>
      <c r="R244" s="284"/>
      <c r="S244" s="284"/>
      <c r="T244" s="284"/>
      <c r="U244" s="284"/>
      <c r="V244" s="284"/>
      <c r="W244" s="284"/>
      <c r="X244" s="284"/>
      <c r="Y244" s="284"/>
      <c r="Z244" s="284"/>
      <c r="AA244" s="284"/>
    </row>
    <row r="245">
      <c r="A245" s="284"/>
      <c r="B245" s="284"/>
      <c r="C245" s="285" t="str">
        <f t="shared" si="112"/>
        <v/>
      </c>
      <c r="D245" s="285"/>
      <c r="E245" s="285"/>
      <c r="F245" s="285"/>
      <c r="G245" s="285"/>
      <c r="H245" s="285"/>
      <c r="I245" s="286"/>
      <c r="J245" s="286"/>
      <c r="K245" s="285"/>
      <c r="L245" s="285" t="str">
        <f t="shared" si="115"/>
        <v/>
      </c>
      <c r="M245" s="287"/>
      <c r="N245" s="284"/>
      <c r="O245" s="284"/>
      <c r="P245" s="284"/>
      <c r="Q245" s="284"/>
      <c r="R245" s="284"/>
      <c r="S245" s="284"/>
      <c r="T245" s="284"/>
      <c r="U245" s="284"/>
      <c r="V245" s="284"/>
      <c r="W245" s="284"/>
      <c r="X245" s="284"/>
      <c r="Y245" s="284"/>
      <c r="Z245" s="284"/>
      <c r="AA245" s="284"/>
    </row>
    <row r="246">
      <c r="A246" s="284"/>
      <c r="B246" s="284"/>
      <c r="C246" s="285" t="str">
        <f t="shared" si="112"/>
        <v/>
      </c>
      <c r="D246" s="285"/>
      <c r="E246" s="285"/>
      <c r="F246" s="285"/>
      <c r="G246" s="285"/>
      <c r="H246" s="285"/>
      <c r="I246" s="286"/>
      <c r="J246" s="286"/>
      <c r="K246" s="285"/>
      <c r="L246" s="284"/>
      <c r="M246" s="287"/>
      <c r="N246" s="284"/>
      <c r="O246" s="284"/>
      <c r="P246" s="284"/>
      <c r="Q246" s="284"/>
      <c r="R246" s="284"/>
      <c r="S246" s="284"/>
      <c r="T246" s="284"/>
      <c r="U246" s="284"/>
      <c r="V246" s="284"/>
      <c r="W246" s="284"/>
      <c r="X246" s="284"/>
      <c r="Y246" s="284"/>
      <c r="Z246" s="284"/>
      <c r="AA246" s="284"/>
    </row>
    <row r="247">
      <c r="A247" s="284"/>
      <c r="B247" s="284"/>
      <c r="C247" s="285" t="str">
        <f>if(G247=0,"","x")</f>
        <v/>
      </c>
      <c r="D247" s="285"/>
      <c r="E247" s="285"/>
      <c r="F247" s="285"/>
      <c r="G247" s="285"/>
      <c r="H247" s="285"/>
      <c r="I247" s="286"/>
      <c r="J247" s="286"/>
      <c r="K247" s="285"/>
      <c r="L247" s="284"/>
      <c r="M247" s="287"/>
      <c r="N247" s="284"/>
      <c r="O247" s="284"/>
      <c r="P247" s="284"/>
      <c r="Q247" s="284"/>
      <c r="R247" s="284"/>
      <c r="S247" s="284"/>
      <c r="T247" s="284"/>
      <c r="U247" s="284"/>
      <c r="V247" s="284"/>
      <c r="W247" s="284"/>
      <c r="X247" s="284"/>
      <c r="Y247" s="284"/>
      <c r="Z247" s="284"/>
      <c r="AA247" s="284"/>
    </row>
    <row r="248">
      <c r="A248" s="284"/>
      <c r="B248" s="293" t="s">
        <v>2246</v>
      </c>
      <c r="C248" s="289">
        <f>countif(C231:C247,"x")</f>
        <v>5</v>
      </c>
      <c r="D248" s="285"/>
      <c r="E248" s="285"/>
      <c r="F248" s="285" t="s">
        <v>874</v>
      </c>
      <c r="G248" s="297">
        <f t="shared" ref="G248:H248" si="124">sum(G231:G247)</f>
        <v>17274.663</v>
      </c>
      <c r="H248" s="297">
        <f t="shared" si="124"/>
        <v>0</v>
      </c>
      <c r="I248" s="286"/>
      <c r="J248" s="286"/>
      <c r="K248" s="285"/>
      <c r="L248" s="284"/>
      <c r="M248" s="287"/>
      <c r="N248" s="284"/>
      <c r="O248" s="284"/>
      <c r="P248" s="284"/>
      <c r="Q248" s="284"/>
      <c r="R248" s="284"/>
      <c r="S248" s="284"/>
      <c r="T248" s="284"/>
      <c r="U248" s="284"/>
      <c r="V248" s="284"/>
      <c r="W248" s="284"/>
      <c r="X248" s="284"/>
      <c r="Y248" s="284"/>
      <c r="Z248" s="284"/>
      <c r="AA248" s="284"/>
    </row>
    <row r="249">
      <c r="A249" s="284"/>
      <c r="B249" s="284"/>
      <c r="C249" s="285"/>
      <c r="D249" s="285"/>
      <c r="E249" s="285"/>
      <c r="F249" s="285" t="s">
        <v>2247</v>
      </c>
      <c r="G249" s="285"/>
      <c r="H249" s="297">
        <f>H248+H225</f>
        <v>15595.265</v>
      </c>
      <c r="I249" s="286"/>
      <c r="J249" s="286"/>
      <c r="K249" s="285"/>
      <c r="L249" s="284"/>
      <c r="M249" s="287"/>
      <c r="N249" s="284"/>
      <c r="O249" s="284"/>
      <c r="P249" s="284"/>
      <c r="Q249" s="284"/>
      <c r="R249" s="284"/>
      <c r="S249" s="284"/>
      <c r="T249" s="284"/>
      <c r="U249" s="284"/>
      <c r="V249" s="284"/>
      <c r="W249" s="284"/>
      <c r="X249" s="284"/>
      <c r="Y249" s="284"/>
      <c r="Z249" s="284"/>
      <c r="AA249" s="284"/>
    </row>
    <row r="250">
      <c r="A250" s="284"/>
      <c r="B250" s="284"/>
      <c r="C250" s="285"/>
      <c r="D250" s="285"/>
      <c r="E250" s="285"/>
      <c r="F250" s="285"/>
      <c r="G250" s="285"/>
      <c r="H250" s="285"/>
      <c r="I250" s="286"/>
      <c r="J250" s="286"/>
      <c r="K250" s="285"/>
      <c r="L250" s="284"/>
      <c r="M250" s="287"/>
      <c r="N250" s="284"/>
      <c r="O250" s="284"/>
      <c r="P250" s="284"/>
      <c r="Q250" s="284"/>
      <c r="R250" s="284"/>
      <c r="S250" s="284"/>
      <c r="T250" s="284"/>
      <c r="U250" s="284"/>
      <c r="V250" s="284"/>
      <c r="W250" s="284"/>
      <c r="X250" s="284"/>
      <c r="Y250" s="284"/>
      <c r="Z250" s="284"/>
      <c r="AA250" s="284"/>
    </row>
    <row r="251">
      <c r="A251" s="284"/>
      <c r="B251" s="284"/>
      <c r="C251" s="285"/>
      <c r="D251" s="285"/>
      <c r="E251" s="285"/>
      <c r="F251" s="285"/>
      <c r="G251" s="285"/>
      <c r="H251" s="285"/>
      <c r="I251" s="286"/>
      <c r="J251" s="286"/>
      <c r="K251" s="285"/>
      <c r="L251" s="284"/>
      <c r="M251" s="287"/>
      <c r="N251" s="284"/>
      <c r="O251" s="284"/>
      <c r="P251" s="284"/>
      <c r="Q251" s="284"/>
      <c r="R251" s="284"/>
      <c r="S251" s="284"/>
      <c r="T251" s="284"/>
      <c r="U251" s="284"/>
      <c r="V251" s="284"/>
      <c r="W251" s="284"/>
      <c r="X251" s="284"/>
      <c r="Y251" s="284"/>
      <c r="Z251" s="284"/>
      <c r="AA251" s="284"/>
    </row>
    <row r="252">
      <c r="A252" s="284"/>
      <c r="B252" s="284"/>
      <c r="C252" s="285"/>
      <c r="D252" s="285"/>
      <c r="E252" s="285"/>
      <c r="F252" s="285"/>
      <c r="G252" s="285"/>
      <c r="H252" s="285"/>
      <c r="I252" s="286"/>
      <c r="J252" s="286"/>
      <c r="K252" s="285"/>
      <c r="L252" s="284"/>
      <c r="M252" s="287"/>
      <c r="N252" s="284"/>
      <c r="O252" s="284"/>
      <c r="P252" s="284"/>
      <c r="Q252" s="284"/>
      <c r="R252" s="284"/>
      <c r="S252" s="284"/>
      <c r="T252" s="284"/>
      <c r="U252" s="284"/>
      <c r="V252" s="284"/>
      <c r="W252" s="284"/>
      <c r="X252" s="284"/>
      <c r="Y252" s="284"/>
      <c r="Z252" s="284"/>
      <c r="AA252" s="284"/>
    </row>
    <row r="253">
      <c r="A253" s="284"/>
      <c r="B253" s="290" t="s">
        <v>2350</v>
      </c>
      <c r="C253" s="285"/>
      <c r="D253" s="285"/>
      <c r="E253" s="285"/>
      <c r="F253" s="285"/>
      <c r="G253" s="285"/>
      <c r="H253" s="285"/>
      <c r="I253" s="286"/>
      <c r="J253" s="286" t="s">
        <v>2233</v>
      </c>
      <c r="K253" s="291">
        <f> Today()</f>
        <v>46167</v>
      </c>
      <c r="L253" s="285"/>
      <c r="M253" s="287"/>
      <c r="N253" s="284"/>
      <c r="O253" s="284"/>
      <c r="P253" s="284"/>
      <c r="Q253" s="284"/>
      <c r="R253" s="284"/>
      <c r="S253" s="284"/>
      <c r="T253" s="284"/>
      <c r="U253" s="284"/>
      <c r="V253" s="284"/>
      <c r="W253" s="284"/>
      <c r="X253" s="284"/>
      <c r="Y253" s="284"/>
      <c r="Z253" s="284"/>
      <c r="AA253" s="284"/>
    </row>
    <row r="254">
      <c r="A254" s="293" t="s">
        <v>181</v>
      </c>
      <c r="B254" s="293" t="s">
        <v>2216</v>
      </c>
      <c r="C254" s="294" t="s">
        <v>131</v>
      </c>
      <c r="D254" s="294" t="s">
        <v>2217</v>
      </c>
      <c r="E254" s="294" t="s">
        <v>8</v>
      </c>
      <c r="F254" s="294" t="s">
        <v>873</v>
      </c>
      <c r="G254" s="294" t="s">
        <v>17</v>
      </c>
      <c r="H254" s="294" t="s">
        <v>874</v>
      </c>
      <c r="I254" s="295" t="s">
        <v>2218</v>
      </c>
      <c r="J254" s="295" t="s">
        <v>876</v>
      </c>
      <c r="K254" s="293" t="s">
        <v>877</v>
      </c>
      <c r="L254" s="294" t="s">
        <v>878</v>
      </c>
      <c r="M254" s="296" t="s">
        <v>2219</v>
      </c>
      <c r="N254" s="293" t="s">
        <v>2220</v>
      </c>
      <c r="O254" s="284"/>
      <c r="P254" s="284"/>
      <c r="Q254" s="284"/>
      <c r="R254" s="284"/>
      <c r="S254" s="284"/>
      <c r="T254" s="284"/>
      <c r="U254" s="284"/>
      <c r="V254" s="284"/>
      <c r="W254" s="284"/>
      <c r="X254" s="284"/>
      <c r="Y254" s="284"/>
      <c r="Z254" s="284"/>
      <c r="AA254" s="284"/>
    </row>
    <row r="255">
      <c r="A255" s="284"/>
      <c r="B255" s="284" t="s">
        <v>2249</v>
      </c>
      <c r="C255" s="285" t="str">
        <f t="shared" ref="C255:C270" si="125">if(OR(G255=0,G255=""),"","x")</f>
        <v/>
      </c>
      <c r="D255" s="297">
        <v>0.0</v>
      </c>
      <c r="E255" s="297">
        <v>100.0</v>
      </c>
      <c r="F255" s="297">
        <f>D255*E255</f>
        <v>0</v>
      </c>
      <c r="G255" s="297">
        <f>F255*Q$8</f>
        <v>0</v>
      </c>
      <c r="H255" s="297">
        <f t="shared" ref="H255:H256" si="126">G255</f>
        <v>0</v>
      </c>
      <c r="I255" s="288">
        <v>45616.0</v>
      </c>
      <c r="J255" s="288">
        <f t="shared" ref="J255:J257" si="127">Edate(I255,1)</f>
        <v>45646</v>
      </c>
      <c r="K255" s="289">
        <f t="shared" ref="K255:K268" si="128">if(J255="","",if(H255=0,1,0))</f>
        <v>1</v>
      </c>
      <c r="L255" s="297">
        <f t="shared" ref="L255:L269" si="129">if(J255="","",J255-$K$6)</f>
        <v>-521</v>
      </c>
      <c r="M255" s="287"/>
      <c r="N255" s="284"/>
      <c r="O255" s="284"/>
      <c r="P255" s="284"/>
      <c r="Q255" s="284"/>
      <c r="R255" s="284"/>
      <c r="S255" s="284"/>
      <c r="T255" s="284"/>
      <c r="U255" s="284"/>
      <c r="V255" s="284"/>
      <c r="W255" s="284"/>
      <c r="X255" s="284"/>
      <c r="Y255" s="284"/>
      <c r="Z255" s="284"/>
      <c r="AA255" s="284"/>
    </row>
    <row r="256">
      <c r="A256" s="284"/>
      <c r="B256" s="284" t="s">
        <v>2251</v>
      </c>
      <c r="C256" s="285" t="str">
        <f t="shared" si="125"/>
        <v/>
      </c>
      <c r="D256" s="297">
        <v>0.0</v>
      </c>
      <c r="E256" s="297">
        <v>5.0</v>
      </c>
      <c r="F256" s="297">
        <v>15.0</v>
      </c>
      <c r="G256" s="297">
        <v>0.0</v>
      </c>
      <c r="H256" s="297">
        <f t="shared" si="126"/>
        <v>0</v>
      </c>
      <c r="I256" s="288">
        <v>45597.0</v>
      </c>
      <c r="J256" s="288">
        <f t="shared" si="127"/>
        <v>45627</v>
      </c>
      <c r="K256" s="289">
        <f t="shared" si="128"/>
        <v>1</v>
      </c>
      <c r="L256" s="297">
        <f t="shared" si="129"/>
        <v>-540</v>
      </c>
      <c r="M256" s="287"/>
      <c r="N256" s="284"/>
      <c r="O256" s="284"/>
      <c r="P256" s="284"/>
      <c r="Q256" s="284"/>
      <c r="R256" s="284"/>
      <c r="S256" s="284"/>
      <c r="T256" s="284"/>
      <c r="U256" s="284"/>
      <c r="V256" s="284"/>
      <c r="W256" s="284"/>
      <c r="X256" s="284"/>
      <c r="Y256" s="284"/>
      <c r="Z256" s="284"/>
      <c r="AA256" s="284"/>
    </row>
    <row r="257">
      <c r="A257" s="284" t="s">
        <v>2293</v>
      </c>
      <c r="B257" s="284" t="s">
        <v>2294</v>
      </c>
      <c r="C257" s="285" t="str">
        <f t="shared" si="125"/>
        <v>x</v>
      </c>
      <c r="D257" s="297">
        <v>9.0</v>
      </c>
      <c r="E257" s="297">
        <v>3.0</v>
      </c>
      <c r="F257" s="297">
        <f t="shared" ref="F257:F260" si="130">D257*E257</f>
        <v>27</v>
      </c>
      <c r="G257" s="297">
        <f>F257*$Q$5</f>
        <v>2243.997</v>
      </c>
      <c r="H257" s="297">
        <v>0.0</v>
      </c>
      <c r="I257" s="288">
        <v>45597.0</v>
      </c>
      <c r="J257" s="288">
        <f t="shared" si="127"/>
        <v>45627</v>
      </c>
      <c r="K257" s="289">
        <f t="shared" si="128"/>
        <v>1</v>
      </c>
      <c r="L257" s="297">
        <f t="shared" si="129"/>
        <v>-540</v>
      </c>
      <c r="M257" s="298">
        <v>45727.0</v>
      </c>
      <c r="N257" s="284"/>
      <c r="O257" s="284"/>
      <c r="P257" s="284"/>
      <c r="Q257" s="284"/>
      <c r="R257" s="284"/>
      <c r="S257" s="284"/>
      <c r="T257" s="284"/>
      <c r="U257" s="284"/>
      <c r="V257" s="284"/>
      <c r="W257" s="284"/>
      <c r="X257" s="284"/>
      <c r="Y257" s="284"/>
      <c r="Z257" s="284"/>
      <c r="AA257" s="284"/>
    </row>
    <row r="258">
      <c r="A258" s="284"/>
      <c r="B258" s="284" t="s">
        <v>2255</v>
      </c>
      <c r="C258" s="285" t="str">
        <f t="shared" si="125"/>
        <v/>
      </c>
      <c r="D258" s="297">
        <v>0.0</v>
      </c>
      <c r="E258" s="297">
        <v>1500.0</v>
      </c>
      <c r="F258" s="297">
        <f t="shared" si="130"/>
        <v>0</v>
      </c>
      <c r="G258" s="297">
        <f>F258*$Q$7</f>
        <v>0</v>
      </c>
      <c r="H258" s="297">
        <f>G258</f>
        <v>0</v>
      </c>
      <c r="I258" s="286"/>
      <c r="J258" s="286"/>
      <c r="K258" s="284" t="str">
        <f t="shared" si="128"/>
        <v/>
      </c>
      <c r="L258" s="285" t="str">
        <f t="shared" si="129"/>
        <v/>
      </c>
      <c r="M258" s="287"/>
      <c r="N258" s="284"/>
      <c r="O258" s="284"/>
      <c r="P258" s="284"/>
      <c r="Q258" s="284"/>
      <c r="R258" s="284"/>
      <c r="S258" s="284"/>
      <c r="T258" s="284"/>
      <c r="U258" s="284"/>
      <c r="V258" s="284"/>
      <c r="W258" s="284"/>
      <c r="X258" s="284"/>
      <c r="Y258" s="284"/>
      <c r="Z258" s="284"/>
      <c r="AA258" s="284"/>
    </row>
    <row r="259">
      <c r="A259" s="284"/>
      <c r="B259" s="284" t="s">
        <v>2256</v>
      </c>
      <c r="C259" s="285" t="str">
        <f t="shared" si="125"/>
        <v/>
      </c>
      <c r="D259" s="297">
        <v>0.0</v>
      </c>
      <c r="E259" s="297">
        <v>500.0</v>
      </c>
      <c r="F259" s="297">
        <f t="shared" si="130"/>
        <v>0</v>
      </c>
      <c r="G259" s="297">
        <f t="shared" ref="G259:H259" si="131">F259</f>
        <v>0</v>
      </c>
      <c r="H259" s="297">
        <f t="shared" si="131"/>
        <v>0</v>
      </c>
      <c r="I259" s="286"/>
      <c r="J259" s="286"/>
      <c r="K259" s="284" t="str">
        <f t="shared" si="128"/>
        <v/>
      </c>
      <c r="L259" s="285" t="str">
        <f t="shared" si="129"/>
        <v/>
      </c>
      <c r="M259" s="287"/>
      <c r="N259" s="284"/>
      <c r="O259" s="284"/>
      <c r="P259" s="284"/>
      <c r="Q259" s="284"/>
      <c r="R259" s="284"/>
      <c r="S259" s="284"/>
      <c r="T259" s="284"/>
      <c r="U259" s="284"/>
      <c r="V259" s="284"/>
      <c r="W259" s="284"/>
      <c r="X259" s="284"/>
      <c r="Y259" s="284"/>
      <c r="Z259" s="284"/>
      <c r="AA259" s="284"/>
    </row>
    <row r="260">
      <c r="A260" s="284" t="s">
        <v>2295</v>
      </c>
      <c r="B260" s="284" t="s">
        <v>2257</v>
      </c>
      <c r="C260" s="285" t="str">
        <f t="shared" si="125"/>
        <v>x</v>
      </c>
      <c r="D260" s="297">
        <v>24.0</v>
      </c>
      <c r="E260" s="297">
        <v>22.0</v>
      </c>
      <c r="F260" s="297">
        <f t="shared" si="130"/>
        <v>528</v>
      </c>
      <c r="G260" s="297">
        <f t="shared" ref="G260:G261" si="132">F260*$Q$6</f>
        <v>10032</v>
      </c>
      <c r="H260" s="297">
        <v>0.0</v>
      </c>
      <c r="I260" s="288">
        <v>45597.0</v>
      </c>
      <c r="J260" s="288">
        <f t="shared" ref="J260:J262" si="133">Edate(I260,1)</f>
        <v>45627</v>
      </c>
      <c r="K260" s="289">
        <f t="shared" si="128"/>
        <v>1</v>
      </c>
      <c r="L260" s="297">
        <f t="shared" si="129"/>
        <v>-540</v>
      </c>
      <c r="M260" s="298">
        <v>45778.0</v>
      </c>
      <c r="N260" s="284" t="s">
        <v>2296</v>
      </c>
      <c r="O260" s="284"/>
      <c r="P260" s="284"/>
      <c r="Q260" s="284"/>
      <c r="R260" s="284"/>
      <c r="S260" s="284"/>
      <c r="T260" s="284"/>
      <c r="U260" s="284"/>
      <c r="V260" s="284"/>
      <c r="W260" s="284"/>
      <c r="X260" s="284"/>
      <c r="Y260" s="284"/>
      <c r="Z260" s="284"/>
      <c r="AA260" s="284"/>
    </row>
    <row r="261">
      <c r="A261" s="284"/>
      <c r="B261" s="284" t="s">
        <v>2258</v>
      </c>
      <c r="C261" s="285" t="str">
        <f t="shared" si="125"/>
        <v/>
      </c>
      <c r="D261" s="297">
        <v>0.0</v>
      </c>
      <c r="E261" s="297">
        <v>0.0</v>
      </c>
      <c r="F261" s="297">
        <v>0.0</v>
      </c>
      <c r="G261" s="297">
        <f t="shared" si="132"/>
        <v>0</v>
      </c>
      <c r="H261" s="297">
        <f>G261</f>
        <v>0</v>
      </c>
      <c r="I261" s="288">
        <v>45608.0</v>
      </c>
      <c r="J261" s="288">
        <f t="shared" si="133"/>
        <v>45638</v>
      </c>
      <c r="K261" s="289">
        <f t="shared" si="128"/>
        <v>1</v>
      </c>
      <c r="L261" s="297">
        <f t="shared" si="129"/>
        <v>-529</v>
      </c>
      <c r="M261" s="287"/>
      <c r="N261" s="284"/>
      <c r="O261" s="284"/>
      <c r="P261" s="284"/>
      <c r="Q261" s="284"/>
      <c r="R261" s="284"/>
      <c r="S261" s="284"/>
      <c r="T261" s="284"/>
      <c r="U261" s="284"/>
      <c r="V261" s="284"/>
      <c r="W261" s="284"/>
      <c r="X261" s="284"/>
      <c r="Y261" s="284"/>
      <c r="Z261" s="284"/>
      <c r="AA261" s="284"/>
    </row>
    <row r="262">
      <c r="A262" s="284"/>
      <c r="B262" s="284" t="s">
        <v>2259</v>
      </c>
      <c r="C262" s="285" t="str">
        <f t="shared" si="125"/>
        <v>x</v>
      </c>
      <c r="D262" s="297">
        <v>1.0</v>
      </c>
      <c r="E262" s="297">
        <v>15000.0</v>
      </c>
      <c r="F262" s="297">
        <f t="shared" ref="F262:F264" si="134">D262*E262</f>
        <v>15000</v>
      </c>
      <c r="G262" s="297">
        <f t="shared" ref="G262:G264" si="135">F262*$Q$7</f>
        <v>4500</v>
      </c>
      <c r="H262" s="297">
        <v>0.0</v>
      </c>
      <c r="I262" s="288">
        <v>45609.0</v>
      </c>
      <c r="J262" s="288">
        <f t="shared" si="133"/>
        <v>45639</v>
      </c>
      <c r="K262" s="289">
        <f t="shared" si="128"/>
        <v>1</v>
      </c>
      <c r="L262" s="297">
        <f t="shared" si="129"/>
        <v>-528</v>
      </c>
      <c r="M262" s="298">
        <v>45788.0</v>
      </c>
      <c r="N262" s="284"/>
      <c r="O262" s="284"/>
      <c r="P262" s="284"/>
      <c r="Q262" s="284"/>
      <c r="R262" s="284"/>
      <c r="S262" s="284"/>
      <c r="T262" s="284"/>
      <c r="U262" s="284"/>
      <c r="V262" s="284"/>
      <c r="W262" s="284"/>
      <c r="X262" s="284"/>
      <c r="Y262" s="284"/>
      <c r="Z262" s="284"/>
      <c r="AA262" s="284"/>
    </row>
    <row r="263">
      <c r="A263" s="284"/>
      <c r="B263" s="284" t="s">
        <v>2267</v>
      </c>
      <c r="C263" s="285" t="str">
        <f t="shared" si="125"/>
        <v/>
      </c>
      <c r="D263" s="297">
        <v>0.0</v>
      </c>
      <c r="E263" s="297">
        <v>3000.0</v>
      </c>
      <c r="F263" s="297">
        <f t="shared" si="134"/>
        <v>0</v>
      </c>
      <c r="G263" s="297">
        <f t="shared" si="135"/>
        <v>0</v>
      </c>
      <c r="H263" s="297">
        <f>G263</f>
        <v>0</v>
      </c>
      <c r="I263" s="286"/>
      <c r="J263" s="286"/>
      <c r="K263" s="284" t="str">
        <f t="shared" si="128"/>
        <v/>
      </c>
      <c r="L263" s="285" t="str">
        <f t="shared" si="129"/>
        <v/>
      </c>
      <c r="M263" s="287"/>
      <c r="N263" s="284"/>
      <c r="O263" s="284"/>
      <c r="P263" s="284"/>
      <c r="Q263" s="284"/>
      <c r="R263" s="284"/>
      <c r="S263" s="284"/>
      <c r="T263" s="284"/>
      <c r="U263" s="284"/>
      <c r="V263" s="284"/>
      <c r="W263" s="284"/>
      <c r="X263" s="284"/>
      <c r="Y263" s="284"/>
      <c r="Z263" s="284"/>
      <c r="AA263" s="284"/>
    </row>
    <row r="264">
      <c r="A264" s="284"/>
      <c r="B264" s="284" t="s">
        <v>2279</v>
      </c>
      <c r="C264" s="285" t="str">
        <f t="shared" si="125"/>
        <v/>
      </c>
      <c r="D264" s="297">
        <v>0.0</v>
      </c>
      <c r="E264" s="297">
        <v>5000.0</v>
      </c>
      <c r="F264" s="297">
        <f t="shared" si="134"/>
        <v>0</v>
      </c>
      <c r="G264" s="297">
        <f t="shared" si="135"/>
        <v>0</v>
      </c>
      <c r="H264" s="297">
        <v>0.0</v>
      </c>
      <c r="I264" s="286"/>
      <c r="J264" s="286"/>
      <c r="K264" s="284" t="str">
        <f t="shared" si="128"/>
        <v/>
      </c>
      <c r="L264" s="285" t="str">
        <f t="shared" si="129"/>
        <v/>
      </c>
      <c r="M264" s="287"/>
      <c r="N264" s="284"/>
      <c r="O264" s="284"/>
      <c r="P264" s="284"/>
      <c r="Q264" s="284"/>
      <c r="R264" s="284"/>
      <c r="S264" s="284"/>
      <c r="T264" s="284"/>
      <c r="U264" s="284"/>
      <c r="V264" s="284"/>
      <c r="W264" s="284"/>
      <c r="X264" s="284"/>
      <c r="Y264" s="284"/>
      <c r="Z264" s="284"/>
      <c r="AA264" s="284"/>
    </row>
    <row r="265">
      <c r="A265" s="284"/>
      <c r="B265" s="284" t="s">
        <v>2263</v>
      </c>
      <c r="C265" s="285" t="str">
        <f t="shared" si="125"/>
        <v/>
      </c>
      <c r="D265" s="297">
        <v>1.0</v>
      </c>
      <c r="E265" s="285"/>
      <c r="F265" s="303"/>
      <c r="G265" s="297">
        <v>0.0</v>
      </c>
      <c r="H265" s="297">
        <v>0.0</v>
      </c>
      <c r="I265" s="286"/>
      <c r="J265" s="286"/>
      <c r="K265" s="284" t="str">
        <f t="shared" si="128"/>
        <v/>
      </c>
      <c r="L265" s="285" t="str">
        <f t="shared" si="129"/>
        <v/>
      </c>
      <c r="M265" s="287"/>
      <c r="N265" s="284"/>
      <c r="O265" s="284"/>
      <c r="P265" s="284"/>
      <c r="Q265" s="284"/>
      <c r="R265" s="284"/>
      <c r="S265" s="284"/>
      <c r="T265" s="284"/>
      <c r="U265" s="284"/>
      <c r="V265" s="284"/>
      <c r="W265" s="284"/>
      <c r="X265" s="284"/>
      <c r="Y265" s="284"/>
      <c r="Z265" s="284"/>
      <c r="AA265" s="284"/>
    </row>
    <row r="266">
      <c r="A266" s="284"/>
      <c r="B266" s="284" t="s">
        <v>2289</v>
      </c>
      <c r="C266" s="285" t="str">
        <f t="shared" si="125"/>
        <v>x</v>
      </c>
      <c r="D266" s="297">
        <v>1.0</v>
      </c>
      <c r="E266" s="297">
        <v>5000.0</v>
      </c>
      <c r="F266" s="297">
        <f t="shared" ref="F266:F268" si="136">D266*E266</f>
        <v>5000</v>
      </c>
      <c r="G266" s="297">
        <f t="shared" ref="G266:G267" si="137">F266*$Q$7</f>
        <v>1500</v>
      </c>
      <c r="H266" s="297">
        <v>0.0</v>
      </c>
      <c r="I266" s="288">
        <v>45620.0</v>
      </c>
      <c r="J266" s="288">
        <f t="shared" ref="J266:J268" si="138">Edate(I266,1)</f>
        <v>45650</v>
      </c>
      <c r="K266" s="289">
        <f t="shared" si="128"/>
        <v>1</v>
      </c>
      <c r="L266" s="297">
        <f t="shared" si="129"/>
        <v>-517</v>
      </c>
      <c r="M266" s="287" t="s">
        <v>2297</v>
      </c>
      <c r="N266" s="284"/>
      <c r="O266" s="284"/>
      <c r="P266" s="284"/>
      <c r="Q266" s="284"/>
      <c r="R266" s="284"/>
      <c r="S266" s="284"/>
      <c r="T266" s="284"/>
      <c r="U266" s="284"/>
      <c r="V266" s="284"/>
      <c r="W266" s="284"/>
      <c r="X266" s="284"/>
      <c r="Y266" s="284"/>
      <c r="Z266" s="284"/>
      <c r="AA266" s="284"/>
    </row>
    <row r="267">
      <c r="A267" s="284" t="s">
        <v>2291</v>
      </c>
      <c r="B267" s="284" t="s">
        <v>2292</v>
      </c>
      <c r="C267" s="285" t="str">
        <f t="shared" si="125"/>
        <v>x</v>
      </c>
      <c r="D267" s="297">
        <v>1.0</v>
      </c>
      <c r="E267" s="297">
        <v>5000.0</v>
      </c>
      <c r="F267" s="297">
        <f t="shared" si="136"/>
        <v>5000</v>
      </c>
      <c r="G267" s="297">
        <f t="shared" si="137"/>
        <v>1500</v>
      </c>
      <c r="H267" s="297">
        <v>0.0</v>
      </c>
      <c r="I267" s="288">
        <v>45603.0</v>
      </c>
      <c r="J267" s="288">
        <f t="shared" si="138"/>
        <v>45633</v>
      </c>
      <c r="K267" s="289">
        <f t="shared" si="128"/>
        <v>1</v>
      </c>
      <c r="L267" s="297">
        <f t="shared" si="129"/>
        <v>-534</v>
      </c>
      <c r="M267" s="287" t="s">
        <v>2297</v>
      </c>
      <c r="N267" s="284"/>
      <c r="O267" s="284"/>
      <c r="P267" s="284"/>
      <c r="Q267" s="284"/>
      <c r="R267" s="284"/>
      <c r="S267" s="284"/>
      <c r="T267" s="284"/>
      <c r="U267" s="284"/>
      <c r="V267" s="284"/>
      <c r="W267" s="284"/>
      <c r="X267" s="284"/>
      <c r="Y267" s="284"/>
      <c r="Z267" s="284"/>
      <c r="AA267" s="284"/>
    </row>
    <row r="268">
      <c r="A268" s="284"/>
      <c r="B268" s="284" t="s">
        <v>2298</v>
      </c>
      <c r="C268" s="285" t="str">
        <f t="shared" si="125"/>
        <v>x</v>
      </c>
      <c r="D268" s="297">
        <v>12.0</v>
      </c>
      <c r="E268" s="297">
        <v>6.0</v>
      </c>
      <c r="F268" s="297">
        <f t="shared" si="136"/>
        <v>72</v>
      </c>
      <c r="G268" s="297">
        <f>F268*$Q$5</f>
        <v>5983.992</v>
      </c>
      <c r="H268" s="297">
        <v>0.0</v>
      </c>
      <c r="I268" s="288">
        <v>45621.0</v>
      </c>
      <c r="J268" s="288">
        <f t="shared" si="138"/>
        <v>45651</v>
      </c>
      <c r="K268" s="289">
        <f t="shared" si="128"/>
        <v>1</v>
      </c>
      <c r="L268" s="297">
        <f t="shared" si="129"/>
        <v>-516</v>
      </c>
      <c r="M268" s="287" t="s">
        <v>2299</v>
      </c>
      <c r="N268" s="284"/>
      <c r="O268" s="284"/>
      <c r="P268" s="284"/>
      <c r="Q268" s="284"/>
      <c r="R268" s="284"/>
      <c r="S268" s="284"/>
      <c r="T268" s="284"/>
      <c r="U268" s="284"/>
      <c r="V268" s="284"/>
      <c r="W268" s="284"/>
      <c r="X268" s="284"/>
      <c r="Y268" s="284"/>
      <c r="Z268" s="284"/>
      <c r="AA268" s="284"/>
    </row>
    <row r="269">
      <c r="A269" s="284"/>
      <c r="B269" s="284"/>
      <c r="C269" s="285" t="str">
        <f t="shared" si="125"/>
        <v/>
      </c>
      <c r="D269" s="285"/>
      <c r="E269" s="285"/>
      <c r="F269" s="285"/>
      <c r="G269" s="285"/>
      <c r="H269" s="285"/>
      <c r="I269" s="286"/>
      <c r="J269" s="286"/>
      <c r="K269" s="285"/>
      <c r="L269" s="285" t="str">
        <f t="shared" si="129"/>
        <v/>
      </c>
      <c r="M269" s="287"/>
      <c r="N269" s="284"/>
      <c r="O269" s="284"/>
      <c r="P269" s="284"/>
      <c r="Q269" s="284"/>
      <c r="R269" s="284"/>
      <c r="S269" s="284"/>
      <c r="T269" s="284"/>
      <c r="U269" s="284"/>
      <c r="V269" s="284"/>
      <c r="W269" s="284"/>
      <c r="X269" s="284"/>
      <c r="Y269" s="284"/>
      <c r="Z269" s="284"/>
      <c r="AA269" s="284"/>
    </row>
    <row r="270">
      <c r="A270" s="284"/>
      <c r="B270" s="284"/>
      <c r="C270" s="285" t="str">
        <f t="shared" si="125"/>
        <v/>
      </c>
      <c r="D270" s="285"/>
      <c r="E270" s="285"/>
      <c r="F270" s="285"/>
      <c r="G270" s="285"/>
      <c r="H270" s="285"/>
      <c r="I270" s="286"/>
      <c r="J270" s="286"/>
      <c r="K270" s="285"/>
      <c r="L270" s="284"/>
      <c r="M270" s="287"/>
      <c r="N270" s="284"/>
      <c r="O270" s="284"/>
      <c r="P270" s="284"/>
      <c r="Q270" s="284"/>
      <c r="R270" s="284"/>
      <c r="S270" s="284"/>
      <c r="T270" s="284"/>
      <c r="U270" s="284"/>
      <c r="V270" s="284"/>
      <c r="W270" s="284"/>
      <c r="X270" s="284"/>
      <c r="Y270" s="284"/>
      <c r="Z270" s="284"/>
      <c r="AA270" s="284"/>
    </row>
    <row r="271">
      <c r="A271" s="284"/>
      <c r="B271" s="284"/>
      <c r="C271" s="285" t="str">
        <f>if(G271=0,"","x")</f>
        <v/>
      </c>
      <c r="D271" s="285"/>
      <c r="E271" s="285"/>
      <c r="F271" s="285"/>
      <c r="G271" s="285"/>
      <c r="H271" s="285"/>
      <c r="I271" s="286"/>
      <c r="J271" s="286"/>
      <c r="K271" s="285"/>
      <c r="L271" s="284"/>
      <c r="M271" s="287"/>
      <c r="N271" s="284"/>
      <c r="O271" s="284"/>
      <c r="P271" s="284"/>
      <c r="Q271" s="284"/>
      <c r="R271" s="284"/>
      <c r="S271" s="284"/>
      <c r="T271" s="284"/>
      <c r="U271" s="284"/>
      <c r="V271" s="284"/>
      <c r="W271" s="284"/>
      <c r="X271" s="284"/>
      <c r="Y271" s="284"/>
      <c r="Z271" s="284"/>
      <c r="AA271" s="284"/>
    </row>
    <row r="272">
      <c r="A272" s="284"/>
      <c r="B272" s="293" t="s">
        <v>2246</v>
      </c>
      <c r="C272" s="289">
        <f>countif(C255:C271,"x")</f>
        <v>6</v>
      </c>
      <c r="D272" s="285"/>
      <c r="E272" s="285"/>
      <c r="F272" s="285" t="s">
        <v>874</v>
      </c>
      <c r="G272" s="297">
        <f t="shared" ref="G272:H272" si="139">sum(G255:G271)</f>
        <v>25759.989</v>
      </c>
      <c r="H272" s="297">
        <f t="shared" si="139"/>
        <v>0</v>
      </c>
      <c r="I272" s="286"/>
      <c r="J272" s="286"/>
      <c r="K272" s="285"/>
      <c r="L272" s="284"/>
      <c r="M272" s="287"/>
      <c r="N272" s="284"/>
      <c r="O272" s="284"/>
      <c r="P272" s="284"/>
      <c r="Q272" s="284"/>
      <c r="R272" s="284"/>
      <c r="S272" s="284"/>
      <c r="T272" s="284"/>
      <c r="U272" s="284"/>
      <c r="V272" s="284"/>
      <c r="W272" s="284"/>
      <c r="X272" s="284"/>
      <c r="Y272" s="284"/>
      <c r="Z272" s="284"/>
      <c r="AA272" s="284"/>
    </row>
    <row r="273">
      <c r="A273" s="284"/>
      <c r="B273" s="284"/>
      <c r="C273" s="285"/>
      <c r="D273" s="285"/>
      <c r="E273" s="285"/>
      <c r="F273" s="285" t="s">
        <v>2247</v>
      </c>
      <c r="G273" s="285"/>
      <c r="H273" s="297">
        <f>H272+H249</f>
        <v>15595.265</v>
      </c>
      <c r="I273" s="286"/>
      <c r="J273" s="286"/>
      <c r="K273" s="285"/>
      <c r="L273" s="284"/>
      <c r="M273" s="287"/>
      <c r="N273" s="284"/>
      <c r="O273" s="284"/>
      <c r="P273" s="284"/>
      <c r="Q273" s="284"/>
      <c r="R273" s="284"/>
      <c r="S273" s="284"/>
      <c r="T273" s="284"/>
      <c r="U273" s="284"/>
      <c r="V273" s="284"/>
      <c r="W273" s="284"/>
      <c r="X273" s="284"/>
      <c r="Y273" s="284"/>
      <c r="Z273" s="284"/>
      <c r="AA273" s="284"/>
    </row>
    <row r="274">
      <c r="A274" s="284"/>
      <c r="B274" s="284"/>
      <c r="C274" s="285"/>
      <c r="D274" s="285"/>
      <c r="E274" s="285"/>
      <c r="F274" s="285"/>
      <c r="G274" s="285"/>
      <c r="H274" s="285"/>
      <c r="I274" s="286"/>
      <c r="J274" s="286"/>
      <c r="K274" s="285"/>
      <c r="L274" s="284"/>
      <c r="M274" s="287"/>
      <c r="N274" s="284"/>
      <c r="O274" s="284"/>
      <c r="P274" s="284"/>
      <c r="Q274" s="284"/>
      <c r="R274" s="284"/>
      <c r="S274" s="284"/>
      <c r="T274" s="284"/>
      <c r="U274" s="284"/>
      <c r="V274" s="284"/>
      <c r="W274" s="284"/>
      <c r="X274" s="284"/>
      <c r="Y274" s="284"/>
      <c r="Z274" s="284"/>
      <c r="AA274" s="284"/>
    </row>
    <row r="275">
      <c r="A275" s="284"/>
      <c r="B275" s="284"/>
      <c r="C275" s="285"/>
      <c r="D275" s="285"/>
      <c r="E275" s="285"/>
      <c r="F275" s="285"/>
      <c r="G275" s="285"/>
      <c r="H275" s="285"/>
      <c r="I275" s="286"/>
      <c r="J275" s="286"/>
      <c r="K275" s="285"/>
      <c r="L275" s="284"/>
      <c r="M275" s="287"/>
      <c r="N275" s="284"/>
      <c r="O275" s="284"/>
      <c r="P275" s="284"/>
      <c r="Q275" s="284"/>
      <c r="R275" s="284"/>
      <c r="S275" s="284"/>
      <c r="T275" s="284"/>
      <c r="U275" s="284"/>
      <c r="V275" s="284"/>
      <c r="W275" s="284"/>
      <c r="X275" s="284"/>
      <c r="Y275" s="284"/>
      <c r="Z275" s="284"/>
      <c r="AA275" s="284"/>
    </row>
    <row r="276">
      <c r="A276" s="284"/>
      <c r="B276" s="284"/>
      <c r="C276" s="285"/>
      <c r="D276" s="285"/>
      <c r="E276" s="285"/>
      <c r="F276" s="285"/>
      <c r="G276" s="285"/>
      <c r="H276" s="285"/>
      <c r="I276" s="286"/>
      <c r="J276" s="286"/>
      <c r="K276" s="285"/>
      <c r="L276" s="284"/>
      <c r="M276" s="287"/>
      <c r="N276" s="284"/>
      <c r="O276" s="284"/>
      <c r="P276" s="284"/>
      <c r="Q276" s="284"/>
      <c r="R276" s="284"/>
      <c r="S276" s="284"/>
      <c r="T276" s="284"/>
      <c r="U276" s="284"/>
      <c r="V276" s="284"/>
      <c r="W276" s="284"/>
      <c r="X276" s="284"/>
      <c r="Y276" s="284"/>
      <c r="Z276" s="284"/>
      <c r="AA276" s="284"/>
    </row>
    <row r="277">
      <c r="A277" s="284"/>
      <c r="B277" s="290" t="s">
        <v>2351</v>
      </c>
      <c r="C277" s="285"/>
      <c r="D277" s="285"/>
      <c r="E277" s="285"/>
      <c r="F277" s="285"/>
      <c r="G277" s="285"/>
      <c r="H277" s="285"/>
      <c r="I277" s="286"/>
      <c r="J277" s="286" t="s">
        <v>2233</v>
      </c>
      <c r="K277" s="291">
        <f> Today()</f>
        <v>46167</v>
      </c>
      <c r="L277" s="285"/>
      <c r="M277" s="287"/>
      <c r="N277" s="284"/>
      <c r="O277" s="284"/>
      <c r="P277" s="284"/>
      <c r="Q277" s="284"/>
      <c r="R277" s="284"/>
      <c r="S277" s="284"/>
      <c r="T277" s="284"/>
      <c r="U277" s="284"/>
      <c r="V277" s="284"/>
      <c r="W277" s="284"/>
      <c r="X277" s="284"/>
      <c r="Y277" s="284"/>
      <c r="Z277" s="284"/>
      <c r="AA277" s="284"/>
    </row>
    <row r="278">
      <c r="A278" s="293" t="s">
        <v>181</v>
      </c>
      <c r="B278" s="293" t="s">
        <v>2216</v>
      </c>
      <c r="C278" s="294" t="s">
        <v>131</v>
      </c>
      <c r="D278" s="294" t="s">
        <v>2217</v>
      </c>
      <c r="E278" s="294" t="s">
        <v>8</v>
      </c>
      <c r="F278" s="294" t="s">
        <v>873</v>
      </c>
      <c r="G278" s="294" t="s">
        <v>17</v>
      </c>
      <c r="H278" s="294" t="s">
        <v>874</v>
      </c>
      <c r="I278" s="295" t="s">
        <v>2218</v>
      </c>
      <c r="J278" s="295" t="s">
        <v>876</v>
      </c>
      <c r="K278" s="293" t="s">
        <v>877</v>
      </c>
      <c r="L278" s="294" t="s">
        <v>878</v>
      </c>
      <c r="M278" s="296" t="s">
        <v>2219</v>
      </c>
      <c r="N278" s="293" t="s">
        <v>2220</v>
      </c>
      <c r="O278" s="284"/>
      <c r="P278" s="284"/>
      <c r="Q278" s="284"/>
      <c r="R278" s="284"/>
      <c r="S278" s="284"/>
      <c r="T278" s="284"/>
      <c r="U278" s="284"/>
      <c r="V278" s="284"/>
      <c r="W278" s="284"/>
      <c r="X278" s="284"/>
      <c r="Y278" s="284"/>
      <c r="Z278" s="284"/>
      <c r="AA278" s="284"/>
    </row>
    <row r="279">
      <c r="A279" s="284"/>
      <c r="B279" s="284" t="s">
        <v>2249</v>
      </c>
      <c r="C279" s="285" t="str">
        <f t="shared" ref="C279:C280" si="140">if(OR(G279=0,G279=""),"","x")</f>
        <v/>
      </c>
      <c r="D279" s="297">
        <v>0.0</v>
      </c>
      <c r="E279" s="297">
        <v>100.0</v>
      </c>
      <c r="F279" s="297">
        <f>D279*E279</f>
        <v>0</v>
      </c>
      <c r="G279" s="297">
        <f>F279*Q$8</f>
        <v>0</v>
      </c>
      <c r="H279" s="297">
        <f t="shared" ref="H279:H280" si="141">G279</f>
        <v>0</v>
      </c>
      <c r="I279" s="288">
        <v>45646.0</v>
      </c>
      <c r="J279" s="288">
        <f t="shared" ref="J279:J281" si="142">Edate(I279,1)</f>
        <v>45677</v>
      </c>
      <c r="K279" s="289">
        <f t="shared" ref="K279:K280" si="143">if(J279="","",if(H279=0,1,0))</f>
        <v>1</v>
      </c>
      <c r="L279" s="297">
        <f t="shared" ref="L279:L293" si="144">if(J279="","",J279-$K$6)</f>
        <v>-490</v>
      </c>
      <c r="M279" s="287"/>
      <c r="N279" s="284"/>
      <c r="O279" s="284"/>
      <c r="P279" s="284"/>
      <c r="Q279" s="284"/>
      <c r="R279" s="284"/>
      <c r="S279" s="284"/>
      <c r="T279" s="284"/>
      <c r="U279" s="284"/>
      <c r="V279" s="284"/>
      <c r="W279" s="284"/>
      <c r="X279" s="284"/>
      <c r="Y279" s="284"/>
      <c r="Z279" s="284"/>
      <c r="AA279" s="284"/>
    </row>
    <row r="280">
      <c r="A280" s="284"/>
      <c r="B280" s="284" t="s">
        <v>2251</v>
      </c>
      <c r="C280" s="285" t="str">
        <f t="shared" si="140"/>
        <v/>
      </c>
      <c r="D280" s="297">
        <v>0.0</v>
      </c>
      <c r="E280" s="297">
        <v>5.0</v>
      </c>
      <c r="F280" s="297">
        <v>15.0</v>
      </c>
      <c r="G280" s="297">
        <v>0.0</v>
      </c>
      <c r="H280" s="297">
        <f t="shared" si="141"/>
        <v>0</v>
      </c>
      <c r="I280" s="288">
        <v>45627.0</v>
      </c>
      <c r="J280" s="288">
        <f t="shared" si="142"/>
        <v>45658</v>
      </c>
      <c r="K280" s="289">
        <f t="shared" si="143"/>
        <v>1</v>
      </c>
      <c r="L280" s="297">
        <f t="shared" si="144"/>
        <v>-509</v>
      </c>
      <c r="M280" s="287"/>
      <c r="N280" s="284"/>
      <c r="O280" s="284"/>
      <c r="P280" s="284"/>
      <c r="Q280" s="284"/>
      <c r="R280" s="284"/>
      <c r="S280" s="284"/>
      <c r="T280" s="284"/>
      <c r="U280" s="284"/>
      <c r="V280" s="284"/>
      <c r="W280" s="284"/>
      <c r="X280" s="284"/>
      <c r="Y280" s="284"/>
      <c r="Z280" s="284"/>
      <c r="AA280" s="284"/>
    </row>
    <row r="281">
      <c r="A281" s="284" t="s">
        <v>2300</v>
      </c>
      <c r="B281" s="284" t="s">
        <v>2254</v>
      </c>
      <c r="C281" s="285" t="s">
        <v>1350</v>
      </c>
      <c r="D281" s="297">
        <v>15.0</v>
      </c>
      <c r="E281" s="297">
        <v>3.0</v>
      </c>
      <c r="F281" s="297">
        <f t="shared" ref="F281:F284" si="145">D281*E281</f>
        <v>45</v>
      </c>
      <c r="G281" s="297">
        <f>F281*$Q$5</f>
        <v>3739.995</v>
      </c>
      <c r="H281" s="297">
        <v>0.0</v>
      </c>
      <c r="I281" s="288">
        <v>45627.0</v>
      </c>
      <c r="J281" s="288">
        <f t="shared" si="142"/>
        <v>45658</v>
      </c>
      <c r="K281" s="289">
        <v>1.0</v>
      </c>
      <c r="L281" s="297">
        <f t="shared" si="144"/>
        <v>-509</v>
      </c>
      <c r="M281" s="298">
        <v>45727.0</v>
      </c>
      <c r="N281" s="284"/>
      <c r="O281" s="284"/>
      <c r="P281" s="284"/>
      <c r="Q281" s="284"/>
      <c r="R281" s="284"/>
      <c r="S281" s="284"/>
      <c r="T281" s="284"/>
      <c r="U281" s="284"/>
      <c r="V281" s="284"/>
      <c r="W281" s="284"/>
      <c r="X281" s="284"/>
      <c r="Y281" s="284"/>
      <c r="Z281" s="284"/>
      <c r="AA281" s="284"/>
    </row>
    <row r="282">
      <c r="A282" s="284"/>
      <c r="B282" s="284" t="s">
        <v>2255</v>
      </c>
      <c r="C282" s="285" t="str">
        <f t="shared" ref="C282:C294" si="146">if(OR(G282=0,G282=""),"","x")</f>
        <v/>
      </c>
      <c r="D282" s="297">
        <v>0.0</v>
      </c>
      <c r="E282" s="297">
        <v>1500.0</v>
      </c>
      <c r="F282" s="297">
        <f t="shared" si="145"/>
        <v>0</v>
      </c>
      <c r="G282" s="297">
        <f>F282*$Q$7</f>
        <v>0</v>
      </c>
      <c r="H282" s="297">
        <f>G282</f>
        <v>0</v>
      </c>
      <c r="I282" s="286"/>
      <c r="J282" s="286"/>
      <c r="K282" s="284" t="str">
        <f t="shared" ref="K282:K291" si="148">if(J282="","",if(H282=0,1,0))</f>
        <v/>
      </c>
      <c r="L282" s="285" t="str">
        <f t="shared" si="144"/>
        <v/>
      </c>
      <c r="M282" s="287"/>
      <c r="N282" s="284"/>
      <c r="O282" s="284"/>
      <c r="P282" s="284"/>
      <c r="Q282" s="284"/>
      <c r="R282" s="284"/>
      <c r="S282" s="284"/>
      <c r="T282" s="284"/>
      <c r="U282" s="284"/>
      <c r="V282" s="284"/>
      <c r="W282" s="284"/>
      <c r="X282" s="284"/>
      <c r="Y282" s="284"/>
      <c r="Z282" s="284"/>
      <c r="AA282" s="284"/>
    </row>
    <row r="283">
      <c r="A283" s="284"/>
      <c r="B283" s="284" t="s">
        <v>2256</v>
      </c>
      <c r="C283" s="285" t="str">
        <f t="shared" si="146"/>
        <v/>
      </c>
      <c r="D283" s="297">
        <v>0.0</v>
      </c>
      <c r="E283" s="297">
        <v>500.0</v>
      </c>
      <c r="F283" s="297">
        <f t="shared" si="145"/>
        <v>0</v>
      </c>
      <c r="G283" s="297">
        <f t="shared" ref="G283:H283" si="147">F283</f>
        <v>0</v>
      </c>
      <c r="H283" s="297">
        <f t="shared" si="147"/>
        <v>0</v>
      </c>
      <c r="I283" s="286"/>
      <c r="J283" s="286"/>
      <c r="K283" s="284" t="str">
        <f t="shared" si="148"/>
        <v/>
      </c>
      <c r="L283" s="285" t="str">
        <f t="shared" si="144"/>
        <v/>
      </c>
      <c r="M283" s="287"/>
      <c r="N283" s="284"/>
      <c r="O283" s="284"/>
      <c r="P283" s="284"/>
      <c r="Q283" s="284"/>
      <c r="R283" s="284"/>
      <c r="S283" s="284"/>
      <c r="T283" s="284"/>
      <c r="U283" s="284"/>
      <c r="V283" s="284"/>
      <c r="W283" s="284"/>
      <c r="X283" s="284"/>
      <c r="Y283" s="284"/>
      <c r="Z283" s="284"/>
      <c r="AA283" s="284"/>
    </row>
    <row r="284">
      <c r="A284" s="284" t="s">
        <v>2301</v>
      </c>
      <c r="B284" s="284" t="s">
        <v>2257</v>
      </c>
      <c r="C284" s="285" t="str">
        <f t="shared" si="146"/>
        <v>x</v>
      </c>
      <c r="D284" s="297">
        <v>18.0</v>
      </c>
      <c r="E284" s="297">
        <v>22.0</v>
      </c>
      <c r="F284" s="297">
        <f t="shared" si="145"/>
        <v>396</v>
      </c>
      <c r="G284" s="297">
        <f t="shared" ref="G284:G285" si="149">F284*$Q$6</f>
        <v>7524</v>
      </c>
      <c r="H284" s="297">
        <v>0.0</v>
      </c>
      <c r="I284" s="288">
        <v>45627.0</v>
      </c>
      <c r="J284" s="288">
        <f t="shared" ref="J284:J286" si="150">Edate(I284,1)</f>
        <v>45658</v>
      </c>
      <c r="K284" s="289">
        <f t="shared" si="148"/>
        <v>1</v>
      </c>
      <c r="L284" s="297">
        <f t="shared" si="144"/>
        <v>-509</v>
      </c>
      <c r="M284" s="298">
        <v>45811.0</v>
      </c>
      <c r="N284" s="284"/>
      <c r="O284" s="284"/>
      <c r="P284" s="284"/>
      <c r="Q284" s="284"/>
      <c r="R284" s="284"/>
      <c r="S284" s="284"/>
      <c r="T284" s="284"/>
      <c r="U284" s="284"/>
      <c r="V284" s="284"/>
      <c r="W284" s="284"/>
      <c r="X284" s="284"/>
      <c r="Y284" s="284"/>
      <c r="Z284" s="284"/>
      <c r="AA284" s="284"/>
    </row>
    <row r="285">
      <c r="A285" s="284"/>
      <c r="B285" s="284" t="s">
        <v>2258</v>
      </c>
      <c r="C285" s="285" t="str">
        <f t="shared" si="146"/>
        <v/>
      </c>
      <c r="D285" s="297">
        <v>0.0</v>
      </c>
      <c r="E285" s="297">
        <v>0.0</v>
      </c>
      <c r="F285" s="297">
        <v>0.0</v>
      </c>
      <c r="G285" s="297">
        <f t="shared" si="149"/>
        <v>0</v>
      </c>
      <c r="H285" s="297">
        <f t="shared" ref="H285:H287" si="151">G285</f>
        <v>0</v>
      </c>
      <c r="I285" s="288">
        <v>31.0</v>
      </c>
      <c r="J285" s="288">
        <f t="shared" si="150"/>
        <v>60</v>
      </c>
      <c r="K285" s="289">
        <f t="shared" si="148"/>
        <v>1</v>
      </c>
      <c r="L285" s="297">
        <f t="shared" si="144"/>
        <v>-46107</v>
      </c>
      <c r="M285" s="287"/>
      <c r="N285" s="284"/>
      <c r="O285" s="284"/>
      <c r="P285" s="284"/>
      <c r="Q285" s="284"/>
      <c r="R285" s="284"/>
      <c r="S285" s="284"/>
      <c r="T285" s="284"/>
      <c r="U285" s="284"/>
      <c r="V285" s="284"/>
      <c r="W285" s="284"/>
      <c r="X285" s="284"/>
      <c r="Y285" s="284"/>
      <c r="Z285" s="284"/>
      <c r="AA285" s="284"/>
    </row>
    <row r="286">
      <c r="A286" s="284"/>
      <c r="B286" s="284" t="s">
        <v>2259</v>
      </c>
      <c r="C286" s="285" t="str">
        <f t="shared" si="146"/>
        <v>x</v>
      </c>
      <c r="D286" s="297">
        <v>1.0</v>
      </c>
      <c r="E286" s="297">
        <v>15000.0</v>
      </c>
      <c r="F286" s="297">
        <f t="shared" ref="F286:F292" si="152">D286*E286</f>
        <v>15000</v>
      </c>
      <c r="G286" s="297">
        <f t="shared" ref="G286:G288" si="153">F286*$Q$7</f>
        <v>4500</v>
      </c>
      <c r="H286" s="297">
        <f t="shared" si="151"/>
        <v>4500</v>
      </c>
      <c r="I286" s="288">
        <v>45639.0</v>
      </c>
      <c r="J286" s="288">
        <f t="shared" si="150"/>
        <v>45670</v>
      </c>
      <c r="K286" s="289">
        <f t="shared" si="148"/>
        <v>0</v>
      </c>
      <c r="L286" s="297">
        <f t="shared" si="144"/>
        <v>-497</v>
      </c>
      <c r="M286" s="287"/>
      <c r="N286" s="284"/>
      <c r="O286" s="284"/>
      <c r="P286" s="284"/>
      <c r="Q286" s="284"/>
      <c r="R286" s="284"/>
      <c r="S286" s="284"/>
      <c r="T286" s="284"/>
      <c r="U286" s="284"/>
      <c r="V286" s="284"/>
      <c r="W286" s="284"/>
      <c r="X286" s="284"/>
      <c r="Y286" s="284"/>
      <c r="Z286" s="284"/>
      <c r="AA286" s="284"/>
    </row>
    <row r="287">
      <c r="A287" s="284"/>
      <c r="B287" s="284" t="s">
        <v>2267</v>
      </c>
      <c r="C287" s="285" t="str">
        <f t="shared" si="146"/>
        <v/>
      </c>
      <c r="D287" s="297">
        <v>0.0</v>
      </c>
      <c r="E287" s="297">
        <v>3000.0</v>
      </c>
      <c r="F287" s="297">
        <f t="shared" si="152"/>
        <v>0</v>
      </c>
      <c r="G287" s="297">
        <f t="shared" si="153"/>
        <v>0</v>
      </c>
      <c r="H287" s="297">
        <f t="shared" si="151"/>
        <v>0</v>
      </c>
      <c r="I287" s="286"/>
      <c r="J287" s="286"/>
      <c r="K287" s="284" t="str">
        <f t="shared" si="148"/>
        <v/>
      </c>
      <c r="L287" s="285" t="str">
        <f t="shared" si="144"/>
        <v/>
      </c>
      <c r="M287" s="287"/>
      <c r="N287" s="284"/>
      <c r="O287" s="284"/>
      <c r="P287" s="284"/>
      <c r="Q287" s="284"/>
      <c r="R287" s="284"/>
      <c r="S287" s="284"/>
      <c r="T287" s="284"/>
      <c r="U287" s="284"/>
      <c r="V287" s="284"/>
      <c r="W287" s="284"/>
      <c r="X287" s="284"/>
      <c r="Y287" s="284"/>
      <c r="Z287" s="284"/>
      <c r="AA287" s="284"/>
    </row>
    <row r="288">
      <c r="A288" s="284"/>
      <c r="B288" s="284" t="s">
        <v>2279</v>
      </c>
      <c r="C288" s="285" t="str">
        <f t="shared" si="146"/>
        <v/>
      </c>
      <c r="D288" s="297">
        <v>0.0</v>
      </c>
      <c r="E288" s="297">
        <v>5000.0</v>
      </c>
      <c r="F288" s="297">
        <f t="shared" si="152"/>
        <v>0</v>
      </c>
      <c r="G288" s="297">
        <f t="shared" si="153"/>
        <v>0</v>
      </c>
      <c r="H288" s="297">
        <v>0.0</v>
      </c>
      <c r="I288" s="286"/>
      <c r="J288" s="286"/>
      <c r="K288" s="284" t="str">
        <f t="shared" si="148"/>
        <v/>
      </c>
      <c r="L288" s="285" t="str">
        <f t="shared" si="144"/>
        <v/>
      </c>
      <c r="M288" s="287"/>
      <c r="N288" s="284"/>
      <c r="O288" s="284"/>
      <c r="P288" s="284"/>
      <c r="Q288" s="284"/>
      <c r="R288" s="284"/>
      <c r="S288" s="284"/>
      <c r="T288" s="284"/>
      <c r="U288" s="284"/>
      <c r="V288" s="284"/>
      <c r="W288" s="284"/>
      <c r="X288" s="284"/>
      <c r="Y288" s="284"/>
      <c r="Z288" s="284"/>
      <c r="AA288" s="284"/>
    </row>
    <row r="289">
      <c r="A289" s="284" t="s">
        <v>2302</v>
      </c>
      <c r="B289" s="284" t="s">
        <v>2263</v>
      </c>
      <c r="C289" s="285" t="str">
        <f t="shared" si="146"/>
        <v/>
      </c>
      <c r="D289" s="297">
        <v>1.0</v>
      </c>
      <c r="E289" s="297">
        <v>44488.0</v>
      </c>
      <c r="F289" s="297">
        <f t="shared" si="152"/>
        <v>44488</v>
      </c>
      <c r="G289" s="285"/>
      <c r="H289" s="285"/>
      <c r="I289" s="286"/>
      <c r="J289" s="286"/>
      <c r="K289" s="284" t="str">
        <f t="shared" si="148"/>
        <v/>
      </c>
      <c r="L289" s="285" t="str">
        <f t="shared" si="144"/>
        <v/>
      </c>
      <c r="M289" s="298">
        <v>45686.0</v>
      </c>
      <c r="N289" s="284"/>
      <c r="O289" s="284"/>
      <c r="P289" s="284"/>
      <c r="Q289" s="284"/>
      <c r="R289" s="284"/>
      <c r="S289" s="284"/>
      <c r="T289" s="284"/>
      <c r="U289" s="284"/>
      <c r="V289" s="284"/>
      <c r="W289" s="284"/>
      <c r="X289" s="284"/>
      <c r="Y289" s="284"/>
      <c r="Z289" s="284"/>
      <c r="AA289" s="284"/>
    </row>
    <row r="290">
      <c r="A290" s="284"/>
      <c r="B290" s="284" t="s">
        <v>2289</v>
      </c>
      <c r="C290" s="285" t="str">
        <f t="shared" si="146"/>
        <v>x</v>
      </c>
      <c r="D290" s="297">
        <v>1.0</v>
      </c>
      <c r="E290" s="297">
        <v>5000.0</v>
      </c>
      <c r="F290" s="297">
        <f t="shared" si="152"/>
        <v>5000</v>
      </c>
      <c r="G290" s="297">
        <f t="shared" ref="G290:G291" si="154">F290*$Q$7</f>
        <v>1500</v>
      </c>
      <c r="H290" s="297">
        <v>0.0</v>
      </c>
      <c r="I290" s="288">
        <v>45650.0</v>
      </c>
      <c r="J290" s="288">
        <f t="shared" ref="J290:J292" si="155">Edate(I290,1)</f>
        <v>45681</v>
      </c>
      <c r="K290" s="289">
        <f t="shared" si="148"/>
        <v>1</v>
      </c>
      <c r="L290" s="297">
        <f t="shared" si="144"/>
        <v>-486</v>
      </c>
      <c r="M290" s="298">
        <v>45686.0</v>
      </c>
      <c r="N290" s="284"/>
      <c r="O290" s="284"/>
      <c r="P290" s="284"/>
      <c r="Q290" s="284"/>
      <c r="R290" s="284"/>
      <c r="S290" s="284"/>
      <c r="T290" s="284"/>
      <c r="U290" s="284"/>
      <c r="V290" s="284"/>
      <c r="W290" s="284"/>
      <c r="X290" s="284"/>
      <c r="Y290" s="284"/>
      <c r="Z290" s="284"/>
      <c r="AA290" s="284"/>
    </row>
    <row r="291">
      <c r="A291" s="284" t="s">
        <v>2291</v>
      </c>
      <c r="B291" s="284" t="s">
        <v>2292</v>
      </c>
      <c r="C291" s="285" t="str">
        <f t="shared" si="146"/>
        <v>x</v>
      </c>
      <c r="D291" s="297">
        <v>1.0</v>
      </c>
      <c r="E291" s="297">
        <v>5000.0</v>
      </c>
      <c r="F291" s="297">
        <f t="shared" si="152"/>
        <v>5000</v>
      </c>
      <c r="G291" s="297">
        <f t="shared" si="154"/>
        <v>1500</v>
      </c>
      <c r="H291" s="297">
        <v>0.0</v>
      </c>
      <c r="I291" s="288">
        <v>45633.0</v>
      </c>
      <c r="J291" s="288">
        <f t="shared" si="155"/>
        <v>45664</v>
      </c>
      <c r="K291" s="289">
        <f t="shared" si="148"/>
        <v>1</v>
      </c>
      <c r="L291" s="297">
        <f t="shared" si="144"/>
        <v>-503</v>
      </c>
      <c r="M291" s="298">
        <v>45686.0</v>
      </c>
      <c r="N291" s="284"/>
      <c r="O291" s="284"/>
      <c r="P291" s="284"/>
      <c r="Q291" s="284"/>
      <c r="R291" s="284"/>
      <c r="S291" s="284"/>
      <c r="T291" s="284"/>
      <c r="U291" s="284"/>
      <c r="V291" s="284"/>
      <c r="W291" s="284"/>
      <c r="X291" s="284"/>
      <c r="Y291" s="284"/>
      <c r="Z291" s="284"/>
      <c r="AA291" s="284"/>
    </row>
    <row r="292">
      <c r="A292" s="284" t="s">
        <v>2303</v>
      </c>
      <c r="B292" s="284" t="s">
        <v>2298</v>
      </c>
      <c r="C292" s="285" t="str">
        <f t="shared" si="146"/>
        <v>x</v>
      </c>
      <c r="D292" s="297">
        <v>12.0</v>
      </c>
      <c r="E292" s="297">
        <v>6.0</v>
      </c>
      <c r="F292" s="297">
        <f t="shared" si="152"/>
        <v>72</v>
      </c>
      <c r="G292" s="297">
        <f>F292*$Q$5</f>
        <v>5983.992</v>
      </c>
      <c r="H292" s="297">
        <v>0.0</v>
      </c>
      <c r="I292" s="288">
        <v>45651.0</v>
      </c>
      <c r="J292" s="288">
        <f t="shared" si="155"/>
        <v>45682</v>
      </c>
      <c r="K292" s="289">
        <v>1.0</v>
      </c>
      <c r="L292" s="297">
        <f t="shared" si="144"/>
        <v>-485</v>
      </c>
      <c r="M292" s="298">
        <v>45686.0</v>
      </c>
      <c r="N292" s="284"/>
      <c r="O292" s="284"/>
      <c r="P292" s="284"/>
      <c r="Q292" s="284"/>
      <c r="R292" s="284"/>
      <c r="S292" s="284"/>
      <c r="T292" s="284"/>
      <c r="U292" s="284"/>
      <c r="V292" s="284"/>
      <c r="W292" s="284"/>
      <c r="X292" s="284"/>
      <c r="Y292" s="284"/>
      <c r="Z292" s="284"/>
      <c r="AA292" s="284"/>
    </row>
    <row r="293">
      <c r="A293" s="284"/>
      <c r="B293" s="284"/>
      <c r="C293" s="285" t="str">
        <f t="shared" si="146"/>
        <v/>
      </c>
      <c r="D293" s="285"/>
      <c r="E293" s="285"/>
      <c r="F293" s="285"/>
      <c r="G293" s="285"/>
      <c r="H293" s="285"/>
      <c r="I293" s="286"/>
      <c r="J293" s="286"/>
      <c r="K293" s="285"/>
      <c r="L293" s="285" t="str">
        <f t="shared" si="144"/>
        <v/>
      </c>
      <c r="M293" s="287"/>
      <c r="N293" s="284"/>
      <c r="O293" s="284"/>
      <c r="P293" s="284"/>
      <c r="Q293" s="284"/>
      <c r="R293" s="284"/>
      <c r="S293" s="284"/>
      <c r="T293" s="284"/>
      <c r="U293" s="284"/>
      <c r="V293" s="284"/>
      <c r="W293" s="284"/>
      <c r="X293" s="284"/>
      <c r="Y293" s="284"/>
      <c r="Z293" s="284"/>
      <c r="AA293" s="284"/>
    </row>
    <row r="294">
      <c r="A294" s="284"/>
      <c r="B294" s="284"/>
      <c r="C294" s="285" t="str">
        <f t="shared" si="146"/>
        <v/>
      </c>
      <c r="D294" s="285"/>
      <c r="E294" s="285"/>
      <c r="F294" s="285"/>
      <c r="G294" s="285"/>
      <c r="H294" s="285"/>
      <c r="I294" s="286"/>
      <c r="J294" s="286"/>
      <c r="K294" s="285"/>
      <c r="L294" s="284"/>
      <c r="M294" s="287"/>
      <c r="N294" s="284"/>
      <c r="O294" s="284"/>
      <c r="P294" s="284"/>
      <c r="Q294" s="284"/>
      <c r="R294" s="284"/>
      <c r="S294" s="284"/>
      <c r="T294" s="284"/>
      <c r="U294" s="284"/>
      <c r="V294" s="284"/>
      <c r="W294" s="284"/>
      <c r="X294" s="284"/>
      <c r="Y294" s="284"/>
      <c r="Z294" s="284"/>
      <c r="AA294" s="284"/>
    </row>
    <row r="295">
      <c r="A295" s="284"/>
      <c r="B295" s="284"/>
      <c r="C295" s="285" t="str">
        <f>if(G295=0,"","x")</f>
        <v/>
      </c>
      <c r="D295" s="285"/>
      <c r="E295" s="285"/>
      <c r="F295" s="285"/>
      <c r="G295" s="285"/>
      <c r="H295" s="285"/>
      <c r="I295" s="286"/>
      <c r="J295" s="286"/>
      <c r="K295" s="285"/>
      <c r="L295" s="284"/>
      <c r="M295" s="287"/>
      <c r="N295" s="284"/>
      <c r="O295" s="284"/>
      <c r="P295" s="284"/>
      <c r="Q295" s="284"/>
      <c r="R295" s="284"/>
      <c r="S295" s="284"/>
      <c r="T295" s="284"/>
      <c r="U295" s="284"/>
      <c r="V295" s="284"/>
      <c r="W295" s="284"/>
      <c r="X295" s="284"/>
      <c r="Y295" s="284"/>
      <c r="Z295" s="284"/>
      <c r="AA295" s="284"/>
    </row>
    <row r="296">
      <c r="A296" s="284"/>
      <c r="B296" s="293" t="s">
        <v>2246</v>
      </c>
      <c r="C296" s="289">
        <f>countif(C279:C295,"x")</f>
        <v>6</v>
      </c>
      <c r="D296" s="285"/>
      <c r="E296" s="285"/>
      <c r="F296" s="285" t="s">
        <v>874</v>
      </c>
      <c r="G296" s="297">
        <f t="shared" ref="G296:H296" si="156">sum(G279:G295)</f>
        <v>24747.987</v>
      </c>
      <c r="H296" s="297">
        <f t="shared" si="156"/>
        <v>4500</v>
      </c>
      <c r="I296" s="286"/>
      <c r="J296" s="286"/>
      <c r="K296" s="285"/>
      <c r="L296" s="284"/>
      <c r="M296" s="287"/>
      <c r="N296" s="284"/>
      <c r="O296" s="284"/>
      <c r="P296" s="284"/>
      <c r="Q296" s="284"/>
      <c r="R296" s="284"/>
      <c r="S296" s="284"/>
      <c r="T296" s="284"/>
      <c r="U296" s="284"/>
      <c r="V296" s="284"/>
      <c r="W296" s="284"/>
      <c r="X296" s="284"/>
      <c r="Y296" s="284"/>
      <c r="Z296" s="284"/>
      <c r="AA296" s="284"/>
    </row>
    <row r="297">
      <c r="A297" s="284"/>
      <c r="B297" s="284"/>
      <c r="C297" s="285"/>
      <c r="D297" s="285"/>
      <c r="E297" s="285"/>
      <c r="F297" s="285" t="s">
        <v>2247</v>
      </c>
      <c r="G297" s="285"/>
      <c r="H297" s="297">
        <f>H296+H273</f>
        <v>20095.265</v>
      </c>
      <c r="I297" s="286"/>
      <c r="J297" s="286"/>
      <c r="K297" s="285"/>
      <c r="L297" s="284"/>
      <c r="M297" s="287"/>
      <c r="N297" s="284"/>
      <c r="O297" s="284"/>
      <c r="P297" s="284"/>
      <c r="Q297" s="284"/>
      <c r="R297" s="284"/>
      <c r="S297" s="284"/>
      <c r="T297" s="284"/>
      <c r="U297" s="284"/>
      <c r="V297" s="284"/>
      <c r="W297" s="284"/>
      <c r="X297" s="284"/>
      <c r="Y297" s="284"/>
      <c r="Z297" s="284"/>
      <c r="AA297" s="284"/>
    </row>
    <row r="298">
      <c r="A298" s="284"/>
      <c r="B298" s="284"/>
      <c r="C298" s="285"/>
      <c r="D298" s="285"/>
      <c r="E298" s="285"/>
      <c r="F298" s="285"/>
      <c r="G298" s="285"/>
      <c r="H298" s="285"/>
      <c r="I298" s="286"/>
      <c r="J298" s="286"/>
      <c r="K298" s="285"/>
      <c r="L298" s="284"/>
      <c r="M298" s="287"/>
      <c r="N298" s="284"/>
      <c r="O298" s="284"/>
      <c r="P298" s="284"/>
      <c r="Q298" s="284"/>
      <c r="R298" s="284"/>
      <c r="S298" s="284"/>
      <c r="T298" s="284"/>
      <c r="U298" s="284"/>
      <c r="V298" s="284"/>
      <c r="W298" s="284"/>
      <c r="X298" s="284"/>
      <c r="Y298" s="284"/>
      <c r="Z298" s="284"/>
      <c r="AA298" s="284"/>
    </row>
    <row r="299">
      <c r="A299" s="284"/>
      <c r="B299" s="284"/>
      <c r="C299" s="285"/>
      <c r="D299" s="285"/>
      <c r="E299" s="285"/>
      <c r="F299" s="285"/>
      <c r="G299" s="285"/>
      <c r="H299" s="285"/>
      <c r="I299" s="286"/>
      <c r="J299" s="286"/>
      <c r="K299" s="285"/>
      <c r="L299" s="284"/>
      <c r="M299" s="287"/>
      <c r="N299" s="284"/>
      <c r="O299" s="284"/>
      <c r="P299" s="284"/>
      <c r="Q299" s="284"/>
      <c r="R299" s="284"/>
      <c r="S299" s="284"/>
      <c r="T299" s="284"/>
      <c r="U299" s="284"/>
      <c r="V299" s="284"/>
      <c r="W299" s="284"/>
      <c r="X299" s="284"/>
      <c r="Y299" s="284"/>
      <c r="Z299" s="284"/>
      <c r="AA299" s="284"/>
    </row>
    <row r="300">
      <c r="A300" s="284"/>
      <c r="B300" s="284"/>
      <c r="C300" s="285"/>
      <c r="D300" s="285"/>
      <c r="E300" s="285"/>
      <c r="F300" s="285"/>
      <c r="G300" s="285"/>
      <c r="H300" s="285"/>
      <c r="I300" s="286"/>
      <c r="J300" s="286"/>
      <c r="K300" s="285"/>
      <c r="L300" s="284"/>
      <c r="M300" s="287"/>
      <c r="N300" s="284"/>
      <c r="O300" s="284"/>
      <c r="P300" s="284"/>
      <c r="Q300" s="284"/>
      <c r="R300" s="284"/>
      <c r="S300" s="284"/>
      <c r="T300" s="284"/>
      <c r="U300" s="284"/>
      <c r="V300" s="284"/>
      <c r="W300" s="284"/>
      <c r="X300" s="284"/>
      <c r="Y300" s="284"/>
      <c r="Z300" s="284"/>
      <c r="AA300" s="284"/>
    </row>
    <row r="301">
      <c r="A301" s="284"/>
      <c r="B301" s="290" t="s">
        <v>2352</v>
      </c>
      <c r="C301" s="285"/>
      <c r="D301" s="285"/>
      <c r="E301" s="285"/>
      <c r="F301" s="285"/>
      <c r="G301" s="285"/>
      <c r="H301" s="285"/>
      <c r="I301" s="286"/>
      <c r="J301" s="286" t="s">
        <v>2233</v>
      </c>
      <c r="K301" s="291">
        <f> Today()</f>
        <v>46167</v>
      </c>
      <c r="L301" s="285"/>
      <c r="M301" s="287"/>
      <c r="N301" s="284"/>
      <c r="O301" s="284"/>
      <c r="P301" s="284"/>
      <c r="Q301" s="284"/>
      <c r="R301" s="284"/>
      <c r="S301" s="284"/>
      <c r="T301" s="284"/>
      <c r="U301" s="284"/>
      <c r="V301" s="284"/>
      <c r="W301" s="284"/>
      <c r="X301" s="284"/>
      <c r="Y301" s="284"/>
      <c r="Z301" s="284"/>
      <c r="AA301" s="284"/>
    </row>
    <row r="302">
      <c r="A302" s="284"/>
      <c r="B302" s="284"/>
      <c r="C302" s="285"/>
      <c r="D302" s="285"/>
      <c r="E302" s="285"/>
      <c r="F302" s="285"/>
      <c r="G302" s="285"/>
      <c r="H302" s="285"/>
      <c r="I302" s="286"/>
      <c r="J302" s="286"/>
      <c r="K302" s="284"/>
      <c r="L302" s="285"/>
      <c r="M302" s="287"/>
      <c r="N302" s="284"/>
      <c r="O302" s="284"/>
      <c r="P302" s="284"/>
      <c r="Q302" s="284"/>
      <c r="R302" s="284"/>
      <c r="S302" s="284"/>
      <c r="T302" s="284"/>
      <c r="U302" s="284"/>
      <c r="V302" s="284"/>
      <c r="W302" s="284"/>
      <c r="X302" s="284"/>
      <c r="Y302" s="284"/>
      <c r="Z302" s="284"/>
      <c r="AA302" s="284"/>
    </row>
    <row r="303" ht="22.5" customHeight="1">
      <c r="A303" s="78" t="s">
        <v>181</v>
      </c>
      <c r="B303" s="78" t="s">
        <v>2216</v>
      </c>
      <c r="C303" s="307" t="s">
        <v>131</v>
      </c>
      <c r="D303" s="307" t="s">
        <v>2217</v>
      </c>
      <c r="E303" s="307" t="s">
        <v>8</v>
      </c>
      <c r="F303" s="307" t="s">
        <v>873</v>
      </c>
      <c r="G303" s="307" t="s">
        <v>17</v>
      </c>
      <c r="H303" s="307" t="s">
        <v>874</v>
      </c>
      <c r="I303" s="308" t="s">
        <v>2218</v>
      </c>
      <c r="J303" s="308" t="s">
        <v>876</v>
      </c>
      <c r="K303" s="78" t="s">
        <v>877</v>
      </c>
      <c r="L303" s="307" t="s">
        <v>878</v>
      </c>
      <c r="M303" s="309" t="s">
        <v>2219</v>
      </c>
      <c r="N303" s="78" t="s">
        <v>2220</v>
      </c>
      <c r="O303" s="284"/>
      <c r="P303" s="284"/>
      <c r="Q303" s="284"/>
      <c r="R303" s="284"/>
      <c r="S303" s="284"/>
      <c r="T303" s="284"/>
      <c r="U303" s="284"/>
      <c r="V303" s="284"/>
      <c r="W303" s="284"/>
      <c r="X303" s="284"/>
      <c r="Y303" s="284"/>
      <c r="Z303" s="284"/>
      <c r="AA303" s="284"/>
    </row>
    <row r="304" ht="22.5" customHeight="1">
      <c r="A304" s="128"/>
      <c r="B304" s="9" t="s">
        <v>2249</v>
      </c>
      <c r="C304" s="310" t="str">
        <f t="shared" ref="C304:C305" si="157">if(OR(G304=0,G304=""),"","x")</f>
        <v/>
      </c>
      <c r="D304" s="311">
        <v>0.0</v>
      </c>
      <c r="E304" s="311">
        <v>100.0</v>
      </c>
      <c r="F304" s="311">
        <f>D304*E304</f>
        <v>0</v>
      </c>
      <c r="G304" s="311">
        <f>F304*Q$8</f>
        <v>0</v>
      </c>
      <c r="H304" s="311">
        <f t="shared" ref="H304:H307" si="158">G304</f>
        <v>0</v>
      </c>
      <c r="I304" s="312">
        <v>45677.0</v>
      </c>
      <c r="J304" s="312">
        <f t="shared" ref="J304:J306" si="159">Edate(I304,1)</f>
        <v>45708</v>
      </c>
      <c r="K304" s="139">
        <f t="shared" ref="K304:K316" si="160">if(J304="","",if(H304=0,1,0))</f>
        <v>1</v>
      </c>
      <c r="L304" s="311">
        <f t="shared" ref="L304:L318" si="161">if(J304="","",J304-$K$6)</f>
        <v>-459</v>
      </c>
      <c r="M304" s="313"/>
      <c r="N304" s="55"/>
      <c r="O304" s="284"/>
      <c r="P304" s="284"/>
      <c r="Q304" s="284"/>
      <c r="R304" s="284"/>
      <c r="S304" s="284"/>
      <c r="T304" s="284"/>
      <c r="U304" s="284"/>
      <c r="V304" s="284"/>
      <c r="W304" s="284"/>
      <c r="X304" s="284"/>
      <c r="Y304" s="284"/>
      <c r="Z304" s="284"/>
      <c r="AA304" s="284"/>
    </row>
    <row r="305" ht="22.5" customHeight="1">
      <c r="A305" s="314"/>
      <c r="B305" s="315" t="s">
        <v>2251</v>
      </c>
      <c r="C305" s="316" t="str">
        <f t="shared" si="157"/>
        <v/>
      </c>
      <c r="D305" s="317">
        <v>0.0</v>
      </c>
      <c r="E305" s="317">
        <v>5.0</v>
      </c>
      <c r="F305" s="317">
        <v>15.0</v>
      </c>
      <c r="G305" s="317">
        <v>0.0</v>
      </c>
      <c r="H305" s="317">
        <f t="shared" si="158"/>
        <v>0</v>
      </c>
      <c r="I305" s="318">
        <v>45658.0</v>
      </c>
      <c r="J305" s="318">
        <f t="shared" si="159"/>
        <v>45689</v>
      </c>
      <c r="K305" s="143">
        <f t="shared" si="160"/>
        <v>1</v>
      </c>
      <c r="L305" s="317">
        <f t="shared" si="161"/>
        <v>-478</v>
      </c>
      <c r="M305" s="319"/>
      <c r="N305" s="187"/>
      <c r="O305" s="284"/>
      <c r="P305" s="284"/>
      <c r="Q305" s="284"/>
      <c r="R305" s="284"/>
      <c r="S305" s="284"/>
      <c r="T305" s="284"/>
      <c r="U305" s="284"/>
      <c r="V305" s="284"/>
      <c r="W305" s="284"/>
      <c r="X305" s="284"/>
      <c r="Y305" s="284"/>
      <c r="Z305" s="284"/>
      <c r="AA305" s="284"/>
    </row>
    <row r="306" ht="22.5" customHeight="1">
      <c r="A306" s="128"/>
      <c r="B306" s="9" t="s">
        <v>2254</v>
      </c>
      <c r="C306" s="320" t="s">
        <v>1350</v>
      </c>
      <c r="D306" s="311">
        <v>0.0</v>
      </c>
      <c r="E306" s="311">
        <v>3.0</v>
      </c>
      <c r="F306" s="311">
        <f t="shared" ref="F306:F309" si="162">D306*E306</f>
        <v>0</v>
      </c>
      <c r="G306" s="311">
        <f>F306*$Q$5</f>
        <v>0</v>
      </c>
      <c r="H306" s="311">
        <f t="shared" si="158"/>
        <v>0</v>
      </c>
      <c r="I306" s="312">
        <v>45658.0</v>
      </c>
      <c r="J306" s="312">
        <f t="shared" si="159"/>
        <v>45689</v>
      </c>
      <c r="K306" s="139">
        <f t="shared" si="160"/>
        <v>1</v>
      </c>
      <c r="L306" s="311">
        <f t="shared" si="161"/>
        <v>-478</v>
      </c>
      <c r="M306" s="313"/>
      <c r="N306" s="55"/>
      <c r="O306" s="284"/>
      <c r="P306" s="284"/>
      <c r="Q306" s="284"/>
      <c r="R306" s="284"/>
      <c r="S306" s="284"/>
      <c r="T306" s="284"/>
      <c r="U306" s="284"/>
      <c r="V306" s="284"/>
      <c r="W306" s="284"/>
      <c r="X306" s="284"/>
      <c r="Y306" s="284"/>
      <c r="Z306" s="284"/>
      <c r="AA306" s="284"/>
    </row>
    <row r="307" ht="22.5" customHeight="1">
      <c r="A307" s="314"/>
      <c r="B307" s="315" t="s">
        <v>2255</v>
      </c>
      <c r="C307" s="316" t="str">
        <f t="shared" ref="C307:C319" si="163">if(OR(G307=0,G307=""),"","x")</f>
        <v/>
      </c>
      <c r="D307" s="317">
        <v>0.0</v>
      </c>
      <c r="E307" s="317">
        <v>1500.0</v>
      </c>
      <c r="F307" s="317">
        <f t="shared" si="162"/>
        <v>0</v>
      </c>
      <c r="G307" s="317">
        <f>F307*$Q$7</f>
        <v>0</v>
      </c>
      <c r="H307" s="317">
        <f t="shared" si="158"/>
        <v>0</v>
      </c>
      <c r="I307" s="321"/>
      <c r="J307" s="321"/>
      <c r="K307" s="147" t="str">
        <f t="shared" si="160"/>
        <v/>
      </c>
      <c r="L307" s="316" t="str">
        <f t="shared" si="161"/>
        <v/>
      </c>
      <c r="M307" s="319"/>
      <c r="N307" s="187"/>
      <c r="O307" s="284"/>
      <c r="P307" s="284"/>
      <c r="Q307" s="284"/>
      <c r="R307" s="284"/>
      <c r="S307" s="284"/>
      <c r="T307" s="284"/>
      <c r="U307" s="284"/>
      <c r="V307" s="284"/>
      <c r="W307" s="284"/>
      <c r="X307" s="284"/>
      <c r="Y307" s="284"/>
      <c r="Z307" s="284"/>
      <c r="AA307" s="284"/>
    </row>
    <row r="308" ht="22.5" customHeight="1">
      <c r="A308" s="128"/>
      <c r="B308" s="9" t="s">
        <v>2256</v>
      </c>
      <c r="C308" s="310" t="str">
        <f t="shared" si="163"/>
        <v/>
      </c>
      <c r="D308" s="311">
        <v>0.0</v>
      </c>
      <c r="E308" s="311">
        <v>500.0</v>
      </c>
      <c r="F308" s="311">
        <f t="shared" si="162"/>
        <v>0</v>
      </c>
      <c r="G308" s="311">
        <f t="shared" ref="G308:H308" si="164">F308</f>
        <v>0</v>
      </c>
      <c r="H308" s="311">
        <f t="shared" si="164"/>
        <v>0</v>
      </c>
      <c r="I308" s="322"/>
      <c r="J308" s="322"/>
      <c r="K308" s="150" t="str">
        <f t="shared" si="160"/>
        <v/>
      </c>
      <c r="L308" s="310" t="str">
        <f t="shared" si="161"/>
        <v/>
      </c>
      <c r="M308" s="313"/>
      <c r="N308" s="55"/>
      <c r="O308" s="284"/>
      <c r="P308" s="284"/>
      <c r="Q308" s="284"/>
      <c r="R308" s="284"/>
      <c r="S308" s="284"/>
      <c r="T308" s="284"/>
      <c r="U308" s="284"/>
      <c r="V308" s="284"/>
      <c r="W308" s="284"/>
      <c r="X308" s="284"/>
      <c r="Y308" s="284"/>
      <c r="Z308" s="284"/>
      <c r="AA308" s="284"/>
    </row>
    <row r="309" ht="22.5" customHeight="1">
      <c r="A309" s="323" t="s">
        <v>2304</v>
      </c>
      <c r="B309" s="315" t="s">
        <v>2257</v>
      </c>
      <c r="C309" s="324" t="str">
        <f t="shared" si="163"/>
        <v>x</v>
      </c>
      <c r="D309" s="317">
        <v>9.5</v>
      </c>
      <c r="E309" s="317">
        <v>22.0</v>
      </c>
      <c r="F309" s="317">
        <f t="shared" si="162"/>
        <v>209</v>
      </c>
      <c r="G309" s="317">
        <f t="shared" ref="G309:G310" si="165">F309*$Q$6</f>
        <v>3971</v>
      </c>
      <c r="H309" s="317">
        <v>0.0</v>
      </c>
      <c r="I309" s="318">
        <v>45658.0</v>
      </c>
      <c r="J309" s="318">
        <f t="shared" ref="J309:J311" si="166">Edate(I309,1)</f>
        <v>45689</v>
      </c>
      <c r="K309" s="143">
        <f t="shared" si="160"/>
        <v>1</v>
      </c>
      <c r="L309" s="317">
        <f t="shared" si="161"/>
        <v>-478</v>
      </c>
      <c r="M309" s="325">
        <v>45811.0</v>
      </c>
      <c r="N309" s="187"/>
      <c r="O309" s="284"/>
      <c r="P309" s="284"/>
      <c r="Q309" s="284"/>
      <c r="R309" s="284"/>
      <c r="S309" s="284"/>
      <c r="T309" s="284"/>
      <c r="U309" s="284"/>
      <c r="V309" s="284"/>
      <c r="W309" s="284"/>
      <c r="X309" s="284"/>
      <c r="Y309" s="284"/>
      <c r="Z309" s="284"/>
      <c r="AA309" s="284"/>
    </row>
    <row r="310" ht="22.5" customHeight="1">
      <c r="A310" s="128"/>
      <c r="B310" s="9" t="s">
        <v>2258</v>
      </c>
      <c r="C310" s="310" t="str">
        <f t="shared" si="163"/>
        <v/>
      </c>
      <c r="D310" s="311">
        <v>0.0</v>
      </c>
      <c r="E310" s="311">
        <v>0.0</v>
      </c>
      <c r="F310" s="311">
        <v>0.0</v>
      </c>
      <c r="G310" s="311">
        <f t="shared" si="165"/>
        <v>0</v>
      </c>
      <c r="H310" s="311">
        <f t="shared" ref="H310:H312" si="167">G310</f>
        <v>0</v>
      </c>
      <c r="I310" s="312">
        <v>60.0</v>
      </c>
      <c r="J310" s="312">
        <f t="shared" si="166"/>
        <v>88</v>
      </c>
      <c r="K310" s="139">
        <f t="shared" si="160"/>
        <v>1</v>
      </c>
      <c r="L310" s="311">
        <f t="shared" si="161"/>
        <v>-46079</v>
      </c>
      <c r="M310" s="313"/>
      <c r="N310" s="55"/>
      <c r="O310" s="284"/>
      <c r="P310" s="284"/>
      <c r="Q310" s="284"/>
      <c r="R310" s="284"/>
      <c r="S310" s="284"/>
      <c r="T310" s="284"/>
      <c r="U310" s="284"/>
      <c r="V310" s="284"/>
      <c r="W310" s="284"/>
      <c r="X310" s="284"/>
      <c r="Y310" s="284"/>
      <c r="Z310" s="284"/>
      <c r="AA310" s="284"/>
    </row>
    <row r="311" ht="22.5" customHeight="1">
      <c r="A311" s="314"/>
      <c r="B311" s="315" t="s">
        <v>2259</v>
      </c>
      <c r="C311" s="324" t="str">
        <f t="shared" si="163"/>
        <v>x</v>
      </c>
      <c r="D311" s="317">
        <v>1.0</v>
      </c>
      <c r="E311" s="317">
        <v>15000.0</v>
      </c>
      <c r="F311" s="317">
        <f t="shared" ref="F311:F313" si="168">D311*E311</f>
        <v>15000</v>
      </c>
      <c r="G311" s="317">
        <f t="shared" ref="G311:G313" si="169">F311*$Q$7</f>
        <v>4500</v>
      </c>
      <c r="H311" s="317">
        <f t="shared" si="167"/>
        <v>4500</v>
      </c>
      <c r="I311" s="318">
        <v>45670.0</v>
      </c>
      <c r="J311" s="318">
        <f t="shared" si="166"/>
        <v>45701</v>
      </c>
      <c r="K311" s="143">
        <f t="shared" si="160"/>
        <v>0</v>
      </c>
      <c r="L311" s="317">
        <f t="shared" si="161"/>
        <v>-466</v>
      </c>
      <c r="M311" s="319"/>
      <c r="N311" s="187"/>
      <c r="O311" s="284"/>
      <c r="P311" s="284"/>
      <c r="Q311" s="284"/>
      <c r="R311" s="284"/>
      <c r="S311" s="284"/>
      <c r="T311" s="284"/>
      <c r="U311" s="284"/>
      <c r="V311" s="284"/>
      <c r="W311" s="284"/>
      <c r="X311" s="284"/>
      <c r="Y311" s="284"/>
      <c r="Z311" s="284"/>
      <c r="AA311" s="284"/>
    </row>
    <row r="312" ht="22.5" customHeight="1">
      <c r="A312" s="128"/>
      <c r="B312" s="9" t="s">
        <v>2267</v>
      </c>
      <c r="C312" s="310" t="str">
        <f t="shared" si="163"/>
        <v/>
      </c>
      <c r="D312" s="311">
        <v>0.0</v>
      </c>
      <c r="E312" s="311">
        <v>3000.0</v>
      </c>
      <c r="F312" s="311">
        <f t="shared" si="168"/>
        <v>0</v>
      </c>
      <c r="G312" s="311">
        <f t="shared" si="169"/>
        <v>0</v>
      </c>
      <c r="H312" s="311">
        <f t="shared" si="167"/>
        <v>0</v>
      </c>
      <c r="I312" s="322"/>
      <c r="J312" s="322"/>
      <c r="K312" s="150" t="str">
        <f t="shared" si="160"/>
        <v/>
      </c>
      <c r="L312" s="310" t="str">
        <f t="shared" si="161"/>
        <v/>
      </c>
      <c r="M312" s="313"/>
      <c r="N312" s="55"/>
      <c r="O312" s="284"/>
      <c r="P312" s="284"/>
      <c r="Q312" s="284"/>
      <c r="R312" s="284"/>
      <c r="S312" s="284"/>
      <c r="T312" s="284"/>
      <c r="U312" s="284"/>
      <c r="V312" s="284"/>
      <c r="W312" s="284"/>
      <c r="X312" s="284"/>
      <c r="Y312" s="284"/>
      <c r="Z312" s="284"/>
      <c r="AA312" s="284"/>
    </row>
    <row r="313" ht="22.5" customHeight="1">
      <c r="A313" s="314"/>
      <c r="B313" s="315" t="s">
        <v>2279</v>
      </c>
      <c r="C313" s="316" t="str">
        <f t="shared" si="163"/>
        <v/>
      </c>
      <c r="D313" s="317">
        <v>0.0</v>
      </c>
      <c r="E313" s="317">
        <v>5000.0</v>
      </c>
      <c r="F313" s="317">
        <f t="shared" si="168"/>
        <v>0</v>
      </c>
      <c r="G313" s="317">
        <f t="shared" si="169"/>
        <v>0</v>
      </c>
      <c r="H313" s="317">
        <v>0.0</v>
      </c>
      <c r="I313" s="321"/>
      <c r="J313" s="321"/>
      <c r="K313" s="147" t="str">
        <f t="shared" si="160"/>
        <v/>
      </c>
      <c r="L313" s="316" t="str">
        <f t="shared" si="161"/>
        <v/>
      </c>
      <c r="M313" s="319"/>
      <c r="N313" s="187"/>
      <c r="O313" s="284"/>
      <c r="P313" s="284"/>
      <c r="Q313" s="284"/>
      <c r="R313" s="284"/>
      <c r="S313" s="284"/>
      <c r="T313" s="284"/>
      <c r="U313" s="284"/>
      <c r="V313" s="284"/>
      <c r="W313" s="284"/>
      <c r="X313" s="284"/>
      <c r="Y313" s="284"/>
      <c r="Z313" s="284"/>
      <c r="AA313" s="284"/>
    </row>
    <row r="314" ht="22.5" customHeight="1">
      <c r="A314" s="128"/>
      <c r="B314" s="9" t="s">
        <v>2263</v>
      </c>
      <c r="C314" s="310" t="str">
        <f t="shared" si="163"/>
        <v/>
      </c>
      <c r="D314" s="311">
        <v>1.0</v>
      </c>
      <c r="E314" s="310"/>
      <c r="F314" s="310"/>
      <c r="G314" s="311">
        <v>0.0</v>
      </c>
      <c r="H314" s="311">
        <v>0.0</v>
      </c>
      <c r="I314" s="322"/>
      <c r="J314" s="322"/>
      <c r="K314" s="150" t="str">
        <f t="shared" si="160"/>
        <v/>
      </c>
      <c r="L314" s="310" t="str">
        <f t="shared" si="161"/>
        <v/>
      </c>
      <c r="M314" s="313"/>
      <c r="N314" s="55"/>
      <c r="O314" s="284"/>
      <c r="P314" s="284"/>
      <c r="Q314" s="284"/>
      <c r="R314" s="284"/>
      <c r="S314" s="284"/>
      <c r="T314" s="284"/>
      <c r="U314" s="284"/>
      <c r="V314" s="284"/>
      <c r="W314" s="284"/>
      <c r="X314" s="284"/>
      <c r="Y314" s="284"/>
      <c r="Z314" s="284"/>
      <c r="AA314" s="284"/>
    </row>
    <row r="315" ht="22.5" customHeight="1">
      <c r="A315" s="314"/>
      <c r="B315" s="315" t="s">
        <v>2289</v>
      </c>
      <c r="C315" s="324" t="str">
        <f t="shared" si="163"/>
        <v>x</v>
      </c>
      <c r="D315" s="317">
        <v>1.0</v>
      </c>
      <c r="E315" s="317">
        <v>5000.0</v>
      </c>
      <c r="F315" s="317">
        <f t="shared" ref="F315:F317" si="170">D315*E315</f>
        <v>5000</v>
      </c>
      <c r="G315" s="317">
        <f t="shared" ref="G315:G316" si="171">F315*$Q$7</f>
        <v>1500</v>
      </c>
      <c r="H315" s="317">
        <v>0.0</v>
      </c>
      <c r="I315" s="318">
        <v>45681.0</v>
      </c>
      <c r="J315" s="318">
        <f t="shared" ref="J315:J317" si="172">Edate(I315,1)</f>
        <v>45712</v>
      </c>
      <c r="K315" s="143">
        <f t="shared" si="160"/>
        <v>1</v>
      </c>
      <c r="L315" s="317">
        <f t="shared" si="161"/>
        <v>-455</v>
      </c>
      <c r="M315" s="325">
        <v>45727.0</v>
      </c>
      <c r="N315" s="326" t="s">
        <v>2305</v>
      </c>
      <c r="O315" s="284"/>
      <c r="P315" s="284"/>
      <c r="Q315" s="284"/>
      <c r="R315" s="284"/>
      <c r="S315" s="284"/>
      <c r="T315" s="284"/>
      <c r="U315" s="284"/>
      <c r="V315" s="284"/>
      <c r="W315" s="284"/>
      <c r="X315" s="284"/>
      <c r="Y315" s="284"/>
      <c r="Z315" s="284"/>
      <c r="AA315" s="284"/>
    </row>
    <row r="316" ht="22.5" customHeight="1">
      <c r="A316" s="128"/>
      <c r="B316" s="9" t="s">
        <v>2292</v>
      </c>
      <c r="C316" s="320" t="str">
        <f t="shared" si="163"/>
        <v>x</v>
      </c>
      <c r="D316" s="311">
        <v>1.0</v>
      </c>
      <c r="E316" s="311">
        <v>5000.0</v>
      </c>
      <c r="F316" s="311">
        <f t="shared" si="170"/>
        <v>5000</v>
      </c>
      <c r="G316" s="311">
        <f t="shared" si="171"/>
        <v>1500</v>
      </c>
      <c r="H316" s="311">
        <v>0.0</v>
      </c>
      <c r="I316" s="312">
        <v>45664.0</v>
      </c>
      <c r="J316" s="312">
        <f t="shared" si="172"/>
        <v>45695</v>
      </c>
      <c r="K316" s="139">
        <f t="shared" si="160"/>
        <v>1</v>
      </c>
      <c r="L316" s="311">
        <f t="shared" si="161"/>
        <v>-472</v>
      </c>
      <c r="M316" s="327">
        <v>45727.0</v>
      </c>
      <c r="N316" s="328" t="s">
        <v>2306</v>
      </c>
      <c r="O316" s="284"/>
      <c r="P316" s="284"/>
      <c r="Q316" s="284"/>
      <c r="R316" s="284"/>
      <c r="S316" s="284"/>
      <c r="T316" s="284"/>
      <c r="U316" s="284"/>
      <c r="V316" s="284"/>
      <c r="W316" s="284"/>
      <c r="X316" s="284"/>
      <c r="Y316" s="284"/>
      <c r="Z316" s="284"/>
      <c r="AA316" s="284"/>
    </row>
    <row r="317" ht="22.5" customHeight="1">
      <c r="A317" s="329"/>
      <c r="B317" s="330" t="s">
        <v>2298</v>
      </c>
      <c r="C317" s="331" t="str">
        <f t="shared" si="163"/>
        <v>x</v>
      </c>
      <c r="D317" s="332">
        <v>13.0</v>
      </c>
      <c r="E317" s="332">
        <v>6.0</v>
      </c>
      <c r="F317" s="332">
        <f t="shared" si="170"/>
        <v>78</v>
      </c>
      <c r="G317" s="332">
        <f>F317*$Q$5</f>
        <v>6482.658</v>
      </c>
      <c r="H317" s="332">
        <v>0.0</v>
      </c>
      <c r="I317" s="333">
        <v>45682.0</v>
      </c>
      <c r="J317" s="333">
        <f t="shared" si="172"/>
        <v>45713</v>
      </c>
      <c r="K317" s="334">
        <v>0.0</v>
      </c>
      <c r="L317" s="332">
        <f t="shared" si="161"/>
        <v>-454</v>
      </c>
      <c r="M317" s="330" t="s">
        <v>2307</v>
      </c>
      <c r="N317" s="300"/>
      <c r="O317" s="284"/>
      <c r="P317" s="284"/>
      <c r="Q317" s="284"/>
      <c r="R317" s="284"/>
      <c r="S317" s="284"/>
      <c r="T317" s="284"/>
      <c r="U317" s="284"/>
      <c r="V317" s="284"/>
      <c r="W317" s="284"/>
      <c r="X317" s="284"/>
      <c r="Y317" s="284"/>
      <c r="Z317" s="284"/>
      <c r="AA317" s="284"/>
    </row>
    <row r="318">
      <c r="A318" s="284"/>
      <c r="B318" s="284"/>
      <c r="C318" s="285" t="str">
        <f t="shared" si="163"/>
        <v/>
      </c>
      <c r="D318" s="285"/>
      <c r="E318" s="285"/>
      <c r="F318" s="285"/>
      <c r="G318" s="285"/>
      <c r="H318" s="285"/>
      <c r="I318" s="286"/>
      <c r="J318" s="286"/>
      <c r="K318" s="285"/>
      <c r="L318" s="285" t="str">
        <f t="shared" si="161"/>
        <v/>
      </c>
      <c r="M318" s="287"/>
      <c r="N318" s="284"/>
      <c r="O318" s="284"/>
      <c r="P318" s="284"/>
      <c r="Q318" s="284"/>
      <c r="R318" s="284"/>
      <c r="S318" s="284"/>
      <c r="T318" s="284"/>
      <c r="U318" s="284"/>
      <c r="V318" s="284"/>
      <c r="W318" s="284"/>
      <c r="X318" s="284"/>
      <c r="Y318" s="284"/>
      <c r="Z318" s="284"/>
      <c r="AA318" s="284"/>
    </row>
    <row r="319">
      <c r="A319" s="284"/>
      <c r="B319" s="284"/>
      <c r="C319" s="285" t="str">
        <f t="shared" si="163"/>
        <v/>
      </c>
      <c r="D319" s="285"/>
      <c r="E319" s="285"/>
      <c r="F319" s="285"/>
      <c r="G319" s="285"/>
      <c r="H319" s="285"/>
      <c r="I319" s="286"/>
      <c r="J319" s="286"/>
      <c r="K319" s="285"/>
      <c r="L319" s="284"/>
      <c r="M319" s="287"/>
      <c r="N319" s="284"/>
      <c r="O319" s="284"/>
      <c r="P319" s="284"/>
      <c r="Q319" s="284"/>
      <c r="R319" s="284"/>
      <c r="S319" s="284"/>
      <c r="T319" s="284"/>
      <c r="U319" s="284"/>
      <c r="V319" s="284"/>
      <c r="W319" s="284"/>
      <c r="X319" s="284"/>
      <c r="Y319" s="284"/>
      <c r="Z319" s="284"/>
      <c r="AA319" s="284"/>
    </row>
    <row r="320">
      <c r="A320" s="284"/>
      <c r="B320" s="284"/>
      <c r="C320" s="285" t="str">
        <f>if(G320=0,"","x")</f>
        <v/>
      </c>
      <c r="D320" s="285"/>
      <c r="E320" s="285"/>
      <c r="F320" s="285"/>
      <c r="G320" s="285"/>
      <c r="H320" s="285"/>
      <c r="I320" s="286"/>
      <c r="J320" s="286"/>
      <c r="K320" s="285"/>
      <c r="L320" s="284"/>
      <c r="M320" s="287"/>
      <c r="N320" s="284"/>
      <c r="O320" s="284"/>
      <c r="P320" s="284"/>
      <c r="Q320" s="284"/>
      <c r="R320" s="284"/>
      <c r="S320" s="284"/>
      <c r="T320" s="284"/>
      <c r="U320" s="284"/>
      <c r="V320" s="284"/>
      <c r="W320" s="284"/>
      <c r="X320" s="284"/>
      <c r="Y320" s="284"/>
      <c r="Z320" s="284"/>
      <c r="AA320" s="284"/>
    </row>
    <row r="321">
      <c r="A321" s="284"/>
      <c r="B321" s="293" t="s">
        <v>2246</v>
      </c>
      <c r="C321" s="289">
        <f>countif(C304:C320,"x")</f>
        <v>6</v>
      </c>
      <c r="D321" s="285"/>
      <c r="E321" s="285"/>
      <c r="F321" s="285" t="s">
        <v>874</v>
      </c>
      <c r="G321" s="297">
        <f t="shared" ref="G321:H321" si="173">sum(G304:G320)</f>
        <v>17953.658</v>
      </c>
      <c r="H321" s="297">
        <f t="shared" si="173"/>
        <v>4500</v>
      </c>
      <c r="I321" s="286"/>
      <c r="J321" s="286"/>
      <c r="K321" s="285"/>
      <c r="L321" s="284"/>
      <c r="M321" s="287"/>
      <c r="N321" s="284"/>
      <c r="O321" s="284"/>
      <c r="P321" s="284"/>
      <c r="Q321" s="284"/>
      <c r="R321" s="284"/>
      <c r="S321" s="284"/>
      <c r="T321" s="284"/>
      <c r="U321" s="284"/>
      <c r="V321" s="284"/>
      <c r="W321" s="284"/>
      <c r="X321" s="284"/>
      <c r="Y321" s="284"/>
      <c r="Z321" s="284"/>
      <c r="AA321" s="284"/>
    </row>
    <row r="322">
      <c r="A322" s="284"/>
      <c r="B322" s="284"/>
      <c r="C322" s="285"/>
      <c r="D322" s="285"/>
      <c r="E322" s="285"/>
      <c r="F322" s="285" t="s">
        <v>2247</v>
      </c>
      <c r="G322" s="285"/>
      <c r="H322" s="297">
        <f>H321+H297</f>
        <v>24595.265</v>
      </c>
      <c r="I322" s="286"/>
      <c r="J322" s="286"/>
      <c r="K322" s="285"/>
      <c r="L322" s="284"/>
      <c r="M322" s="287"/>
      <c r="N322" s="284"/>
      <c r="O322" s="284"/>
      <c r="P322" s="284"/>
      <c r="Q322" s="284"/>
      <c r="R322" s="284"/>
      <c r="S322" s="284"/>
      <c r="T322" s="284"/>
      <c r="U322" s="284"/>
      <c r="V322" s="284"/>
      <c r="W322" s="284"/>
      <c r="X322" s="284"/>
      <c r="Y322" s="284"/>
      <c r="Z322" s="284"/>
      <c r="AA322" s="284"/>
    </row>
    <row r="323">
      <c r="A323" s="284"/>
      <c r="B323" s="284"/>
      <c r="C323" s="285"/>
      <c r="D323" s="285"/>
      <c r="E323" s="285"/>
      <c r="F323" s="285"/>
      <c r="G323" s="285"/>
      <c r="H323" s="285"/>
      <c r="I323" s="286"/>
      <c r="J323" s="286"/>
      <c r="K323" s="285"/>
      <c r="L323" s="284"/>
      <c r="M323" s="287"/>
      <c r="N323" s="284"/>
      <c r="O323" s="284"/>
      <c r="P323" s="284"/>
      <c r="Q323" s="284"/>
      <c r="R323" s="284"/>
      <c r="S323" s="284"/>
      <c r="T323" s="284"/>
      <c r="U323" s="284"/>
      <c r="V323" s="284"/>
      <c r="W323" s="284"/>
      <c r="X323" s="284"/>
      <c r="Y323" s="284"/>
      <c r="Z323" s="284"/>
      <c r="AA323" s="284"/>
    </row>
    <row r="324">
      <c r="A324" s="284"/>
      <c r="B324" s="284"/>
      <c r="C324" s="285"/>
      <c r="D324" s="285"/>
      <c r="E324" s="285"/>
      <c r="F324" s="285"/>
      <c r="G324" s="285"/>
      <c r="H324" s="285"/>
      <c r="I324" s="286"/>
      <c r="J324" s="286"/>
      <c r="K324" s="285"/>
      <c r="L324" s="284"/>
      <c r="M324" s="287"/>
      <c r="N324" s="284"/>
      <c r="O324" s="284"/>
      <c r="P324" s="284"/>
      <c r="Q324" s="284"/>
      <c r="R324" s="284"/>
      <c r="S324" s="284"/>
      <c r="T324" s="284"/>
      <c r="U324" s="284"/>
      <c r="V324" s="284"/>
      <c r="W324" s="284"/>
      <c r="X324" s="284"/>
      <c r="Y324" s="284"/>
      <c r="Z324" s="284"/>
      <c r="AA324" s="284"/>
    </row>
    <row r="325">
      <c r="A325" s="284"/>
      <c r="B325" s="284"/>
      <c r="C325" s="285"/>
      <c r="D325" s="285"/>
      <c r="E325" s="285"/>
      <c r="F325" s="285"/>
      <c r="G325" s="285"/>
      <c r="H325" s="285"/>
      <c r="I325" s="286"/>
      <c r="J325" s="286"/>
      <c r="K325" s="285"/>
      <c r="L325" s="284"/>
      <c r="M325" s="287"/>
      <c r="N325" s="284"/>
      <c r="O325" s="284"/>
      <c r="P325" s="284"/>
      <c r="Q325" s="284"/>
      <c r="R325" s="284"/>
      <c r="S325" s="284"/>
      <c r="T325" s="284"/>
      <c r="U325" s="284"/>
      <c r="V325" s="284"/>
      <c r="W325" s="284"/>
      <c r="X325" s="284"/>
      <c r="Y325" s="284"/>
      <c r="Z325" s="284"/>
      <c r="AA325" s="284"/>
    </row>
    <row r="326">
      <c r="A326" s="284"/>
      <c r="B326" s="290" t="s">
        <v>2353</v>
      </c>
      <c r="C326" s="285"/>
      <c r="D326" s="285"/>
      <c r="E326" s="285"/>
      <c r="F326" s="285"/>
      <c r="G326" s="285"/>
      <c r="H326" s="285"/>
      <c r="I326" s="286"/>
      <c r="J326" s="286" t="s">
        <v>2233</v>
      </c>
      <c r="K326" s="291">
        <f> Today()</f>
        <v>46167</v>
      </c>
      <c r="L326" s="285"/>
      <c r="M326" s="287"/>
      <c r="N326" s="284"/>
      <c r="O326" s="284"/>
      <c r="P326" s="284"/>
      <c r="Q326" s="284"/>
      <c r="R326" s="284"/>
      <c r="S326" s="284"/>
      <c r="T326" s="284"/>
      <c r="U326" s="284"/>
      <c r="V326" s="284"/>
      <c r="W326" s="284"/>
      <c r="X326" s="284"/>
      <c r="Y326" s="284"/>
      <c r="Z326" s="284"/>
      <c r="AA326" s="284"/>
    </row>
    <row r="327">
      <c r="A327" s="284"/>
      <c r="B327" s="284"/>
      <c r="C327" s="285"/>
      <c r="D327" s="285"/>
      <c r="E327" s="285"/>
      <c r="F327" s="285"/>
      <c r="G327" s="285"/>
      <c r="H327" s="285"/>
      <c r="I327" s="286"/>
      <c r="J327" s="286"/>
      <c r="K327" s="284"/>
      <c r="L327" s="285"/>
      <c r="M327" s="287"/>
      <c r="N327" s="284"/>
      <c r="O327" s="284"/>
      <c r="P327" s="284"/>
      <c r="Q327" s="284"/>
      <c r="R327" s="284"/>
      <c r="S327" s="284"/>
      <c r="T327" s="284"/>
      <c r="U327" s="284"/>
      <c r="V327" s="284"/>
      <c r="W327" s="284"/>
      <c r="X327" s="284"/>
      <c r="Y327" s="284"/>
      <c r="Z327" s="284"/>
      <c r="AA327" s="284"/>
    </row>
    <row r="328" ht="22.5" customHeight="1">
      <c r="A328" s="78" t="s">
        <v>181</v>
      </c>
      <c r="B328" s="78" t="s">
        <v>2216</v>
      </c>
      <c r="C328" s="307" t="s">
        <v>131</v>
      </c>
      <c r="D328" s="307" t="s">
        <v>2217</v>
      </c>
      <c r="E328" s="307" t="s">
        <v>8</v>
      </c>
      <c r="F328" s="307" t="s">
        <v>873</v>
      </c>
      <c r="G328" s="307" t="s">
        <v>17</v>
      </c>
      <c r="H328" s="307" t="s">
        <v>874</v>
      </c>
      <c r="I328" s="308" t="s">
        <v>2218</v>
      </c>
      <c r="J328" s="308" t="s">
        <v>876</v>
      </c>
      <c r="K328" s="78" t="s">
        <v>877</v>
      </c>
      <c r="L328" s="307" t="s">
        <v>878</v>
      </c>
      <c r="M328" s="309" t="s">
        <v>2219</v>
      </c>
      <c r="N328" s="78" t="s">
        <v>2220</v>
      </c>
      <c r="O328" s="284"/>
      <c r="P328" s="284"/>
      <c r="Q328" s="284"/>
      <c r="R328" s="284"/>
      <c r="S328" s="284"/>
      <c r="T328" s="284"/>
      <c r="U328" s="284"/>
      <c r="V328" s="284"/>
      <c r="W328" s="284"/>
      <c r="X328" s="284"/>
      <c r="Y328" s="284"/>
      <c r="Z328" s="284"/>
      <c r="AA328" s="284"/>
    </row>
    <row r="329" ht="22.5" customHeight="1">
      <c r="A329" s="128"/>
      <c r="B329" s="9" t="s">
        <v>2249</v>
      </c>
      <c r="C329" s="310" t="str">
        <f t="shared" ref="C329:C330" si="174">if(OR(G329=0,G329=""),"","x")</f>
        <v/>
      </c>
      <c r="D329" s="311">
        <v>0.0</v>
      </c>
      <c r="E329" s="311">
        <v>100.0</v>
      </c>
      <c r="F329" s="311">
        <f>D329*E329</f>
        <v>0</v>
      </c>
      <c r="G329" s="311">
        <f>F329*Q$8</f>
        <v>0</v>
      </c>
      <c r="H329" s="311">
        <f t="shared" ref="H329:H332" si="175">G329</f>
        <v>0</v>
      </c>
      <c r="I329" s="312">
        <v>45708.0</v>
      </c>
      <c r="J329" s="312">
        <f t="shared" ref="J329:J331" si="176">Edate(I329,1)</f>
        <v>45736</v>
      </c>
      <c r="K329" s="139">
        <f t="shared" ref="K329:K341" si="177">if(J329="","",if(H329=0,1,0))</f>
        <v>1</v>
      </c>
      <c r="L329" s="311">
        <f t="shared" ref="L329:L343" si="178">if(J329="","",J329-$K$6)</f>
        <v>-431</v>
      </c>
      <c r="M329" s="313"/>
      <c r="N329" s="55"/>
      <c r="O329" s="284"/>
      <c r="P329" s="284"/>
      <c r="Q329" s="284"/>
      <c r="R329" s="284"/>
      <c r="S329" s="284"/>
      <c r="T329" s="284"/>
      <c r="U329" s="284"/>
      <c r="V329" s="284"/>
      <c r="W329" s="284"/>
      <c r="X329" s="284"/>
      <c r="Y329" s="284"/>
      <c r="Z329" s="284"/>
      <c r="AA329" s="284"/>
    </row>
    <row r="330" ht="22.5" customHeight="1">
      <c r="A330" s="314"/>
      <c r="B330" s="315" t="s">
        <v>2251</v>
      </c>
      <c r="C330" s="316" t="str">
        <f t="shared" si="174"/>
        <v/>
      </c>
      <c r="D330" s="317">
        <v>0.0</v>
      </c>
      <c r="E330" s="317">
        <v>5.0</v>
      </c>
      <c r="F330" s="317">
        <v>15.0</v>
      </c>
      <c r="G330" s="317">
        <v>0.0</v>
      </c>
      <c r="H330" s="317">
        <f t="shared" si="175"/>
        <v>0</v>
      </c>
      <c r="I330" s="318">
        <v>45689.0</v>
      </c>
      <c r="J330" s="318">
        <f t="shared" si="176"/>
        <v>45717</v>
      </c>
      <c r="K330" s="143">
        <f t="shared" si="177"/>
        <v>1</v>
      </c>
      <c r="L330" s="317">
        <f t="shared" si="178"/>
        <v>-450</v>
      </c>
      <c r="M330" s="319"/>
      <c r="N330" s="187"/>
      <c r="O330" s="284"/>
      <c r="P330" s="284"/>
      <c r="Q330" s="284"/>
      <c r="R330" s="284"/>
      <c r="S330" s="284"/>
      <c r="T330" s="284"/>
      <c r="U330" s="284"/>
      <c r="V330" s="284"/>
      <c r="W330" s="284"/>
      <c r="X330" s="284"/>
      <c r="Y330" s="284"/>
      <c r="Z330" s="284"/>
      <c r="AA330" s="284"/>
    </row>
    <row r="331" ht="22.5" customHeight="1">
      <c r="A331" s="128"/>
      <c r="B331" s="9" t="s">
        <v>2254</v>
      </c>
      <c r="C331" s="320" t="s">
        <v>1350</v>
      </c>
      <c r="D331" s="311">
        <v>0.0</v>
      </c>
      <c r="E331" s="311">
        <v>3.0</v>
      </c>
      <c r="F331" s="311">
        <f t="shared" ref="F331:F334" si="179">D331*E331</f>
        <v>0</v>
      </c>
      <c r="G331" s="311">
        <f>F331*$Q$5</f>
        <v>0</v>
      </c>
      <c r="H331" s="311">
        <f t="shared" si="175"/>
        <v>0</v>
      </c>
      <c r="I331" s="312">
        <v>45689.0</v>
      </c>
      <c r="J331" s="312">
        <f t="shared" si="176"/>
        <v>45717</v>
      </c>
      <c r="K331" s="139">
        <f t="shared" si="177"/>
        <v>1</v>
      </c>
      <c r="L331" s="311">
        <f t="shared" si="178"/>
        <v>-450</v>
      </c>
      <c r="M331" s="313"/>
      <c r="N331" s="55"/>
      <c r="O331" s="284"/>
      <c r="P331" s="284"/>
      <c r="Q331" s="284"/>
      <c r="R331" s="284"/>
      <c r="S331" s="284"/>
      <c r="T331" s="284"/>
      <c r="U331" s="284"/>
      <c r="V331" s="284"/>
      <c r="W331" s="284"/>
      <c r="X331" s="284"/>
      <c r="Y331" s="284"/>
      <c r="Z331" s="284"/>
      <c r="AA331" s="284"/>
    </row>
    <row r="332" ht="22.5" customHeight="1">
      <c r="A332" s="314"/>
      <c r="B332" s="315" t="s">
        <v>2255</v>
      </c>
      <c r="C332" s="316" t="str">
        <f t="shared" ref="C332:C344" si="180">if(OR(G332=0,G332=""),"","x")</f>
        <v/>
      </c>
      <c r="D332" s="317">
        <v>0.0</v>
      </c>
      <c r="E332" s="317">
        <v>1500.0</v>
      </c>
      <c r="F332" s="317">
        <f t="shared" si="179"/>
        <v>0</v>
      </c>
      <c r="G332" s="317">
        <f>F332*$Q$7</f>
        <v>0</v>
      </c>
      <c r="H332" s="317">
        <f t="shared" si="175"/>
        <v>0</v>
      </c>
      <c r="I332" s="321"/>
      <c r="J332" s="321"/>
      <c r="K332" s="147" t="str">
        <f t="shared" si="177"/>
        <v/>
      </c>
      <c r="L332" s="316" t="str">
        <f t="shared" si="178"/>
        <v/>
      </c>
      <c r="M332" s="319"/>
      <c r="N332" s="187"/>
      <c r="O332" s="284"/>
      <c r="P332" s="284"/>
      <c r="Q332" s="284"/>
      <c r="R332" s="284"/>
      <c r="S332" s="284"/>
      <c r="T332" s="284"/>
      <c r="U332" s="284"/>
      <c r="V332" s="284"/>
      <c r="W332" s="284"/>
      <c r="X332" s="284"/>
      <c r="Y332" s="284"/>
      <c r="Z332" s="284"/>
      <c r="AA332" s="284"/>
    </row>
    <row r="333" ht="22.5" customHeight="1">
      <c r="A333" s="128"/>
      <c r="B333" s="9" t="s">
        <v>2256</v>
      </c>
      <c r="C333" s="310" t="str">
        <f t="shared" si="180"/>
        <v/>
      </c>
      <c r="D333" s="311">
        <v>0.0</v>
      </c>
      <c r="E333" s="311">
        <v>500.0</v>
      </c>
      <c r="F333" s="311">
        <f t="shared" si="179"/>
        <v>0</v>
      </c>
      <c r="G333" s="311">
        <f t="shared" ref="G333:H333" si="181">F333</f>
        <v>0</v>
      </c>
      <c r="H333" s="311">
        <f t="shared" si="181"/>
        <v>0</v>
      </c>
      <c r="I333" s="322"/>
      <c r="J333" s="322"/>
      <c r="K333" s="150" t="str">
        <f t="shared" si="177"/>
        <v/>
      </c>
      <c r="L333" s="310" t="str">
        <f t="shared" si="178"/>
        <v/>
      </c>
      <c r="M333" s="313"/>
      <c r="N333" s="55"/>
      <c r="O333" s="284"/>
      <c r="P333" s="284"/>
      <c r="Q333" s="284"/>
      <c r="R333" s="284"/>
      <c r="S333" s="284"/>
      <c r="T333" s="284"/>
      <c r="U333" s="284"/>
      <c r="V333" s="284"/>
      <c r="W333" s="284"/>
      <c r="X333" s="284"/>
      <c r="Y333" s="284"/>
      <c r="Z333" s="284"/>
      <c r="AA333" s="284"/>
    </row>
    <row r="334" ht="22.5" customHeight="1">
      <c r="A334" s="323" t="s">
        <v>2308</v>
      </c>
      <c r="B334" s="315" t="s">
        <v>2257</v>
      </c>
      <c r="C334" s="324" t="str">
        <f t="shared" si="180"/>
        <v>x</v>
      </c>
      <c r="D334" s="317">
        <v>7.5</v>
      </c>
      <c r="E334" s="317">
        <v>22.0</v>
      </c>
      <c r="F334" s="317">
        <f t="shared" si="179"/>
        <v>165</v>
      </c>
      <c r="G334" s="317">
        <f t="shared" ref="G334:G335" si="182">F334*$Q$6</f>
        <v>3135</v>
      </c>
      <c r="H334" s="317">
        <v>0.0</v>
      </c>
      <c r="I334" s="318">
        <v>45689.0</v>
      </c>
      <c r="J334" s="318">
        <f t="shared" ref="J334:J336" si="183">Edate(I334,1)</f>
        <v>45717</v>
      </c>
      <c r="K334" s="143">
        <f t="shared" si="177"/>
        <v>1</v>
      </c>
      <c r="L334" s="317">
        <f t="shared" si="178"/>
        <v>-450</v>
      </c>
      <c r="M334" s="325">
        <v>45844.0</v>
      </c>
      <c r="N334" s="187"/>
      <c r="O334" s="284"/>
      <c r="P334" s="284"/>
      <c r="Q334" s="284"/>
      <c r="R334" s="284"/>
      <c r="S334" s="284"/>
      <c r="T334" s="284"/>
      <c r="U334" s="284"/>
      <c r="V334" s="284"/>
      <c r="W334" s="284"/>
      <c r="X334" s="284"/>
      <c r="Y334" s="284"/>
      <c r="Z334" s="284"/>
      <c r="AA334" s="284"/>
    </row>
    <row r="335" ht="22.5" customHeight="1">
      <c r="A335" s="128"/>
      <c r="B335" s="9" t="s">
        <v>2258</v>
      </c>
      <c r="C335" s="310" t="str">
        <f t="shared" si="180"/>
        <v/>
      </c>
      <c r="D335" s="311">
        <v>0.0</v>
      </c>
      <c r="E335" s="311">
        <v>0.0</v>
      </c>
      <c r="F335" s="311">
        <v>0.0</v>
      </c>
      <c r="G335" s="311">
        <f t="shared" si="182"/>
        <v>0</v>
      </c>
      <c r="H335" s="311">
        <f t="shared" ref="H335:H337" si="184">G335</f>
        <v>0</v>
      </c>
      <c r="I335" s="312">
        <v>88.0</v>
      </c>
      <c r="J335" s="312">
        <f t="shared" si="183"/>
        <v>119</v>
      </c>
      <c r="K335" s="139">
        <f t="shared" si="177"/>
        <v>1</v>
      </c>
      <c r="L335" s="311">
        <f t="shared" si="178"/>
        <v>-46048</v>
      </c>
      <c r="M335" s="313"/>
      <c r="N335" s="55"/>
      <c r="O335" s="284"/>
      <c r="P335" s="284"/>
      <c r="Q335" s="284"/>
      <c r="R335" s="284"/>
      <c r="S335" s="284"/>
      <c r="T335" s="284"/>
      <c r="U335" s="284"/>
      <c r="V335" s="284"/>
      <c r="W335" s="284"/>
      <c r="X335" s="284"/>
      <c r="Y335" s="284"/>
      <c r="Z335" s="284"/>
      <c r="AA335" s="284"/>
    </row>
    <row r="336" ht="22.5" customHeight="1">
      <c r="A336" s="314"/>
      <c r="B336" s="315" t="s">
        <v>2259</v>
      </c>
      <c r="C336" s="324" t="str">
        <f t="shared" si="180"/>
        <v>x</v>
      </c>
      <c r="D336" s="317">
        <v>1.0</v>
      </c>
      <c r="E336" s="317">
        <v>15000.0</v>
      </c>
      <c r="F336" s="317">
        <f t="shared" ref="F336:F338" si="185">D336*E336</f>
        <v>15000</v>
      </c>
      <c r="G336" s="317">
        <f t="shared" ref="G336:G338" si="186">F336*$Q$7</f>
        <v>4500</v>
      </c>
      <c r="H336" s="317">
        <f t="shared" si="184"/>
        <v>4500</v>
      </c>
      <c r="I336" s="318">
        <v>45701.0</v>
      </c>
      <c r="J336" s="318">
        <f t="shared" si="183"/>
        <v>45729</v>
      </c>
      <c r="K336" s="143">
        <f t="shared" si="177"/>
        <v>0</v>
      </c>
      <c r="L336" s="317">
        <f t="shared" si="178"/>
        <v>-438</v>
      </c>
      <c r="M336" s="319"/>
      <c r="N336" s="187"/>
      <c r="O336" s="284"/>
      <c r="P336" s="284"/>
      <c r="Q336" s="284"/>
      <c r="R336" s="284"/>
      <c r="S336" s="284"/>
      <c r="T336" s="284"/>
      <c r="U336" s="284"/>
      <c r="V336" s="284"/>
      <c r="W336" s="284"/>
      <c r="X336" s="284"/>
      <c r="Y336" s="284"/>
      <c r="Z336" s="284"/>
      <c r="AA336" s="284"/>
    </row>
    <row r="337" ht="22.5" customHeight="1">
      <c r="A337" s="128"/>
      <c r="B337" s="9" t="s">
        <v>2267</v>
      </c>
      <c r="C337" s="310" t="str">
        <f t="shared" si="180"/>
        <v/>
      </c>
      <c r="D337" s="311">
        <v>0.0</v>
      </c>
      <c r="E337" s="311">
        <v>3000.0</v>
      </c>
      <c r="F337" s="311">
        <f t="shared" si="185"/>
        <v>0</v>
      </c>
      <c r="G337" s="311">
        <f t="shared" si="186"/>
        <v>0</v>
      </c>
      <c r="H337" s="311">
        <f t="shared" si="184"/>
        <v>0</v>
      </c>
      <c r="I337" s="322"/>
      <c r="J337" s="322"/>
      <c r="K337" s="150" t="str">
        <f t="shared" si="177"/>
        <v/>
      </c>
      <c r="L337" s="310" t="str">
        <f t="shared" si="178"/>
        <v/>
      </c>
      <c r="M337" s="313"/>
      <c r="N337" s="55"/>
      <c r="O337" s="284"/>
      <c r="P337" s="284"/>
      <c r="Q337" s="284"/>
      <c r="R337" s="284"/>
      <c r="S337" s="284"/>
      <c r="T337" s="284"/>
      <c r="U337" s="284"/>
      <c r="V337" s="284"/>
      <c r="W337" s="284"/>
      <c r="X337" s="284"/>
      <c r="Y337" s="284"/>
      <c r="Z337" s="284"/>
      <c r="AA337" s="284"/>
    </row>
    <row r="338" ht="22.5" customHeight="1">
      <c r="A338" s="314"/>
      <c r="B338" s="315" t="s">
        <v>2279</v>
      </c>
      <c r="C338" s="316" t="str">
        <f t="shared" si="180"/>
        <v/>
      </c>
      <c r="D338" s="317">
        <v>0.0</v>
      </c>
      <c r="E338" s="317">
        <v>5000.0</v>
      </c>
      <c r="F338" s="317">
        <f t="shared" si="185"/>
        <v>0</v>
      </c>
      <c r="G338" s="317">
        <f t="shared" si="186"/>
        <v>0</v>
      </c>
      <c r="H338" s="317">
        <v>0.0</v>
      </c>
      <c r="I338" s="321"/>
      <c r="J338" s="321"/>
      <c r="K338" s="147" t="str">
        <f t="shared" si="177"/>
        <v/>
      </c>
      <c r="L338" s="316" t="str">
        <f t="shared" si="178"/>
        <v/>
      </c>
      <c r="M338" s="319"/>
      <c r="N338" s="187"/>
      <c r="O338" s="284"/>
      <c r="P338" s="284"/>
      <c r="Q338" s="284"/>
      <c r="R338" s="284"/>
      <c r="S338" s="284"/>
      <c r="T338" s="284"/>
      <c r="U338" s="284"/>
      <c r="V338" s="284"/>
      <c r="W338" s="284"/>
      <c r="X338" s="284"/>
      <c r="Y338" s="284"/>
      <c r="Z338" s="284"/>
      <c r="AA338" s="284"/>
    </row>
    <row r="339" ht="22.5" customHeight="1">
      <c r="A339" s="128"/>
      <c r="B339" s="9" t="s">
        <v>2263</v>
      </c>
      <c r="C339" s="310" t="str">
        <f t="shared" si="180"/>
        <v/>
      </c>
      <c r="D339" s="311">
        <v>1.0</v>
      </c>
      <c r="E339" s="310"/>
      <c r="F339" s="310"/>
      <c r="G339" s="311">
        <v>0.0</v>
      </c>
      <c r="H339" s="311">
        <v>0.0</v>
      </c>
      <c r="I339" s="322"/>
      <c r="J339" s="322"/>
      <c r="K339" s="150" t="str">
        <f t="shared" si="177"/>
        <v/>
      </c>
      <c r="L339" s="310" t="str">
        <f t="shared" si="178"/>
        <v/>
      </c>
      <c r="M339" s="313"/>
      <c r="N339" s="55"/>
      <c r="O339" s="284"/>
      <c r="P339" s="284"/>
      <c r="Q339" s="284"/>
      <c r="R339" s="284"/>
      <c r="S339" s="284"/>
      <c r="T339" s="284"/>
      <c r="U339" s="284"/>
      <c r="V339" s="284"/>
      <c r="W339" s="284"/>
      <c r="X339" s="284"/>
      <c r="Y339" s="284"/>
      <c r="Z339" s="284"/>
      <c r="AA339" s="284"/>
    </row>
    <row r="340" ht="22.5" customHeight="1">
      <c r="A340" s="323" t="s">
        <v>2309</v>
      </c>
      <c r="B340" s="315" t="s">
        <v>2289</v>
      </c>
      <c r="C340" s="324" t="str">
        <f t="shared" si="180"/>
        <v>x</v>
      </c>
      <c r="D340" s="317">
        <v>1.0</v>
      </c>
      <c r="E340" s="317">
        <v>5000.0</v>
      </c>
      <c r="F340" s="317">
        <f t="shared" ref="F340:F342" si="187">D340*E340</f>
        <v>5000</v>
      </c>
      <c r="G340" s="317">
        <f t="shared" ref="G340:G341" si="188">F340*$Q$7</f>
        <v>1500</v>
      </c>
      <c r="H340" s="317">
        <f>G340</f>
        <v>1500</v>
      </c>
      <c r="I340" s="318">
        <v>45712.0</v>
      </c>
      <c r="J340" s="318">
        <f t="shared" ref="J340:J342" si="189">Edate(I340,1)</f>
        <v>45740</v>
      </c>
      <c r="K340" s="143">
        <f t="shared" si="177"/>
        <v>0</v>
      </c>
      <c r="L340" s="317">
        <f t="shared" si="178"/>
        <v>-427</v>
      </c>
      <c r="M340" s="319"/>
      <c r="N340" s="187"/>
      <c r="O340" s="284"/>
      <c r="P340" s="284"/>
      <c r="Q340" s="284"/>
      <c r="R340" s="284"/>
      <c r="S340" s="284"/>
      <c r="T340" s="284"/>
      <c r="U340" s="284"/>
      <c r="V340" s="284"/>
      <c r="W340" s="284"/>
      <c r="X340" s="284"/>
      <c r="Y340" s="284"/>
      <c r="Z340" s="284"/>
      <c r="AA340" s="284"/>
    </row>
    <row r="341" ht="22.5" customHeight="1">
      <c r="A341" s="128"/>
      <c r="B341" s="9" t="s">
        <v>2292</v>
      </c>
      <c r="C341" s="320" t="str">
        <f t="shared" si="180"/>
        <v>x</v>
      </c>
      <c r="D341" s="311">
        <v>1.0</v>
      </c>
      <c r="E341" s="311">
        <v>5000.0</v>
      </c>
      <c r="F341" s="311">
        <f t="shared" si="187"/>
        <v>5000</v>
      </c>
      <c r="G341" s="311">
        <f t="shared" si="188"/>
        <v>1500</v>
      </c>
      <c r="H341" s="311">
        <v>0.0</v>
      </c>
      <c r="I341" s="312">
        <v>45695.0</v>
      </c>
      <c r="J341" s="312">
        <f t="shared" si="189"/>
        <v>45723</v>
      </c>
      <c r="K341" s="139">
        <f t="shared" si="177"/>
        <v>1</v>
      </c>
      <c r="L341" s="311">
        <f t="shared" si="178"/>
        <v>-444</v>
      </c>
      <c r="M341" s="327">
        <v>45727.0</v>
      </c>
      <c r="N341" s="55"/>
      <c r="O341" s="284"/>
      <c r="P341" s="284"/>
      <c r="Q341" s="284"/>
      <c r="R341" s="284"/>
      <c r="S341" s="284"/>
      <c r="T341" s="284"/>
      <c r="U341" s="284"/>
      <c r="V341" s="284"/>
      <c r="W341" s="284"/>
      <c r="X341" s="284"/>
      <c r="Y341" s="284"/>
      <c r="Z341" s="284"/>
      <c r="AA341" s="284"/>
    </row>
    <row r="342" ht="22.5" customHeight="1">
      <c r="A342" s="329"/>
      <c r="B342" s="330" t="s">
        <v>2298</v>
      </c>
      <c r="C342" s="331" t="str">
        <f t="shared" si="180"/>
        <v>x</v>
      </c>
      <c r="D342" s="332">
        <v>11.0</v>
      </c>
      <c r="E342" s="332">
        <v>6.0</v>
      </c>
      <c r="F342" s="332">
        <f t="shared" si="187"/>
        <v>66</v>
      </c>
      <c r="G342" s="332">
        <f>F342*$Q$5</f>
        <v>5485.326</v>
      </c>
      <c r="H342" s="332">
        <v>0.0</v>
      </c>
      <c r="I342" s="333">
        <v>45713.0</v>
      </c>
      <c r="J342" s="333">
        <f t="shared" si="189"/>
        <v>45741</v>
      </c>
      <c r="K342" s="334">
        <v>0.0</v>
      </c>
      <c r="L342" s="332">
        <f t="shared" si="178"/>
        <v>-426</v>
      </c>
      <c r="M342" s="330" t="s">
        <v>2310</v>
      </c>
      <c r="N342" s="300"/>
      <c r="O342" s="284"/>
      <c r="P342" s="284"/>
      <c r="Q342" s="284"/>
      <c r="R342" s="284"/>
      <c r="S342" s="284"/>
      <c r="T342" s="284"/>
      <c r="U342" s="284"/>
      <c r="V342" s="284"/>
      <c r="W342" s="284"/>
      <c r="X342" s="284"/>
      <c r="Y342" s="284"/>
      <c r="Z342" s="284"/>
      <c r="AA342" s="284"/>
    </row>
    <row r="343">
      <c r="A343" s="284"/>
      <c r="B343" s="284"/>
      <c r="C343" s="285" t="str">
        <f t="shared" si="180"/>
        <v/>
      </c>
      <c r="D343" s="285"/>
      <c r="E343" s="285"/>
      <c r="F343" s="285"/>
      <c r="G343" s="285"/>
      <c r="H343" s="285"/>
      <c r="I343" s="286"/>
      <c r="J343" s="286"/>
      <c r="K343" s="285"/>
      <c r="L343" s="285" t="str">
        <f t="shared" si="178"/>
        <v/>
      </c>
      <c r="M343" s="287"/>
      <c r="N343" s="284"/>
      <c r="O343" s="284"/>
      <c r="P343" s="284"/>
      <c r="Q343" s="284"/>
      <c r="R343" s="284"/>
      <c r="S343" s="284"/>
      <c r="T343" s="284"/>
      <c r="U343" s="284"/>
      <c r="V343" s="284"/>
      <c r="W343" s="284"/>
      <c r="X343" s="284"/>
      <c r="Y343" s="284"/>
      <c r="Z343" s="284"/>
      <c r="AA343" s="284"/>
    </row>
    <row r="344">
      <c r="A344" s="284"/>
      <c r="B344" s="284"/>
      <c r="C344" s="285" t="str">
        <f t="shared" si="180"/>
        <v/>
      </c>
      <c r="D344" s="285"/>
      <c r="E344" s="285"/>
      <c r="F344" s="285"/>
      <c r="G344" s="285"/>
      <c r="H344" s="285"/>
      <c r="I344" s="286"/>
      <c r="J344" s="286"/>
      <c r="K344" s="285"/>
      <c r="L344" s="284"/>
      <c r="M344" s="287"/>
      <c r="N344" s="284"/>
      <c r="O344" s="284"/>
      <c r="P344" s="284"/>
      <c r="Q344" s="284"/>
      <c r="R344" s="284"/>
      <c r="S344" s="284"/>
      <c r="T344" s="284"/>
      <c r="U344" s="284"/>
      <c r="V344" s="284"/>
      <c r="W344" s="284"/>
      <c r="X344" s="284"/>
      <c r="Y344" s="284"/>
      <c r="Z344" s="284"/>
      <c r="AA344" s="284"/>
    </row>
    <row r="345">
      <c r="A345" s="284"/>
      <c r="B345" s="284"/>
      <c r="C345" s="285" t="str">
        <f>if(G345=0,"","x")</f>
        <v/>
      </c>
      <c r="D345" s="285"/>
      <c r="E345" s="285"/>
      <c r="F345" s="285"/>
      <c r="G345" s="285"/>
      <c r="H345" s="285"/>
      <c r="I345" s="286"/>
      <c r="J345" s="286"/>
      <c r="K345" s="285"/>
      <c r="L345" s="284"/>
      <c r="M345" s="287"/>
      <c r="N345" s="284"/>
      <c r="O345" s="284"/>
      <c r="P345" s="284"/>
      <c r="Q345" s="284"/>
      <c r="R345" s="284"/>
      <c r="S345" s="284"/>
      <c r="T345" s="284"/>
      <c r="U345" s="284"/>
      <c r="V345" s="284"/>
      <c r="W345" s="284"/>
      <c r="X345" s="284"/>
      <c r="Y345" s="284"/>
      <c r="Z345" s="284"/>
      <c r="AA345" s="284"/>
    </row>
    <row r="346">
      <c r="A346" s="284"/>
      <c r="B346" s="293" t="s">
        <v>2246</v>
      </c>
      <c r="C346" s="289">
        <f>countif(C329:C345,"x")</f>
        <v>6</v>
      </c>
      <c r="D346" s="285"/>
      <c r="E346" s="285"/>
      <c r="F346" s="285" t="s">
        <v>874</v>
      </c>
      <c r="G346" s="297">
        <f t="shared" ref="G346:H346" si="190">sum(G329:G345)</f>
        <v>16120.326</v>
      </c>
      <c r="H346" s="297">
        <f t="shared" si="190"/>
        <v>6000</v>
      </c>
      <c r="I346" s="286"/>
      <c r="J346" s="286"/>
      <c r="K346" s="285"/>
      <c r="L346" s="284"/>
      <c r="M346" s="287"/>
      <c r="N346" s="284"/>
      <c r="O346" s="284"/>
      <c r="P346" s="284"/>
      <c r="Q346" s="284"/>
      <c r="R346" s="284"/>
      <c r="S346" s="284"/>
      <c r="T346" s="284"/>
      <c r="U346" s="284"/>
      <c r="V346" s="284"/>
      <c r="W346" s="284"/>
      <c r="X346" s="284"/>
      <c r="Y346" s="284"/>
      <c r="Z346" s="284"/>
      <c r="AA346" s="284"/>
    </row>
    <row r="347">
      <c r="A347" s="284"/>
      <c r="B347" s="284"/>
      <c r="C347" s="285"/>
      <c r="D347" s="285"/>
      <c r="E347" s="285"/>
      <c r="F347" s="285" t="s">
        <v>2247</v>
      </c>
      <c r="G347" s="285"/>
      <c r="H347" s="297">
        <f>H346+H322</f>
        <v>30595.265</v>
      </c>
      <c r="I347" s="286"/>
      <c r="J347" s="286"/>
      <c r="K347" s="285"/>
      <c r="L347" s="284"/>
      <c r="M347" s="287"/>
      <c r="N347" s="284"/>
      <c r="O347" s="284"/>
      <c r="P347" s="284"/>
      <c r="Q347" s="284"/>
      <c r="R347" s="284"/>
      <c r="S347" s="284"/>
      <c r="T347" s="284"/>
      <c r="U347" s="284"/>
      <c r="V347" s="284"/>
      <c r="W347" s="284"/>
      <c r="X347" s="284"/>
      <c r="Y347" s="284"/>
      <c r="Z347" s="284"/>
      <c r="AA347" s="284"/>
    </row>
    <row r="348">
      <c r="A348" s="284"/>
      <c r="B348" s="284"/>
      <c r="C348" s="285"/>
      <c r="D348" s="285"/>
      <c r="E348" s="285"/>
      <c r="F348" s="285"/>
      <c r="G348" s="285"/>
      <c r="H348" s="285"/>
      <c r="I348" s="286"/>
      <c r="J348" s="286"/>
      <c r="K348" s="285"/>
      <c r="L348" s="284"/>
      <c r="M348" s="287"/>
      <c r="N348" s="284"/>
      <c r="O348" s="284"/>
      <c r="P348" s="284"/>
      <c r="Q348" s="284"/>
      <c r="R348" s="284"/>
      <c r="S348" s="284"/>
      <c r="T348" s="284"/>
      <c r="U348" s="284"/>
      <c r="V348" s="284"/>
      <c r="W348" s="284"/>
      <c r="X348" s="284"/>
      <c r="Y348" s="284"/>
      <c r="Z348" s="284"/>
      <c r="AA348" s="284"/>
    </row>
    <row r="349">
      <c r="A349" s="284"/>
      <c r="B349" s="284"/>
      <c r="C349" s="285"/>
      <c r="D349" s="285"/>
      <c r="E349" s="285"/>
      <c r="F349" s="285"/>
      <c r="G349" s="285"/>
      <c r="H349" s="285"/>
      <c r="I349" s="286"/>
      <c r="J349" s="286"/>
      <c r="K349" s="285"/>
      <c r="L349" s="284"/>
      <c r="M349" s="287"/>
      <c r="N349" s="284"/>
      <c r="O349" s="284"/>
      <c r="P349" s="284"/>
      <c r="Q349" s="284"/>
      <c r="R349" s="284"/>
      <c r="S349" s="284"/>
      <c r="T349" s="284"/>
      <c r="U349" s="284"/>
      <c r="V349" s="284"/>
      <c r="W349" s="284"/>
      <c r="X349" s="284"/>
      <c r="Y349" s="284"/>
      <c r="Z349" s="284"/>
      <c r="AA349" s="284"/>
    </row>
    <row r="350">
      <c r="A350" s="284"/>
      <c r="B350" s="284"/>
      <c r="C350" s="285"/>
      <c r="D350" s="285"/>
      <c r="E350" s="285"/>
      <c r="F350" s="285"/>
      <c r="G350" s="285"/>
      <c r="H350" s="285"/>
      <c r="I350" s="286"/>
      <c r="J350" s="286"/>
      <c r="K350" s="285"/>
      <c r="L350" s="284"/>
      <c r="M350" s="287"/>
      <c r="N350" s="284"/>
      <c r="O350" s="284"/>
      <c r="P350" s="284"/>
      <c r="Q350" s="284"/>
      <c r="R350" s="284"/>
      <c r="S350" s="284"/>
      <c r="T350" s="284"/>
      <c r="U350" s="284"/>
      <c r="V350" s="284"/>
      <c r="W350" s="284"/>
      <c r="X350" s="284"/>
      <c r="Y350" s="284"/>
      <c r="Z350" s="284"/>
      <c r="AA350" s="284"/>
    </row>
    <row r="351">
      <c r="A351" s="284"/>
      <c r="B351" s="290" t="s">
        <v>2354</v>
      </c>
      <c r="C351" s="285"/>
      <c r="D351" s="285"/>
      <c r="E351" s="285"/>
      <c r="F351" s="285"/>
      <c r="G351" s="285"/>
      <c r="H351" s="285"/>
      <c r="I351" s="286"/>
      <c r="J351" s="286" t="s">
        <v>2233</v>
      </c>
      <c r="K351" s="291">
        <f> Today()</f>
        <v>46167</v>
      </c>
      <c r="L351" s="285"/>
      <c r="M351" s="287"/>
      <c r="N351" s="284"/>
      <c r="O351" s="284"/>
      <c r="P351" s="284"/>
      <c r="Q351" s="284"/>
      <c r="R351" s="284"/>
      <c r="S351" s="284"/>
      <c r="T351" s="284"/>
      <c r="U351" s="284"/>
      <c r="V351" s="284"/>
      <c r="W351" s="284"/>
      <c r="X351" s="284"/>
      <c r="Y351" s="284"/>
      <c r="Z351" s="284"/>
      <c r="AA351" s="284"/>
    </row>
    <row r="352">
      <c r="A352" s="284"/>
      <c r="B352" s="284"/>
      <c r="C352" s="285"/>
      <c r="D352" s="285"/>
      <c r="E352" s="285"/>
      <c r="F352" s="285"/>
      <c r="G352" s="285"/>
      <c r="H352" s="285"/>
      <c r="I352" s="286"/>
      <c r="J352" s="286"/>
      <c r="K352" s="284"/>
      <c r="L352" s="285"/>
      <c r="M352" s="287"/>
      <c r="N352" s="284"/>
      <c r="O352" s="284"/>
      <c r="P352" s="284"/>
      <c r="Q352" s="284"/>
      <c r="R352" s="284"/>
      <c r="S352" s="284"/>
      <c r="T352" s="284"/>
      <c r="U352" s="284"/>
      <c r="V352" s="284"/>
      <c r="W352" s="284"/>
      <c r="X352" s="284"/>
      <c r="Y352" s="284"/>
      <c r="Z352" s="284"/>
      <c r="AA352" s="284"/>
    </row>
    <row r="353" ht="22.5" customHeight="1">
      <c r="A353" s="78" t="s">
        <v>181</v>
      </c>
      <c r="B353" s="78" t="s">
        <v>2216</v>
      </c>
      <c r="C353" s="307" t="s">
        <v>131</v>
      </c>
      <c r="D353" s="307" t="s">
        <v>2217</v>
      </c>
      <c r="E353" s="307" t="s">
        <v>8</v>
      </c>
      <c r="F353" s="307" t="s">
        <v>873</v>
      </c>
      <c r="G353" s="307" t="s">
        <v>17</v>
      </c>
      <c r="H353" s="307" t="s">
        <v>874</v>
      </c>
      <c r="I353" s="308" t="s">
        <v>2218</v>
      </c>
      <c r="J353" s="190" t="s">
        <v>876</v>
      </c>
      <c r="K353" s="78" t="s">
        <v>877</v>
      </c>
      <c r="L353" s="307" t="s">
        <v>878</v>
      </c>
      <c r="M353" s="309" t="s">
        <v>2219</v>
      </c>
      <c r="N353" s="78" t="s">
        <v>2220</v>
      </c>
      <c r="O353" s="284"/>
      <c r="P353" s="284"/>
      <c r="Q353" s="284"/>
      <c r="R353" s="284"/>
      <c r="S353" s="284"/>
      <c r="T353" s="284"/>
      <c r="U353" s="284"/>
      <c r="V353" s="284"/>
      <c r="W353" s="284"/>
      <c r="X353" s="284"/>
      <c r="Y353" s="284"/>
      <c r="Z353" s="284"/>
      <c r="AA353" s="284"/>
    </row>
    <row r="354" ht="22.5" customHeight="1">
      <c r="A354" s="128"/>
      <c r="B354" s="9" t="s">
        <v>2249</v>
      </c>
      <c r="C354" s="310" t="str">
        <f t="shared" ref="C354:C355" si="191">if(OR(G354=0,G354=""),"","x")</f>
        <v/>
      </c>
      <c r="D354" s="311">
        <v>0.0</v>
      </c>
      <c r="E354" s="311">
        <v>100.0</v>
      </c>
      <c r="F354" s="311">
        <f>D354*E354</f>
        <v>0</v>
      </c>
      <c r="G354" s="311">
        <f>F354*Q$8</f>
        <v>0</v>
      </c>
      <c r="H354" s="311">
        <f t="shared" ref="H354:H357" si="192">G354</f>
        <v>0</v>
      </c>
      <c r="I354" s="312">
        <v>45736.0</v>
      </c>
      <c r="J354" s="312">
        <f t="shared" ref="J354:J356" si="193">Edate(I354,1)</f>
        <v>45767</v>
      </c>
      <c r="K354" s="139">
        <f t="shared" ref="K354:K366" si="194">if(J354="","",if(H354=0,1,0))</f>
        <v>1</v>
      </c>
      <c r="L354" s="311">
        <f t="shared" ref="L354:L369" si="195">if(J354="","",J354-$K$6)</f>
        <v>-400</v>
      </c>
      <c r="M354" s="313"/>
      <c r="N354" s="55"/>
      <c r="O354" s="284"/>
      <c r="P354" s="284"/>
      <c r="Q354" s="284"/>
      <c r="R354" s="284"/>
      <c r="S354" s="284"/>
      <c r="T354" s="284"/>
      <c r="U354" s="284"/>
      <c r="V354" s="284"/>
      <c r="W354" s="284"/>
      <c r="X354" s="284"/>
      <c r="Y354" s="284"/>
      <c r="Z354" s="284"/>
      <c r="AA354" s="284"/>
    </row>
    <row r="355" ht="22.5" customHeight="1">
      <c r="A355" s="314"/>
      <c r="B355" s="315" t="s">
        <v>2251</v>
      </c>
      <c r="C355" s="316" t="str">
        <f t="shared" si="191"/>
        <v/>
      </c>
      <c r="D355" s="317">
        <v>0.0</v>
      </c>
      <c r="E355" s="317">
        <v>5.0</v>
      </c>
      <c r="F355" s="317">
        <v>15.0</v>
      </c>
      <c r="G355" s="317">
        <v>0.0</v>
      </c>
      <c r="H355" s="317">
        <f t="shared" si="192"/>
        <v>0</v>
      </c>
      <c r="I355" s="318">
        <v>45717.0</v>
      </c>
      <c r="J355" s="318">
        <f t="shared" si="193"/>
        <v>45748</v>
      </c>
      <c r="K355" s="143">
        <f t="shared" si="194"/>
        <v>1</v>
      </c>
      <c r="L355" s="317">
        <f t="shared" si="195"/>
        <v>-419</v>
      </c>
      <c r="M355" s="319"/>
      <c r="N355" s="187"/>
      <c r="O355" s="284"/>
      <c r="P355" s="284"/>
      <c r="Q355" s="284"/>
      <c r="R355" s="284"/>
      <c r="S355" s="284"/>
      <c r="T355" s="284"/>
      <c r="U355" s="284"/>
      <c r="V355" s="284"/>
      <c r="W355" s="284"/>
      <c r="X355" s="284"/>
      <c r="Y355" s="284"/>
      <c r="Z355" s="284"/>
      <c r="AA355" s="284"/>
    </row>
    <row r="356" ht="22.5" customHeight="1">
      <c r="A356" s="128"/>
      <c r="B356" s="9" t="s">
        <v>2254</v>
      </c>
      <c r="C356" s="320" t="s">
        <v>1350</v>
      </c>
      <c r="D356" s="311">
        <v>0.0</v>
      </c>
      <c r="E356" s="311">
        <v>3.0</v>
      </c>
      <c r="F356" s="311">
        <f t="shared" ref="F356:F359" si="196">D356*E356</f>
        <v>0</v>
      </c>
      <c r="G356" s="311">
        <f>F356*$Q$5</f>
        <v>0</v>
      </c>
      <c r="H356" s="311">
        <f t="shared" si="192"/>
        <v>0</v>
      </c>
      <c r="I356" s="312">
        <v>45717.0</v>
      </c>
      <c r="J356" s="312">
        <f t="shared" si="193"/>
        <v>45748</v>
      </c>
      <c r="K356" s="139">
        <f t="shared" si="194"/>
        <v>1</v>
      </c>
      <c r="L356" s="311">
        <f t="shared" si="195"/>
        <v>-419</v>
      </c>
      <c r="M356" s="313"/>
      <c r="N356" s="55"/>
      <c r="O356" s="284"/>
      <c r="P356" s="284"/>
      <c r="Q356" s="284"/>
      <c r="R356" s="284"/>
      <c r="S356" s="284"/>
      <c r="T356" s="284"/>
      <c r="U356" s="284"/>
      <c r="V356" s="284"/>
      <c r="W356" s="284"/>
      <c r="X356" s="284"/>
      <c r="Y356" s="284"/>
      <c r="Z356" s="284"/>
      <c r="AA356" s="284"/>
    </row>
    <row r="357" ht="22.5" customHeight="1">
      <c r="A357" s="314"/>
      <c r="B357" s="315" t="s">
        <v>2255</v>
      </c>
      <c r="C357" s="316" t="str">
        <f t="shared" ref="C357:C364" si="197">if(OR(G357=0,G357=""),"","x")</f>
        <v/>
      </c>
      <c r="D357" s="317">
        <v>0.0</v>
      </c>
      <c r="E357" s="317">
        <v>1500.0</v>
      </c>
      <c r="F357" s="317">
        <f t="shared" si="196"/>
        <v>0</v>
      </c>
      <c r="G357" s="317">
        <f>F357*$Q$7</f>
        <v>0</v>
      </c>
      <c r="H357" s="317">
        <f t="shared" si="192"/>
        <v>0</v>
      </c>
      <c r="I357" s="321"/>
      <c r="J357" s="321"/>
      <c r="K357" s="147" t="str">
        <f t="shared" si="194"/>
        <v/>
      </c>
      <c r="L357" s="316" t="str">
        <f t="shared" si="195"/>
        <v/>
      </c>
      <c r="M357" s="319"/>
      <c r="N357" s="187"/>
      <c r="O357" s="284"/>
      <c r="P357" s="284"/>
      <c r="Q357" s="284"/>
      <c r="R357" s="284"/>
      <c r="S357" s="284"/>
      <c r="T357" s="284"/>
      <c r="U357" s="284"/>
      <c r="V357" s="284"/>
      <c r="W357" s="284"/>
      <c r="X357" s="284"/>
      <c r="Y357" s="284"/>
      <c r="Z357" s="284"/>
      <c r="AA357" s="284"/>
    </row>
    <row r="358" ht="22.5" customHeight="1">
      <c r="A358" s="128"/>
      <c r="B358" s="9" t="s">
        <v>2256</v>
      </c>
      <c r="C358" s="310" t="str">
        <f t="shared" si="197"/>
        <v/>
      </c>
      <c r="D358" s="311">
        <v>0.0</v>
      </c>
      <c r="E358" s="311">
        <v>500.0</v>
      </c>
      <c r="F358" s="311">
        <f t="shared" si="196"/>
        <v>0</v>
      </c>
      <c r="G358" s="311">
        <f t="shared" ref="G358:H358" si="198">F358</f>
        <v>0</v>
      </c>
      <c r="H358" s="311">
        <f t="shared" si="198"/>
        <v>0</v>
      </c>
      <c r="I358" s="322"/>
      <c r="J358" s="322"/>
      <c r="K358" s="150" t="str">
        <f t="shared" si="194"/>
        <v/>
      </c>
      <c r="L358" s="310" t="str">
        <f t="shared" si="195"/>
        <v/>
      </c>
      <c r="M358" s="313"/>
      <c r="N358" s="55"/>
      <c r="O358" s="284"/>
      <c r="P358" s="284"/>
      <c r="Q358" s="284"/>
      <c r="R358" s="284"/>
      <c r="S358" s="284"/>
      <c r="T358" s="284"/>
      <c r="U358" s="284"/>
      <c r="V358" s="284"/>
      <c r="W358" s="284"/>
      <c r="X358" s="284"/>
      <c r="Y358" s="284"/>
      <c r="Z358" s="284"/>
      <c r="AA358" s="284"/>
    </row>
    <row r="359" ht="22.5" customHeight="1">
      <c r="A359" s="323" t="s">
        <v>2311</v>
      </c>
      <c r="B359" s="315" t="s">
        <v>2257</v>
      </c>
      <c r="C359" s="324" t="str">
        <f t="shared" si="197"/>
        <v>x</v>
      </c>
      <c r="D359" s="317">
        <v>10.5</v>
      </c>
      <c r="E359" s="317">
        <v>22.0</v>
      </c>
      <c r="F359" s="317">
        <f t="shared" si="196"/>
        <v>231</v>
      </c>
      <c r="G359" s="317">
        <f t="shared" ref="G359:G360" si="199">F359*$Q$6</f>
        <v>4389</v>
      </c>
      <c r="H359" s="317">
        <v>0.0</v>
      </c>
      <c r="I359" s="318">
        <v>45717.0</v>
      </c>
      <c r="J359" s="318">
        <f t="shared" ref="J359:J361" si="200">Edate(I359,1)</f>
        <v>45748</v>
      </c>
      <c r="K359" s="143">
        <f t="shared" si="194"/>
        <v>1</v>
      </c>
      <c r="L359" s="317">
        <f t="shared" si="195"/>
        <v>-419</v>
      </c>
      <c r="M359" s="325">
        <v>45844.0</v>
      </c>
      <c r="N359" s="187"/>
      <c r="O359" s="284"/>
      <c r="P359" s="284"/>
      <c r="Q359" s="284"/>
      <c r="R359" s="284"/>
      <c r="S359" s="284"/>
      <c r="T359" s="284"/>
      <c r="U359" s="284"/>
      <c r="V359" s="284"/>
      <c r="W359" s="284"/>
      <c r="X359" s="284"/>
      <c r="Y359" s="284"/>
      <c r="Z359" s="284"/>
      <c r="AA359" s="284"/>
    </row>
    <row r="360" ht="22.5" customHeight="1">
      <c r="A360" s="128"/>
      <c r="B360" s="9" t="s">
        <v>2258</v>
      </c>
      <c r="C360" s="310" t="str">
        <f t="shared" si="197"/>
        <v/>
      </c>
      <c r="D360" s="311">
        <v>0.0</v>
      </c>
      <c r="E360" s="311">
        <v>0.0</v>
      </c>
      <c r="F360" s="311">
        <v>0.0</v>
      </c>
      <c r="G360" s="311">
        <f t="shared" si="199"/>
        <v>0</v>
      </c>
      <c r="H360" s="311">
        <f t="shared" ref="H360:H362" si="201">G360</f>
        <v>0</v>
      </c>
      <c r="I360" s="312">
        <v>119.0</v>
      </c>
      <c r="J360" s="312">
        <f t="shared" si="200"/>
        <v>149</v>
      </c>
      <c r="K360" s="139">
        <f t="shared" si="194"/>
        <v>1</v>
      </c>
      <c r="L360" s="311">
        <f t="shared" si="195"/>
        <v>-46018</v>
      </c>
      <c r="M360" s="313"/>
      <c r="N360" s="55"/>
      <c r="O360" s="284"/>
      <c r="P360" s="284"/>
      <c r="Q360" s="284"/>
      <c r="R360" s="284"/>
      <c r="S360" s="284"/>
      <c r="T360" s="284"/>
      <c r="U360" s="284"/>
      <c r="V360" s="284"/>
      <c r="W360" s="284"/>
      <c r="X360" s="284"/>
      <c r="Y360" s="284"/>
      <c r="Z360" s="284"/>
      <c r="AA360" s="284"/>
    </row>
    <row r="361" ht="22.5" customHeight="1">
      <c r="A361" s="314"/>
      <c r="B361" s="315" t="s">
        <v>2259</v>
      </c>
      <c r="C361" s="316" t="str">
        <f t="shared" si="197"/>
        <v/>
      </c>
      <c r="D361" s="317">
        <v>0.0</v>
      </c>
      <c r="E361" s="317">
        <v>15000.0</v>
      </c>
      <c r="F361" s="317">
        <f t="shared" ref="F361:F363" si="202">D361*E361</f>
        <v>0</v>
      </c>
      <c r="G361" s="317">
        <f t="shared" ref="G361:G363" si="203">F361*$Q$7</f>
        <v>0</v>
      </c>
      <c r="H361" s="317">
        <f t="shared" si="201"/>
        <v>0</v>
      </c>
      <c r="I361" s="318">
        <v>45729.0</v>
      </c>
      <c r="J361" s="318">
        <f t="shared" si="200"/>
        <v>45760</v>
      </c>
      <c r="K361" s="143">
        <f t="shared" si="194"/>
        <v>1</v>
      </c>
      <c r="L361" s="317">
        <f t="shared" si="195"/>
        <v>-407</v>
      </c>
      <c r="M361" s="319"/>
      <c r="N361" s="187"/>
      <c r="O361" s="284"/>
      <c r="P361" s="284"/>
      <c r="Q361" s="284"/>
      <c r="R361" s="284"/>
      <c r="S361" s="284"/>
      <c r="T361" s="284"/>
      <c r="U361" s="284"/>
      <c r="V361" s="284"/>
      <c r="W361" s="284"/>
      <c r="X361" s="284"/>
      <c r="Y361" s="284"/>
      <c r="Z361" s="284"/>
      <c r="AA361" s="284"/>
    </row>
    <row r="362" ht="22.5" customHeight="1">
      <c r="A362" s="128"/>
      <c r="B362" s="9" t="s">
        <v>2267</v>
      </c>
      <c r="C362" s="310" t="str">
        <f t="shared" si="197"/>
        <v/>
      </c>
      <c r="D362" s="311">
        <v>0.0</v>
      </c>
      <c r="E362" s="311">
        <v>3000.0</v>
      </c>
      <c r="F362" s="311">
        <f t="shared" si="202"/>
        <v>0</v>
      </c>
      <c r="G362" s="311">
        <f t="shared" si="203"/>
        <v>0</v>
      </c>
      <c r="H362" s="311">
        <f t="shared" si="201"/>
        <v>0</v>
      </c>
      <c r="I362" s="322"/>
      <c r="J362" s="322"/>
      <c r="K362" s="150" t="str">
        <f t="shared" si="194"/>
        <v/>
      </c>
      <c r="L362" s="310" t="str">
        <f t="shared" si="195"/>
        <v/>
      </c>
      <c r="M362" s="313"/>
      <c r="N362" s="55"/>
      <c r="O362" s="284"/>
      <c r="P362" s="284"/>
      <c r="Q362" s="284"/>
      <c r="R362" s="284"/>
      <c r="S362" s="284"/>
      <c r="T362" s="284"/>
      <c r="U362" s="284"/>
      <c r="V362" s="284"/>
      <c r="W362" s="284"/>
      <c r="X362" s="284"/>
      <c r="Y362" s="284"/>
      <c r="Z362" s="284"/>
      <c r="AA362" s="284"/>
    </row>
    <row r="363" ht="22.5" customHeight="1">
      <c r="A363" s="314"/>
      <c r="B363" s="315" t="s">
        <v>2279</v>
      </c>
      <c r="C363" s="316" t="str">
        <f t="shared" si="197"/>
        <v/>
      </c>
      <c r="D363" s="317">
        <v>0.0</v>
      </c>
      <c r="E363" s="317">
        <v>5000.0</v>
      </c>
      <c r="F363" s="317">
        <f t="shared" si="202"/>
        <v>0</v>
      </c>
      <c r="G363" s="317">
        <f t="shared" si="203"/>
        <v>0</v>
      </c>
      <c r="H363" s="317">
        <v>0.0</v>
      </c>
      <c r="I363" s="321"/>
      <c r="J363" s="321"/>
      <c r="K363" s="147" t="str">
        <f t="shared" si="194"/>
        <v/>
      </c>
      <c r="L363" s="316" t="str">
        <f t="shared" si="195"/>
        <v/>
      </c>
      <c r="M363" s="319"/>
      <c r="N363" s="187"/>
      <c r="O363" s="284"/>
      <c r="P363" s="284"/>
      <c r="Q363" s="284"/>
      <c r="R363" s="284"/>
      <c r="S363" s="284"/>
      <c r="T363" s="284"/>
      <c r="U363" s="284"/>
      <c r="V363" s="284"/>
      <c r="W363" s="284"/>
      <c r="X363" s="284"/>
      <c r="Y363" s="284"/>
      <c r="Z363" s="284"/>
      <c r="AA363" s="284"/>
    </row>
    <row r="364" ht="22.5" customHeight="1">
      <c r="A364" s="128"/>
      <c r="B364" s="9" t="s">
        <v>2263</v>
      </c>
      <c r="C364" s="310" t="str">
        <f t="shared" si="197"/>
        <v/>
      </c>
      <c r="D364" s="311">
        <v>1.0</v>
      </c>
      <c r="E364" s="310"/>
      <c r="F364" s="310"/>
      <c r="G364" s="311">
        <v>0.0</v>
      </c>
      <c r="H364" s="311">
        <v>0.0</v>
      </c>
      <c r="I364" s="322"/>
      <c r="J364" s="322"/>
      <c r="K364" s="150" t="str">
        <f t="shared" si="194"/>
        <v/>
      </c>
      <c r="L364" s="310" t="str">
        <f t="shared" si="195"/>
        <v/>
      </c>
      <c r="M364" s="313"/>
      <c r="N364" s="55"/>
      <c r="O364" s="284"/>
      <c r="P364" s="284"/>
      <c r="Q364" s="284"/>
      <c r="R364" s="284"/>
      <c r="S364" s="284"/>
      <c r="T364" s="284"/>
      <c r="U364" s="284"/>
      <c r="V364" s="284"/>
      <c r="W364" s="284"/>
      <c r="X364" s="284"/>
      <c r="Y364" s="284"/>
      <c r="Z364" s="284"/>
      <c r="AA364" s="284"/>
    </row>
    <row r="365" ht="22.5" customHeight="1">
      <c r="A365" s="323" t="s">
        <v>2309</v>
      </c>
      <c r="B365" s="315" t="s">
        <v>2289</v>
      </c>
      <c r="C365" s="324" t="s">
        <v>1930</v>
      </c>
      <c r="D365" s="317">
        <v>1.0</v>
      </c>
      <c r="E365" s="317">
        <v>5000.0</v>
      </c>
      <c r="F365" s="317">
        <f t="shared" ref="F365:F367" si="204">D365*E365</f>
        <v>5000</v>
      </c>
      <c r="G365" s="317">
        <f t="shared" ref="G365:G366" si="205">F365*$Q$7</f>
        <v>1500</v>
      </c>
      <c r="H365" s="317">
        <f>G365</f>
        <v>1500</v>
      </c>
      <c r="I365" s="318">
        <v>45740.0</v>
      </c>
      <c r="J365" s="318">
        <f t="shared" ref="J365:J367" si="206">Edate(I365,1)</f>
        <v>45771</v>
      </c>
      <c r="K365" s="143">
        <f t="shared" si="194"/>
        <v>0</v>
      </c>
      <c r="L365" s="317">
        <f t="shared" si="195"/>
        <v>-396</v>
      </c>
      <c r="M365" s="319"/>
      <c r="N365" s="187"/>
      <c r="O365" s="284"/>
      <c r="P365" s="284"/>
      <c r="Q365" s="284"/>
      <c r="R365" s="284"/>
      <c r="S365" s="284"/>
      <c r="T365" s="284"/>
      <c r="U365" s="284"/>
      <c r="V365" s="284"/>
      <c r="W365" s="284"/>
      <c r="X365" s="284"/>
      <c r="Y365" s="284"/>
      <c r="Z365" s="284"/>
      <c r="AA365" s="284"/>
    </row>
    <row r="366" ht="22.5" customHeight="1">
      <c r="A366" s="128"/>
      <c r="B366" s="9" t="s">
        <v>2292</v>
      </c>
      <c r="C366" s="320" t="str">
        <f t="shared" ref="C366:C367" si="207">if(OR(G366=0,G366=""),"","x")</f>
        <v>x</v>
      </c>
      <c r="D366" s="311">
        <v>1.0</v>
      </c>
      <c r="E366" s="311">
        <v>5000.0</v>
      </c>
      <c r="F366" s="311">
        <f t="shared" si="204"/>
        <v>5000</v>
      </c>
      <c r="G366" s="311">
        <f t="shared" si="205"/>
        <v>1500</v>
      </c>
      <c r="H366" s="311">
        <v>0.0</v>
      </c>
      <c r="I366" s="312">
        <v>45723.0</v>
      </c>
      <c r="J366" s="312">
        <f t="shared" si="206"/>
        <v>45754</v>
      </c>
      <c r="K366" s="139">
        <f t="shared" si="194"/>
        <v>1</v>
      </c>
      <c r="L366" s="311">
        <f t="shared" si="195"/>
        <v>-413</v>
      </c>
      <c r="M366" s="9" t="s">
        <v>2312</v>
      </c>
      <c r="N366" s="55"/>
      <c r="O366" s="284"/>
      <c r="P366" s="284"/>
      <c r="Q366" s="284"/>
      <c r="R366" s="284"/>
      <c r="S366" s="284"/>
      <c r="T366" s="284"/>
      <c r="U366" s="284"/>
      <c r="V366" s="284"/>
      <c r="W366" s="284"/>
      <c r="X366" s="284"/>
      <c r="Y366" s="284"/>
      <c r="Z366" s="284"/>
      <c r="AA366" s="284"/>
    </row>
    <row r="367" ht="22.5" customHeight="1">
      <c r="A367" s="314"/>
      <c r="B367" s="315" t="s">
        <v>2298</v>
      </c>
      <c r="C367" s="324" t="str">
        <f t="shared" si="207"/>
        <v>x</v>
      </c>
      <c r="D367" s="317">
        <v>10.0</v>
      </c>
      <c r="E367" s="317">
        <v>6.0</v>
      </c>
      <c r="F367" s="317">
        <f t="shared" si="204"/>
        <v>60</v>
      </c>
      <c r="G367" s="317">
        <f>F367*$Q$5</f>
        <v>4986.66</v>
      </c>
      <c r="H367" s="317">
        <v>0.0</v>
      </c>
      <c r="I367" s="318">
        <v>45741.0</v>
      </c>
      <c r="J367" s="318">
        <f t="shared" si="206"/>
        <v>45772</v>
      </c>
      <c r="K367" s="143">
        <v>1.0</v>
      </c>
      <c r="L367" s="317">
        <f t="shared" si="195"/>
        <v>-395</v>
      </c>
      <c r="M367" s="315" t="s">
        <v>2313</v>
      </c>
      <c r="N367" s="187"/>
      <c r="O367" s="284"/>
      <c r="P367" s="284"/>
      <c r="Q367" s="284"/>
      <c r="R367" s="284"/>
      <c r="S367" s="284"/>
      <c r="T367" s="284"/>
      <c r="U367" s="284"/>
      <c r="V367" s="284"/>
      <c r="W367" s="284"/>
      <c r="X367" s="284"/>
      <c r="Y367" s="284"/>
      <c r="Z367" s="284"/>
      <c r="AA367" s="284"/>
    </row>
    <row r="368" ht="22.5" customHeight="1">
      <c r="A368" s="132" t="s">
        <v>2314</v>
      </c>
      <c r="B368" s="9" t="s">
        <v>2315</v>
      </c>
      <c r="C368" s="320" t="s">
        <v>2316</v>
      </c>
      <c r="D368" s="311">
        <v>1.0</v>
      </c>
      <c r="E368" s="310"/>
      <c r="F368" s="311">
        <v>5106.0</v>
      </c>
      <c r="G368" s="310"/>
      <c r="H368" s="310" t="str">
        <f t="shared" ref="H368:H369" si="208">G368</f>
        <v/>
      </c>
      <c r="I368" s="322"/>
      <c r="J368" s="322"/>
      <c r="K368" s="150"/>
      <c r="L368" s="310" t="str">
        <f t="shared" si="195"/>
        <v/>
      </c>
      <c r="M368" s="313"/>
      <c r="N368" s="55"/>
      <c r="O368" s="284"/>
      <c r="P368" s="284"/>
      <c r="Q368" s="284"/>
      <c r="R368" s="284"/>
      <c r="S368" s="284"/>
      <c r="T368" s="284"/>
      <c r="U368" s="284"/>
      <c r="V368" s="284"/>
      <c r="W368" s="284"/>
      <c r="X368" s="284"/>
      <c r="Y368" s="284"/>
      <c r="Z368" s="284"/>
      <c r="AA368" s="284"/>
    </row>
    <row r="369" ht="22.5" customHeight="1">
      <c r="A369" s="329"/>
      <c r="B369" s="299"/>
      <c r="C369" s="335" t="str">
        <f t="shared" ref="C369:C370" si="209">if(OR(G369=0,G369=""),"","x")</f>
        <v/>
      </c>
      <c r="D369" s="335"/>
      <c r="E369" s="335"/>
      <c r="F369" s="332">
        <f>D369*E369</f>
        <v>0</v>
      </c>
      <c r="G369" s="332">
        <f>F369*$Q$7</f>
        <v>0</v>
      </c>
      <c r="H369" s="332">
        <f t="shared" si="208"/>
        <v>0</v>
      </c>
      <c r="I369" s="336"/>
      <c r="J369" s="333">
        <f>Edate(I369,1)</f>
        <v>31</v>
      </c>
      <c r="K369" s="334">
        <f>if(J369="","",if(H369=0,1,0))</f>
        <v>1</v>
      </c>
      <c r="L369" s="332">
        <f t="shared" si="195"/>
        <v>-46136</v>
      </c>
      <c r="M369" s="337"/>
      <c r="N369" s="300"/>
      <c r="O369" s="284"/>
      <c r="P369" s="284"/>
      <c r="Q369" s="284"/>
      <c r="R369" s="284"/>
      <c r="S369" s="284"/>
      <c r="T369" s="284"/>
      <c r="U369" s="284"/>
      <c r="V369" s="284"/>
      <c r="W369" s="284"/>
      <c r="X369" s="284"/>
      <c r="Y369" s="284"/>
      <c r="Z369" s="284"/>
      <c r="AA369" s="284"/>
    </row>
    <row r="370">
      <c r="A370" s="284"/>
      <c r="B370" s="284"/>
      <c r="C370" s="285" t="str">
        <f t="shared" si="209"/>
        <v/>
      </c>
      <c r="D370" s="285"/>
      <c r="E370" s="285"/>
      <c r="F370" s="285"/>
      <c r="G370" s="285"/>
      <c r="H370" s="285"/>
      <c r="I370" s="286"/>
      <c r="J370" s="286"/>
      <c r="K370" s="285"/>
      <c r="L370" s="284"/>
      <c r="M370" s="287"/>
      <c r="N370" s="284"/>
      <c r="O370" s="284"/>
      <c r="P370" s="284"/>
      <c r="Q370" s="284"/>
      <c r="R370" s="284"/>
      <c r="S370" s="284"/>
      <c r="T370" s="284"/>
      <c r="U370" s="284"/>
      <c r="V370" s="284"/>
      <c r="W370" s="284"/>
      <c r="X370" s="284"/>
      <c r="Y370" s="284"/>
      <c r="Z370" s="284"/>
      <c r="AA370" s="284"/>
    </row>
    <row r="371">
      <c r="A371" s="284"/>
      <c r="B371" s="284"/>
      <c r="C371" s="285" t="str">
        <f>if(G371=0,"","x")</f>
        <v/>
      </c>
      <c r="D371" s="285"/>
      <c r="E371" s="285"/>
      <c r="F371" s="285"/>
      <c r="G371" s="285"/>
      <c r="H371" s="285"/>
      <c r="I371" s="286"/>
      <c r="J371" s="286"/>
      <c r="K371" s="285"/>
      <c r="L371" s="284"/>
      <c r="M371" s="287"/>
      <c r="N371" s="284"/>
      <c r="O371" s="284"/>
      <c r="P371" s="284"/>
      <c r="Q371" s="284"/>
      <c r="R371" s="284"/>
      <c r="S371" s="284"/>
      <c r="T371" s="284"/>
      <c r="U371" s="284"/>
      <c r="V371" s="284"/>
      <c r="W371" s="284"/>
      <c r="X371" s="284"/>
      <c r="Y371" s="284"/>
      <c r="Z371" s="284"/>
      <c r="AA371" s="284"/>
    </row>
    <row r="372">
      <c r="A372" s="284"/>
      <c r="B372" s="293" t="s">
        <v>2246</v>
      </c>
      <c r="C372" s="289">
        <f>countif(C354:C371,"x")</f>
        <v>4</v>
      </c>
      <c r="D372" s="285"/>
      <c r="E372" s="285"/>
      <c r="F372" s="285" t="s">
        <v>874</v>
      </c>
      <c r="G372" s="297">
        <f t="shared" ref="G372:H372" si="210">sum(G354:G371)</f>
        <v>12375.66</v>
      </c>
      <c r="H372" s="297">
        <f t="shared" si="210"/>
        <v>1500</v>
      </c>
      <c r="I372" s="286"/>
      <c r="J372" s="286"/>
      <c r="K372" s="285"/>
      <c r="L372" s="284"/>
      <c r="M372" s="287"/>
      <c r="N372" s="284"/>
      <c r="O372" s="284"/>
      <c r="P372" s="284"/>
      <c r="Q372" s="284"/>
      <c r="R372" s="284"/>
      <c r="S372" s="284"/>
      <c r="T372" s="284"/>
      <c r="U372" s="284"/>
      <c r="V372" s="284"/>
      <c r="W372" s="284"/>
      <c r="X372" s="284"/>
      <c r="Y372" s="284"/>
      <c r="Z372" s="284"/>
      <c r="AA372" s="284"/>
    </row>
    <row r="373">
      <c r="A373" s="284"/>
      <c r="B373" s="284"/>
      <c r="C373" s="285"/>
      <c r="D373" s="285"/>
      <c r="E373" s="285"/>
      <c r="F373" s="285" t="s">
        <v>2247</v>
      </c>
      <c r="G373" s="285"/>
      <c r="H373" s="297">
        <f>H372+H347</f>
        <v>32095.265</v>
      </c>
      <c r="I373" s="286"/>
      <c r="J373" s="286"/>
      <c r="K373" s="285"/>
      <c r="L373" s="284"/>
      <c r="M373" s="287"/>
      <c r="N373" s="284"/>
      <c r="O373" s="284"/>
      <c r="P373" s="284"/>
      <c r="Q373" s="284"/>
      <c r="R373" s="284"/>
      <c r="S373" s="284"/>
      <c r="T373" s="284"/>
      <c r="U373" s="284"/>
      <c r="V373" s="284"/>
      <c r="W373" s="284"/>
      <c r="X373" s="284"/>
      <c r="Y373" s="284"/>
      <c r="Z373" s="284"/>
      <c r="AA373" s="284"/>
    </row>
    <row r="374">
      <c r="A374" s="284"/>
      <c r="B374" s="284"/>
      <c r="C374" s="285"/>
      <c r="D374" s="285"/>
      <c r="E374" s="285"/>
      <c r="F374" s="285"/>
      <c r="G374" s="285"/>
      <c r="H374" s="285"/>
      <c r="I374" s="286"/>
      <c r="J374" s="286"/>
      <c r="K374" s="285"/>
      <c r="L374" s="284"/>
      <c r="M374" s="287"/>
      <c r="N374" s="284"/>
      <c r="O374" s="284"/>
      <c r="P374" s="284"/>
      <c r="Q374" s="284"/>
      <c r="R374" s="284"/>
      <c r="S374" s="284"/>
      <c r="T374" s="284"/>
      <c r="U374" s="284"/>
      <c r="V374" s="284"/>
      <c r="W374" s="284"/>
      <c r="X374" s="284"/>
      <c r="Y374" s="284"/>
      <c r="Z374" s="284"/>
      <c r="AA374" s="284"/>
    </row>
    <row r="375">
      <c r="A375" s="284"/>
      <c r="B375" s="284"/>
      <c r="C375" s="285"/>
      <c r="D375" s="285"/>
      <c r="E375" s="285"/>
      <c r="F375" s="285"/>
      <c r="G375" s="285"/>
      <c r="H375" s="285"/>
      <c r="I375" s="286"/>
      <c r="J375" s="286"/>
      <c r="K375" s="285"/>
      <c r="L375" s="284"/>
      <c r="M375" s="287"/>
      <c r="N375" s="284"/>
      <c r="O375" s="284"/>
      <c r="P375" s="284"/>
      <c r="Q375" s="284"/>
      <c r="R375" s="284"/>
      <c r="S375" s="284"/>
      <c r="T375" s="284"/>
      <c r="U375" s="284"/>
      <c r="V375" s="284"/>
      <c r="W375" s="284"/>
      <c r="X375" s="284"/>
      <c r="Y375" s="284"/>
      <c r="Z375" s="284"/>
      <c r="AA375" s="284"/>
    </row>
    <row r="376">
      <c r="A376" s="284"/>
      <c r="B376" s="284"/>
      <c r="C376" s="285"/>
      <c r="D376" s="285"/>
      <c r="E376" s="285"/>
      <c r="F376" s="285"/>
      <c r="G376" s="285"/>
      <c r="H376" s="285"/>
      <c r="I376" s="286"/>
      <c r="J376" s="286"/>
      <c r="K376" s="285"/>
      <c r="L376" s="284"/>
      <c r="M376" s="287"/>
      <c r="N376" s="284"/>
      <c r="O376" s="284"/>
      <c r="P376" s="284"/>
      <c r="Q376" s="284"/>
      <c r="R376" s="284"/>
      <c r="S376" s="284"/>
      <c r="T376" s="284"/>
      <c r="U376" s="284"/>
      <c r="V376" s="284"/>
      <c r="W376" s="284"/>
      <c r="X376" s="284"/>
      <c r="Y376" s="284"/>
      <c r="Z376" s="284"/>
      <c r="AA376" s="284"/>
    </row>
    <row r="377">
      <c r="A377" s="284"/>
      <c r="B377" s="290" t="s">
        <v>2355</v>
      </c>
      <c r="C377" s="285" t="s">
        <v>2317</v>
      </c>
      <c r="D377" s="285"/>
      <c r="E377" s="285"/>
      <c r="F377" s="285"/>
      <c r="G377" s="285"/>
      <c r="H377" s="285"/>
      <c r="I377" s="286"/>
      <c r="J377" s="286" t="s">
        <v>2233</v>
      </c>
      <c r="K377" s="291">
        <f> Today()</f>
        <v>46167</v>
      </c>
      <c r="L377" s="285"/>
      <c r="M377" s="287"/>
      <c r="N377" s="284"/>
      <c r="O377" s="284"/>
      <c r="P377" s="284"/>
      <c r="Q377" s="284"/>
      <c r="R377" s="284"/>
      <c r="S377" s="284"/>
      <c r="T377" s="284"/>
      <c r="U377" s="284"/>
      <c r="V377" s="284"/>
      <c r="W377" s="284"/>
      <c r="X377" s="284"/>
      <c r="Y377" s="284"/>
      <c r="Z377" s="284"/>
      <c r="AA377" s="284"/>
    </row>
    <row r="378">
      <c r="A378" s="284"/>
      <c r="B378" s="284"/>
      <c r="C378" s="285"/>
      <c r="D378" s="285"/>
      <c r="E378" s="285"/>
      <c r="F378" s="285"/>
      <c r="G378" s="285"/>
      <c r="H378" s="285"/>
      <c r="I378" s="286"/>
      <c r="J378" s="286"/>
      <c r="K378" s="284"/>
      <c r="L378" s="285"/>
      <c r="M378" s="287"/>
      <c r="N378" s="284"/>
      <c r="O378" s="284"/>
      <c r="P378" s="284"/>
      <c r="Q378" s="284"/>
      <c r="R378" s="284"/>
      <c r="S378" s="284"/>
      <c r="T378" s="284"/>
      <c r="U378" s="284"/>
      <c r="V378" s="284"/>
      <c r="W378" s="284"/>
      <c r="X378" s="284"/>
      <c r="Y378" s="284"/>
      <c r="Z378" s="284"/>
      <c r="AA378" s="284"/>
    </row>
    <row r="379" ht="22.5" customHeight="1">
      <c r="A379" s="78" t="s">
        <v>181</v>
      </c>
      <c r="B379" s="78" t="s">
        <v>2216</v>
      </c>
      <c r="C379" s="307" t="s">
        <v>131</v>
      </c>
      <c r="D379" s="307" t="s">
        <v>2217</v>
      </c>
      <c r="E379" s="307" t="s">
        <v>8</v>
      </c>
      <c r="F379" s="307" t="s">
        <v>873</v>
      </c>
      <c r="G379" s="307" t="s">
        <v>17</v>
      </c>
      <c r="H379" s="307" t="s">
        <v>874</v>
      </c>
      <c r="I379" s="308" t="s">
        <v>2218</v>
      </c>
      <c r="J379" s="308" t="s">
        <v>876</v>
      </c>
      <c r="K379" s="78" t="s">
        <v>877</v>
      </c>
      <c r="L379" s="307" t="s">
        <v>878</v>
      </c>
      <c r="M379" s="309" t="s">
        <v>2219</v>
      </c>
      <c r="N379" s="78" t="s">
        <v>2220</v>
      </c>
      <c r="O379" s="284"/>
      <c r="P379" s="284"/>
      <c r="Q379" s="284"/>
      <c r="R379" s="284"/>
      <c r="S379" s="284"/>
      <c r="T379" s="284"/>
      <c r="U379" s="284"/>
      <c r="V379" s="284"/>
      <c r="W379" s="284"/>
      <c r="X379" s="284"/>
      <c r="Y379" s="284"/>
      <c r="Z379" s="284"/>
      <c r="AA379" s="284"/>
    </row>
    <row r="380" ht="22.5" customHeight="1">
      <c r="A380" s="128"/>
      <c r="B380" s="9" t="s">
        <v>2249</v>
      </c>
      <c r="C380" s="310" t="str">
        <f>if(OR(G380=0,G380=""),"","x")</f>
        <v/>
      </c>
      <c r="D380" s="311">
        <v>0.0</v>
      </c>
      <c r="E380" s="311">
        <v>100.0</v>
      </c>
      <c r="F380" s="311">
        <f>D380*E380</f>
        <v>0</v>
      </c>
      <c r="G380" s="311">
        <f>F380*Q$8</f>
        <v>0</v>
      </c>
      <c r="H380" s="311">
        <f t="shared" ref="H380:H383" si="211">G380</f>
        <v>0</v>
      </c>
      <c r="I380" s="312">
        <v>45767.0</v>
      </c>
      <c r="J380" s="312">
        <f t="shared" ref="J380:J382" si="212">Edate(I380,1)</f>
        <v>45797</v>
      </c>
      <c r="K380" s="139">
        <f t="shared" ref="K380:K392" si="213">if(J380="","",if(H380=0,1,0))</f>
        <v>1</v>
      </c>
      <c r="L380" s="311">
        <f t="shared" ref="L380:L394" si="214">if(J380="","",J380-$K$6)</f>
        <v>-370</v>
      </c>
      <c r="M380" s="313"/>
      <c r="N380" s="55"/>
      <c r="O380" s="284"/>
      <c r="P380" s="284"/>
      <c r="Q380" s="284"/>
      <c r="R380" s="284"/>
      <c r="S380" s="284"/>
      <c r="T380" s="284"/>
      <c r="U380" s="284"/>
      <c r="V380" s="284"/>
      <c r="W380" s="284"/>
      <c r="X380" s="284"/>
      <c r="Y380" s="284"/>
      <c r="Z380" s="284"/>
      <c r="AA380" s="284"/>
    </row>
    <row r="381" ht="22.5" customHeight="1">
      <c r="A381" s="314"/>
      <c r="B381" s="315" t="s">
        <v>2251</v>
      </c>
      <c r="C381" s="316"/>
      <c r="D381" s="317">
        <v>0.0</v>
      </c>
      <c r="E381" s="317">
        <v>5.0</v>
      </c>
      <c r="F381" s="317">
        <v>15.0</v>
      </c>
      <c r="G381" s="317">
        <v>0.0</v>
      </c>
      <c r="H381" s="317">
        <f t="shared" si="211"/>
        <v>0</v>
      </c>
      <c r="I381" s="318">
        <v>45748.0</v>
      </c>
      <c r="J381" s="318">
        <f t="shared" si="212"/>
        <v>45778</v>
      </c>
      <c r="K381" s="143">
        <f t="shared" si="213"/>
        <v>1</v>
      </c>
      <c r="L381" s="317">
        <f t="shared" si="214"/>
        <v>-389</v>
      </c>
      <c r="M381" s="319"/>
      <c r="N381" s="187"/>
      <c r="O381" s="284"/>
      <c r="P381" s="284"/>
      <c r="Q381" s="284"/>
      <c r="R381" s="284"/>
      <c r="S381" s="284"/>
      <c r="T381" s="284"/>
      <c r="U381" s="284"/>
      <c r="V381" s="284"/>
      <c r="W381" s="284"/>
      <c r="X381" s="284"/>
      <c r="Y381" s="284"/>
      <c r="Z381" s="284"/>
      <c r="AA381" s="284"/>
    </row>
    <row r="382" ht="22.5" customHeight="1">
      <c r="A382" s="128"/>
      <c r="B382" s="9" t="s">
        <v>2254</v>
      </c>
      <c r="C382" s="320" t="s">
        <v>1350</v>
      </c>
      <c r="D382" s="311">
        <v>0.0</v>
      </c>
      <c r="E382" s="311">
        <v>3.0</v>
      </c>
      <c r="F382" s="311">
        <f t="shared" ref="F382:F385" si="215">D382*E382</f>
        <v>0</v>
      </c>
      <c r="G382" s="311">
        <f>F382*$Q$5</f>
        <v>0</v>
      </c>
      <c r="H382" s="311">
        <f t="shared" si="211"/>
        <v>0</v>
      </c>
      <c r="I382" s="312">
        <v>45748.0</v>
      </c>
      <c r="J382" s="312">
        <f t="shared" si="212"/>
        <v>45778</v>
      </c>
      <c r="K382" s="139">
        <f t="shared" si="213"/>
        <v>1</v>
      </c>
      <c r="L382" s="311">
        <f t="shared" si="214"/>
        <v>-389</v>
      </c>
      <c r="M382" s="313"/>
      <c r="N382" s="55"/>
      <c r="O382" s="284"/>
      <c r="P382" s="284"/>
      <c r="Q382" s="284"/>
      <c r="R382" s="284"/>
      <c r="S382" s="284"/>
      <c r="T382" s="284"/>
      <c r="U382" s="284"/>
      <c r="V382" s="284"/>
      <c r="W382" s="284"/>
      <c r="X382" s="284"/>
      <c r="Y382" s="284"/>
      <c r="Z382" s="284"/>
      <c r="AA382" s="284"/>
    </row>
    <row r="383" ht="22.5" customHeight="1">
      <c r="A383" s="314"/>
      <c r="B383" s="315" t="s">
        <v>2255</v>
      </c>
      <c r="C383" s="316" t="str">
        <f t="shared" ref="C383:C384" si="216">if(OR(G383=0,G383=""),"","x")</f>
        <v/>
      </c>
      <c r="D383" s="317">
        <v>0.0</v>
      </c>
      <c r="E383" s="317">
        <v>1500.0</v>
      </c>
      <c r="F383" s="317">
        <f t="shared" si="215"/>
        <v>0</v>
      </c>
      <c r="G383" s="317">
        <f>F383*$Q$7</f>
        <v>0</v>
      </c>
      <c r="H383" s="317">
        <f t="shared" si="211"/>
        <v>0</v>
      </c>
      <c r="I383" s="321"/>
      <c r="J383" s="321"/>
      <c r="K383" s="147" t="str">
        <f t="shared" si="213"/>
        <v/>
      </c>
      <c r="L383" s="316" t="str">
        <f t="shared" si="214"/>
        <v/>
      </c>
      <c r="M383" s="319"/>
      <c r="N383" s="187"/>
      <c r="O383" s="284"/>
      <c r="P383" s="284"/>
      <c r="Q383" s="284"/>
      <c r="R383" s="284"/>
      <c r="S383" s="284"/>
      <c r="T383" s="284"/>
      <c r="U383" s="284"/>
      <c r="V383" s="284"/>
      <c r="W383" s="284"/>
      <c r="X383" s="284"/>
      <c r="Y383" s="284"/>
      <c r="Z383" s="284"/>
      <c r="AA383" s="284"/>
    </row>
    <row r="384" ht="22.5" customHeight="1">
      <c r="A384" s="128"/>
      <c r="B384" s="9" t="s">
        <v>2256</v>
      </c>
      <c r="C384" s="310" t="str">
        <f t="shared" si="216"/>
        <v/>
      </c>
      <c r="D384" s="311">
        <v>0.0</v>
      </c>
      <c r="E384" s="311">
        <v>500.0</v>
      </c>
      <c r="F384" s="311">
        <f t="shared" si="215"/>
        <v>0</v>
      </c>
      <c r="G384" s="311">
        <f t="shared" ref="G384:H384" si="217">F384</f>
        <v>0</v>
      </c>
      <c r="H384" s="311">
        <f t="shared" si="217"/>
        <v>0</v>
      </c>
      <c r="I384" s="322"/>
      <c r="J384" s="322"/>
      <c r="K384" s="150" t="str">
        <f t="shared" si="213"/>
        <v/>
      </c>
      <c r="L384" s="310" t="str">
        <f t="shared" si="214"/>
        <v/>
      </c>
      <c r="M384" s="313"/>
      <c r="N384" s="55"/>
      <c r="O384" s="284"/>
      <c r="P384" s="284"/>
      <c r="Q384" s="284"/>
      <c r="R384" s="284"/>
      <c r="S384" s="284"/>
      <c r="T384" s="284"/>
      <c r="U384" s="284"/>
      <c r="V384" s="284"/>
      <c r="W384" s="284"/>
      <c r="X384" s="284"/>
      <c r="Y384" s="284"/>
      <c r="Z384" s="284"/>
      <c r="AA384" s="284"/>
    </row>
    <row r="385" ht="22.5" customHeight="1">
      <c r="A385" s="323" t="s">
        <v>2318</v>
      </c>
      <c r="B385" s="315" t="s">
        <v>2257</v>
      </c>
      <c r="C385" s="316"/>
      <c r="D385" s="317">
        <v>15.0</v>
      </c>
      <c r="E385" s="317">
        <v>22.0</v>
      </c>
      <c r="F385" s="317">
        <f t="shared" si="215"/>
        <v>330</v>
      </c>
      <c r="G385" s="317">
        <f t="shared" ref="G385:G386" si="218">F385*$Q$6</f>
        <v>6270</v>
      </c>
      <c r="H385" s="317">
        <f t="shared" ref="H385:H388" si="219">G385</f>
        <v>6270</v>
      </c>
      <c r="I385" s="318">
        <v>45748.0</v>
      </c>
      <c r="J385" s="318">
        <f t="shared" ref="J385:J387" si="220">Edate(I385,1)</f>
        <v>45778</v>
      </c>
      <c r="K385" s="143">
        <f t="shared" si="213"/>
        <v>0</v>
      </c>
      <c r="L385" s="317">
        <f t="shared" si="214"/>
        <v>-389</v>
      </c>
      <c r="M385" s="325">
        <v>45920.0</v>
      </c>
      <c r="N385" s="187"/>
      <c r="O385" s="284"/>
      <c r="P385" s="284"/>
      <c r="Q385" s="284"/>
      <c r="R385" s="284"/>
      <c r="S385" s="284"/>
      <c r="T385" s="284"/>
      <c r="U385" s="284"/>
      <c r="V385" s="284"/>
      <c r="W385" s="284"/>
      <c r="X385" s="284"/>
      <c r="Y385" s="284"/>
      <c r="Z385" s="284"/>
      <c r="AA385" s="284"/>
    </row>
    <row r="386" ht="22.5" customHeight="1">
      <c r="A386" s="128"/>
      <c r="B386" s="9" t="s">
        <v>2258</v>
      </c>
      <c r="C386" s="310" t="str">
        <f t="shared" ref="C386:C390" si="221">if(OR(G386=0,G386=""),"","x")</f>
        <v/>
      </c>
      <c r="D386" s="311">
        <v>0.0</v>
      </c>
      <c r="E386" s="311">
        <v>0.0</v>
      </c>
      <c r="F386" s="311">
        <v>0.0</v>
      </c>
      <c r="G386" s="311">
        <f t="shared" si="218"/>
        <v>0</v>
      </c>
      <c r="H386" s="311">
        <f t="shared" si="219"/>
        <v>0</v>
      </c>
      <c r="I386" s="312">
        <v>149.0</v>
      </c>
      <c r="J386" s="312">
        <f t="shared" si="220"/>
        <v>180</v>
      </c>
      <c r="K386" s="139">
        <f t="shared" si="213"/>
        <v>1</v>
      </c>
      <c r="L386" s="311">
        <f t="shared" si="214"/>
        <v>-45987</v>
      </c>
      <c r="M386" s="313"/>
      <c r="N386" s="55"/>
      <c r="O386" s="284"/>
      <c r="P386" s="284"/>
      <c r="Q386" s="284"/>
      <c r="R386" s="284"/>
      <c r="S386" s="284"/>
      <c r="T386" s="284"/>
      <c r="U386" s="284"/>
      <c r="V386" s="284"/>
      <c r="W386" s="284"/>
      <c r="X386" s="284"/>
      <c r="Y386" s="284"/>
      <c r="Z386" s="284"/>
      <c r="AA386" s="284"/>
    </row>
    <row r="387" ht="22.5" customHeight="1">
      <c r="A387" s="314"/>
      <c r="B387" s="315" t="s">
        <v>2259</v>
      </c>
      <c r="C387" s="316" t="str">
        <f t="shared" si="221"/>
        <v/>
      </c>
      <c r="D387" s="317">
        <v>0.0</v>
      </c>
      <c r="E387" s="317">
        <v>15000.0</v>
      </c>
      <c r="F387" s="317">
        <f t="shared" ref="F387:F389" si="222">D387*E387</f>
        <v>0</v>
      </c>
      <c r="G387" s="317">
        <f t="shared" ref="G387:G389" si="223">F387*$Q$7</f>
        <v>0</v>
      </c>
      <c r="H387" s="317">
        <f t="shared" si="219"/>
        <v>0</v>
      </c>
      <c r="I387" s="318">
        <v>45760.0</v>
      </c>
      <c r="J387" s="318">
        <f t="shared" si="220"/>
        <v>45790</v>
      </c>
      <c r="K387" s="143">
        <f t="shared" si="213"/>
        <v>1</v>
      </c>
      <c r="L387" s="317">
        <f t="shared" si="214"/>
        <v>-377</v>
      </c>
      <c r="M387" s="319"/>
      <c r="N387" s="187"/>
      <c r="O387" s="284"/>
      <c r="P387" s="284"/>
      <c r="Q387" s="284"/>
      <c r="R387" s="284"/>
      <c r="S387" s="284"/>
      <c r="T387" s="284"/>
      <c r="U387" s="284"/>
      <c r="V387" s="284"/>
      <c r="W387" s="284"/>
      <c r="X387" s="284"/>
      <c r="Y387" s="284"/>
      <c r="Z387" s="284"/>
      <c r="AA387" s="284"/>
    </row>
    <row r="388" ht="22.5" customHeight="1">
      <c r="A388" s="128"/>
      <c r="B388" s="9" t="s">
        <v>2267</v>
      </c>
      <c r="C388" s="310" t="str">
        <f t="shared" si="221"/>
        <v/>
      </c>
      <c r="D388" s="311">
        <v>0.0</v>
      </c>
      <c r="E388" s="311">
        <v>3000.0</v>
      </c>
      <c r="F388" s="311">
        <f t="shared" si="222"/>
        <v>0</v>
      </c>
      <c r="G388" s="311">
        <f t="shared" si="223"/>
        <v>0</v>
      </c>
      <c r="H388" s="311">
        <f t="shared" si="219"/>
        <v>0</v>
      </c>
      <c r="I388" s="322"/>
      <c r="J388" s="322"/>
      <c r="K388" s="150" t="str">
        <f t="shared" si="213"/>
        <v/>
      </c>
      <c r="L388" s="310" t="str">
        <f t="shared" si="214"/>
        <v/>
      </c>
      <c r="M388" s="313"/>
      <c r="N388" s="55"/>
      <c r="O388" s="284"/>
      <c r="P388" s="284"/>
      <c r="Q388" s="284"/>
      <c r="R388" s="284"/>
      <c r="S388" s="284"/>
      <c r="T388" s="284"/>
      <c r="U388" s="284"/>
      <c r="V388" s="284"/>
      <c r="W388" s="284"/>
      <c r="X388" s="284"/>
      <c r="Y388" s="284"/>
      <c r="Z388" s="284"/>
      <c r="AA388" s="284"/>
    </row>
    <row r="389" ht="22.5" customHeight="1">
      <c r="A389" s="314"/>
      <c r="B389" s="315" t="s">
        <v>2279</v>
      </c>
      <c r="C389" s="316" t="str">
        <f t="shared" si="221"/>
        <v/>
      </c>
      <c r="D389" s="317">
        <v>0.0</v>
      </c>
      <c r="E389" s="317">
        <v>5000.0</v>
      </c>
      <c r="F389" s="317">
        <f t="shared" si="222"/>
        <v>0</v>
      </c>
      <c r="G389" s="317">
        <f t="shared" si="223"/>
        <v>0</v>
      </c>
      <c r="H389" s="317">
        <v>0.0</v>
      </c>
      <c r="I389" s="321"/>
      <c r="J389" s="321"/>
      <c r="K389" s="147" t="str">
        <f t="shared" si="213"/>
        <v/>
      </c>
      <c r="L389" s="316" t="str">
        <f t="shared" si="214"/>
        <v/>
      </c>
      <c r="M389" s="319"/>
      <c r="N389" s="187"/>
      <c r="O389" s="284"/>
      <c r="P389" s="284"/>
      <c r="Q389" s="284"/>
      <c r="R389" s="284"/>
      <c r="S389" s="284"/>
      <c r="T389" s="284"/>
      <c r="U389" s="284"/>
      <c r="V389" s="284"/>
      <c r="W389" s="284"/>
      <c r="X389" s="284"/>
      <c r="Y389" s="284"/>
      <c r="Z389" s="284"/>
      <c r="AA389" s="284"/>
    </row>
    <row r="390" ht="22.5" customHeight="1">
      <c r="A390" s="128"/>
      <c r="B390" s="9" t="s">
        <v>2263</v>
      </c>
      <c r="C390" s="310" t="str">
        <f t="shared" si="221"/>
        <v/>
      </c>
      <c r="D390" s="311">
        <v>1.0</v>
      </c>
      <c r="E390" s="310"/>
      <c r="F390" s="310"/>
      <c r="G390" s="311">
        <v>0.0</v>
      </c>
      <c r="H390" s="311">
        <v>0.0</v>
      </c>
      <c r="I390" s="322"/>
      <c r="J390" s="322"/>
      <c r="K390" s="150" t="str">
        <f t="shared" si="213"/>
        <v/>
      </c>
      <c r="L390" s="310" t="str">
        <f t="shared" si="214"/>
        <v/>
      </c>
      <c r="M390" s="313"/>
      <c r="N390" s="55"/>
      <c r="O390" s="284"/>
      <c r="P390" s="284"/>
      <c r="Q390" s="284"/>
      <c r="R390" s="284"/>
      <c r="S390" s="284"/>
      <c r="T390" s="284"/>
      <c r="U390" s="284"/>
      <c r="V390" s="284"/>
      <c r="W390" s="284"/>
      <c r="X390" s="284"/>
      <c r="Y390" s="284"/>
      <c r="Z390" s="284"/>
      <c r="AA390" s="284"/>
    </row>
    <row r="391" ht="22.5" customHeight="1">
      <c r="A391" s="323" t="s">
        <v>2309</v>
      </c>
      <c r="B391" s="315" t="s">
        <v>2289</v>
      </c>
      <c r="C391" s="316"/>
      <c r="D391" s="317">
        <v>0.0</v>
      </c>
      <c r="E391" s="317">
        <v>6000.0</v>
      </c>
      <c r="F391" s="317">
        <f t="shared" ref="F391:F393" si="224">D391*E391</f>
        <v>0</v>
      </c>
      <c r="G391" s="317">
        <f t="shared" ref="G391:G392" si="225">F391*$Q$7</f>
        <v>0</v>
      </c>
      <c r="H391" s="317">
        <f t="shared" ref="H391:H393" si="226">G391</f>
        <v>0</v>
      </c>
      <c r="I391" s="318">
        <v>45771.0</v>
      </c>
      <c r="J391" s="318">
        <f>Edate(I391,1)</f>
        <v>45801</v>
      </c>
      <c r="K391" s="143">
        <f t="shared" si="213"/>
        <v>1</v>
      </c>
      <c r="L391" s="317">
        <f t="shared" si="214"/>
        <v>-366</v>
      </c>
      <c r="M391" s="319"/>
      <c r="N391" s="187"/>
      <c r="O391" s="284"/>
      <c r="P391" s="284"/>
      <c r="Q391" s="284"/>
      <c r="R391" s="284"/>
      <c r="S391" s="284"/>
      <c r="T391" s="284"/>
      <c r="U391" s="284"/>
      <c r="V391" s="284"/>
      <c r="W391" s="284"/>
      <c r="X391" s="284"/>
      <c r="Y391" s="284"/>
      <c r="Z391" s="284"/>
      <c r="AA391" s="284"/>
    </row>
    <row r="392" ht="22.5" customHeight="1">
      <c r="A392" s="132" t="s">
        <v>2319</v>
      </c>
      <c r="B392" s="9" t="s">
        <v>2292</v>
      </c>
      <c r="C392" s="310"/>
      <c r="D392" s="311">
        <v>0.633</v>
      </c>
      <c r="E392" s="311">
        <v>6000.0</v>
      </c>
      <c r="F392" s="311">
        <f t="shared" si="224"/>
        <v>3798</v>
      </c>
      <c r="G392" s="311">
        <f t="shared" si="225"/>
        <v>1139.4</v>
      </c>
      <c r="H392" s="311">
        <f t="shared" si="226"/>
        <v>1139.4</v>
      </c>
      <c r="I392" s="312">
        <v>45754.0</v>
      </c>
      <c r="J392" s="312">
        <v>45768.0</v>
      </c>
      <c r="K392" s="139">
        <f t="shared" si="213"/>
        <v>0</v>
      </c>
      <c r="L392" s="311">
        <f t="shared" si="214"/>
        <v>-399</v>
      </c>
      <c r="M392" s="9" t="s">
        <v>2320</v>
      </c>
      <c r="N392" s="55"/>
      <c r="O392" s="284"/>
      <c r="P392" s="284"/>
      <c r="Q392" s="284"/>
      <c r="R392" s="284"/>
      <c r="S392" s="284"/>
      <c r="T392" s="284"/>
      <c r="U392" s="284"/>
      <c r="V392" s="284"/>
      <c r="W392" s="284"/>
      <c r="X392" s="284"/>
      <c r="Y392" s="284"/>
      <c r="Z392" s="284"/>
      <c r="AA392" s="284"/>
    </row>
    <row r="393" ht="22.5" customHeight="1">
      <c r="A393" s="329"/>
      <c r="B393" s="330" t="s">
        <v>2298</v>
      </c>
      <c r="C393" s="335" t="str">
        <f t="shared" ref="C393:C395" si="227">if(OR(G393=0,G393=""),"","x")</f>
        <v/>
      </c>
      <c r="D393" s="332">
        <v>0.0</v>
      </c>
      <c r="E393" s="332">
        <v>6.0</v>
      </c>
      <c r="F393" s="332">
        <f t="shared" si="224"/>
        <v>0</v>
      </c>
      <c r="G393" s="332">
        <f>F393*$Q$5</f>
        <v>0</v>
      </c>
      <c r="H393" s="332">
        <f t="shared" si="226"/>
        <v>0</v>
      </c>
      <c r="I393" s="333">
        <v>45772.0</v>
      </c>
      <c r="J393" s="333">
        <f>Edate(I393,1)</f>
        <v>45802</v>
      </c>
      <c r="K393" s="334">
        <v>0.0</v>
      </c>
      <c r="L393" s="332">
        <f t="shared" si="214"/>
        <v>-365</v>
      </c>
      <c r="M393" s="337"/>
      <c r="N393" s="300"/>
      <c r="O393" s="284"/>
      <c r="P393" s="284"/>
      <c r="Q393" s="284"/>
      <c r="R393" s="284"/>
      <c r="S393" s="284"/>
      <c r="T393" s="284"/>
      <c r="U393" s="284"/>
      <c r="V393" s="284"/>
      <c r="W393" s="284"/>
      <c r="X393" s="284"/>
      <c r="Y393" s="284"/>
      <c r="Z393" s="284"/>
      <c r="AA393" s="284"/>
    </row>
    <row r="394">
      <c r="A394" s="284"/>
      <c r="B394" s="284"/>
      <c r="C394" s="285" t="str">
        <f t="shared" si="227"/>
        <v/>
      </c>
      <c r="D394" s="285"/>
      <c r="E394" s="285"/>
      <c r="F394" s="285"/>
      <c r="G394" s="285"/>
      <c r="H394" s="285"/>
      <c r="I394" s="286"/>
      <c r="J394" s="286"/>
      <c r="K394" s="285"/>
      <c r="L394" s="285" t="str">
        <f t="shared" si="214"/>
        <v/>
      </c>
      <c r="M394" s="287"/>
      <c r="N394" s="284"/>
      <c r="O394" s="284"/>
      <c r="P394" s="284"/>
      <c r="Q394" s="284"/>
      <c r="R394" s="284"/>
      <c r="S394" s="284"/>
      <c r="T394" s="284"/>
      <c r="U394" s="284"/>
      <c r="V394" s="284"/>
      <c r="W394" s="284"/>
      <c r="X394" s="284"/>
      <c r="Y394" s="284"/>
      <c r="Z394" s="284"/>
      <c r="AA394" s="284"/>
    </row>
    <row r="395">
      <c r="A395" s="284"/>
      <c r="B395" s="284"/>
      <c r="C395" s="285" t="str">
        <f t="shared" si="227"/>
        <v/>
      </c>
      <c r="D395" s="285"/>
      <c r="E395" s="285"/>
      <c r="F395" s="285"/>
      <c r="G395" s="285"/>
      <c r="H395" s="285"/>
      <c r="I395" s="286"/>
      <c r="J395" s="286"/>
      <c r="K395" s="285"/>
      <c r="L395" s="284"/>
      <c r="M395" s="287"/>
      <c r="N395" s="284"/>
      <c r="O395" s="284"/>
      <c r="P395" s="284"/>
      <c r="Q395" s="284"/>
      <c r="R395" s="284"/>
      <c r="S395" s="284"/>
      <c r="T395" s="284"/>
      <c r="U395" s="284"/>
      <c r="V395" s="284"/>
      <c r="W395" s="284"/>
      <c r="X395" s="284"/>
      <c r="Y395" s="284"/>
      <c r="Z395" s="284"/>
      <c r="AA395" s="284"/>
    </row>
    <row r="396">
      <c r="A396" s="284"/>
      <c r="B396" s="284"/>
      <c r="C396" s="285" t="str">
        <f>if(G396=0,"","x")</f>
        <v/>
      </c>
      <c r="D396" s="285"/>
      <c r="E396" s="285"/>
      <c r="F396" s="285"/>
      <c r="G396" s="285"/>
      <c r="H396" s="285"/>
      <c r="I396" s="286"/>
      <c r="J396" s="286"/>
      <c r="K396" s="285"/>
      <c r="L396" s="284"/>
      <c r="M396" s="287"/>
      <c r="N396" s="284"/>
      <c r="O396" s="284"/>
      <c r="P396" s="284"/>
      <c r="Q396" s="284"/>
      <c r="R396" s="284"/>
      <c r="S396" s="284"/>
      <c r="T396" s="284"/>
      <c r="U396" s="284"/>
      <c r="V396" s="284"/>
      <c r="W396" s="284"/>
      <c r="X396" s="284"/>
      <c r="Y396" s="284"/>
      <c r="Z396" s="284"/>
      <c r="AA396" s="284"/>
    </row>
    <row r="397">
      <c r="A397" s="284"/>
      <c r="B397" s="293" t="s">
        <v>2246</v>
      </c>
      <c r="C397" s="289">
        <f>countif(C380:C396,"x")</f>
        <v>1</v>
      </c>
      <c r="D397" s="285"/>
      <c r="E397" s="285"/>
      <c r="F397" s="285" t="s">
        <v>874</v>
      </c>
      <c r="G397" s="297">
        <f t="shared" ref="G397:H397" si="228">sum(G380:G396)</f>
        <v>7409.4</v>
      </c>
      <c r="H397" s="297">
        <f t="shared" si="228"/>
        <v>7409.4</v>
      </c>
      <c r="I397" s="286"/>
      <c r="J397" s="286"/>
      <c r="K397" s="285"/>
      <c r="L397" s="284"/>
      <c r="M397" s="287"/>
      <c r="N397" s="284"/>
      <c r="O397" s="284"/>
      <c r="P397" s="284"/>
      <c r="Q397" s="284"/>
      <c r="R397" s="284"/>
      <c r="S397" s="284"/>
      <c r="T397" s="284"/>
      <c r="U397" s="284"/>
      <c r="V397" s="284"/>
      <c r="W397" s="284"/>
      <c r="X397" s="284"/>
      <c r="Y397" s="284"/>
      <c r="Z397" s="284"/>
      <c r="AA397" s="284"/>
    </row>
    <row r="398">
      <c r="A398" s="284"/>
      <c r="B398" s="284"/>
      <c r="C398" s="285"/>
      <c r="D398" s="285"/>
      <c r="E398" s="285"/>
      <c r="F398" s="285" t="s">
        <v>2247</v>
      </c>
      <c r="G398" s="285"/>
      <c r="H398" s="297">
        <f>H397+H373</f>
        <v>39504.665</v>
      </c>
      <c r="I398" s="286"/>
      <c r="J398" s="286"/>
      <c r="K398" s="285"/>
      <c r="L398" s="284"/>
      <c r="M398" s="287"/>
      <c r="N398" s="284"/>
      <c r="O398" s="284"/>
      <c r="P398" s="284"/>
      <c r="Q398" s="284"/>
      <c r="R398" s="284"/>
      <c r="S398" s="284"/>
      <c r="T398" s="284"/>
      <c r="U398" s="284"/>
      <c r="V398" s="284"/>
      <c r="W398" s="284"/>
      <c r="X398" s="284"/>
      <c r="Y398" s="284"/>
      <c r="Z398" s="284"/>
      <c r="AA398" s="284"/>
    </row>
    <row r="399">
      <c r="A399" s="284"/>
      <c r="B399" s="284"/>
      <c r="C399" s="285"/>
      <c r="D399" s="285"/>
      <c r="E399" s="285"/>
      <c r="F399" s="285"/>
      <c r="G399" s="285"/>
      <c r="H399" s="285"/>
      <c r="I399" s="286"/>
      <c r="J399" s="286"/>
      <c r="K399" s="285"/>
      <c r="L399" s="284"/>
      <c r="M399" s="287"/>
      <c r="N399" s="284"/>
      <c r="O399" s="284"/>
      <c r="P399" s="284"/>
      <c r="Q399" s="284"/>
      <c r="R399" s="284"/>
      <c r="S399" s="284"/>
      <c r="T399" s="284"/>
      <c r="U399" s="284"/>
      <c r="V399" s="284"/>
      <c r="W399" s="284"/>
      <c r="X399" s="284"/>
      <c r="Y399" s="284"/>
      <c r="Z399" s="284"/>
      <c r="AA399" s="284"/>
    </row>
    <row r="400">
      <c r="A400" s="284"/>
      <c r="B400" s="284"/>
      <c r="C400" s="285"/>
      <c r="D400" s="285"/>
      <c r="E400" s="285"/>
      <c r="F400" s="285"/>
      <c r="G400" s="285"/>
      <c r="H400" s="285"/>
      <c r="I400" s="286"/>
      <c r="J400" s="286"/>
      <c r="K400" s="285"/>
      <c r="L400" s="284"/>
      <c r="M400" s="287"/>
      <c r="N400" s="284"/>
      <c r="O400" s="284"/>
      <c r="P400" s="284"/>
      <c r="Q400" s="284"/>
      <c r="R400" s="284"/>
      <c r="S400" s="284"/>
      <c r="T400" s="284"/>
      <c r="U400" s="284"/>
      <c r="V400" s="284"/>
      <c r="W400" s="284"/>
      <c r="X400" s="284"/>
      <c r="Y400" s="284"/>
      <c r="Z400" s="284"/>
      <c r="AA400" s="284"/>
    </row>
    <row r="401">
      <c r="A401" s="284"/>
      <c r="B401" s="284"/>
      <c r="C401" s="285"/>
      <c r="D401" s="285"/>
      <c r="E401" s="285"/>
      <c r="F401" s="285"/>
      <c r="G401" s="285"/>
      <c r="H401" s="285"/>
      <c r="I401" s="286"/>
      <c r="J401" s="286"/>
      <c r="K401" s="285"/>
      <c r="L401" s="284"/>
      <c r="M401" s="287"/>
      <c r="N401" s="284"/>
      <c r="O401" s="284"/>
      <c r="P401" s="284"/>
      <c r="Q401" s="284"/>
      <c r="R401" s="284"/>
      <c r="S401" s="284"/>
      <c r="T401" s="284"/>
      <c r="U401" s="284"/>
      <c r="V401" s="284"/>
      <c r="W401" s="284"/>
      <c r="X401" s="284"/>
      <c r="Y401" s="284"/>
      <c r="Z401" s="284"/>
      <c r="AA401" s="284"/>
    </row>
    <row r="402">
      <c r="A402" s="284"/>
      <c r="B402" s="290" t="s">
        <v>2356</v>
      </c>
      <c r="C402" s="285"/>
      <c r="D402" s="285"/>
      <c r="E402" s="285"/>
      <c r="F402" s="285"/>
      <c r="G402" s="285"/>
      <c r="H402" s="285"/>
      <c r="I402" s="286"/>
      <c r="J402" s="286" t="s">
        <v>2233</v>
      </c>
      <c r="K402" s="291">
        <f> Today()</f>
        <v>46167</v>
      </c>
      <c r="L402" s="285"/>
      <c r="M402" s="287"/>
      <c r="N402" s="284"/>
      <c r="O402" s="284"/>
      <c r="P402" s="284"/>
      <c r="Q402" s="284"/>
      <c r="R402" s="284"/>
      <c r="S402" s="284"/>
      <c r="T402" s="284"/>
      <c r="U402" s="284"/>
      <c r="V402" s="284"/>
      <c r="W402" s="284"/>
      <c r="X402" s="284"/>
      <c r="Y402" s="284"/>
      <c r="Z402" s="284"/>
      <c r="AA402" s="284"/>
    </row>
    <row r="403">
      <c r="A403" s="284"/>
      <c r="B403" s="284"/>
      <c r="C403" s="285"/>
      <c r="D403" s="285"/>
      <c r="E403" s="285"/>
      <c r="F403" s="285"/>
      <c r="G403" s="285"/>
      <c r="H403" s="285"/>
      <c r="I403" s="286"/>
      <c r="J403" s="286"/>
      <c r="K403" s="284"/>
      <c r="L403" s="285"/>
      <c r="M403" s="287"/>
      <c r="N403" s="284"/>
      <c r="O403" s="284"/>
      <c r="P403" s="284"/>
      <c r="Q403" s="284"/>
      <c r="R403" s="284"/>
      <c r="S403" s="284"/>
      <c r="T403" s="284"/>
      <c r="U403" s="284"/>
      <c r="V403" s="284"/>
      <c r="W403" s="284"/>
      <c r="X403" s="284"/>
      <c r="Y403" s="284"/>
      <c r="Z403" s="284"/>
      <c r="AA403" s="284"/>
    </row>
    <row r="404" ht="22.5" customHeight="1">
      <c r="A404" s="78" t="s">
        <v>181</v>
      </c>
      <c r="B404" s="78" t="s">
        <v>2216</v>
      </c>
      <c r="C404" s="307" t="s">
        <v>131</v>
      </c>
      <c r="D404" s="307" t="s">
        <v>2217</v>
      </c>
      <c r="E404" s="307" t="s">
        <v>8</v>
      </c>
      <c r="F404" s="307" t="s">
        <v>873</v>
      </c>
      <c r="G404" s="307" t="s">
        <v>17</v>
      </c>
      <c r="H404" s="307" t="s">
        <v>874</v>
      </c>
      <c r="I404" s="308" t="s">
        <v>2218</v>
      </c>
      <c r="J404" s="308" t="s">
        <v>876</v>
      </c>
      <c r="K404" s="78" t="s">
        <v>877</v>
      </c>
      <c r="L404" s="307" t="s">
        <v>878</v>
      </c>
      <c r="M404" s="309" t="s">
        <v>2219</v>
      </c>
      <c r="N404" s="78" t="s">
        <v>2220</v>
      </c>
      <c r="O404" s="284"/>
      <c r="P404" s="284"/>
      <c r="Q404" s="284"/>
      <c r="R404" s="284"/>
      <c r="S404" s="284"/>
      <c r="T404" s="284"/>
      <c r="U404" s="284"/>
      <c r="V404" s="284"/>
      <c r="W404" s="284"/>
      <c r="X404" s="284"/>
      <c r="Y404" s="284"/>
      <c r="Z404" s="284"/>
      <c r="AA404" s="284"/>
    </row>
    <row r="405" ht="22.5" customHeight="1">
      <c r="A405" s="128"/>
      <c r="B405" s="9" t="s">
        <v>2249</v>
      </c>
      <c r="C405" s="310" t="str">
        <f t="shared" ref="C405:C406" si="229">if(OR(G405=0,G405=""),"","x")</f>
        <v/>
      </c>
      <c r="D405" s="311">
        <v>0.0</v>
      </c>
      <c r="E405" s="311">
        <v>100.0</v>
      </c>
      <c r="F405" s="311">
        <f>D405*E405</f>
        <v>0</v>
      </c>
      <c r="G405" s="311">
        <f>F405*Q$8</f>
        <v>0</v>
      </c>
      <c r="H405" s="311">
        <f t="shared" ref="H405:H408" si="230">G405</f>
        <v>0</v>
      </c>
      <c r="I405" s="312">
        <v>45797.0</v>
      </c>
      <c r="J405" s="312">
        <f t="shared" ref="J405:J407" si="231">Edate(I405,1)</f>
        <v>45828</v>
      </c>
      <c r="K405" s="139">
        <f t="shared" ref="K405:K417" si="232">if(J405="","",if(H405=0,1,0))</f>
        <v>1</v>
      </c>
      <c r="L405" s="311">
        <f t="shared" ref="L405:L419" si="233">if(J405="","",J405-$K$6)</f>
        <v>-339</v>
      </c>
      <c r="M405" s="313"/>
      <c r="N405" s="55"/>
      <c r="O405" s="284"/>
      <c r="P405" s="284"/>
      <c r="Q405" s="284"/>
      <c r="R405" s="284"/>
      <c r="S405" s="284"/>
      <c r="T405" s="284"/>
      <c r="U405" s="284"/>
      <c r="V405" s="284"/>
      <c r="W405" s="284"/>
      <c r="X405" s="284"/>
      <c r="Y405" s="284"/>
      <c r="Z405" s="284"/>
      <c r="AA405" s="284"/>
    </row>
    <row r="406" ht="22.5" customHeight="1">
      <c r="A406" s="314"/>
      <c r="B406" s="315" t="s">
        <v>2251</v>
      </c>
      <c r="C406" s="316" t="str">
        <f t="shared" si="229"/>
        <v/>
      </c>
      <c r="D406" s="317">
        <v>0.0</v>
      </c>
      <c r="E406" s="317">
        <v>5.0</v>
      </c>
      <c r="F406" s="317">
        <v>15.0</v>
      </c>
      <c r="G406" s="317">
        <v>0.0</v>
      </c>
      <c r="H406" s="317">
        <f t="shared" si="230"/>
        <v>0</v>
      </c>
      <c r="I406" s="318">
        <v>45778.0</v>
      </c>
      <c r="J406" s="318">
        <f t="shared" si="231"/>
        <v>45809</v>
      </c>
      <c r="K406" s="143">
        <f t="shared" si="232"/>
        <v>1</v>
      </c>
      <c r="L406" s="317">
        <f t="shared" si="233"/>
        <v>-358</v>
      </c>
      <c r="M406" s="319"/>
      <c r="N406" s="187"/>
      <c r="O406" s="284"/>
      <c r="P406" s="284"/>
      <c r="Q406" s="284"/>
      <c r="R406" s="284"/>
      <c r="S406" s="284"/>
      <c r="T406" s="284"/>
      <c r="U406" s="284"/>
      <c r="V406" s="284"/>
      <c r="W406" s="284"/>
      <c r="X406" s="284"/>
      <c r="Y406" s="284"/>
      <c r="Z406" s="284"/>
      <c r="AA406" s="284"/>
    </row>
    <row r="407" ht="22.5" customHeight="1">
      <c r="A407" s="128"/>
      <c r="B407" s="9" t="s">
        <v>2254</v>
      </c>
      <c r="C407" s="320" t="s">
        <v>1350</v>
      </c>
      <c r="D407" s="311">
        <v>0.0</v>
      </c>
      <c r="E407" s="311">
        <v>3.0</v>
      </c>
      <c r="F407" s="311">
        <f t="shared" ref="F407:F410" si="234">D407*E407</f>
        <v>0</v>
      </c>
      <c r="G407" s="311">
        <f>F407*$Q$5</f>
        <v>0</v>
      </c>
      <c r="H407" s="311">
        <f t="shared" si="230"/>
        <v>0</v>
      </c>
      <c r="I407" s="312">
        <v>45778.0</v>
      </c>
      <c r="J407" s="312">
        <f t="shared" si="231"/>
        <v>45809</v>
      </c>
      <c r="K407" s="139">
        <f t="shared" si="232"/>
        <v>1</v>
      </c>
      <c r="L407" s="311">
        <f t="shared" si="233"/>
        <v>-358</v>
      </c>
      <c r="M407" s="313"/>
      <c r="N407" s="55"/>
      <c r="O407" s="284"/>
      <c r="P407" s="284"/>
      <c r="Q407" s="284"/>
      <c r="R407" s="284"/>
      <c r="S407" s="284"/>
      <c r="T407" s="284"/>
      <c r="U407" s="284"/>
      <c r="V407" s="284"/>
      <c r="W407" s="284"/>
      <c r="X407" s="284"/>
      <c r="Y407" s="284"/>
      <c r="Z407" s="284"/>
      <c r="AA407" s="284"/>
    </row>
    <row r="408" ht="22.5" customHeight="1">
      <c r="A408" s="314"/>
      <c r="B408" s="315" t="s">
        <v>2255</v>
      </c>
      <c r="C408" s="316" t="str">
        <f t="shared" ref="C408:C416" si="235">if(OR(G408=0,G408=""),"","x")</f>
        <v/>
      </c>
      <c r="D408" s="317">
        <v>0.0</v>
      </c>
      <c r="E408" s="317">
        <v>1500.0</v>
      </c>
      <c r="F408" s="317">
        <f t="shared" si="234"/>
        <v>0</v>
      </c>
      <c r="G408" s="317">
        <f>F408*$Q$7</f>
        <v>0</v>
      </c>
      <c r="H408" s="317">
        <f t="shared" si="230"/>
        <v>0</v>
      </c>
      <c r="I408" s="321"/>
      <c r="J408" s="321"/>
      <c r="K408" s="147" t="str">
        <f t="shared" si="232"/>
        <v/>
      </c>
      <c r="L408" s="316" t="str">
        <f t="shared" si="233"/>
        <v/>
      </c>
      <c r="M408" s="319"/>
      <c r="N408" s="187"/>
      <c r="O408" s="284"/>
      <c r="P408" s="284"/>
      <c r="Q408" s="284"/>
      <c r="R408" s="284"/>
      <c r="S408" s="284"/>
      <c r="T408" s="284"/>
      <c r="U408" s="284"/>
      <c r="V408" s="284"/>
      <c r="W408" s="284"/>
      <c r="X408" s="284"/>
      <c r="Y408" s="284"/>
      <c r="Z408" s="284"/>
      <c r="AA408" s="284"/>
    </row>
    <row r="409" ht="22.5" customHeight="1">
      <c r="A409" s="128"/>
      <c r="B409" s="9" t="s">
        <v>2256</v>
      </c>
      <c r="C409" s="310" t="str">
        <f t="shared" si="235"/>
        <v/>
      </c>
      <c r="D409" s="311">
        <v>0.0</v>
      </c>
      <c r="E409" s="311">
        <v>500.0</v>
      </c>
      <c r="F409" s="311">
        <f t="shared" si="234"/>
        <v>0</v>
      </c>
      <c r="G409" s="311">
        <f t="shared" ref="G409:H409" si="236">F409</f>
        <v>0</v>
      </c>
      <c r="H409" s="311">
        <f t="shared" si="236"/>
        <v>0</v>
      </c>
      <c r="I409" s="322"/>
      <c r="J409" s="322"/>
      <c r="K409" s="150" t="str">
        <f t="shared" si="232"/>
        <v/>
      </c>
      <c r="L409" s="310" t="str">
        <f t="shared" si="233"/>
        <v/>
      </c>
      <c r="M409" s="313"/>
      <c r="N409" s="55"/>
      <c r="O409" s="284"/>
      <c r="P409" s="284"/>
      <c r="Q409" s="284"/>
      <c r="R409" s="284"/>
      <c r="S409" s="284"/>
      <c r="T409" s="284"/>
      <c r="U409" s="284"/>
      <c r="V409" s="284"/>
      <c r="W409" s="284"/>
      <c r="X409" s="284"/>
      <c r="Y409" s="284"/>
      <c r="Z409" s="284"/>
      <c r="AA409" s="284"/>
    </row>
    <row r="410" ht="22.5" customHeight="1">
      <c r="A410" s="314"/>
      <c r="B410" s="315" t="s">
        <v>2257</v>
      </c>
      <c r="C410" s="324" t="str">
        <f t="shared" si="235"/>
        <v>x</v>
      </c>
      <c r="D410" s="317">
        <v>16.0</v>
      </c>
      <c r="E410" s="317">
        <v>22.0</v>
      </c>
      <c r="F410" s="317">
        <f t="shared" si="234"/>
        <v>352</v>
      </c>
      <c r="G410" s="317">
        <f t="shared" ref="G410:G411" si="237">F410*$Q$6</f>
        <v>6688</v>
      </c>
      <c r="H410" s="317">
        <f t="shared" ref="H410:H413" si="238">G410</f>
        <v>6688</v>
      </c>
      <c r="I410" s="318">
        <v>45778.0</v>
      </c>
      <c r="J410" s="318">
        <f t="shared" ref="J410:J412" si="239">Edate(I410,1)</f>
        <v>45809</v>
      </c>
      <c r="K410" s="143">
        <f t="shared" si="232"/>
        <v>0</v>
      </c>
      <c r="L410" s="317">
        <f t="shared" si="233"/>
        <v>-358</v>
      </c>
      <c r="M410" s="315" t="s">
        <v>2321</v>
      </c>
      <c r="N410" s="187"/>
      <c r="O410" s="284"/>
      <c r="P410" s="284"/>
      <c r="Q410" s="284"/>
      <c r="R410" s="284"/>
      <c r="S410" s="284"/>
      <c r="T410" s="284"/>
      <c r="U410" s="284"/>
      <c r="V410" s="284"/>
      <c r="W410" s="284"/>
      <c r="X410" s="284"/>
      <c r="Y410" s="284"/>
      <c r="Z410" s="284"/>
      <c r="AA410" s="284"/>
    </row>
    <row r="411" ht="22.5" customHeight="1">
      <c r="A411" s="128"/>
      <c r="B411" s="9" t="s">
        <v>2258</v>
      </c>
      <c r="C411" s="310" t="str">
        <f t="shared" si="235"/>
        <v/>
      </c>
      <c r="D411" s="311">
        <v>0.0</v>
      </c>
      <c r="E411" s="311">
        <v>0.0</v>
      </c>
      <c r="F411" s="311">
        <v>0.0</v>
      </c>
      <c r="G411" s="311">
        <f t="shared" si="237"/>
        <v>0</v>
      </c>
      <c r="H411" s="311">
        <f t="shared" si="238"/>
        <v>0</v>
      </c>
      <c r="I411" s="312">
        <v>180.0</v>
      </c>
      <c r="J411" s="312">
        <f t="shared" si="239"/>
        <v>210</v>
      </c>
      <c r="K411" s="139">
        <f t="shared" si="232"/>
        <v>1</v>
      </c>
      <c r="L411" s="311">
        <f t="shared" si="233"/>
        <v>-45957</v>
      </c>
      <c r="M411" s="313"/>
      <c r="N411" s="55"/>
      <c r="O411" s="284"/>
      <c r="P411" s="284"/>
      <c r="Q411" s="284"/>
      <c r="R411" s="284"/>
      <c r="S411" s="284"/>
      <c r="T411" s="284"/>
      <c r="U411" s="284"/>
      <c r="V411" s="284"/>
      <c r="W411" s="284"/>
      <c r="X411" s="284"/>
      <c r="Y411" s="284"/>
      <c r="Z411" s="284"/>
      <c r="AA411" s="284"/>
    </row>
    <row r="412" ht="22.5" customHeight="1">
      <c r="A412" s="314"/>
      <c r="B412" s="315" t="s">
        <v>2259</v>
      </c>
      <c r="C412" s="316" t="str">
        <f t="shared" si="235"/>
        <v/>
      </c>
      <c r="D412" s="317">
        <v>0.0</v>
      </c>
      <c r="E412" s="317">
        <v>15000.0</v>
      </c>
      <c r="F412" s="317">
        <f t="shared" ref="F412:F414" si="240">D412*E412</f>
        <v>0</v>
      </c>
      <c r="G412" s="317">
        <f t="shared" ref="G412:G414" si="241">F412*$Q$7</f>
        <v>0</v>
      </c>
      <c r="H412" s="317">
        <f t="shared" si="238"/>
        <v>0</v>
      </c>
      <c r="I412" s="318">
        <v>45790.0</v>
      </c>
      <c r="J412" s="318">
        <f t="shared" si="239"/>
        <v>45821</v>
      </c>
      <c r="K412" s="143">
        <f t="shared" si="232"/>
        <v>1</v>
      </c>
      <c r="L412" s="317">
        <f t="shared" si="233"/>
        <v>-346</v>
      </c>
      <c r="M412" s="319"/>
      <c r="N412" s="187"/>
      <c r="O412" s="284"/>
      <c r="P412" s="284"/>
      <c r="Q412" s="284"/>
      <c r="R412" s="284"/>
      <c r="S412" s="284"/>
      <c r="T412" s="284"/>
      <c r="U412" s="284"/>
      <c r="V412" s="284"/>
      <c r="W412" s="284"/>
      <c r="X412" s="284"/>
      <c r="Y412" s="284"/>
      <c r="Z412" s="284"/>
      <c r="AA412" s="284"/>
    </row>
    <row r="413" ht="22.5" customHeight="1">
      <c r="A413" s="128"/>
      <c r="B413" s="9" t="s">
        <v>2267</v>
      </c>
      <c r="C413" s="310" t="str">
        <f t="shared" si="235"/>
        <v/>
      </c>
      <c r="D413" s="311">
        <v>0.0</v>
      </c>
      <c r="E413" s="311">
        <v>3000.0</v>
      </c>
      <c r="F413" s="311">
        <f t="shared" si="240"/>
        <v>0</v>
      </c>
      <c r="G413" s="311">
        <f t="shared" si="241"/>
        <v>0</v>
      </c>
      <c r="H413" s="311">
        <f t="shared" si="238"/>
        <v>0</v>
      </c>
      <c r="I413" s="322"/>
      <c r="J413" s="322"/>
      <c r="K413" s="150" t="str">
        <f t="shared" si="232"/>
        <v/>
      </c>
      <c r="L413" s="310" t="str">
        <f t="shared" si="233"/>
        <v/>
      </c>
      <c r="M413" s="313"/>
      <c r="N413" s="55"/>
      <c r="O413" s="284"/>
      <c r="P413" s="284"/>
      <c r="Q413" s="284"/>
      <c r="R413" s="284"/>
      <c r="S413" s="284"/>
      <c r="T413" s="284"/>
      <c r="U413" s="284"/>
      <c r="V413" s="284"/>
      <c r="W413" s="284"/>
      <c r="X413" s="284"/>
      <c r="Y413" s="284"/>
      <c r="Z413" s="284"/>
      <c r="AA413" s="284"/>
    </row>
    <row r="414" ht="22.5" customHeight="1">
      <c r="A414" s="314"/>
      <c r="B414" s="315" t="s">
        <v>2279</v>
      </c>
      <c r="C414" s="316" t="str">
        <f t="shared" si="235"/>
        <v/>
      </c>
      <c r="D414" s="317">
        <v>0.0</v>
      </c>
      <c r="E414" s="317">
        <v>5000.0</v>
      </c>
      <c r="F414" s="317">
        <f t="shared" si="240"/>
        <v>0</v>
      </c>
      <c r="G414" s="317">
        <f t="shared" si="241"/>
        <v>0</v>
      </c>
      <c r="H414" s="317">
        <v>0.0</v>
      </c>
      <c r="I414" s="321"/>
      <c r="J414" s="321"/>
      <c r="K414" s="147" t="str">
        <f t="shared" si="232"/>
        <v/>
      </c>
      <c r="L414" s="316" t="str">
        <f t="shared" si="233"/>
        <v/>
      </c>
      <c r="M414" s="319"/>
      <c r="N414" s="187"/>
      <c r="O414" s="284"/>
      <c r="P414" s="284"/>
      <c r="Q414" s="284"/>
      <c r="R414" s="284"/>
      <c r="S414" s="284"/>
      <c r="T414" s="284"/>
      <c r="U414" s="284"/>
      <c r="V414" s="284"/>
      <c r="W414" s="284"/>
      <c r="X414" s="284"/>
      <c r="Y414" s="284"/>
      <c r="Z414" s="284"/>
      <c r="AA414" s="284"/>
    </row>
    <row r="415" ht="22.5" customHeight="1">
      <c r="A415" s="128"/>
      <c r="B415" s="9" t="s">
        <v>2263</v>
      </c>
      <c r="C415" s="310" t="str">
        <f t="shared" si="235"/>
        <v/>
      </c>
      <c r="D415" s="311">
        <v>1.0</v>
      </c>
      <c r="E415" s="310"/>
      <c r="F415" s="310"/>
      <c r="G415" s="311">
        <v>0.0</v>
      </c>
      <c r="H415" s="311">
        <v>0.0</v>
      </c>
      <c r="I415" s="322"/>
      <c r="J415" s="322"/>
      <c r="K415" s="150" t="str">
        <f t="shared" si="232"/>
        <v/>
      </c>
      <c r="L415" s="310" t="str">
        <f t="shared" si="233"/>
        <v/>
      </c>
      <c r="M415" s="313"/>
      <c r="N415" s="55"/>
      <c r="O415" s="284"/>
      <c r="P415" s="284"/>
      <c r="Q415" s="284"/>
      <c r="R415" s="284"/>
      <c r="S415" s="284"/>
      <c r="T415" s="284"/>
      <c r="U415" s="284"/>
      <c r="V415" s="284"/>
      <c r="W415" s="284"/>
      <c r="X415" s="284"/>
      <c r="Y415" s="284"/>
      <c r="Z415" s="284"/>
      <c r="AA415" s="284"/>
    </row>
    <row r="416" ht="22.5" customHeight="1">
      <c r="A416" s="323" t="s">
        <v>2322</v>
      </c>
      <c r="B416" s="315" t="s">
        <v>2289</v>
      </c>
      <c r="C416" s="316" t="str">
        <f t="shared" si="235"/>
        <v/>
      </c>
      <c r="D416" s="317">
        <v>0.0</v>
      </c>
      <c r="E416" s="317">
        <v>5000.0</v>
      </c>
      <c r="F416" s="317">
        <f t="shared" ref="F416:F418" si="242">D416*E416</f>
        <v>0</v>
      </c>
      <c r="G416" s="317">
        <f t="shared" ref="G416:G417" si="243">F416*$Q$7</f>
        <v>0</v>
      </c>
      <c r="H416" s="317">
        <f t="shared" ref="H416:H418" si="244">G416</f>
        <v>0</v>
      </c>
      <c r="I416" s="318">
        <v>45801.0</v>
      </c>
      <c r="J416" s="318">
        <f t="shared" ref="J416:J418" si="245">Edate(I416,1)</f>
        <v>45832</v>
      </c>
      <c r="K416" s="143">
        <f t="shared" si="232"/>
        <v>1</v>
      </c>
      <c r="L416" s="317">
        <f t="shared" si="233"/>
        <v>-335</v>
      </c>
      <c r="M416" s="319"/>
      <c r="N416" s="187"/>
      <c r="O416" s="284"/>
      <c r="P416" s="284"/>
      <c r="Q416" s="284"/>
      <c r="R416" s="284"/>
      <c r="S416" s="284"/>
      <c r="T416" s="284"/>
      <c r="U416" s="284"/>
      <c r="V416" s="284"/>
      <c r="W416" s="284"/>
      <c r="X416" s="284"/>
      <c r="Y416" s="284"/>
      <c r="Z416" s="284"/>
      <c r="AA416" s="284"/>
    </row>
    <row r="417" ht="22.5" customHeight="1">
      <c r="A417" s="132" t="s">
        <v>2322</v>
      </c>
      <c r="B417" s="9" t="s">
        <v>2292</v>
      </c>
      <c r="C417" s="320" t="s">
        <v>1350</v>
      </c>
      <c r="D417" s="311">
        <v>0.0</v>
      </c>
      <c r="E417" s="311">
        <v>5000.0</v>
      </c>
      <c r="F417" s="311">
        <f t="shared" si="242"/>
        <v>0</v>
      </c>
      <c r="G417" s="311">
        <f t="shared" si="243"/>
        <v>0</v>
      </c>
      <c r="H417" s="311">
        <f t="shared" si="244"/>
        <v>0</v>
      </c>
      <c r="I417" s="312">
        <v>45784.0</v>
      </c>
      <c r="J417" s="312">
        <f t="shared" si="245"/>
        <v>45815</v>
      </c>
      <c r="K417" s="139">
        <f t="shared" si="232"/>
        <v>1</v>
      </c>
      <c r="L417" s="311">
        <f t="shared" si="233"/>
        <v>-352</v>
      </c>
      <c r="M417" s="45"/>
      <c r="N417" s="55"/>
      <c r="O417" s="284"/>
      <c r="P417" s="284"/>
      <c r="Q417" s="284"/>
      <c r="R417" s="284"/>
      <c r="S417" s="284"/>
      <c r="T417" s="284"/>
      <c r="U417" s="284"/>
      <c r="V417" s="284"/>
      <c r="W417" s="284"/>
      <c r="X417" s="284"/>
      <c r="Y417" s="284"/>
      <c r="Z417" s="284"/>
      <c r="AA417" s="284"/>
    </row>
    <row r="418" ht="22.5" customHeight="1">
      <c r="A418" s="329"/>
      <c r="B418" s="330" t="s">
        <v>2298</v>
      </c>
      <c r="C418" s="335" t="str">
        <f t="shared" ref="C418:C420" si="246">if(OR(G418=0,G418=""),"","x")</f>
        <v/>
      </c>
      <c r="D418" s="332">
        <v>0.0</v>
      </c>
      <c r="E418" s="332">
        <v>6.0</v>
      </c>
      <c r="F418" s="332">
        <f t="shared" si="242"/>
        <v>0</v>
      </c>
      <c r="G418" s="332">
        <f>F418*$Q$5</f>
        <v>0</v>
      </c>
      <c r="H418" s="332">
        <f t="shared" si="244"/>
        <v>0</v>
      </c>
      <c r="I418" s="333">
        <v>45802.0</v>
      </c>
      <c r="J418" s="333">
        <f t="shared" si="245"/>
        <v>45833</v>
      </c>
      <c r="K418" s="334">
        <v>0.0</v>
      </c>
      <c r="L418" s="332">
        <f t="shared" si="233"/>
        <v>-334</v>
      </c>
      <c r="M418" s="337"/>
      <c r="N418" s="300"/>
      <c r="O418" s="284"/>
      <c r="P418" s="284"/>
      <c r="Q418" s="284"/>
      <c r="R418" s="284"/>
      <c r="S418" s="284"/>
      <c r="T418" s="284"/>
      <c r="U418" s="284"/>
      <c r="V418" s="284"/>
      <c r="W418" s="284"/>
      <c r="X418" s="284"/>
      <c r="Y418" s="284"/>
      <c r="Z418" s="284"/>
      <c r="AA418" s="284"/>
    </row>
    <row r="419">
      <c r="A419" s="284"/>
      <c r="B419" s="284"/>
      <c r="C419" s="285" t="str">
        <f t="shared" si="246"/>
        <v/>
      </c>
      <c r="D419" s="285"/>
      <c r="E419" s="285"/>
      <c r="F419" s="285"/>
      <c r="G419" s="285"/>
      <c r="H419" s="285"/>
      <c r="I419" s="286"/>
      <c r="J419" s="286"/>
      <c r="K419" s="285"/>
      <c r="L419" s="285" t="str">
        <f t="shared" si="233"/>
        <v/>
      </c>
      <c r="M419" s="287"/>
      <c r="N419" s="284"/>
      <c r="O419" s="284"/>
      <c r="P419" s="284"/>
      <c r="Q419" s="284"/>
      <c r="R419" s="284"/>
      <c r="S419" s="284"/>
      <c r="T419" s="284"/>
      <c r="U419" s="284"/>
      <c r="V419" s="284"/>
      <c r="W419" s="284"/>
      <c r="X419" s="284"/>
      <c r="Y419" s="284"/>
      <c r="Z419" s="284"/>
      <c r="AA419" s="284"/>
    </row>
    <row r="420">
      <c r="A420" s="284"/>
      <c r="B420" s="284"/>
      <c r="C420" s="285" t="str">
        <f t="shared" si="246"/>
        <v/>
      </c>
      <c r="D420" s="285"/>
      <c r="E420" s="285"/>
      <c r="F420" s="285"/>
      <c r="G420" s="285"/>
      <c r="H420" s="285"/>
      <c r="I420" s="286"/>
      <c r="J420" s="286"/>
      <c r="K420" s="285"/>
      <c r="L420" s="284"/>
      <c r="M420" s="287"/>
      <c r="N420" s="284"/>
      <c r="O420" s="284"/>
      <c r="P420" s="284"/>
      <c r="Q420" s="284"/>
      <c r="R420" s="284"/>
      <c r="S420" s="284"/>
      <c r="T420" s="284"/>
      <c r="U420" s="284"/>
      <c r="V420" s="284"/>
      <c r="W420" s="284"/>
      <c r="X420" s="284"/>
      <c r="Y420" s="284"/>
      <c r="Z420" s="284"/>
      <c r="AA420" s="284"/>
    </row>
    <row r="421">
      <c r="A421" s="284"/>
      <c r="B421" s="284"/>
      <c r="C421" s="285" t="str">
        <f>if(G421=0,"","x")</f>
        <v/>
      </c>
      <c r="D421" s="285"/>
      <c r="E421" s="285"/>
      <c r="F421" s="285"/>
      <c r="G421" s="285"/>
      <c r="H421" s="285"/>
      <c r="I421" s="286"/>
      <c r="J421" s="286"/>
      <c r="K421" s="285"/>
      <c r="L421" s="284"/>
      <c r="M421" s="287"/>
      <c r="N421" s="284"/>
      <c r="O421" s="284"/>
      <c r="P421" s="284"/>
      <c r="Q421" s="284"/>
      <c r="R421" s="284"/>
      <c r="S421" s="284"/>
      <c r="T421" s="284"/>
      <c r="U421" s="284"/>
      <c r="V421" s="284"/>
      <c r="W421" s="284"/>
      <c r="X421" s="284"/>
      <c r="Y421" s="284"/>
      <c r="Z421" s="284"/>
      <c r="AA421" s="284"/>
    </row>
    <row r="422">
      <c r="A422" s="284"/>
      <c r="B422" s="293" t="s">
        <v>2246</v>
      </c>
      <c r="C422" s="289">
        <f>countif(C405:C421,"x")</f>
        <v>3</v>
      </c>
      <c r="D422" s="285"/>
      <c r="E422" s="285"/>
      <c r="F422" s="285" t="s">
        <v>874</v>
      </c>
      <c r="G422" s="297">
        <f t="shared" ref="G422:H422" si="247">sum(G405:G421)</f>
        <v>6688</v>
      </c>
      <c r="H422" s="297">
        <f t="shared" si="247"/>
        <v>6688</v>
      </c>
      <c r="I422" s="286"/>
      <c r="J422" s="286"/>
      <c r="K422" s="285"/>
      <c r="L422" s="284"/>
      <c r="M422" s="287"/>
      <c r="N422" s="284"/>
      <c r="O422" s="284"/>
      <c r="P422" s="284"/>
      <c r="Q422" s="284"/>
      <c r="R422" s="284"/>
      <c r="S422" s="284"/>
      <c r="T422" s="284"/>
      <c r="U422" s="284"/>
      <c r="V422" s="284"/>
      <c r="W422" s="284"/>
      <c r="X422" s="284"/>
      <c r="Y422" s="284"/>
      <c r="Z422" s="284"/>
      <c r="AA422" s="284"/>
    </row>
    <row r="423">
      <c r="A423" s="284"/>
      <c r="B423" s="284"/>
      <c r="C423" s="285"/>
      <c r="D423" s="285"/>
      <c r="E423" s="285"/>
      <c r="F423" s="285" t="s">
        <v>2247</v>
      </c>
      <c r="G423" s="285"/>
      <c r="H423" s="297">
        <f>H422+H398</f>
        <v>46192.665</v>
      </c>
      <c r="I423" s="286"/>
      <c r="J423" s="286"/>
      <c r="K423" s="285"/>
      <c r="L423" s="284"/>
      <c r="M423" s="287"/>
      <c r="N423" s="284"/>
      <c r="O423" s="284"/>
      <c r="P423" s="284"/>
      <c r="Q423" s="284"/>
      <c r="R423" s="284"/>
      <c r="S423" s="284"/>
      <c r="T423" s="284"/>
      <c r="U423" s="284"/>
      <c r="V423" s="284"/>
      <c r="W423" s="284"/>
      <c r="X423" s="284"/>
      <c r="Y423" s="284"/>
      <c r="Z423" s="284"/>
      <c r="AA423" s="284"/>
    </row>
    <row r="424">
      <c r="A424" s="284"/>
      <c r="B424" s="284"/>
      <c r="C424" s="285"/>
      <c r="D424" s="285"/>
      <c r="E424" s="285"/>
      <c r="F424" s="285"/>
      <c r="G424" s="285"/>
      <c r="H424" s="285"/>
      <c r="I424" s="286"/>
      <c r="J424" s="286"/>
      <c r="K424" s="285"/>
      <c r="L424" s="284"/>
      <c r="M424" s="287"/>
      <c r="N424" s="284"/>
      <c r="O424" s="284"/>
      <c r="P424" s="284"/>
      <c r="Q424" s="284"/>
      <c r="R424" s="284"/>
      <c r="S424" s="284"/>
      <c r="T424" s="284"/>
      <c r="U424" s="284"/>
      <c r="V424" s="284"/>
      <c r="W424" s="284"/>
      <c r="X424" s="284"/>
      <c r="Y424" s="284"/>
      <c r="Z424" s="284"/>
      <c r="AA424" s="284"/>
    </row>
    <row r="425">
      <c r="A425" s="284"/>
      <c r="B425" s="284"/>
      <c r="C425" s="285"/>
      <c r="D425" s="285"/>
      <c r="E425" s="285"/>
      <c r="F425" s="285"/>
      <c r="G425" s="285"/>
      <c r="H425" s="285"/>
      <c r="I425" s="286"/>
      <c r="J425" s="286"/>
      <c r="K425" s="285"/>
      <c r="L425" s="284"/>
      <c r="M425" s="287"/>
      <c r="N425" s="284"/>
      <c r="O425" s="284"/>
      <c r="P425" s="284"/>
      <c r="Q425" s="284"/>
      <c r="R425" s="284"/>
      <c r="S425" s="284"/>
      <c r="T425" s="284"/>
      <c r="U425" s="284"/>
      <c r="V425" s="284"/>
      <c r="W425" s="284"/>
      <c r="X425" s="284"/>
      <c r="Y425" s="284"/>
      <c r="Z425" s="284"/>
      <c r="AA425" s="284"/>
    </row>
    <row r="426">
      <c r="A426" s="284"/>
      <c r="B426" s="284"/>
      <c r="C426" s="285"/>
      <c r="D426" s="285"/>
      <c r="E426" s="285"/>
      <c r="F426" s="285"/>
      <c r="G426" s="285"/>
      <c r="H426" s="285"/>
      <c r="I426" s="286"/>
      <c r="J426" s="286"/>
      <c r="K426" s="285"/>
      <c r="L426" s="284"/>
      <c r="M426" s="287"/>
      <c r="N426" s="284"/>
      <c r="O426" s="284"/>
      <c r="P426" s="284"/>
      <c r="Q426" s="284"/>
      <c r="R426" s="284"/>
      <c r="S426" s="284"/>
      <c r="T426" s="284"/>
      <c r="U426" s="284"/>
      <c r="V426" s="284"/>
      <c r="W426" s="284"/>
      <c r="X426" s="284"/>
      <c r="Y426" s="284"/>
      <c r="Z426" s="284"/>
      <c r="AA426" s="284"/>
    </row>
    <row r="427">
      <c r="A427" s="284"/>
      <c r="B427" s="290" t="s">
        <v>2323</v>
      </c>
      <c r="C427" s="285"/>
      <c r="D427" s="285"/>
      <c r="E427" s="285"/>
      <c r="F427" s="285"/>
      <c r="G427" s="285"/>
      <c r="H427" s="285"/>
      <c r="I427" s="286"/>
      <c r="J427" s="286" t="s">
        <v>2233</v>
      </c>
      <c r="K427" s="291">
        <f> Today()</f>
        <v>46167</v>
      </c>
      <c r="L427" s="285"/>
      <c r="M427" s="287"/>
      <c r="N427" s="284"/>
      <c r="O427" s="284"/>
      <c r="P427" s="284"/>
      <c r="Q427" s="284"/>
      <c r="R427" s="284"/>
      <c r="S427" s="284"/>
      <c r="T427" s="284"/>
      <c r="U427" s="284"/>
      <c r="V427" s="284"/>
      <c r="W427" s="284"/>
      <c r="X427" s="284"/>
      <c r="Y427" s="284"/>
      <c r="Z427" s="284"/>
      <c r="AA427" s="284"/>
    </row>
    <row r="428">
      <c r="A428" s="284"/>
      <c r="B428" s="284"/>
      <c r="C428" s="285"/>
      <c r="D428" s="285"/>
      <c r="E428" s="285"/>
      <c r="F428" s="285"/>
      <c r="G428" s="285"/>
      <c r="H428" s="285"/>
      <c r="I428" s="286"/>
      <c r="J428" s="286"/>
      <c r="K428" s="284"/>
      <c r="L428" s="285"/>
      <c r="M428" s="287"/>
      <c r="N428" s="284"/>
      <c r="O428" s="284"/>
      <c r="P428" s="284"/>
      <c r="Q428" s="284"/>
      <c r="R428" s="284"/>
      <c r="S428" s="284"/>
      <c r="T428" s="284"/>
      <c r="U428" s="284"/>
      <c r="V428" s="284"/>
      <c r="W428" s="284"/>
      <c r="X428" s="284"/>
      <c r="Y428" s="284"/>
      <c r="Z428" s="284"/>
      <c r="AA428" s="284"/>
    </row>
    <row r="429" ht="22.5" customHeight="1">
      <c r="A429" s="78" t="s">
        <v>181</v>
      </c>
      <c r="B429" s="78" t="s">
        <v>2216</v>
      </c>
      <c r="C429" s="307" t="s">
        <v>131</v>
      </c>
      <c r="D429" s="307" t="s">
        <v>2217</v>
      </c>
      <c r="E429" s="307" t="s">
        <v>8</v>
      </c>
      <c r="F429" s="307" t="s">
        <v>873</v>
      </c>
      <c r="G429" s="307" t="s">
        <v>17</v>
      </c>
      <c r="H429" s="307" t="s">
        <v>874</v>
      </c>
      <c r="I429" s="308" t="s">
        <v>2218</v>
      </c>
      <c r="J429" s="308" t="s">
        <v>876</v>
      </c>
      <c r="K429" s="78" t="s">
        <v>877</v>
      </c>
      <c r="L429" s="307" t="s">
        <v>878</v>
      </c>
      <c r="M429" s="309" t="s">
        <v>2219</v>
      </c>
      <c r="N429" s="78" t="s">
        <v>2220</v>
      </c>
      <c r="O429" s="284"/>
      <c r="P429" s="284"/>
      <c r="Q429" s="284"/>
      <c r="R429" s="284"/>
      <c r="S429" s="284"/>
      <c r="T429" s="284"/>
      <c r="U429" s="284"/>
      <c r="V429" s="284"/>
      <c r="W429" s="284"/>
      <c r="X429" s="284"/>
      <c r="Y429" s="284"/>
      <c r="Z429" s="284"/>
      <c r="AA429" s="284"/>
    </row>
    <row r="430" ht="22.5" customHeight="1">
      <c r="A430" s="128"/>
      <c r="B430" s="9" t="s">
        <v>2249</v>
      </c>
      <c r="C430" s="310" t="str">
        <f t="shared" ref="C430:C431" si="248">if(OR(G430=0,G430=""),"","x")</f>
        <v/>
      </c>
      <c r="D430" s="311">
        <v>0.0</v>
      </c>
      <c r="E430" s="311">
        <v>100.0</v>
      </c>
      <c r="F430" s="311">
        <f>D430*E430</f>
        <v>0</v>
      </c>
      <c r="G430" s="311">
        <f>F430*Q$8</f>
        <v>0</v>
      </c>
      <c r="H430" s="311">
        <f t="shared" ref="H430:H433" si="249">G430</f>
        <v>0</v>
      </c>
      <c r="I430" s="322"/>
      <c r="J430" s="322"/>
      <c r="K430" s="150" t="str">
        <f t="shared" ref="K430:K442" si="250">if(J430="","",if(H430=0,1,0))</f>
        <v/>
      </c>
      <c r="L430" s="310" t="str">
        <f t="shared" ref="L430:L444" si="251">if(J430="","",J430-$K$6)</f>
        <v/>
      </c>
      <c r="M430" s="313"/>
      <c r="N430" s="55"/>
      <c r="O430" s="284"/>
      <c r="P430" s="284"/>
      <c r="Q430" s="284"/>
      <c r="R430" s="284"/>
      <c r="S430" s="284"/>
      <c r="T430" s="284"/>
      <c r="U430" s="284"/>
      <c r="V430" s="284"/>
      <c r="W430" s="284"/>
      <c r="X430" s="284"/>
      <c r="Y430" s="284"/>
      <c r="Z430" s="284"/>
      <c r="AA430" s="284"/>
    </row>
    <row r="431" ht="22.5" customHeight="1">
      <c r="A431" s="314"/>
      <c r="B431" s="315" t="s">
        <v>2251</v>
      </c>
      <c r="C431" s="316" t="str">
        <f t="shared" si="248"/>
        <v/>
      </c>
      <c r="D431" s="317">
        <v>0.0</v>
      </c>
      <c r="E431" s="317">
        <v>5.0</v>
      </c>
      <c r="F431" s="317">
        <v>15.0</v>
      </c>
      <c r="G431" s="317">
        <v>0.0</v>
      </c>
      <c r="H431" s="317">
        <f t="shared" si="249"/>
        <v>0</v>
      </c>
      <c r="I431" s="318">
        <v>45597.0</v>
      </c>
      <c r="J431" s="318">
        <f t="shared" ref="J431:J432" si="252">Edate(I431,1)</f>
        <v>45627</v>
      </c>
      <c r="K431" s="143">
        <f t="shared" si="250"/>
        <v>1</v>
      </c>
      <c r="L431" s="317">
        <f t="shared" si="251"/>
        <v>-540</v>
      </c>
      <c r="M431" s="319"/>
      <c r="N431" s="187"/>
      <c r="O431" s="284"/>
      <c r="P431" s="284"/>
      <c r="Q431" s="284"/>
      <c r="R431" s="284"/>
      <c r="S431" s="284"/>
      <c r="T431" s="284"/>
      <c r="U431" s="284"/>
      <c r="V431" s="284"/>
      <c r="W431" s="284"/>
      <c r="X431" s="284"/>
      <c r="Y431" s="284"/>
      <c r="Z431" s="284"/>
      <c r="AA431" s="284"/>
    </row>
    <row r="432" ht="22.5" customHeight="1">
      <c r="A432" s="132" t="s">
        <v>2324</v>
      </c>
      <c r="B432" s="9" t="s">
        <v>2254</v>
      </c>
      <c r="C432" s="310"/>
      <c r="D432" s="311">
        <v>2.25</v>
      </c>
      <c r="E432" s="311">
        <v>3.0</v>
      </c>
      <c r="F432" s="311">
        <f t="shared" ref="F432:F435" si="253">D432*E432</f>
        <v>6.75</v>
      </c>
      <c r="G432" s="311">
        <f>F432*$Q$5</f>
        <v>560.99925</v>
      </c>
      <c r="H432" s="311">
        <f t="shared" si="249"/>
        <v>560.99925</v>
      </c>
      <c r="I432" s="312">
        <v>45597.0</v>
      </c>
      <c r="J432" s="312">
        <f t="shared" si="252"/>
        <v>45627</v>
      </c>
      <c r="K432" s="139">
        <f t="shared" si="250"/>
        <v>0</v>
      </c>
      <c r="L432" s="311">
        <f t="shared" si="251"/>
        <v>-540</v>
      </c>
      <c r="M432" s="313"/>
      <c r="N432" s="55"/>
      <c r="O432" s="284"/>
      <c r="P432" s="284"/>
      <c r="Q432" s="284"/>
      <c r="R432" s="284"/>
      <c r="S432" s="284"/>
      <c r="T432" s="284"/>
      <c r="U432" s="284"/>
      <c r="V432" s="284"/>
      <c r="W432" s="284"/>
      <c r="X432" s="284"/>
      <c r="Y432" s="284"/>
      <c r="Z432" s="284"/>
      <c r="AA432" s="284"/>
    </row>
    <row r="433" ht="22.5" customHeight="1">
      <c r="A433" s="314"/>
      <c r="B433" s="315" t="s">
        <v>2255</v>
      </c>
      <c r="C433" s="316" t="str">
        <f t="shared" ref="C433:C445" si="254">if(OR(G433=0,G433=""),"","x")</f>
        <v/>
      </c>
      <c r="D433" s="317">
        <v>0.0</v>
      </c>
      <c r="E433" s="317">
        <v>1500.0</v>
      </c>
      <c r="F433" s="317">
        <f t="shared" si="253"/>
        <v>0</v>
      </c>
      <c r="G433" s="317">
        <f>F433*$Q$7</f>
        <v>0</v>
      </c>
      <c r="H433" s="317">
        <f t="shared" si="249"/>
        <v>0</v>
      </c>
      <c r="I433" s="321"/>
      <c r="J433" s="321"/>
      <c r="K433" s="147" t="str">
        <f t="shared" si="250"/>
        <v/>
      </c>
      <c r="L433" s="316" t="str">
        <f t="shared" si="251"/>
        <v/>
      </c>
      <c r="M433" s="319"/>
      <c r="N433" s="187"/>
      <c r="O433" s="284"/>
      <c r="P433" s="284"/>
      <c r="Q433" s="284"/>
      <c r="R433" s="284"/>
      <c r="S433" s="284"/>
      <c r="T433" s="284"/>
      <c r="U433" s="284"/>
      <c r="V433" s="284"/>
      <c r="W433" s="284"/>
      <c r="X433" s="284"/>
      <c r="Y433" s="284"/>
      <c r="Z433" s="284"/>
      <c r="AA433" s="284"/>
    </row>
    <row r="434" ht="22.5" customHeight="1">
      <c r="A434" s="128"/>
      <c r="B434" s="9" t="s">
        <v>2256</v>
      </c>
      <c r="C434" s="310" t="str">
        <f t="shared" si="254"/>
        <v/>
      </c>
      <c r="D434" s="311">
        <v>0.0</v>
      </c>
      <c r="E434" s="311">
        <v>500.0</v>
      </c>
      <c r="F434" s="311">
        <f t="shared" si="253"/>
        <v>0</v>
      </c>
      <c r="G434" s="311">
        <f t="shared" ref="G434:H434" si="255">F434</f>
        <v>0</v>
      </c>
      <c r="H434" s="311">
        <f t="shared" si="255"/>
        <v>0</v>
      </c>
      <c r="I434" s="322"/>
      <c r="J434" s="322"/>
      <c r="K434" s="150" t="str">
        <f t="shared" si="250"/>
        <v/>
      </c>
      <c r="L434" s="310" t="str">
        <f t="shared" si="251"/>
        <v/>
      </c>
      <c r="M434" s="313"/>
      <c r="N434" s="55"/>
      <c r="O434" s="284"/>
      <c r="P434" s="284"/>
      <c r="Q434" s="284"/>
      <c r="R434" s="284"/>
      <c r="S434" s="284"/>
      <c r="T434" s="284"/>
      <c r="U434" s="284"/>
      <c r="V434" s="284"/>
      <c r="W434" s="284"/>
      <c r="X434" s="284"/>
      <c r="Y434" s="284"/>
      <c r="Z434" s="284"/>
      <c r="AA434" s="284"/>
    </row>
    <row r="435" ht="22.5" customHeight="1">
      <c r="A435" s="314"/>
      <c r="B435" s="315" t="s">
        <v>2257</v>
      </c>
      <c r="C435" s="324" t="str">
        <f t="shared" si="254"/>
        <v>x</v>
      </c>
      <c r="D435" s="317">
        <v>9.5</v>
      </c>
      <c r="E435" s="317">
        <v>22.0</v>
      </c>
      <c r="F435" s="317">
        <f t="shared" si="253"/>
        <v>209</v>
      </c>
      <c r="G435" s="317">
        <f t="shared" ref="G435:G436" si="256">F435*$Q$6</f>
        <v>3971</v>
      </c>
      <c r="H435" s="317">
        <f t="shared" ref="H435:H443" si="257">G435</f>
        <v>3971</v>
      </c>
      <c r="I435" s="318">
        <v>45597.0</v>
      </c>
      <c r="J435" s="318">
        <f t="shared" ref="J435:J437" si="258">Edate(I435,1)</f>
        <v>45627</v>
      </c>
      <c r="K435" s="143">
        <f t="shared" si="250"/>
        <v>0</v>
      </c>
      <c r="L435" s="317">
        <f t="shared" si="251"/>
        <v>-540</v>
      </c>
      <c r="M435" s="319"/>
      <c r="N435" s="187"/>
      <c r="O435" s="284"/>
      <c r="P435" s="284"/>
      <c r="Q435" s="284"/>
      <c r="R435" s="284"/>
      <c r="S435" s="284"/>
      <c r="T435" s="284"/>
      <c r="U435" s="284"/>
      <c r="V435" s="284"/>
      <c r="W435" s="284"/>
      <c r="X435" s="284"/>
      <c r="Y435" s="284"/>
      <c r="Z435" s="284"/>
      <c r="AA435" s="284"/>
    </row>
    <row r="436" ht="22.5" customHeight="1">
      <c r="A436" s="128"/>
      <c r="B436" s="9" t="s">
        <v>2258</v>
      </c>
      <c r="C436" s="310" t="str">
        <f t="shared" si="254"/>
        <v/>
      </c>
      <c r="D436" s="311">
        <v>0.0</v>
      </c>
      <c r="E436" s="311">
        <v>0.0</v>
      </c>
      <c r="F436" s="311">
        <v>0.0</v>
      </c>
      <c r="G436" s="311">
        <f t="shared" si="256"/>
        <v>0</v>
      </c>
      <c r="H436" s="311">
        <f t="shared" si="257"/>
        <v>0</v>
      </c>
      <c r="I436" s="322"/>
      <c r="J436" s="312">
        <f t="shared" si="258"/>
        <v>31</v>
      </c>
      <c r="K436" s="139">
        <f t="shared" si="250"/>
        <v>1</v>
      </c>
      <c r="L436" s="311">
        <f t="shared" si="251"/>
        <v>-46136</v>
      </c>
      <c r="M436" s="313"/>
      <c r="N436" s="55"/>
      <c r="O436" s="284"/>
      <c r="P436" s="284"/>
      <c r="Q436" s="284"/>
      <c r="R436" s="284"/>
      <c r="S436" s="284"/>
      <c r="T436" s="284"/>
      <c r="U436" s="284"/>
      <c r="V436" s="284"/>
      <c r="W436" s="284"/>
      <c r="X436" s="284"/>
      <c r="Y436" s="284"/>
      <c r="Z436" s="284"/>
      <c r="AA436" s="284"/>
    </row>
    <row r="437" ht="22.5" customHeight="1">
      <c r="A437" s="314"/>
      <c r="B437" s="315" t="s">
        <v>2259</v>
      </c>
      <c r="C437" s="316" t="str">
        <f t="shared" si="254"/>
        <v/>
      </c>
      <c r="D437" s="317">
        <v>0.0</v>
      </c>
      <c r="E437" s="317">
        <v>15000.0</v>
      </c>
      <c r="F437" s="317">
        <f t="shared" ref="F437:F439" si="259">D437*E437</f>
        <v>0</v>
      </c>
      <c r="G437" s="317">
        <f t="shared" ref="G437:G439" si="260">F437*$Q$7</f>
        <v>0</v>
      </c>
      <c r="H437" s="317">
        <f t="shared" si="257"/>
        <v>0</v>
      </c>
      <c r="I437" s="318">
        <v>45609.0</v>
      </c>
      <c r="J437" s="318">
        <f t="shared" si="258"/>
        <v>45639</v>
      </c>
      <c r="K437" s="143">
        <f t="shared" si="250"/>
        <v>1</v>
      </c>
      <c r="L437" s="317">
        <f t="shared" si="251"/>
        <v>-528</v>
      </c>
      <c r="M437" s="319"/>
      <c r="N437" s="187"/>
      <c r="O437" s="284"/>
      <c r="P437" s="284"/>
      <c r="Q437" s="284"/>
      <c r="R437" s="284"/>
      <c r="S437" s="284"/>
      <c r="T437" s="284"/>
      <c r="U437" s="284"/>
      <c r="V437" s="284"/>
      <c r="W437" s="284"/>
      <c r="X437" s="284"/>
      <c r="Y437" s="284"/>
      <c r="Z437" s="284"/>
      <c r="AA437" s="284"/>
    </row>
    <row r="438" ht="22.5" customHeight="1">
      <c r="A438" s="128"/>
      <c r="B438" s="9" t="s">
        <v>2267</v>
      </c>
      <c r="C438" s="310" t="str">
        <f t="shared" si="254"/>
        <v/>
      </c>
      <c r="D438" s="311">
        <v>0.0</v>
      </c>
      <c r="E438" s="311">
        <v>3000.0</v>
      </c>
      <c r="F438" s="311">
        <f t="shared" si="259"/>
        <v>0</v>
      </c>
      <c r="G438" s="311">
        <f t="shared" si="260"/>
        <v>0</v>
      </c>
      <c r="H438" s="311">
        <f t="shared" si="257"/>
        <v>0</v>
      </c>
      <c r="I438" s="322"/>
      <c r="J438" s="322"/>
      <c r="K438" s="150" t="str">
        <f t="shared" si="250"/>
        <v/>
      </c>
      <c r="L438" s="310" t="str">
        <f t="shared" si="251"/>
        <v/>
      </c>
      <c r="M438" s="313"/>
      <c r="N438" s="55"/>
      <c r="O438" s="284"/>
      <c r="P438" s="284"/>
      <c r="Q438" s="284"/>
      <c r="R438" s="284"/>
      <c r="S438" s="284"/>
      <c r="T438" s="284"/>
      <c r="U438" s="284"/>
      <c r="V438" s="284"/>
      <c r="W438" s="284"/>
      <c r="X438" s="284"/>
      <c r="Y438" s="284"/>
      <c r="Z438" s="284"/>
      <c r="AA438" s="284"/>
    </row>
    <row r="439" ht="22.5" customHeight="1">
      <c r="A439" s="314"/>
      <c r="B439" s="315" t="s">
        <v>2279</v>
      </c>
      <c r="C439" s="316" t="str">
        <f t="shared" si="254"/>
        <v/>
      </c>
      <c r="D439" s="317">
        <v>0.0</v>
      </c>
      <c r="E439" s="317">
        <v>5000.0</v>
      </c>
      <c r="F439" s="317">
        <f t="shared" si="259"/>
        <v>0</v>
      </c>
      <c r="G439" s="317">
        <f t="shared" si="260"/>
        <v>0</v>
      </c>
      <c r="H439" s="317">
        <f t="shared" si="257"/>
        <v>0</v>
      </c>
      <c r="I439" s="321"/>
      <c r="J439" s="321"/>
      <c r="K439" s="147" t="str">
        <f t="shared" si="250"/>
        <v/>
      </c>
      <c r="L439" s="316" t="str">
        <f t="shared" si="251"/>
        <v/>
      </c>
      <c r="M439" s="319"/>
      <c r="N439" s="187"/>
      <c r="O439" s="284"/>
      <c r="P439" s="284"/>
      <c r="Q439" s="284"/>
      <c r="R439" s="284"/>
      <c r="S439" s="284"/>
      <c r="T439" s="284"/>
      <c r="U439" s="284"/>
      <c r="V439" s="284"/>
      <c r="W439" s="284"/>
      <c r="X439" s="284"/>
      <c r="Y439" s="284"/>
      <c r="Z439" s="284"/>
      <c r="AA439" s="284"/>
    </row>
    <row r="440" ht="22.5" customHeight="1">
      <c r="A440" s="128"/>
      <c r="B440" s="9" t="s">
        <v>2263</v>
      </c>
      <c r="C440" s="310" t="str">
        <f t="shared" si="254"/>
        <v/>
      </c>
      <c r="D440" s="311">
        <v>1.0</v>
      </c>
      <c r="E440" s="310"/>
      <c r="F440" s="310"/>
      <c r="G440" s="311">
        <v>0.0</v>
      </c>
      <c r="H440" s="311">
        <f t="shared" si="257"/>
        <v>0</v>
      </c>
      <c r="I440" s="322"/>
      <c r="J440" s="322"/>
      <c r="K440" s="150" t="str">
        <f t="shared" si="250"/>
        <v/>
      </c>
      <c r="L440" s="310" t="str">
        <f t="shared" si="251"/>
        <v/>
      </c>
      <c r="M440" s="313"/>
      <c r="N440" s="55"/>
      <c r="O440" s="284"/>
      <c r="P440" s="284"/>
      <c r="Q440" s="284"/>
      <c r="R440" s="284"/>
      <c r="S440" s="284"/>
      <c r="T440" s="284"/>
      <c r="U440" s="284"/>
      <c r="V440" s="284"/>
      <c r="W440" s="284"/>
      <c r="X440" s="284"/>
      <c r="Y440" s="284"/>
      <c r="Z440" s="284"/>
      <c r="AA440" s="284"/>
    </row>
    <row r="441" ht="22.5" customHeight="1">
      <c r="A441" s="314"/>
      <c r="B441" s="315" t="s">
        <v>2289</v>
      </c>
      <c r="C441" s="316" t="str">
        <f t="shared" si="254"/>
        <v/>
      </c>
      <c r="D441" s="317">
        <v>0.0</v>
      </c>
      <c r="E441" s="317">
        <v>5000.0</v>
      </c>
      <c r="F441" s="317">
        <f t="shared" ref="F441:F443" si="261">D441*E441</f>
        <v>0</v>
      </c>
      <c r="G441" s="317">
        <f t="shared" ref="G441:G442" si="262">F441*$Q$7</f>
        <v>0</v>
      </c>
      <c r="H441" s="317">
        <f t="shared" si="257"/>
        <v>0</v>
      </c>
      <c r="I441" s="318">
        <v>45620.0</v>
      </c>
      <c r="J441" s="318">
        <f t="shared" ref="J441:J443" si="263">Edate(I441,1)</f>
        <v>45650</v>
      </c>
      <c r="K441" s="143">
        <f t="shared" si="250"/>
        <v>1</v>
      </c>
      <c r="L441" s="317">
        <f t="shared" si="251"/>
        <v>-517</v>
      </c>
      <c r="M441" s="319"/>
      <c r="N441" s="187"/>
      <c r="O441" s="284"/>
      <c r="P441" s="284"/>
      <c r="Q441" s="284"/>
      <c r="R441" s="284"/>
      <c r="S441" s="284"/>
      <c r="T441" s="284"/>
      <c r="U441" s="284"/>
      <c r="V441" s="284"/>
      <c r="W441" s="284"/>
      <c r="X441" s="284"/>
      <c r="Y441" s="284"/>
      <c r="Z441" s="284"/>
      <c r="AA441" s="284"/>
    </row>
    <row r="442" ht="22.5" customHeight="1">
      <c r="A442" s="132" t="s">
        <v>2325</v>
      </c>
      <c r="B442" s="9" t="s">
        <v>2292</v>
      </c>
      <c r="C442" s="310" t="str">
        <f t="shared" si="254"/>
        <v/>
      </c>
      <c r="D442" s="311">
        <v>0.0</v>
      </c>
      <c r="E442" s="311">
        <v>6000.0</v>
      </c>
      <c r="F442" s="311">
        <f t="shared" si="261"/>
        <v>0</v>
      </c>
      <c r="G442" s="311">
        <f t="shared" si="262"/>
        <v>0</v>
      </c>
      <c r="H442" s="311">
        <f t="shared" si="257"/>
        <v>0</v>
      </c>
      <c r="I442" s="312">
        <v>45603.0</v>
      </c>
      <c r="J442" s="312">
        <f t="shared" si="263"/>
        <v>45633</v>
      </c>
      <c r="K442" s="139">
        <f t="shared" si="250"/>
        <v>1</v>
      </c>
      <c r="L442" s="311">
        <f t="shared" si="251"/>
        <v>-534</v>
      </c>
      <c r="M442" s="9" t="s">
        <v>2326</v>
      </c>
      <c r="N442" s="55"/>
      <c r="O442" s="284"/>
      <c r="P442" s="284"/>
      <c r="Q442" s="284"/>
      <c r="R442" s="284"/>
      <c r="S442" s="284"/>
      <c r="T442" s="284"/>
      <c r="U442" s="284"/>
      <c r="V442" s="284"/>
      <c r="W442" s="284"/>
      <c r="X442" s="284"/>
      <c r="Y442" s="284"/>
      <c r="Z442" s="284"/>
      <c r="AA442" s="284"/>
    </row>
    <row r="443" ht="22.5" customHeight="1">
      <c r="A443" s="329"/>
      <c r="B443" s="330" t="s">
        <v>2298</v>
      </c>
      <c r="C443" s="335" t="str">
        <f t="shared" si="254"/>
        <v/>
      </c>
      <c r="D443" s="332">
        <v>0.0</v>
      </c>
      <c r="E443" s="332">
        <v>6.0</v>
      </c>
      <c r="F443" s="332">
        <f t="shared" si="261"/>
        <v>0</v>
      </c>
      <c r="G443" s="332">
        <f>F443*$Q$5</f>
        <v>0</v>
      </c>
      <c r="H443" s="332">
        <f t="shared" si="257"/>
        <v>0</v>
      </c>
      <c r="I443" s="333">
        <v>45621.0</v>
      </c>
      <c r="J443" s="333">
        <f t="shared" si="263"/>
        <v>45651</v>
      </c>
      <c r="K443" s="334">
        <v>0.0</v>
      </c>
      <c r="L443" s="332">
        <f t="shared" si="251"/>
        <v>-516</v>
      </c>
      <c r="M443" s="337"/>
      <c r="N443" s="300"/>
      <c r="O443" s="284"/>
      <c r="P443" s="284"/>
      <c r="Q443" s="284"/>
      <c r="R443" s="284"/>
      <c r="S443" s="284"/>
      <c r="T443" s="284"/>
      <c r="U443" s="284"/>
      <c r="V443" s="284"/>
      <c r="W443" s="284"/>
      <c r="X443" s="284"/>
      <c r="Y443" s="284"/>
      <c r="Z443" s="284"/>
      <c r="AA443" s="284"/>
    </row>
    <row r="444">
      <c r="A444" s="284"/>
      <c r="B444" s="284"/>
      <c r="C444" s="285" t="str">
        <f t="shared" si="254"/>
        <v/>
      </c>
      <c r="D444" s="285"/>
      <c r="E444" s="285"/>
      <c r="F444" s="285"/>
      <c r="G444" s="285"/>
      <c r="H444" s="285"/>
      <c r="I444" s="286"/>
      <c r="J444" s="286"/>
      <c r="K444" s="285"/>
      <c r="L444" s="285" t="str">
        <f t="shared" si="251"/>
        <v/>
      </c>
      <c r="M444" s="287"/>
      <c r="N444" s="284"/>
      <c r="O444" s="284"/>
      <c r="P444" s="284"/>
      <c r="Q444" s="284"/>
      <c r="R444" s="284"/>
      <c r="S444" s="284"/>
      <c r="T444" s="284"/>
      <c r="U444" s="284"/>
      <c r="V444" s="284"/>
      <c r="W444" s="284"/>
      <c r="X444" s="284"/>
      <c r="Y444" s="284"/>
      <c r="Z444" s="284"/>
      <c r="AA444" s="284"/>
    </row>
    <row r="445">
      <c r="A445" s="284"/>
      <c r="B445" s="284"/>
      <c r="C445" s="285" t="str">
        <f t="shared" si="254"/>
        <v/>
      </c>
      <c r="D445" s="285"/>
      <c r="E445" s="285"/>
      <c r="F445" s="285"/>
      <c r="G445" s="285"/>
      <c r="H445" s="285"/>
      <c r="I445" s="286"/>
      <c r="J445" s="286"/>
      <c r="K445" s="285"/>
      <c r="L445" s="284"/>
      <c r="M445" s="287"/>
      <c r="N445" s="284"/>
      <c r="O445" s="284"/>
      <c r="P445" s="284"/>
      <c r="Q445" s="284"/>
      <c r="R445" s="284"/>
      <c r="S445" s="284"/>
      <c r="T445" s="284"/>
      <c r="U445" s="284"/>
      <c r="V445" s="284"/>
      <c r="W445" s="284"/>
      <c r="X445" s="284"/>
      <c r="Y445" s="284"/>
      <c r="Z445" s="284"/>
      <c r="AA445" s="284"/>
    </row>
    <row r="446">
      <c r="A446" s="284"/>
      <c r="B446" s="284"/>
      <c r="C446" s="285" t="str">
        <f>if(G446=0,"","x")</f>
        <v/>
      </c>
      <c r="D446" s="285"/>
      <c r="E446" s="285"/>
      <c r="F446" s="285"/>
      <c r="G446" s="285"/>
      <c r="H446" s="285"/>
      <c r="I446" s="286"/>
      <c r="J446" s="286"/>
      <c r="K446" s="285"/>
      <c r="L446" s="284"/>
      <c r="M446" s="287"/>
      <c r="N446" s="284"/>
      <c r="O446" s="284"/>
      <c r="P446" s="284"/>
      <c r="Q446" s="284"/>
      <c r="R446" s="284"/>
      <c r="S446" s="284"/>
      <c r="T446" s="284"/>
      <c r="U446" s="284"/>
      <c r="V446" s="284"/>
      <c r="W446" s="284"/>
      <c r="X446" s="284"/>
      <c r="Y446" s="284"/>
      <c r="Z446" s="284"/>
      <c r="AA446" s="284"/>
    </row>
    <row r="447">
      <c r="A447" s="284"/>
      <c r="B447" s="293" t="s">
        <v>2246</v>
      </c>
      <c r="C447" s="289">
        <f>countif(C430:C446,"x")</f>
        <v>1</v>
      </c>
      <c r="D447" s="285"/>
      <c r="E447" s="285"/>
      <c r="F447" s="285" t="s">
        <v>874</v>
      </c>
      <c r="G447" s="297">
        <f t="shared" ref="G447:H447" si="264">sum(G430:G446)</f>
        <v>4531.99925</v>
      </c>
      <c r="H447" s="297">
        <f t="shared" si="264"/>
        <v>4531.99925</v>
      </c>
      <c r="I447" s="286"/>
      <c r="J447" s="286"/>
      <c r="K447" s="285"/>
      <c r="L447" s="284"/>
      <c r="M447" s="287"/>
      <c r="N447" s="284"/>
      <c r="O447" s="284"/>
      <c r="P447" s="284"/>
      <c r="Q447" s="284"/>
      <c r="R447" s="284"/>
      <c r="S447" s="284"/>
      <c r="T447" s="284"/>
      <c r="U447" s="284"/>
      <c r="V447" s="284"/>
      <c r="W447" s="284"/>
      <c r="X447" s="284"/>
      <c r="Y447" s="284"/>
      <c r="Z447" s="284"/>
      <c r="AA447" s="284"/>
    </row>
    <row r="448">
      <c r="A448" s="284"/>
      <c r="B448" s="284"/>
      <c r="C448" s="285"/>
      <c r="D448" s="285"/>
      <c r="E448" s="285"/>
      <c r="F448" s="285" t="s">
        <v>2247</v>
      </c>
      <c r="G448" s="285"/>
      <c r="H448" s="297">
        <f>H447+H423</f>
        <v>50724.66425</v>
      </c>
      <c r="I448" s="286"/>
      <c r="J448" s="286"/>
      <c r="K448" s="285"/>
      <c r="L448" s="284"/>
      <c r="M448" s="287"/>
      <c r="N448" s="284"/>
      <c r="O448" s="284"/>
      <c r="P448" s="284"/>
      <c r="Q448" s="284"/>
      <c r="R448" s="284"/>
      <c r="S448" s="284"/>
      <c r="T448" s="284"/>
      <c r="U448" s="284"/>
      <c r="V448" s="284"/>
      <c r="W448" s="284"/>
      <c r="X448" s="284"/>
      <c r="Y448" s="284"/>
      <c r="Z448" s="284"/>
      <c r="AA448" s="284"/>
    </row>
    <row r="449">
      <c r="A449" s="284"/>
      <c r="B449" s="284"/>
      <c r="C449" s="285"/>
      <c r="D449" s="285"/>
      <c r="E449" s="285"/>
      <c r="F449" s="285"/>
      <c r="G449" s="285"/>
      <c r="H449" s="285"/>
      <c r="I449" s="286"/>
      <c r="J449" s="286"/>
      <c r="K449" s="285"/>
      <c r="L449" s="284"/>
      <c r="M449" s="287"/>
      <c r="N449" s="284"/>
      <c r="O449" s="284"/>
      <c r="P449" s="284"/>
      <c r="Q449" s="284"/>
      <c r="R449" s="284"/>
      <c r="S449" s="284"/>
      <c r="T449" s="284"/>
      <c r="U449" s="284"/>
      <c r="V449" s="284"/>
      <c r="W449" s="284"/>
      <c r="X449" s="284"/>
      <c r="Y449" s="284"/>
      <c r="Z449" s="284"/>
      <c r="AA449" s="284"/>
    </row>
    <row r="450">
      <c r="A450" s="284"/>
      <c r="B450" s="284"/>
      <c r="C450" s="285"/>
      <c r="D450" s="285"/>
      <c r="E450" s="285"/>
      <c r="F450" s="285"/>
      <c r="G450" s="285"/>
      <c r="H450" s="285"/>
      <c r="I450" s="286"/>
      <c r="J450" s="286"/>
      <c r="K450" s="285"/>
      <c r="L450" s="284"/>
      <c r="M450" s="287"/>
      <c r="N450" s="284"/>
      <c r="O450" s="284"/>
      <c r="P450" s="284"/>
      <c r="Q450" s="284"/>
      <c r="R450" s="284"/>
      <c r="S450" s="284"/>
      <c r="T450" s="284"/>
      <c r="U450" s="284"/>
      <c r="V450" s="284"/>
      <c r="W450" s="284"/>
      <c r="X450" s="284"/>
      <c r="Y450" s="284"/>
      <c r="Z450" s="284"/>
      <c r="AA450" s="284"/>
    </row>
    <row r="451">
      <c r="A451" s="284"/>
      <c r="B451" s="284"/>
      <c r="C451" s="285"/>
      <c r="D451" s="285"/>
      <c r="E451" s="285"/>
      <c r="F451" s="285"/>
      <c r="G451" s="285"/>
      <c r="H451" s="285"/>
      <c r="I451" s="286"/>
      <c r="J451" s="286"/>
      <c r="K451" s="285"/>
      <c r="L451" s="284"/>
      <c r="M451" s="287"/>
      <c r="N451" s="284"/>
      <c r="O451" s="284"/>
      <c r="P451" s="284"/>
      <c r="Q451" s="284"/>
      <c r="R451" s="284"/>
      <c r="S451" s="284"/>
      <c r="T451" s="284"/>
      <c r="U451" s="284"/>
      <c r="V451" s="284"/>
      <c r="W451" s="284"/>
      <c r="X451" s="284"/>
      <c r="Y451" s="284"/>
      <c r="Z451" s="284"/>
      <c r="AA451" s="284"/>
    </row>
    <row r="452">
      <c r="A452" s="284"/>
      <c r="B452" s="290" t="s">
        <v>2357</v>
      </c>
      <c r="C452" s="285"/>
      <c r="D452" s="285"/>
      <c r="E452" s="285"/>
      <c r="F452" s="285"/>
      <c r="G452" s="285"/>
      <c r="H452" s="285"/>
      <c r="I452" s="286"/>
      <c r="J452" s="286" t="s">
        <v>2233</v>
      </c>
      <c r="K452" s="291">
        <f> Today()</f>
        <v>46167</v>
      </c>
      <c r="L452" s="285"/>
      <c r="M452" s="287"/>
      <c r="N452" s="284"/>
      <c r="O452" s="284"/>
      <c r="P452" s="284"/>
      <c r="Q452" s="284"/>
      <c r="R452" s="284"/>
      <c r="S452" s="284"/>
      <c r="T452" s="284"/>
      <c r="U452" s="284"/>
      <c r="V452" s="284"/>
      <c r="W452" s="284"/>
      <c r="X452" s="284"/>
      <c r="Y452" s="284"/>
      <c r="Z452" s="284"/>
      <c r="AA452" s="284"/>
    </row>
    <row r="453">
      <c r="A453" s="284"/>
      <c r="B453" s="284"/>
      <c r="C453" s="285"/>
      <c r="D453" s="285"/>
      <c r="E453" s="285"/>
      <c r="F453" s="285"/>
      <c r="G453" s="285"/>
      <c r="H453" s="285"/>
      <c r="I453" s="286"/>
      <c r="J453" s="286"/>
      <c r="K453" s="284"/>
      <c r="L453" s="285"/>
      <c r="M453" s="287"/>
      <c r="N453" s="284"/>
      <c r="O453" s="284"/>
      <c r="P453" s="284"/>
      <c r="Q453" s="284"/>
      <c r="R453" s="284"/>
      <c r="S453" s="284"/>
      <c r="T453" s="284"/>
      <c r="U453" s="284"/>
      <c r="V453" s="284"/>
      <c r="W453" s="284"/>
      <c r="X453" s="284"/>
      <c r="Y453" s="284"/>
      <c r="Z453" s="284"/>
      <c r="AA453" s="284"/>
    </row>
    <row r="454" ht="22.5" customHeight="1">
      <c r="A454" s="78" t="s">
        <v>181</v>
      </c>
      <c r="B454" s="78" t="s">
        <v>2216</v>
      </c>
      <c r="C454" s="307" t="s">
        <v>131</v>
      </c>
      <c r="D454" s="307" t="s">
        <v>2217</v>
      </c>
      <c r="E454" s="307" t="s">
        <v>8</v>
      </c>
      <c r="F454" s="307" t="s">
        <v>873</v>
      </c>
      <c r="G454" s="307" t="s">
        <v>17</v>
      </c>
      <c r="H454" s="307" t="s">
        <v>874</v>
      </c>
      <c r="I454" s="308" t="s">
        <v>2218</v>
      </c>
      <c r="J454" s="308" t="s">
        <v>876</v>
      </c>
      <c r="K454" s="78" t="s">
        <v>877</v>
      </c>
      <c r="L454" s="307" t="s">
        <v>878</v>
      </c>
      <c r="M454" s="309" t="s">
        <v>2219</v>
      </c>
      <c r="N454" s="78" t="s">
        <v>2220</v>
      </c>
      <c r="O454" s="284"/>
      <c r="P454" s="284"/>
      <c r="Q454" s="284"/>
      <c r="R454" s="284"/>
      <c r="S454" s="284"/>
      <c r="T454" s="284"/>
      <c r="U454" s="284"/>
      <c r="V454" s="284"/>
      <c r="W454" s="284"/>
      <c r="X454" s="284"/>
      <c r="Y454" s="284"/>
      <c r="Z454" s="284"/>
      <c r="AA454" s="284"/>
    </row>
    <row r="455" ht="22.5" customHeight="1">
      <c r="A455" s="128"/>
      <c r="B455" s="9" t="s">
        <v>2249</v>
      </c>
      <c r="C455" s="310" t="str">
        <f t="shared" ref="C455:C456" si="265">if(OR(G455=0,G455=""),"","x")</f>
        <v/>
      </c>
      <c r="D455" s="311">
        <v>0.0</v>
      </c>
      <c r="E455" s="311">
        <v>100.0</v>
      </c>
      <c r="F455" s="311">
        <f>D455*E455</f>
        <v>0</v>
      </c>
      <c r="G455" s="311">
        <f>F455*Q$8</f>
        <v>0</v>
      </c>
      <c r="H455" s="311">
        <f t="shared" ref="H455:H458" si="266">G455</f>
        <v>0</v>
      </c>
      <c r="I455" s="322"/>
      <c r="J455" s="322"/>
      <c r="K455" s="150" t="str">
        <f t="shared" ref="K455:K468" si="267">if(J455="","",if(H455=0,1,0))</f>
        <v/>
      </c>
      <c r="L455" s="310" t="str">
        <f t="shared" ref="L455:L470" si="268">if(J455="","",J455-$K$6)</f>
        <v/>
      </c>
      <c r="M455" s="313"/>
      <c r="N455" s="55"/>
      <c r="O455" s="284"/>
      <c r="P455" s="284"/>
      <c r="Q455" s="284"/>
      <c r="R455" s="284"/>
      <c r="S455" s="284"/>
      <c r="T455" s="284"/>
      <c r="U455" s="284"/>
      <c r="V455" s="284"/>
      <c r="W455" s="284"/>
      <c r="X455" s="284"/>
      <c r="Y455" s="284"/>
      <c r="Z455" s="284"/>
      <c r="AA455" s="284"/>
    </row>
    <row r="456" ht="22.5" customHeight="1">
      <c r="A456" s="314"/>
      <c r="B456" s="315" t="s">
        <v>2251</v>
      </c>
      <c r="C456" s="316" t="str">
        <f t="shared" si="265"/>
        <v/>
      </c>
      <c r="D456" s="317">
        <v>0.0</v>
      </c>
      <c r="E456" s="317">
        <v>5.0</v>
      </c>
      <c r="F456" s="317">
        <v>15.0</v>
      </c>
      <c r="G456" s="317">
        <v>0.0</v>
      </c>
      <c r="H456" s="317">
        <f t="shared" si="266"/>
        <v>0</v>
      </c>
      <c r="I456" s="318">
        <v>45597.0</v>
      </c>
      <c r="J456" s="318">
        <f t="shared" ref="J456:J457" si="269">Edate(I456,1)</f>
        <v>45627</v>
      </c>
      <c r="K456" s="143">
        <f t="shared" si="267"/>
        <v>1</v>
      </c>
      <c r="L456" s="317">
        <f t="shared" si="268"/>
        <v>-540</v>
      </c>
      <c r="M456" s="319"/>
      <c r="N456" s="187"/>
      <c r="O456" s="284"/>
      <c r="P456" s="284"/>
      <c r="Q456" s="284"/>
      <c r="R456" s="284"/>
      <c r="S456" s="284"/>
      <c r="T456" s="284"/>
      <c r="U456" s="284"/>
      <c r="V456" s="284"/>
      <c r="W456" s="284"/>
      <c r="X456" s="284"/>
      <c r="Y456" s="284"/>
      <c r="Z456" s="284"/>
      <c r="AA456" s="284"/>
    </row>
    <row r="457" ht="22.5" customHeight="1">
      <c r="A457" s="132" t="s">
        <v>2327</v>
      </c>
      <c r="B457" s="9" t="s">
        <v>2254</v>
      </c>
      <c r="C457" s="310"/>
      <c r="D457" s="311">
        <v>8.25</v>
      </c>
      <c r="E457" s="311">
        <v>3.0</v>
      </c>
      <c r="F457" s="311">
        <f t="shared" ref="F457:F460" si="270">D457*E457</f>
        <v>24.75</v>
      </c>
      <c r="G457" s="311">
        <f>F457*$Q$5</f>
        <v>2056.99725</v>
      </c>
      <c r="H457" s="311">
        <f t="shared" si="266"/>
        <v>2056.99725</v>
      </c>
      <c r="I457" s="312">
        <v>45597.0</v>
      </c>
      <c r="J457" s="312">
        <f t="shared" si="269"/>
        <v>45627</v>
      </c>
      <c r="K457" s="139">
        <f t="shared" si="267"/>
        <v>0</v>
      </c>
      <c r="L457" s="311">
        <f t="shared" si="268"/>
        <v>-540</v>
      </c>
      <c r="M457" s="313"/>
      <c r="N457" s="55"/>
      <c r="O457" s="284"/>
      <c r="P457" s="284"/>
      <c r="Q457" s="284"/>
      <c r="R457" s="284"/>
      <c r="S457" s="284"/>
      <c r="T457" s="284"/>
      <c r="U457" s="284"/>
      <c r="V457" s="284"/>
      <c r="W457" s="284"/>
      <c r="X457" s="284"/>
      <c r="Y457" s="284"/>
      <c r="Z457" s="284"/>
      <c r="AA457" s="284"/>
    </row>
    <row r="458" ht="22.5" customHeight="1">
      <c r="A458" s="314"/>
      <c r="B458" s="315" t="s">
        <v>2255</v>
      </c>
      <c r="C458" s="316" t="str">
        <f t="shared" ref="C458:C471" si="271">if(OR(G458=0,G458=""),"","x")</f>
        <v/>
      </c>
      <c r="D458" s="317">
        <v>0.0</v>
      </c>
      <c r="E458" s="317">
        <v>1500.0</v>
      </c>
      <c r="F458" s="317">
        <f t="shared" si="270"/>
        <v>0</v>
      </c>
      <c r="G458" s="317">
        <f>F458*$Q$7</f>
        <v>0</v>
      </c>
      <c r="H458" s="317">
        <f t="shared" si="266"/>
        <v>0</v>
      </c>
      <c r="I458" s="321"/>
      <c r="J458" s="321"/>
      <c r="K458" s="147" t="str">
        <f t="shared" si="267"/>
        <v/>
      </c>
      <c r="L458" s="316" t="str">
        <f t="shared" si="268"/>
        <v/>
      </c>
      <c r="M458" s="319"/>
      <c r="N458" s="187"/>
      <c r="O458" s="284"/>
      <c r="P458" s="284"/>
      <c r="Q458" s="284"/>
      <c r="R458" s="284"/>
      <c r="S458" s="284"/>
      <c r="T458" s="284"/>
      <c r="U458" s="284"/>
      <c r="V458" s="284"/>
      <c r="W458" s="284"/>
      <c r="X458" s="284"/>
      <c r="Y458" s="284"/>
      <c r="Z458" s="284"/>
      <c r="AA458" s="284"/>
    </row>
    <row r="459" ht="22.5" customHeight="1">
      <c r="A459" s="128"/>
      <c r="B459" s="9" t="s">
        <v>2256</v>
      </c>
      <c r="C459" s="310" t="str">
        <f t="shared" si="271"/>
        <v/>
      </c>
      <c r="D459" s="311">
        <v>0.0</v>
      </c>
      <c r="E459" s="311">
        <v>500.0</v>
      </c>
      <c r="F459" s="311">
        <f t="shared" si="270"/>
        <v>0</v>
      </c>
      <c r="G459" s="311">
        <f t="shared" ref="G459:H459" si="272">F459</f>
        <v>0</v>
      </c>
      <c r="H459" s="311">
        <f t="shared" si="272"/>
        <v>0</v>
      </c>
      <c r="I459" s="322"/>
      <c r="J459" s="322"/>
      <c r="K459" s="150" t="str">
        <f t="shared" si="267"/>
        <v/>
      </c>
      <c r="L459" s="310" t="str">
        <f t="shared" si="268"/>
        <v/>
      </c>
      <c r="M459" s="313"/>
      <c r="N459" s="55"/>
      <c r="O459" s="284"/>
      <c r="P459" s="284"/>
      <c r="Q459" s="284"/>
      <c r="R459" s="284"/>
      <c r="S459" s="284"/>
      <c r="T459" s="284"/>
      <c r="U459" s="284"/>
      <c r="V459" s="284"/>
      <c r="W459" s="284"/>
      <c r="X459" s="284"/>
      <c r="Y459" s="284"/>
      <c r="Z459" s="284"/>
      <c r="AA459" s="284"/>
    </row>
    <row r="460" ht="22.5" customHeight="1">
      <c r="A460" s="314"/>
      <c r="B460" s="315" t="s">
        <v>2257</v>
      </c>
      <c r="C460" s="316" t="str">
        <f t="shared" si="271"/>
        <v/>
      </c>
      <c r="D460" s="317">
        <v>0.0</v>
      </c>
      <c r="E460" s="317">
        <v>22.0</v>
      </c>
      <c r="F460" s="317">
        <f t="shared" si="270"/>
        <v>0</v>
      </c>
      <c r="G460" s="317">
        <f t="shared" ref="G460:G461" si="273">F460*$Q$6</f>
        <v>0</v>
      </c>
      <c r="H460" s="317">
        <f t="shared" ref="H460:H463" si="274">G460</f>
        <v>0</v>
      </c>
      <c r="I460" s="318">
        <v>45597.0</v>
      </c>
      <c r="J460" s="318">
        <f t="shared" ref="J460:J462" si="275">Edate(I460,1)</f>
        <v>45627</v>
      </c>
      <c r="K460" s="143">
        <f t="shared" si="267"/>
        <v>1</v>
      </c>
      <c r="L460" s="317">
        <f t="shared" si="268"/>
        <v>-540</v>
      </c>
      <c r="M460" s="319"/>
      <c r="N460" s="187"/>
      <c r="O460" s="284"/>
      <c r="P460" s="284"/>
      <c r="Q460" s="284"/>
      <c r="R460" s="284"/>
      <c r="S460" s="284"/>
      <c r="T460" s="284"/>
      <c r="U460" s="284"/>
      <c r="V460" s="284"/>
      <c r="W460" s="284"/>
      <c r="X460" s="284"/>
      <c r="Y460" s="284"/>
      <c r="Z460" s="284"/>
      <c r="AA460" s="284"/>
    </row>
    <row r="461" ht="22.5" customHeight="1">
      <c r="A461" s="128"/>
      <c r="B461" s="9" t="s">
        <v>2258</v>
      </c>
      <c r="C461" s="310" t="str">
        <f t="shared" si="271"/>
        <v/>
      </c>
      <c r="D461" s="311">
        <v>0.0</v>
      </c>
      <c r="E461" s="311">
        <v>0.0</v>
      </c>
      <c r="F461" s="311">
        <v>0.0</v>
      </c>
      <c r="G461" s="311">
        <f t="shared" si="273"/>
        <v>0</v>
      </c>
      <c r="H461" s="311">
        <f t="shared" si="274"/>
        <v>0</v>
      </c>
      <c r="I461" s="322"/>
      <c r="J461" s="312">
        <f t="shared" si="275"/>
        <v>31</v>
      </c>
      <c r="K461" s="139">
        <f t="shared" si="267"/>
        <v>1</v>
      </c>
      <c r="L461" s="311">
        <f t="shared" si="268"/>
        <v>-46136</v>
      </c>
      <c r="M461" s="313"/>
      <c r="N461" s="55"/>
      <c r="O461" s="284"/>
      <c r="P461" s="284"/>
      <c r="Q461" s="284"/>
      <c r="R461" s="284"/>
      <c r="S461" s="284"/>
      <c r="T461" s="284"/>
      <c r="U461" s="284"/>
      <c r="V461" s="284"/>
      <c r="W461" s="284"/>
      <c r="X461" s="284"/>
      <c r="Y461" s="284"/>
      <c r="Z461" s="284"/>
      <c r="AA461" s="284"/>
    </row>
    <row r="462" ht="22.5" customHeight="1">
      <c r="A462" s="314"/>
      <c r="B462" s="315" t="s">
        <v>2259</v>
      </c>
      <c r="C462" s="316" t="str">
        <f t="shared" si="271"/>
        <v/>
      </c>
      <c r="D462" s="317">
        <v>0.0</v>
      </c>
      <c r="E462" s="317">
        <v>15000.0</v>
      </c>
      <c r="F462" s="317">
        <f t="shared" ref="F462:F464" si="276">D462*E462</f>
        <v>0</v>
      </c>
      <c r="G462" s="317">
        <f t="shared" ref="G462:G464" si="277">F462*$Q$7</f>
        <v>0</v>
      </c>
      <c r="H462" s="317">
        <f t="shared" si="274"/>
        <v>0</v>
      </c>
      <c r="I462" s="318">
        <v>45609.0</v>
      </c>
      <c r="J462" s="318">
        <f t="shared" si="275"/>
        <v>45639</v>
      </c>
      <c r="K462" s="143">
        <f t="shared" si="267"/>
        <v>1</v>
      </c>
      <c r="L462" s="317">
        <f t="shared" si="268"/>
        <v>-528</v>
      </c>
      <c r="M462" s="319"/>
      <c r="N462" s="187"/>
      <c r="O462" s="284"/>
      <c r="P462" s="284"/>
      <c r="Q462" s="284"/>
      <c r="R462" s="284"/>
      <c r="S462" s="284"/>
      <c r="T462" s="284"/>
      <c r="U462" s="284"/>
      <c r="V462" s="284"/>
      <c r="W462" s="284"/>
      <c r="X462" s="284"/>
      <c r="Y462" s="284"/>
      <c r="Z462" s="284"/>
      <c r="AA462" s="284"/>
    </row>
    <row r="463" ht="22.5" customHeight="1">
      <c r="A463" s="128"/>
      <c r="B463" s="9" t="s">
        <v>2267</v>
      </c>
      <c r="C463" s="310" t="str">
        <f t="shared" si="271"/>
        <v/>
      </c>
      <c r="D463" s="311">
        <v>0.0</v>
      </c>
      <c r="E463" s="311">
        <v>3000.0</v>
      </c>
      <c r="F463" s="311">
        <f t="shared" si="276"/>
        <v>0</v>
      </c>
      <c r="G463" s="311">
        <f t="shared" si="277"/>
        <v>0</v>
      </c>
      <c r="H463" s="311">
        <f t="shared" si="274"/>
        <v>0</v>
      </c>
      <c r="I463" s="322"/>
      <c r="J463" s="322"/>
      <c r="K463" s="150" t="str">
        <f t="shared" si="267"/>
        <v/>
      </c>
      <c r="L463" s="310" t="str">
        <f t="shared" si="268"/>
        <v/>
      </c>
      <c r="M463" s="313"/>
      <c r="N463" s="55"/>
      <c r="O463" s="284"/>
      <c r="P463" s="284"/>
      <c r="Q463" s="284"/>
      <c r="R463" s="284"/>
      <c r="S463" s="284"/>
      <c r="T463" s="284"/>
      <c r="U463" s="284"/>
      <c r="V463" s="284"/>
      <c r="W463" s="284"/>
      <c r="X463" s="284"/>
      <c r="Y463" s="284"/>
      <c r="Z463" s="284"/>
      <c r="AA463" s="284"/>
    </row>
    <row r="464" ht="22.5" customHeight="1">
      <c r="A464" s="314"/>
      <c r="B464" s="315" t="s">
        <v>2279</v>
      </c>
      <c r="C464" s="316" t="str">
        <f t="shared" si="271"/>
        <v/>
      </c>
      <c r="D464" s="317">
        <v>0.0</v>
      </c>
      <c r="E464" s="317">
        <v>5000.0</v>
      </c>
      <c r="F464" s="317">
        <f t="shared" si="276"/>
        <v>0</v>
      </c>
      <c r="G464" s="317">
        <f t="shared" si="277"/>
        <v>0</v>
      </c>
      <c r="H464" s="317">
        <v>0.0</v>
      </c>
      <c r="I464" s="321"/>
      <c r="J464" s="321"/>
      <c r="K464" s="147" t="str">
        <f t="shared" si="267"/>
        <v/>
      </c>
      <c r="L464" s="316" t="str">
        <f t="shared" si="268"/>
        <v/>
      </c>
      <c r="M464" s="319"/>
      <c r="N464" s="187"/>
      <c r="O464" s="284"/>
      <c r="P464" s="284"/>
      <c r="Q464" s="284"/>
      <c r="R464" s="284"/>
      <c r="S464" s="284"/>
      <c r="T464" s="284"/>
      <c r="U464" s="284"/>
      <c r="V464" s="284"/>
      <c r="W464" s="284"/>
      <c r="X464" s="284"/>
      <c r="Y464" s="284"/>
      <c r="Z464" s="284"/>
      <c r="AA464" s="284"/>
    </row>
    <row r="465" ht="22.5" customHeight="1">
      <c r="A465" s="128"/>
      <c r="B465" s="9" t="s">
        <v>2328</v>
      </c>
      <c r="C465" s="310" t="str">
        <f t="shared" si="271"/>
        <v/>
      </c>
      <c r="D465" s="310"/>
      <c r="E465" s="310"/>
      <c r="F465" s="310"/>
      <c r="G465" s="310"/>
      <c r="H465" s="310"/>
      <c r="I465" s="322"/>
      <c r="J465" s="322"/>
      <c r="K465" s="150" t="str">
        <f t="shared" si="267"/>
        <v/>
      </c>
      <c r="L465" s="310" t="str">
        <f t="shared" si="268"/>
        <v/>
      </c>
      <c r="M465" s="313"/>
      <c r="N465" s="55"/>
      <c r="O465" s="284"/>
      <c r="P465" s="284"/>
      <c r="Q465" s="284"/>
      <c r="R465" s="284"/>
      <c r="S465" s="284"/>
      <c r="T465" s="284"/>
      <c r="U465" s="284"/>
      <c r="V465" s="284"/>
      <c r="W465" s="284"/>
      <c r="X465" s="284"/>
      <c r="Y465" s="284"/>
      <c r="Z465" s="284"/>
      <c r="AA465" s="284"/>
    </row>
    <row r="466" ht="22.5" customHeight="1">
      <c r="A466" s="323" t="s">
        <v>2329</v>
      </c>
      <c r="B466" s="315" t="s">
        <v>2263</v>
      </c>
      <c r="C466" s="316" t="str">
        <f t="shared" si="271"/>
        <v/>
      </c>
      <c r="D466" s="317">
        <v>1.0</v>
      </c>
      <c r="E466" s="316"/>
      <c r="F466" s="310"/>
      <c r="G466" s="317">
        <v>0.0</v>
      </c>
      <c r="H466" s="317">
        <v>0.0</v>
      </c>
      <c r="I466" s="321"/>
      <c r="J466" s="321"/>
      <c r="K466" s="147" t="str">
        <f t="shared" si="267"/>
        <v/>
      </c>
      <c r="L466" s="316" t="str">
        <f t="shared" si="268"/>
        <v/>
      </c>
      <c r="M466" s="319"/>
      <c r="N466" s="187"/>
      <c r="O466" s="284"/>
      <c r="P466" s="284"/>
      <c r="Q466" s="284"/>
      <c r="R466" s="284"/>
      <c r="S466" s="284"/>
      <c r="T466" s="284"/>
      <c r="U466" s="284"/>
      <c r="V466" s="284"/>
      <c r="W466" s="284"/>
      <c r="X466" s="284"/>
      <c r="Y466" s="284"/>
      <c r="Z466" s="284"/>
      <c r="AA466" s="284"/>
    </row>
    <row r="467" ht="22.5" customHeight="1">
      <c r="A467" s="132" t="s">
        <v>2330</v>
      </c>
      <c r="B467" s="9" t="s">
        <v>2289</v>
      </c>
      <c r="C467" s="320" t="str">
        <f t="shared" si="271"/>
        <v>x</v>
      </c>
      <c r="D467" s="311">
        <v>1.0</v>
      </c>
      <c r="E467" s="311">
        <v>6000.0</v>
      </c>
      <c r="F467" s="311">
        <f t="shared" ref="F467:F469" si="278">D467*E467</f>
        <v>6000</v>
      </c>
      <c r="G467" s="311">
        <f t="shared" ref="G467:G468" si="279">F467*$Q$7</f>
        <v>1800</v>
      </c>
      <c r="H467" s="311">
        <f t="shared" ref="H467:H469" si="280">G467</f>
        <v>1800</v>
      </c>
      <c r="I467" s="312">
        <v>45620.0</v>
      </c>
      <c r="J467" s="312">
        <f t="shared" ref="J467:J469" si="281">Edate(I467,1)</f>
        <v>45650</v>
      </c>
      <c r="K467" s="139">
        <f t="shared" si="267"/>
        <v>0</v>
      </c>
      <c r="L467" s="311">
        <f t="shared" si="268"/>
        <v>-517</v>
      </c>
      <c r="M467" s="313"/>
      <c r="N467" s="55"/>
      <c r="O467" s="284"/>
      <c r="P467" s="284"/>
      <c r="Q467" s="284"/>
      <c r="R467" s="284"/>
      <c r="S467" s="284"/>
      <c r="T467" s="284"/>
      <c r="U467" s="284"/>
      <c r="V467" s="284"/>
      <c r="W467" s="284"/>
      <c r="X467" s="284"/>
      <c r="Y467" s="284"/>
      <c r="Z467" s="284"/>
      <c r="AA467" s="284"/>
    </row>
    <row r="468" ht="22.5" customHeight="1">
      <c r="A468" s="323" t="s">
        <v>2331</v>
      </c>
      <c r="B468" s="315" t="s">
        <v>2292</v>
      </c>
      <c r="C468" s="316" t="str">
        <f t="shared" si="271"/>
        <v/>
      </c>
      <c r="D468" s="317">
        <v>0.0</v>
      </c>
      <c r="E468" s="317">
        <v>6000.0</v>
      </c>
      <c r="F468" s="317">
        <f t="shared" si="278"/>
        <v>0</v>
      </c>
      <c r="G468" s="317">
        <f t="shared" si="279"/>
        <v>0</v>
      </c>
      <c r="H468" s="317">
        <f t="shared" si="280"/>
        <v>0</v>
      </c>
      <c r="I468" s="318">
        <v>45603.0</v>
      </c>
      <c r="J468" s="318">
        <f t="shared" si="281"/>
        <v>45633</v>
      </c>
      <c r="K468" s="143">
        <f t="shared" si="267"/>
        <v>1</v>
      </c>
      <c r="L468" s="317">
        <f t="shared" si="268"/>
        <v>-534</v>
      </c>
      <c r="M468" s="315" t="s">
        <v>2332</v>
      </c>
      <c r="N468" s="187"/>
      <c r="O468" s="284"/>
      <c r="P468" s="284"/>
      <c r="Q468" s="284"/>
      <c r="R468" s="284"/>
      <c r="S468" s="284"/>
      <c r="T468" s="284"/>
      <c r="U468" s="284"/>
      <c r="V468" s="284"/>
      <c r="W468" s="284"/>
      <c r="X468" s="284"/>
      <c r="Y468" s="284"/>
      <c r="Z468" s="284"/>
      <c r="AA468" s="284"/>
    </row>
    <row r="469" ht="22.5" customHeight="1">
      <c r="A469" s="338"/>
      <c r="B469" s="339" t="s">
        <v>2298</v>
      </c>
      <c r="C469" s="340" t="str">
        <f t="shared" si="271"/>
        <v/>
      </c>
      <c r="D469" s="341">
        <v>0.0</v>
      </c>
      <c r="E469" s="341">
        <v>6.0</v>
      </c>
      <c r="F469" s="341">
        <f t="shared" si="278"/>
        <v>0</v>
      </c>
      <c r="G469" s="341">
        <f>F469*$Q$5</f>
        <v>0</v>
      </c>
      <c r="H469" s="341">
        <f t="shared" si="280"/>
        <v>0</v>
      </c>
      <c r="I469" s="342">
        <v>45621.0</v>
      </c>
      <c r="J469" s="342">
        <f t="shared" si="281"/>
        <v>45651</v>
      </c>
      <c r="K469" s="343">
        <v>0.0</v>
      </c>
      <c r="L469" s="341">
        <f t="shared" si="268"/>
        <v>-516</v>
      </c>
      <c r="M469" s="344"/>
      <c r="N469" s="120"/>
      <c r="O469" s="284"/>
      <c r="P469" s="284"/>
      <c r="Q469" s="284"/>
      <c r="R469" s="284"/>
      <c r="S469" s="284"/>
      <c r="T469" s="284"/>
      <c r="U469" s="284"/>
      <c r="V469" s="284"/>
      <c r="W469" s="284"/>
      <c r="X469" s="284"/>
      <c r="Y469" s="284"/>
      <c r="Z469" s="284"/>
      <c r="AA469" s="284"/>
    </row>
    <row r="470">
      <c r="A470" s="284"/>
      <c r="B470" s="284"/>
      <c r="C470" s="285" t="str">
        <f t="shared" si="271"/>
        <v/>
      </c>
      <c r="D470" s="285"/>
      <c r="E470" s="285"/>
      <c r="F470" s="285"/>
      <c r="G470" s="285"/>
      <c r="H470" s="285"/>
      <c r="I470" s="286"/>
      <c r="J470" s="286"/>
      <c r="K470" s="285"/>
      <c r="L470" s="285" t="str">
        <f t="shared" si="268"/>
        <v/>
      </c>
      <c r="M470" s="287"/>
      <c r="N470" s="284"/>
      <c r="O470" s="284"/>
      <c r="P470" s="284"/>
      <c r="Q470" s="284"/>
      <c r="R470" s="284"/>
      <c r="S470" s="284"/>
      <c r="T470" s="284"/>
      <c r="U470" s="284"/>
      <c r="V470" s="284"/>
      <c r="W470" s="284"/>
      <c r="X470" s="284"/>
      <c r="Y470" s="284"/>
      <c r="Z470" s="284"/>
      <c r="AA470" s="284"/>
    </row>
    <row r="471">
      <c r="A471" s="284"/>
      <c r="B471" s="284"/>
      <c r="C471" s="285" t="str">
        <f t="shared" si="271"/>
        <v/>
      </c>
      <c r="D471" s="285"/>
      <c r="E471" s="285"/>
      <c r="F471" s="285"/>
      <c r="G471" s="285"/>
      <c r="H471" s="285"/>
      <c r="I471" s="286"/>
      <c r="J471" s="286"/>
      <c r="K471" s="285"/>
      <c r="L471" s="284"/>
      <c r="M471" s="287"/>
      <c r="N471" s="284"/>
      <c r="O471" s="284"/>
      <c r="P471" s="284"/>
      <c r="Q471" s="284"/>
      <c r="R471" s="284"/>
      <c r="S471" s="284"/>
      <c r="T471" s="284"/>
      <c r="U471" s="284"/>
      <c r="V471" s="284"/>
      <c r="W471" s="284"/>
      <c r="X471" s="284"/>
      <c r="Y471" s="284"/>
      <c r="Z471" s="284"/>
      <c r="AA471" s="284"/>
    </row>
    <row r="472">
      <c r="A472" s="284"/>
      <c r="B472" s="284"/>
      <c r="C472" s="285" t="str">
        <f>if(G472=0,"","x")</f>
        <v/>
      </c>
      <c r="D472" s="285"/>
      <c r="E472" s="285"/>
      <c r="F472" s="285"/>
      <c r="G472" s="285"/>
      <c r="H472" s="285"/>
      <c r="I472" s="286"/>
      <c r="J472" s="286"/>
      <c r="K472" s="285"/>
      <c r="L472" s="284"/>
      <c r="M472" s="287"/>
      <c r="N472" s="284"/>
      <c r="O472" s="284"/>
      <c r="P472" s="284"/>
      <c r="Q472" s="284"/>
      <c r="R472" s="284"/>
      <c r="S472" s="284"/>
      <c r="T472" s="284"/>
      <c r="U472" s="284"/>
      <c r="V472" s="284"/>
      <c r="W472" s="284"/>
      <c r="X472" s="284"/>
      <c r="Y472" s="284"/>
      <c r="Z472" s="284"/>
      <c r="AA472" s="284"/>
    </row>
    <row r="473">
      <c r="A473" s="284"/>
      <c r="B473" s="293" t="s">
        <v>2246</v>
      </c>
      <c r="C473" s="289">
        <f>countif(C455:C472,"x")</f>
        <v>1</v>
      </c>
      <c r="D473" s="285"/>
      <c r="E473" s="285"/>
      <c r="F473" s="285" t="s">
        <v>874</v>
      </c>
      <c r="G473" s="297">
        <f t="shared" ref="G473:H473" si="282">sum(G455:G472)</f>
        <v>3856.99725</v>
      </c>
      <c r="H473" s="297">
        <f t="shared" si="282"/>
        <v>3856.99725</v>
      </c>
      <c r="I473" s="286"/>
      <c r="J473" s="286"/>
      <c r="K473" s="285"/>
      <c r="L473" s="284"/>
      <c r="M473" s="287"/>
      <c r="N473" s="284"/>
      <c r="O473" s="284"/>
      <c r="P473" s="284"/>
      <c r="Q473" s="284"/>
      <c r="R473" s="284"/>
      <c r="S473" s="284"/>
      <c r="T473" s="284"/>
      <c r="U473" s="284"/>
      <c r="V473" s="284"/>
      <c r="W473" s="284"/>
      <c r="X473" s="284"/>
      <c r="Y473" s="284"/>
      <c r="Z473" s="284"/>
      <c r="AA473" s="284"/>
    </row>
    <row r="474">
      <c r="A474" s="284"/>
      <c r="B474" s="284"/>
      <c r="C474" s="285"/>
      <c r="D474" s="285"/>
      <c r="E474" s="285"/>
      <c r="F474" s="285" t="s">
        <v>2247</v>
      </c>
      <c r="G474" s="285"/>
      <c r="H474" s="297">
        <f>H473+H448</f>
        <v>54581.6615</v>
      </c>
      <c r="I474" s="286"/>
      <c r="J474" s="286"/>
      <c r="K474" s="285"/>
      <c r="L474" s="284"/>
      <c r="M474" s="287"/>
      <c r="N474" s="284"/>
      <c r="O474" s="284"/>
      <c r="P474" s="284"/>
      <c r="Q474" s="284"/>
      <c r="R474" s="284"/>
      <c r="S474" s="284"/>
      <c r="T474" s="284"/>
      <c r="U474" s="284"/>
      <c r="V474" s="284"/>
      <c r="W474" s="284"/>
      <c r="X474" s="284"/>
      <c r="Y474" s="284"/>
      <c r="Z474" s="284"/>
      <c r="AA474" s="284"/>
    </row>
    <row r="475">
      <c r="A475" s="284"/>
      <c r="B475" s="284"/>
      <c r="C475" s="285"/>
      <c r="D475" s="285"/>
      <c r="E475" s="285"/>
      <c r="F475" s="285"/>
      <c r="G475" s="285"/>
      <c r="H475" s="285"/>
      <c r="I475" s="286"/>
      <c r="J475" s="286"/>
      <c r="K475" s="285"/>
      <c r="L475" s="284"/>
      <c r="M475" s="287"/>
      <c r="N475" s="284"/>
      <c r="O475" s="284"/>
      <c r="P475" s="284"/>
      <c r="Q475" s="284"/>
      <c r="R475" s="284"/>
      <c r="S475" s="284"/>
      <c r="T475" s="284"/>
      <c r="U475" s="284"/>
      <c r="V475" s="284"/>
      <c r="W475" s="284"/>
      <c r="X475" s="284"/>
      <c r="Y475" s="284"/>
      <c r="Z475" s="284"/>
      <c r="AA475" s="284"/>
    </row>
    <row r="476">
      <c r="A476" s="284"/>
      <c r="B476" s="284"/>
      <c r="C476" s="285"/>
      <c r="D476" s="285"/>
      <c r="E476" s="285"/>
      <c r="F476" s="285"/>
      <c r="G476" s="285"/>
      <c r="H476" s="285"/>
      <c r="I476" s="286"/>
      <c r="J476" s="286"/>
      <c r="K476" s="285"/>
      <c r="L476" s="284"/>
      <c r="M476" s="287"/>
      <c r="N476" s="284"/>
      <c r="O476" s="284"/>
      <c r="P476" s="284"/>
      <c r="Q476" s="284"/>
      <c r="R476" s="284"/>
      <c r="S476" s="284"/>
      <c r="T476" s="284"/>
      <c r="U476" s="284"/>
      <c r="V476" s="284"/>
      <c r="W476" s="284"/>
      <c r="X476" s="284"/>
      <c r="Y476" s="284"/>
      <c r="Z476" s="284"/>
      <c r="AA476" s="284"/>
    </row>
    <row r="477">
      <c r="A477" s="284"/>
      <c r="B477" s="284"/>
      <c r="C477" s="285"/>
      <c r="D477" s="285"/>
      <c r="E477" s="285"/>
      <c r="F477" s="285"/>
      <c r="G477" s="285"/>
      <c r="H477" s="285"/>
      <c r="I477" s="286"/>
      <c r="J477" s="286"/>
      <c r="K477" s="285"/>
      <c r="L477" s="284"/>
      <c r="M477" s="287"/>
      <c r="N477" s="284"/>
      <c r="O477" s="284"/>
      <c r="P477" s="284"/>
      <c r="Q477" s="284"/>
      <c r="R477" s="284"/>
      <c r="S477" s="284"/>
      <c r="T477" s="284"/>
      <c r="U477" s="284"/>
      <c r="V477" s="284"/>
      <c r="W477" s="284"/>
      <c r="X477" s="284"/>
      <c r="Y477" s="284"/>
      <c r="Z477" s="284"/>
      <c r="AA477" s="284"/>
    </row>
    <row r="478">
      <c r="A478" s="284"/>
      <c r="B478" s="290" t="s">
        <v>2358</v>
      </c>
      <c r="C478" s="285"/>
      <c r="D478" s="285"/>
      <c r="E478" s="285"/>
      <c r="F478" s="285"/>
      <c r="G478" s="285"/>
      <c r="H478" s="285"/>
      <c r="I478" s="286"/>
      <c r="J478" s="286" t="s">
        <v>2233</v>
      </c>
      <c r="K478" s="291">
        <f> Today()</f>
        <v>46167</v>
      </c>
      <c r="L478" s="285"/>
      <c r="M478" s="287"/>
      <c r="N478" s="284"/>
      <c r="O478" s="284"/>
      <c r="P478" s="284"/>
      <c r="Q478" s="284"/>
      <c r="R478" s="284"/>
      <c r="S478" s="284"/>
      <c r="T478" s="284"/>
      <c r="U478" s="284"/>
      <c r="V478" s="284"/>
      <c r="W478" s="284"/>
      <c r="X478" s="284"/>
      <c r="Y478" s="284"/>
      <c r="Z478" s="284"/>
      <c r="AA478" s="284"/>
    </row>
    <row r="479">
      <c r="A479" s="284"/>
      <c r="B479" s="284"/>
      <c r="C479" s="285"/>
      <c r="D479" s="285"/>
      <c r="E479" s="285"/>
      <c r="F479" s="285"/>
      <c r="G479" s="285"/>
      <c r="H479" s="285"/>
      <c r="I479" s="286"/>
      <c r="J479" s="286"/>
      <c r="K479" s="284"/>
      <c r="L479" s="285"/>
      <c r="M479" s="287"/>
      <c r="N479" s="284"/>
      <c r="O479" s="284"/>
      <c r="P479" s="284"/>
      <c r="Q479" s="284"/>
      <c r="R479" s="284"/>
      <c r="S479" s="284"/>
      <c r="T479" s="284"/>
      <c r="U479" s="284"/>
      <c r="V479" s="284"/>
      <c r="W479" s="284"/>
      <c r="X479" s="284"/>
      <c r="Y479" s="284"/>
      <c r="Z479" s="284"/>
      <c r="AA479" s="284"/>
    </row>
    <row r="480" ht="22.5" customHeight="1">
      <c r="A480" s="78" t="s">
        <v>181</v>
      </c>
      <c r="B480" s="78" t="s">
        <v>2216</v>
      </c>
      <c r="C480" s="307" t="s">
        <v>131</v>
      </c>
      <c r="D480" s="307" t="s">
        <v>2217</v>
      </c>
      <c r="E480" s="307" t="s">
        <v>8</v>
      </c>
      <c r="F480" s="307" t="s">
        <v>873</v>
      </c>
      <c r="G480" s="307" t="s">
        <v>17</v>
      </c>
      <c r="H480" s="307" t="s">
        <v>874</v>
      </c>
      <c r="I480" s="308" t="s">
        <v>2218</v>
      </c>
      <c r="J480" s="308" t="s">
        <v>876</v>
      </c>
      <c r="K480" s="78" t="s">
        <v>877</v>
      </c>
      <c r="L480" s="307" t="s">
        <v>878</v>
      </c>
      <c r="M480" s="309" t="s">
        <v>2219</v>
      </c>
      <c r="N480" s="78" t="s">
        <v>2220</v>
      </c>
      <c r="O480" s="284"/>
      <c r="P480" s="284"/>
      <c r="Q480" s="284"/>
      <c r="R480" s="284"/>
      <c r="S480" s="284"/>
      <c r="T480" s="284"/>
      <c r="U480" s="284"/>
      <c r="V480" s="284"/>
      <c r="W480" s="284"/>
      <c r="X480" s="284"/>
      <c r="Y480" s="284"/>
      <c r="Z480" s="284"/>
      <c r="AA480" s="284"/>
    </row>
    <row r="481" ht="22.5" customHeight="1">
      <c r="A481" s="128"/>
      <c r="B481" s="9" t="s">
        <v>2249</v>
      </c>
      <c r="C481" s="310" t="str">
        <f t="shared" ref="C481:C482" si="283">if(OR(G481=0,G481=""),"","x")</f>
        <v/>
      </c>
      <c r="D481" s="311">
        <v>0.0</v>
      </c>
      <c r="E481" s="311">
        <v>100.0</v>
      </c>
      <c r="F481" s="311">
        <f>D481*E481</f>
        <v>0</v>
      </c>
      <c r="G481" s="311">
        <f>F481*Q$8</f>
        <v>0</v>
      </c>
      <c r="H481" s="311">
        <f t="shared" ref="H481:H484" si="284">G481</f>
        <v>0</v>
      </c>
      <c r="I481" s="322"/>
      <c r="J481" s="322"/>
      <c r="K481" s="150" t="str">
        <f t="shared" ref="K481:K494" si="285">if(J481="","",if(H481=0,1,0))</f>
        <v/>
      </c>
      <c r="L481" s="310" t="str">
        <f t="shared" ref="L481:L496" si="286">if(J481="","",J481-$K$6)</f>
        <v/>
      </c>
      <c r="M481" s="313"/>
      <c r="N481" s="55"/>
      <c r="O481" s="284"/>
      <c r="P481" s="284"/>
      <c r="Q481" s="284"/>
      <c r="R481" s="284"/>
      <c r="S481" s="284"/>
      <c r="T481" s="284"/>
      <c r="U481" s="284"/>
      <c r="V481" s="284"/>
      <c r="W481" s="284"/>
      <c r="X481" s="284"/>
      <c r="Y481" s="284"/>
      <c r="Z481" s="284"/>
      <c r="AA481" s="284"/>
    </row>
    <row r="482" ht="22.5" customHeight="1">
      <c r="A482" s="314"/>
      <c r="B482" s="315" t="s">
        <v>2251</v>
      </c>
      <c r="C482" s="316" t="str">
        <f t="shared" si="283"/>
        <v/>
      </c>
      <c r="D482" s="317">
        <v>0.0</v>
      </c>
      <c r="E482" s="317">
        <v>5.0</v>
      </c>
      <c r="F482" s="317">
        <v>15.0</v>
      </c>
      <c r="G482" s="317">
        <v>0.0</v>
      </c>
      <c r="H482" s="317">
        <f t="shared" si="284"/>
        <v>0</v>
      </c>
      <c r="I482" s="318">
        <v>45597.0</v>
      </c>
      <c r="J482" s="318">
        <f t="shared" ref="J482:J483" si="287">Edate(I482,1)</f>
        <v>45627</v>
      </c>
      <c r="K482" s="143">
        <f t="shared" si="285"/>
        <v>1</v>
      </c>
      <c r="L482" s="317">
        <f t="shared" si="286"/>
        <v>-540</v>
      </c>
      <c r="M482" s="319"/>
      <c r="N482" s="187"/>
      <c r="O482" s="284"/>
      <c r="P482" s="284"/>
      <c r="Q482" s="284"/>
      <c r="R482" s="284"/>
      <c r="S482" s="284"/>
      <c r="T482" s="284"/>
      <c r="U482" s="284"/>
      <c r="V482" s="284"/>
      <c r="W482" s="284"/>
      <c r="X482" s="284"/>
      <c r="Y482" s="284"/>
      <c r="Z482" s="284"/>
      <c r="AA482" s="284"/>
    </row>
    <row r="483" ht="22.5" customHeight="1">
      <c r="A483" s="132" t="s">
        <v>2333</v>
      </c>
      <c r="B483" s="9" t="s">
        <v>2254</v>
      </c>
      <c r="C483" s="310"/>
      <c r="D483" s="311">
        <v>12.0</v>
      </c>
      <c r="E483" s="311">
        <v>3.0</v>
      </c>
      <c r="F483" s="311">
        <f t="shared" ref="F483:F486" si="288">D483*E483</f>
        <v>36</v>
      </c>
      <c r="G483" s="311">
        <f>F483*$Q$5</f>
        <v>2991.996</v>
      </c>
      <c r="H483" s="311">
        <f t="shared" si="284"/>
        <v>2991.996</v>
      </c>
      <c r="I483" s="312">
        <v>45597.0</v>
      </c>
      <c r="J483" s="312">
        <f t="shared" si="287"/>
        <v>45627</v>
      </c>
      <c r="K483" s="139">
        <f t="shared" si="285"/>
        <v>0</v>
      </c>
      <c r="L483" s="311">
        <f t="shared" si="286"/>
        <v>-540</v>
      </c>
      <c r="M483" s="313"/>
      <c r="N483" s="55"/>
      <c r="O483" s="284"/>
      <c r="P483" s="284"/>
      <c r="Q483" s="284"/>
      <c r="R483" s="284"/>
      <c r="S483" s="284"/>
      <c r="T483" s="284"/>
      <c r="U483" s="284"/>
      <c r="V483" s="284"/>
      <c r="W483" s="284"/>
      <c r="X483" s="284"/>
      <c r="Y483" s="284"/>
      <c r="Z483" s="284"/>
      <c r="AA483" s="284"/>
    </row>
    <row r="484" ht="22.5" customHeight="1">
      <c r="A484" s="314"/>
      <c r="B484" s="315" t="s">
        <v>2255</v>
      </c>
      <c r="C484" s="316" t="str">
        <f t="shared" ref="C484:C492" si="289">if(OR(G484=0,G484=""),"","x")</f>
        <v/>
      </c>
      <c r="D484" s="317">
        <v>0.0</v>
      </c>
      <c r="E484" s="317">
        <v>1500.0</v>
      </c>
      <c r="F484" s="317">
        <f t="shared" si="288"/>
        <v>0</v>
      </c>
      <c r="G484" s="317">
        <f>F484*$Q$7</f>
        <v>0</v>
      </c>
      <c r="H484" s="317">
        <f t="shared" si="284"/>
        <v>0</v>
      </c>
      <c r="I484" s="321"/>
      <c r="J484" s="321"/>
      <c r="K484" s="147" t="str">
        <f t="shared" si="285"/>
        <v/>
      </c>
      <c r="L484" s="316" t="str">
        <f t="shared" si="286"/>
        <v/>
      </c>
      <c r="M484" s="319"/>
      <c r="N484" s="187"/>
      <c r="O484" s="284"/>
      <c r="P484" s="284"/>
      <c r="Q484" s="284"/>
      <c r="R484" s="284"/>
      <c r="S484" s="284"/>
      <c r="T484" s="284"/>
      <c r="U484" s="284"/>
      <c r="V484" s="284"/>
      <c r="W484" s="284"/>
      <c r="X484" s="284"/>
      <c r="Y484" s="284"/>
      <c r="Z484" s="284"/>
      <c r="AA484" s="284"/>
    </row>
    <row r="485" ht="22.5" customHeight="1">
      <c r="A485" s="128"/>
      <c r="B485" s="9" t="s">
        <v>2256</v>
      </c>
      <c r="C485" s="310" t="str">
        <f t="shared" si="289"/>
        <v/>
      </c>
      <c r="D485" s="311">
        <v>0.0</v>
      </c>
      <c r="E485" s="311">
        <v>500.0</v>
      </c>
      <c r="F485" s="311">
        <f t="shared" si="288"/>
        <v>0</v>
      </c>
      <c r="G485" s="311">
        <f t="shared" ref="G485:H485" si="290">F485</f>
        <v>0</v>
      </c>
      <c r="H485" s="311">
        <f t="shared" si="290"/>
        <v>0</v>
      </c>
      <c r="I485" s="322"/>
      <c r="J485" s="322"/>
      <c r="K485" s="150" t="str">
        <f t="shared" si="285"/>
        <v/>
      </c>
      <c r="L485" s="310" t="str">
        <f t="shared" si="286"/>
        <v/>
      </c>
      <c r="M485" s="313"/>
      <c r="N485" s="55"/>
      <c r="O485" s="284"/>
      <c r="P485" s="284"/>
      <c r="Q485" s="284"/>
      <c r="R485" s="284"/>
      <c r="S485" s="284"/>
      <c r="T485" s="284"/>
      <c r="U485" s="284"/>
      <c r="V485" s="284"/>
      <c r="W485" s="284"/>
      <c r="X485" s="284"/>
      <c r="Y485" s="284"/>
      <c r="Z485" s="284"/>
      <c r="AA485" s="284"/>
    </row>
    <row r="486" ht="22.5" customHeight="1">
      <c r="A486" s="314"/>
      <c r="B486" s="315" t="s">
        <v>2257</v>
      </c>
      <c r="C486" s="316" t="str">
        <f t="shared" si="289"/>
        <v/>
      </c>
      <c r="D486" s="317">
        <v>0.0</v>
      </c>
      <c r="E486" s="317">
        <v>22.0</v>
      </c>
      <c r="F486" s="317">
        <f t="shared" si="288"/>
        <v>0</v>
      </c>
      <c r="G486" s="317">
        <f t="shared" ref="G486:G487" si="291">F486*$Q$6</f>
        <v>0</v>
      </c>
      <c r="H486" s="317">
        <f t="shared" ref="H486:H489" si="292">G486</f>
        <v>0</v>
      </c>
      <c r="I486" s="318">
        <v>45597.0</v>
      </c>
      <c r="J486" s="318">
        <f t="shared" ref="J486:J488" si="293">Edate(I486,1)</f>
        <v>45627</v>
      </c>
      <c r="K486" s="143">
        <f t="shared" si="285"/>
        <v>1</v>
      </c>
      <c r="L486" s="317">
        <f t="shared" si="286"/>
        <v>-540</v>
      </c>
      <c r="M486" s="319"/>
      <c r="N486" s="187"/>
      <c r="O486" s="284"/>
      <c r="P486" s="284"/>
      <c r="Q486" s="284"/>
      <c r="R486" s="284"/>
      <c r="S486" s="284"/>
      <c r="T486" s="284"/>
      <c r="U486" s="284"/>
      <c r="V486" s="284"/>
      <c r="W486" s="284"/>
      <c r="X486" s="284"/>
      <c r="Y486" s="284"/>
      <c r="Z486" s="284"/>
      <c r="AA486" s="284"/>
    </row>
    <row r="487" ht="22.5" customHeight="1">
      <c r="A487" s="128"/>
      <c r="B487" s="9" t="s">
        <v>2258</v>
      </c>
      <c r="C487" s="310" t="str">
        <f t="shared" si="289"/>
        <v/>
      </c>
      <c r="D487" s="311">
        <v>0.0</v>
      </c>
      <c r="E487" s="311">
        <v>0.0</v>
      </c>
      <c r="F487" s="311">
        <v>0.0</v>
      </c>
      <c r="G487" s="311">
        <f t="shared" si="291"/>
        <v>0</v>
      </c>
      <c r="H487" s="311">
        <f t="shared" si="292"/>
        <v>0</v>
      </c>
      <c r="I487" s="322"/>
      <c r="J487" s="312">
        <f t="shared" si="293"/>
        <v>31</v>
      </c>
      <c r="K487" s="139">
        <f t="shared" si="285"/>
        <v>1</v>
      </c>
      <c r="L487" s="311">
        <f t="shared" si="286"/>
        <v>-46136</v>
      </c>
      <c r="M487" s="313"/>
      <c r="N487" s="55"/>
      <c r="O487" s="284"/>
      <c r="P487" s="284"/>
      <c r="Q487" s="284"/>
      <c r="R487" s="284"/>
      <c r="S487" s="284"/>
      <c r="T487" s="284"/>
      <c r="U487" s="284"/>
      <c r="V487" s="284"/>
      <c r="W487" s="284"/>
      <c r="X487" s="284"/>
      <c r="Y487" s="284"/>
      <c r="Z487" s="284"/>
      <c r="AA487" s="284"/>
    </row>
    <row r="488" ht="22.5" customHeight="1">
      <c r="A488" s="314"/>
      <c r="B488" s="315" t="s">
        <v>2259</v>
      </c>
      <c r="C488" s="316" t="str">
        <f t="shared" si="289"/>
        <v/>
      </c>
      <c r="D488" s="317">
        <v>0.0</v>
      </c>
      <c r="E488" s="317">
        <v>15000.0</v>
      </c>
      <c r="F488" s="317">
        <f t="shared" ref="F488:F490" si="294">D488*E488</f>
        <v>0</v>
      </c>
      <c r="G488" s="317">
        <f t="shared" ref="G488:G490" si="295">F488*$Q$7</f>
        <v>0</v>
      </c>
      <c r="H488" s="317">
        <f t="shared" si="292"/>
        <v>0</v>
      </c>
      <c r="I488" s="318">
        <v>45609.0</v>
      </c>
      <c r="J488" s="318">
        <f t="shared" si="293"/>
        <v>45639</v>
      </c>
      <c r="K488" s="143">
        <f t="shared" si="285"/>
        <v>1</v>
      </c>
      <c r="L488" s="317">
        <f t="shared" si="286"/>
        <v>-528</v>
      </c>
      <c r="M488" s="319"/>
      <c r="N488" s="187"/>
      <c r="O488" s="284"/>
      <c r="P488" s="284"/>
      <c r="Q488" s="284"/>
      <c r="R488" s="284"/>
      <c r="S488" s="284"/>
      <c r="T488" s="284"/>
      <c r="U488" s="284"/>
      <c r="V488" s="284"/>
      <c r="W488" s="284"/>
      <c r="X488" s="284"/>
      <c r="Y488" s="284"/>
      <c r="Z488" s="284"/>
      <c r="AA488" s="284"/>
    </row>
    <row r="489" ht="22.5" customHeight="1">
      <c r="A489" s="128"/>
      <c r="B489" s="9" t="s">
        <v>2267</v>
      </c>
      <c r="C489" s="310" t="str">
        <f t="shared" si="289"/>
        <v/>
      </c>
      <c r="D489" s="311">
        <v>0.0</v>
      </c>
      <c r="E489" s="311">
        <v>3000.0</v>
      </c>
      <c r="F489" s="311">
        <f t="shared" si="294"/>
        <v>0</v>
      </c>
      <c r="G489" s="311">
        <f t="shared" si="295"/>
        <v>0</v>
      </c>
      <c r="H489" s="311">
        <f t="shared" si="292"/>
        <v>0</v>
      </c>
      <c r="I489" s="322"/>
      <c r="J489" s="322"/>
      <c r="K489" s="150" t="str">
        <f t="shared" si="285"/>
        <v/>
      </c>
      <c r="L489" s="310" t="str">
        <f t="shared" si="286"/>
        <v/>
      </c>
      <c r="M489" s="313"/>
      <c r="N489" s="55"/>
      <c r="O489" s="284"/>
      <c r="P489" s="284"/>
      <c r="Q489" s="284"/>
      <c r="R489" s="284"/>
      <c r="S489" s="284"/>
      <c r="T489" s="284"/>
      <c r="U489" s="284"/>
      <c r="V489" s="284"/>
      <c r="W489" s="284"/>
      <c r="X489" s="284"/>
      <c r="Y489" s="284"/>
      <c r="Z489" s="284"/>
      <c r="AA489" s="284"/>
    </row>
    <row r="490" ht="22.5" customHeight="1">
      <c r="A490" s="314"/>
      <c r="B490" s="315" t="s">
        <v>2279</v>
      </c>
      <c r="C490" s="316" t="str">
        <f t="shared" si="289"/>
        <v/>
      </c>
      <c r="D490" s="317">
        <v>0.0</v>
      </c>
      <c r="E490" s="317">
        <v>5000.0</v>
      </c>
      <c r="F490" s="317">
        <f t="shared" si="294"/>
        <v>0</v>
      </c>
      <c r="G490" s="317">
        <f t="shared" si="295"/>
        <v>0</v>
      </c>
      <c r="H490" s="317">
        <v>0.0</v>
      </c>
      <c r="I490" s="321"/>
      <c r="J490" s="321"/>
      <c r="K490" s="147" t="str">
        <f t="shared" si="285"/>
        <v/>
      </c>
      <c r="L490" s="316" t="str">
        <f t="shared" si="286"/>
        <v/>
      </c>
      <c r="M490" s="319"/>
      <c r="N490" s="187"/>
      <c r="O490" s="284"/>
      <c r="P490" s="284"/>
      <c r="Q490" s="284"/>
      <c r="R490" s="284"/>
      <c r="S490" s="284"/>
      <c r="T490" s="284"/>
      <c r="U490" s="284"/>
      <c r="V490" s="284"/>
      <c r="W490" s="284"/>
      <c r="X490" s="284"/>
      <c r="Y490" s="284"/>
      <c r="Z490" s="284"/>
      <c r="AA490" s="284"/>
    </row>
    <row r="491" ht="22.5" customHeight="1">
      <c r="A491" s="128"/>
      <c r="B491" s="9" t="s">
        <v>2328</v>
      </c>
      <c r="C491" s="310" t="str">
        <f t="shared" si="289"/>
        <v/>
      </c>
      <c r="D491" s="310"/>
      <c r="E491" s="310"/>
      <c r="F491" s="310"/>
      <c r="G491" s="310"/>
      <c r="H491" s="310"/>
      <c r="I491" s="322"/>
      <c r="J491" s="322"/>
      <c r="K491" s="150" t="str">
        <f t="shared" si="285"/>
        <v/>
      </c>
      <c r="L491" s="310" t="str">
        <f t="shared" si="286"/>
        <v/>
      </c>
      <c r="M491" s="313"/>
      <c r="N491" s="55"/>
      <c r="O491" s="284"/>
      <c r="P491" s="284"/>
      <c r="Q491" s="284"/>
      <c r="R491" s="284"/>
      <c r="S491" s="284"/>
      <c r="T491" s="284"/>
      <c r="U491" s="284"/>
      <c r="V491" s="284"/>
      <c r="W491" s="284"/>
      <c r="X491" s="284"/>
      <c r="Y491" s="284"/>
      <c r="Z491" s="284"/>
      <c r="AA491" s="284"/>
    </row>
    <row r="492" ht="22.5" customHeight="1">
      <c r="A492" s="314"/>
      <c r="B492" s="315" t="s">
        <v>2263</v>
      </c>
      <c r="C492" s="316" t="str">
        <f t="shared" si="289"/>
        <v/>
      </c>
      <c r="D492" s="317">
        <v>1.0</v>
      </c>
      <c r="E492" s="316"/>
      <c r="F492" s="310"/>
      <c r="G492" s="317">
        <v>0.0</v>
      </c>
      <c r="H492" s="317">
        <v>0.0</v>
      </c>
      <c r="I492" s="321"/>
      <c r="J492" s="321"/>
      <c r="K492" s="147" t="str">
        <f t="shared" si="285"/>
        <v/>
      </c>
      <c r="L492" s="316" t="str">
        <f t="shared" si="286"/>
        <v/>
      </c>
      <c r="M492" s="319"/>
      <c r="N492" s="187"/>
      <c r="O492" s="284"/>
      <c r="P492" s="284"/>
      <c r="Q492" s="284"/>
      <c r="R492" s="284"/>
      <c r="S492" s="284"/>
      <c r="T492" s="284"/>
      <c r="U492" s="284"/>
      <c r="V492" s="284"/>
      <c r="W492" s="284"/>
      <c r="X492" s="284"/>
      <c r="Y492" s="284"/>
      <c r="Z492" s="284"/>
      <c r="AA492" s="284"/>
    </row>
    <row r="493" ht="22.5" customHeight="1">
      <c r="A493" s="132" t="s">
        <v>2334</v>
      </c>
      <c r="B493" s="9" t="s">
        <v>2289</v>
      </c>
      <c r="C493" s="320" t="s">
        <v>1350</v>
      </c>
      <c r="D493" s="311">
        <v>0.0</v>
      </c>
      <c r="E493" s="311">
        <v>6000.0</v>
      </c>
      <c r="F493" s="311">
        <f t="shared" ref="F493:F495" si="296">D493*E493</f>
        <v>0</v>
      </c>
      <c r="G493" s="311">
        <f t="shared" ref="G493:G494" si="297">F493*$Q$7</f>
        <v>0</v>
      </c>
      <c r="H493" s="311">
        <f t="shared" ref="H493:H495" si="298">G493</f>
        <v>0</v>
      </c>
      <c r="I493" s="312">
        <v>45620.0</v>
      </c>
      <c r="J493" s="312">
        <f t="shared" ref="J493:J495" si="299">Edate(I493,1)</f>
        <v>45650</v>
      </c>
      <c r="K493" s="139">
        <f t="shared" si="285"/>
        <v>1</v>
      </c>
      <c r="L493" s="311">
        <f t="shared" si="286"/>
        <v>-517</v>
      </c>
      <c r="M493" s="313"/>
      <c r="N493" s="55"/>
      <c r="O493" s="284"/>
      <c r="P493" s="284"/>
      <c r="Q493" s="284"/>
      <c r="R493" s="284"/>
      <c r="S493" s="284"/>
      <c r="T493" s="284"/>
      <c r="U493" s="284"/>
      <c r="V493" s="284"/>
      <c r="W493" s="284"/>
      <c r="X493" s="284"/>
      <c r="Y493" s="284"/>
      <c r="Z493" s="284"/>
      <c r="AA493" s="284"/>
    </row>
    <row r="494" ht="22.5" customHeight="1">
      <c r="A494" s="314"/>
      <c r="B494" s="315" t="s">
        <v>2292</v>
      </c>
      <c r="C494" s="316" t="str">
        <f t="shared" ref="C494:C497" si="300">if(OR(G494=0,G494=""),"","x")</f>
        <v/>
      </c>
      <c r="D494" s="317">
        <v>0.0</v>
      </c>
      <c r="E494" s="317">
        <v>6000.0</v>
      </c>
      <c r="F494" s="317">
        <f t="shared" si="296"/>
        <v>0</v>
      </c>
      <c r="G494" s="317">
        <f t="shared" si="297"/>
        <v>0</v>
      </c>
      <c r="H494" s="317">
        <f t="shared" si="298"/>
        <v>0</v>
      </c>
      <c r="I494" s="318">
        <v>45603.0</v>
      </c>
      <c r="J494" s="318">
        <f t="shared" si="299"/>
        <v>45633</v>
      </c>
      <c r="K494" s="143">
        <f t="shared" si="285"/>
        <v>1</v>
      </c>
      <c r="L494" s="317">
        <f t="shared" si="286"/>
        <v>-534</v>
      </c>
      <c r="M494" s="186"/>
      <c r="N494" s="187"/>
      <c r="O494" s="284"/>
      <c r="P494" s="284"/>
      <c r="Q494" s="284"/>
      <c r="R494" s="284"/>
      <c r="S494" s="284"/>
      <c r="T494" s="284"/>
      <c r="U494" s="284"/>
      <c r="V494" s="284"/>
      <c r="W494" s="284"/>
      <c r="X494" s="284"/>
      <c r="Y494" s="284"/>
      <c r="Z494" s="284"/>
      <c r="AA494" s="284"/>
    </row>
    <row r="495" ht="22.5" customHeight="1">
      <c r="A495" s="338"/>
      <c r="B495" s="339" t="s">
        <v>2298</v>
      </c>
      <c r="C495" s="340" t="str">
        <f t="shared" si="300"/>
        <v/>
      </c>
      <c r="D495" s="341">
        <v>0.0</v>
      </c>
      <c r="E495" s="341">
        <v>6.0</v>
      </c>
      <c r="F495" s="341">
        <f t="shared" si="296"/>
        <v>0</v>
      </c>
      <c r="G495" s="341">
        <f>F495*$Q$5</f>
        <v>0</v>
      </c>
      <c r="H495" s="341">
        <f t="shared" si="298"/>
        <v>0</v>
      </c>
      <c r="I495" s="342">
        <v>45621.0</v>
      </c>
      <c r="J495" s="342">
        <f t="shared" si="299"/>
        <v>45651</v>
      </c>
      <c r="K495" s="343">
        <v>0.0</v>
      </c>
      <c r="L495" s="341">
        <f t="shared" si="286"/>
        <v>-516</v>
      </c>
      <c r="M495" s="344"/>
      <c r="N495" s="120"/>
      <c r="O495" s="284"/>
      <c r="P495" s="284"/>
      <c r="Q495" s="284"/>
      <c r="R495" s="284"/>
      <c r="S495" s="284"/>
      <c r="T495" s="284"/>
      <c r="U495" s="284"/>
      <c r="V495" s="284"/>
      <c r="W495" s="284"/>
      <c r="X495" s="284"/>
      <c r="Y495" s="284"/>
      <c r="Z495" s="284"/>
      <c r="AA495" s="284"/>
    </row>
    <row r="496">
      <c r="A496" s="284"/>
      <c r="B496" s="284"/>
      <c r="C496" s="285" t="str">
        <f t="shared" si="300"/>
        <v/>
      </c>
      <c r="D496" s="285"/>
      <c r="E496" s="285"/>
      <c r="F496" s="285"/>
      <c r="G496" s="285"/>
      <c r="H496" s="285"/>
      <c r="I496" s="286"/>
      <c r="J496" s="286"/>
      <c r="K496" s="285"/>
      <c r="L496" s="285" t="str">
        <f t="shared" si="286"/>
        <v/>
      </c>
      <c r="M496" s="287"/>
      <c r="N496" s="284"/>
      <c r="O496" s="284"/>
      <c r="P496" s="284"/>
      <c r="Q496" s="284"/>
      <c r="R496" s="284"/>
      <c r="S496" s="284"/>
      <c r="T496" s="284"/>
      <c r="U496" s="284"/>
      <c r="V496" s="284"/>
      <c r="W496" s="284"/>
      <c r="X496" s="284"/>
      <c r="Y496" s="284"/>
      <c r="Z496" s="284"/>
      <c r="AA496" s="284"/>
    </row>
    <row r="497">
      <c r="A497" s="284"/>
      <c r="B497" s="284"/>
      <c r="C497" s="285" t="str">
        <f t="shared" si="300"/>
        <v/>
      </c>
      <c r="D497" s="285"/>
      <c r="E497" s="285"/>
      <c r="F497" s="285"/>
      <c r="G497" s="285"/>
      <c r="H497" s="285"/>
      <c r="I497" s="286"/>
      <c r="J497" s="286"/>
      <c r="K497" s="285"/>
      <c r="L497" s="284"/>
      <c r="M497" s="287"/>
      <c r="N497" s="284"/>
      <c r="O497" s="284"/>
      <c r="P497" s="284"/>
      <c r="Q497" s="284"/>
      <c r="R497" s="284"/>
      <c r="S497" s="284"/>
      <c r="T497" s="284"/>
      <c r="U497" s="284"/>
      <c r="V497" s="284"/>
      <c r="W497" s="284"/>
      <c r="X497" s="284"/>
      <c r="Y497" s="284"/>
      <c r="Z497" s="284"/>
      <c r="AA497" s="284"/>
    </row>
    <row r="498">
      <c r="A498" s="284"/>
      <c r="B498" s="284"/>
      <c r="C498" s="285" t="str">
        <f>if(G498=0,"","x")</f>
        <v/>
      </c>
      <c r="D498" s="285"/>
      <c r="E498" s="285"/>
      <c r="F498" s="285"/>
      <c r="G498" s="285"/>
      <c r="H498" s="285"/>
      <c r="I498" s="286"/>
      <c r="J498" s="286"/>
      <c r="K498" s="285"/>
      <c r="L498" s="284"/>
      <c r="M498" s="287"/>
      <c r="N498" s="284"/>
      <c r="O498" s="284"/>
      <c r="P498" s="284"/>
      <c r="Q498" s="284"/>
      <c r="R498" s="284"/>
      <c r="S498" s="284"/>
      <c r="T498" s="284"/>
      <c r="U498" s="284"/>
      <c r="V498" s="284"/>
      <c r="W498" s="284"/>
      <c r="X498" s="284"/>
      <c r="Y498" s="284"/>
      <c r="Z498" s="284"/>
      <c r="AA498" s="284"/>
    </row>
    <row r="499">
      <c r="A499" s="284"/>
      <c r="B499" s="293" t="s">
        <v>2246</v>
      </c>
      <c r="C499" s="289">
        <f>countif(C481:C498,"x")</f>
        <v>1</v>
      </c>
      <c r="D499" s="285"/>
      <c r="E499" s="285"/>
      <c r="F499" s="285" t="s">
        <v>874</v>
      </c>
      <c r="G499" s="297">
        <f t="shared" ref="G499:H499" si="301">sum(G481:G498)</f>
        <v>2991.996</v>
      </c>
      <c r="H499" s="297">
        <f t="shared" si="301"/>
        <v>2991.996</v>
      </c>
      <c r="I499" s="286"/>
      <c r="J499" s="286"/>
      <c r="K499" s="285"/>
      <c r="L499" s="284"/>
      <c r="M499" s="287"/>
      <c r="N499" s="284"/>
      <c r="O499" s="284"/>
      <c r="P499" s="284"/>
      <c r="Q499" s="284"/>
      <c r="R499" s="284"/>
      <c r="S499" s="284"/>
      <c r="T499" s="284"/>
      <c r="U499" s="284"/>
      <c r="V499" s="284"/>
      <c r="W499" s="284"/>
      <c r="X499" s="284"/>
      <c r="Y499" s="284"/>
      <c r="Z499" s="284"/>
      <c r="AA499" s="284"/>
    </row>
    <row r="500">
      <c r="A500" s="284"/>
      <c r="B500" s="284"/>
      <c r="C500" s="285"/>
      <c r="D500" s="285"/>
      <c r="E500" s="285"/>
      <c r="F500" s="285" t="s">
        <v>2247</v>
      </c>
      <c r="G500" s="285"/>
      <c r="H500" s="297">
        <f>H499+H474</f>
        <v>57573.6575</v>
      </c>
      <c r="I500" s="286"/>
      <c r="J500" s="286"/>
      <c r="K500" s="285"/>
      <c r="L500" s="284"/>
      <c r="M500" s="287"/>
      <c r="N500" s="284"/>
      <c r="O500" s="284"/>
      <c r="P500" s="284"/>
      <c r="Q500" s="284"/>
      <c r="R500" s="284"/>
      <c r="S500" s="284"/>
      <c r="T500" s="284"/>
      <c r="U500" s="284"/>
      <c r="V500" s="284"/>
      <c r="W500" s="284"/>
      <c r="X500" s="284"/>
      <c r="Y500" s="284"/>
      <c r="Z500" s="284"/>
      <c r="AA500" s="284"/>
    </row>
    <row r="501">
      <c r="A501" s="284"/>
      <c r="B501" s="284"/>
      <c r="C501" s="285"/>
      <c r="D501" s="285"/>
      <c r="E501" s="285"/>
      <c r="F501" s="285"/>
      <c r="G501" s="285"/>
      <c r="H501" s="285"/>
      <c r="I501" s="286"/>
      <c r="J501" s="286"/>
      <c r="K501" s="285"/>
      <c r="L501" s="284"/>
      <c r="M501" s="287"/>
      <c r="N501" s="284"/>
      <c r="O501" s="284"/>
      <c r="P501" s="284"/>
      <c r="Q501" s="284"/>
      <c r="R501" s="284"/>
      <c r="S501" s="284"/>
      <c r="T501" s="284"/>
      <c r="U501" s="284"/>
      <c r="V501" s="284"/>
      <c r="W501" s="284"/>
      <c r="X501" s="284"/>
      <c r="Y501" s="284"/>
      <c r="Z501" s="284"/>
      <c r="AA501" s="284"/>
    </row>
    <row r="502">
      <c r="A502" s="284"/>
      <c r="B502" s="284"/>
      <c r="C502" s="285"/>
      <c r="D502" s="285"/>
      <c r="E502" s="285"/>
      <c r="F502" s="285"/>
      <c r="G502" s="285"/>
      <c r="H502" s="285"/>
      <c r="I502" s="286"/>
      <c r="J502" s="286"/>
      <c r="K502" s="285"/>
      <c r="L502" s="284"/>
      <c r="M502" s="287"/>
      <c r="N502" s="284"/>
      <c r="O502" s="284"/>
      <c r="P502" s="284"/>
      <c r="Q502" s="284"/>
      <c r="R502" s="284"/>
      <c r="S502" s="284"/>
      <c r="T502" s="284"/>
      <c r="U502" s="284"/>
      <c r="V502" s="284"/>
      <c r="W502" s="284"/>
      <c r="X502" s="284"/>
      <c r="Y502" s="284"/>
      <c r="Z502" s="284"/>
      <c r="AA502" s="284"/>
    </row>
    <row r="503">
      <c r="A503" s="284"/>
      <c r="B503" s="290" t="s">
        <v>2359</v>
      </c>
      <c r="C503" s="285"/>
      <c r="D503" s="285"/>
      <c r="E503" s="285"/>
      <c r="F503" s="285"/>
      <c r="G503" s="285"/>
      <c r="H503" s="285"/>
      <c r="I503" s="286"/>
      <c r="J503" s="286" t="s">
        <v>2233</v>
      </c>
      <c r="K503" s="291">
        <f> Today()</f>
        <v>46167</v>
      </c>
      <c r="L503" s="285"/>
      <c r="M503" s="287"/>
      <c r="N503" s="284"/>
      <c r="O503" s="284"/>
      <c r="P503" s="284"/>
      <c r="Q503" s="284"/>
      <c r="R503" s="284"/>
      <c r="S503" s="284"/>
      <c r="T503" s="284"/>
      <c r="U503" s="284"/>
      <c r="V503" s="284"/>
      <c r="W503" s="284"/>
      <c r="X503" s="284"/>
      <c r="Y503" s="284"/>
      <c r="Z503" s="284"/>
      <c r="AA503" s="284"/>
    </row>
    <row r="504">
      <c r="A504" s="284"/>
      <c r="B504" s="284"/>
      <c r="C504" s="285"/>
      <c r="D504" s="285"/>
      <c r="E504" s="285"/>
      <c r="F504" s="285"/>
      <c r="G504" s="285"/>
      <c r="H504" s="285"/>
      <c r="I504" s="286"/>
      <c r="J504" s="286"/>
      <c r="K504" s="284"/>
      <c r="L504" s="285"/>
      <c r="M504" s="287"/>
      <c r="N504" s="284"/>
      <c r="O504" s="284"/>
      <c r="P504" s="284"/>
      <c r="Q504" s="284"/>
      <c r="R504" s="284"/>
      <c r="S504" s="284"/>
      <c r="T504" s="284"/>
      <c r="U504" s="284"/>
      <c r="V504" s="284"/>
      <c r="W504" s="284"/>
      <c r="X504" s="284"/>
      <c r="Y504" s="284"/>
      <c r="Z504" s="284"/>
      <c r="AA504" s="284"/>
    </row>
    <row r="505" ht="22.5" customHeight="1">
      <c r="A505" s="78" t="s">
        <v>181</v>
      </c>
      <c r="B505" s="78" t="s">
        <v>2216</v>
      </c>
      <c r="C505" s="307" t="s">
        <v>131</v>
      </c>
      <c r="D505" s="307" t="s">
        <v>2217</v>
      </c>
      <c r="E505" s="307" t="s">
        <v>8</v>
      </c>
      <c r="F505" s="307" t="s">
        <v>873</v>
      </c>
      <c r="G505" s="307" t="s">
        <v>17</v>
      </c>
      <c r="H505" s="307" t="s">
        <v>874</v>
      </c>
      <c r="I505" s="308" t="s">
        <v>2218</v>
      </c>
      <c r="J505" s="308" t="s">
        <v>876</v>
      </c>
      <c r="K505" s="78" t="s">
        <v>877</v>
      </c>
      <c r="L505" s="307" t="s">
        <v>878</v>
      </c>
      <c r="M505" s="309" t="s">
        <v>2219</v>
      </c>
      <c r="N505" s="78" t="s">
        <v>2220</v>
      </c>
      <c r="O505" s="284"/>
      <c r="P505" s="284"/>
      <c r="Q505" s="284"/>
      <c r="R505" s="284"/>
      <c r="S505" s="284"/>
      <c r="T505" s="284"/>
      <c r="U505" s="284"/>
      <c r="V505" s="284"/>
      <c r="W505" s="284"/>
      <c r="X505" s="284"/>
      <c r="Y505" s="284"/>
      <c r="Z505" s="284"/>
      <c r="AA505" s="284"/>
    </row>
    <row r="506" ht="22.5" customHeight="1">
      <c r="A506" s="128"/>
      <c r="B506" s="9" t="s">
        <v>2249</v>
      </c>
      <c r="C506" s="310" t="str">
        <f t="shared" ref="C506:C507" si="302">if(OR(G506=0,G506=""),"","x")</f>
        <v/>
      </c>
      <c r="D506" s="311">
        <v>0.0</v>
      </c>
      <c r="E506" s="311">
        <v>100.0</v>
      </c>
      <c r="F506" s="311">
        <f>D506*E506</f>
        <v>0</v>
      </c>
      <c r="G506" s="311">
        <f>F506*Q$8</f>
        <v>0</v>
      </c>
      <c r="H506" s="311">
        <f t="shared" ref="H506:H509" si="303">G506</f>
        <v>0</v>
      </c>
      <c r="I506" s="322"/>
      <c r="J506" s="322"/>
      <c r="K506" s="150" t="str">
        <f t="shared" ref="K506:K519" si="304">if(J506="","",if(H506=0,1,0))</f>
        <v/>
      </c>
      <c r="L506" s="310" t="str">
        <f t="shared" ref="L506:L521" si="305">if(J506="","",J506-$K$6)</f>
        <v/>
      </c>
      <c r="M506" s="313"/>
      <c r="N506" s="55"/>
      <c r="O506" s="284"/>
      <c r="P506" s="284"/>
      <c r="Q506" s="284"/>
      <c r="R506" s="284"/>
      <c r="S506" s="284"/>
      <c r="T506" s="284"/>
      <c r="U506" s="284"/>
      <c r="V506" s="284"/>
      <c r="W506" s="284"/>
      <c r="X506" s="284"/>
      <c r="Y506" s="284"/>
      <c r="Z506" s="284"/>
      <c r="AA506" s="284"/>
    </row>
    <row r="507" ht="22.5" customHeight="1">
      <c r="A507" s="314"/>
      <c r="B507" s="315" t="s">
        <v>2251</v>
      </c>
      <c r="C507" s="316" t="str">
        <f t="shared" si="302"/>
        <v/>
      </c>
      <c r="D507" s="317">
        <v>0.0</v>
      </c>
      <c r="E507" s="317">
        <v>5.0</v>
      </c>
      <c r="F507" s="317">
        <v>15.0</v>
      </c>
      <c r="G507" s="317">
        <v>0.0</v>
      </c>
      <c r="H507" s="317">
        <f t="shared" si="303"/>
        <v>0</v>
      </c>
      <c r="I507" s="318">
        <v>45597.0</v>
      </c>
      <c r="J507" s="318">
        <f t="shared" ref="J507:J508" si="306">Edate(I507,1)</f>
        <v>45627</v>
      </c>
      <c r="K507" s="143">
        <f t="shared" si="304"/>
        <v>1</v>
      </c>
      <c r="L507" s="317">
        <f t="shared" si="305"/>
        <v>-540</v>
      </c>
      <c r="M507" s="319"/>
      <c r="N507" s="187"/>
      <c r="O507" s="284"/>
      <c r="P507" s="284"/>
      <c r="Q507" s="284"/>
      <c r="R507" s="284"/>
      <c r="S507" s="284"/>
      <c r="T507" s="284"/>
      <c r="U507" s="284"/>
      <c r="V507" s="284"/>
      <c r="W507" s="284"/>
      <c r="X507" s="284"/>
      <c r="Y507" s="284"/>
      <c r="Z507" s="284"/>
      <c r="AA507" s="284"/>
    </row>
    <row r="508" ht="22.5" customHeight="1">
      <c r="A508" s="132" t="s">
        <v>2335</v>
      </c>
      <c r="B508" s="9" t="s">
        <v>2254</v>
      </c>
      <c r="C508" s="310"/>
      <c r="D508" s="311">
        <v>10.52</v>
      </c>
      <c r="E508" s="311">
        <v>3.0</v>
      </c>
      <c r="F508" s="311">
        <f t="shared" ref="F508:F511" si="307">D508*E508</f>
        <v>31.56</v>
      </c>
      <c r="G508" s="311">
        <f>F508*$Q$5</f>
        <v>2622.98316</v>
      </c>
      <c r="H508" s="311">
        <f t="shared" si="303"/>
        <v>2622.98316</v>
      </c>
      <c r="I508" s="312">
        <v>45597.0</v>
      </c>
      <c r="J508" s="312">
        <f t="shared" si="306"/>
        <v>45627</v>
      </c>
      <c r="K508" s="139">
        <f t="shared" si="304"/>
        <v>0</v>
      </c>
      <c r="L508" s="311">
        <f t="shared" si="305"/>
        <v>-540</v>
      </c>
      <c r="M508" s="313"/>
      <c r="N508" s="55"/>
      <c r="O508" s="284"/>
      <c r="P508" s="284"/>
      <c r="Q508" s="284"/>
      <c r="R508" s="284"/>
      <c r="S508" s="284"/>
      <c r="T508" s="284"/>
      <c r="U508" s="284"/>
      <c r="V508" s="284"/>
      <c r="W508" s="284"/>
      <c r="X508" s="284"/>
      <c r="Y508" s="284"/>
      <c r="Z508" s="284"/>
      <c r="AA508" s="284"/>
    </row>
    <row r="509" ht="22.5" customHeight="1">
      <c r="A509" s="314"/>
      <c r="B509" s="315" t="s">
        <v>2255</v>
      </c>
      <c r="C509" s="316" t="str">
        <f t="shared" ref="C509:C522" si="308">if(OR(G509=0,G509=""),"","x")</f>
        <v/>
      </c>
      <c r="D509" s="317">
        <v>0.0</v>
      </c>
      <c r="E509" s="317">
        <v>1500.0</v>
      </c>
      <c r="F509" s="317">
        <f t="shared" si="307"/>
        <v>0</v>
      </c>
      <c r="G509" s="317">
        <f>F509*$Q$7</f>
        <v>0</v>
      </c>
      <c r="H509" s="317">
        <f t="shared" si="303"/>
        <v>0</v>
      </c>
      <c r="I509" s="321"/>
      <c r="J509" s="321"/>
      <c r="K509" s="147" t="str">
        <f t="shared" si="304"/>
        <v/>
      </c>
      <c r="L509" s="316" t="str">
        <f t="shared" si="305"/>
        <v/>
      </c>
      <c r="M509" s="319"/>
      <c r="N509" s="187"/>
      <c r="O509" s="284"/>
      <c r="P509" s="284"/>
      <c r="Q509" s="284"/>
      <c r="R509" s="284"/>
      <c r="S509" s="284"/>
      <c r="T509" s="284"/>
      <c r="U509" s="284"/>
      <c r="V509" s="284"/>
      <c r="W509" s="284"/>
      <c r="X509" s="284"/>
      <c r="Y509" s="284"/>
      <c r="Z509" s="284"/>
      <c r="AA509" s="284"/>
    </row>
    <row r="510" ht="22.5" customHeight="1">
      <c r="A510" s="128"/>
      <c r="B510" s="9" t="s">
        <v>2256</v>
      </c>
      <c r="C510" s="310" t="str">
        <f t="shared" si="308"/>
        <v/>
      </c>
      <c r="D510" s="311">
        <v>0.0</v>
      </c>
      <c r="E510" s="311">
        <v>500.0</v>
      </c>
      <c r="F510" s="311">
        <f t="shared" si="307"/>
        <v>0</v>
      </c>
      <c r="G510" s="311">
        <f t="shared" ref="G510:H510" si="309">F510</f>
        <v>0</v>
      </c>
      <c r="H510" s="311">
        <f t="shared" si="309"/>
        <v>0</v>
      </c>
      <c r="I510" s="322"/>
      <c r="J510" s="322"/>
      <c r="K510" s="150" t="str">
        <f t="shared" si="304"/>
        <v/>
      </c>
      <c r="L510" s="310" t="str">
        <f t="shared" si="305"/>
        <v/>
      </c>
      <c r="M510" s="313"/>
      <c r="N510" s="55"/>
      <c r="O510" s="284"/>
      <c r="P510" s="284"/>
      <c r="Q510" s="284"/>
      <c r="R510" s="284"/>
      <c r="S510" s="284"/>
      <c r="T510" s="284"/>
      <c r="U510" s="284"/>
      <c r="V510" s="284"/>
      <c r="W510" s="284"/>
      <c r="X510" s="284"/>
      <c r="Y510" s="284"/>
      <c r="Z510" s="284"/>
      <c r="AA510" s="284"/>
    </row>
    <row r="511" ht="22.5" customHeight="1">
      <c r="A511" s="314"/>
      <c r="B511" s="315" t="s">
        <v>2257</v>
      </c>
      <c r="C511" s="316" t="str">
        <f t="shared" si="308"/>
        <v/>
      </c>
      <c r="D511" s="317">
        <v>0.0</v>
      </c>
      <c r="E511" s="317">
        <v>22.0</v>
      </c>
      <c r="F511" s="317">
        <f t="shared" si="307"/>
        <v>0</v>
      </c>
      <c r="G511" s="317">
        <f t="shared" ref="G511:G512" si="310">F511*$Q$6</f>
        <v>0</v>
      </c>
      <c r="H511" s="317">
        <f t="shared" ref="H511:H514" si="311">G511</f>
        <v>0</v>
      </c>
      <c r="I511" s="318">
        <v>45597.0</v>
      </c>
      <c r="J511" s="318">
        <f t="shared" ref="J511:J513" si="312">Edate(I511,1)</f>
        <v>45627</v>
      </c>
      <c r="K511" s="143">
        <f t="shared" si="304"/>
        <v>1</v>
      </c>
      <c r="L511" s="317">
        <f t="shared" si="305"/>
        <v>-540</v>
      </c>
      <c r="M511" s="319"/>
      <c r="N511" s="187"/>
      <c r="O511" s="284"/>
      <c r="P511" s="284"/>
      <c r="Q511" s="284"/>
      <c r="R511" s="284"/>
      <c r="S511" s="284"/>
      <c r="T511" s="284"/>
      <c r="U511" s="284"/>
      <c r="V511" s="284"/>
      <c r="W511" s="284"/>
      <c r="X511" s="284"/>
      <c r="Y511" s="284"/>
      <c r="Z511" s="284"/>
      <c r="AA511" s="284"/>
    </row>
    <row r="512" ht="22.5" customHeight="1">
      <c r="A512" s="128"/>
      <c r="B512" s="9" t="s">
        <v>2258</v>
      </c>
      <c r="C512" s="310" t="str">
        <f t="shared" si="308"/>
        <v/>
      </c>
      <c r="D512" s="311">
        <v>0.0</v>
      </c>
      <c r="E512" s="311">
        <v>0.0</v>
      </c>
      <c r="F512" s="311">
        <v>0.0</v>
      </c>
      <c r="G512" s="311">
        <f t="shared" si="310"/>
        <v>0</v>
      </c>
      <c r="H512" s="311">
        <f t="shared" si="311"/>
        <v>0</v>
      </c>
      <c r="I512" s="322"/>
      <c r="J512" s="312">
        <f t="shared" si="312"/>
        <v>31</v>
      </c>
      <c r="K512" s="139">
        <f t="shared" si="304"/>
        <v>1</v>
      </c>
      <c r="L512" s="311">
        <f t="shared" si="305"/>
        <v>-46136</v>
      </c>
      <c r="M512" s="313"/>
      <c r="N512" s="55"/>
      <c r="O512" s="284"/>
      <c r="P512" s="284"/>
      <c r="Q512" s="284"/>
      <c r="R512" s="284"/>
      <c r="S512" s="284"/>
      <c r="T512" s="284"/>
      <c r="U512" s="284"/>
      <c r="V512" s="284"/>
      <c r="W512" s="284"/>
      <c r="X512" s="284"/>
      <c r="Y512" s="284"/>
      <c r="Z512" s="284"/>
      <c r="AA512" s="284"/>
    </row>
    <row r="513" ht="22.5" customHeight="1">
      <c r="A513" s="314"/>
      <c r="B513" s="315" t="s">
        <v>2259</v>
      </c>
      <c r="C513" s="316" t="str">
        <f t="shared" si="308"/>
        <v/>
      </c>
      <c r="D513" s="317">
        <v>0.0</v>
      </c>
      <c r="E513" s="317">
        <v>15000.0</v>
      </c>
      <c r="F513" s="317">
        <f t="shared" ref="F513:F515" si="313">D513*E513</f>
        <v>0</v>
      </c>
      <c r="G513" s="317">
        <f t="shared" ref="G513:G515" si="314">F513*$Q$7</f>
        <v>0</v>
      </c>
      <c r="H513" s="317">
        <f t="shared" si="311"/>
        <v>0</v>
      </c>
      <c r="I513" s="318">
        <v>45609.0</v>
      </c>
      <c r="J513" s="318">
        <f t="shared" si="312"/>
        <v>45639</v>
      </c>
      <c r="K513" s="143">
        <f t="shared" si="304"/>
        <v>1</v>
      </c>
      <c r="L513" s="317">
        <f t="shared" si="305"/>
        <v>-528</v>
      </c>
      <c r="M513" s="319"/>
      <c r="N513" s="187"/>
      <c r="O513" s="284"/>
      <c r="P513" s="284"/>
      <c r="Q513" s="284"/>
      <c r="R513" s="284"/>
      <c r="S513" s="284"/>
      <c r="T513" s="284"/>
      <c r="U513" s="284"/>
      <c r="V513" s="284"/>
      <c r="W513" s="284"/>
      <c r="X513" s="284"/>
      <c r="Y513" s="284"/>
      <c r="Z513" s="284"/>
      <c r="AA513" s="284"/>
    </row>
    <row r="514" ht="22.5" customHeight="1">
      <c r="A514" s="128"/>
      <c r="B514" s="9" t="s">
        <v>2267</v>
      </c>
      <c r="C514" s="310" t="str">
        <f t="shared" si="308"/>
        <v/>
      </c>
      <c r="D514" s="311">
        <v>0.0</v>
      </c>
      <c r="E514" s="311">
        <v>3000.0</v>
      </c>
      <c r="F514" s="311">
        <f t="shared" si="313"/>
        <v>0</v>
      </c>
      <c r="G514" s="311">
        <f t="shared" si="314"/>
        <v>0</v>
      </c>
      <c r="H514" s="311">
        <f t="shared" si="311"/>
        <v>0</v>
      </c>
      <c r="I514" s="322"/>
      <c r="J514" s="322"/>
      <c r="K514" s="150" t="str">
        <f t="shared" si="304"/>
        <v/>
      </c>
      <c r="L514" s="310" t="str">
        <f t="shared" si="305"/>
        <v/>
      </c>
      <c r="M514" s="313"/>
      <c r="N514" s="55"/>
      <c r="O514" s="284"/>
      <c r="P514" s="284"/>
      <c r="Q514" s="284"/>
      <c r="R514" s="284"/>
      <c r="S514" s="284"/>
      <c r="T514" s="284"/>
      <c r="U514" s="284"/>
      <c r="V514" s="284"/>
      <c r="W514" s="284"/>
      <c r="X514" s="284"/>
      <c r="Y514" s="284"/>
      <c r="Z514" s="284"/>
      <c r="AA514" s="284"/>
    </row>
    <row r="515" ht="22.5" customHeight="1">
      <c r="A515" s="314"/>
      <c r="B515" s="315" t="s">
        <v>2279</v>
      </c>
      <c r="C515" s="316" t="str">
        <f t="shared" si="308"/>
        <v/>
      </c>
      <c r="D515" s="317">
        <v>0.0</v>
      </c>
      <c r="E515" s="317">
        <v>5000.0</v>
      </c>
      <c r="F515" s="317">
        <f t="shared" si="313"/>
        <v>0</v>
      </c>
      <c r="G515" s="317">
        <f t="shared" si="314"/>
        <v>0</v>
      </c>
      <c r="H515" s="317">
        <v>0.0</v>
      </c>
      <c r="I515" s="321"/>
      <c r="J515" s="321"/>
      <c r="K515" s="147" t="str">
        <f t="shared" si="304"/>
        <v/>
      </c>
      <c r="L515" s="316" t="str">
        <f t="shared" si="305"/>
        <v/>
      </c>
      <c r="M515" s="319"/>
      <c r="N515" s="187"/>
      <c r="O515" s="284"/>
      <c r="P515" s="284"/>
      <c r="Q515" s="284"/>
      <c r="R515" s="284"/>
      <c r="S515" s="284"/>
      <c r="T515" s="284"/>
      <c r="U515" s="284"/>
      <c r="V515" s="284"/>
      <c r="W515" s="284"/>
      <c r="X515" s="284"/>
      <c r="Y515" s="284"/>
      <c r="Z515" s="284"/>
      <c r="AA515" s="284"/>
    </row>
    <row r="516" ht="22.5" customHeight="1">
      <c r="A516" s="128"/>
      <c r="B516" s="9" t="s">
        <v>2328</v>
      </c>
      <c r="C516" s="310" t="str">
        <f t="shared" si="308"/>
        <v/>
      </c>
      <c r="D516" s="310"/>
      <c r="E516" s="310"/>
      <c r="F516" s="310"/>
      <c r="G516" s="310"/>
      <c r="H516" s="310"/>
      <c r="I516" s="322"/>
      <c r="J516" s="322"/>
      <c r="K516" s="150" t="str">
        <f t="shared" si="304"/>
        <v/>
      </c>
      <c r="L516" s="310" t="str">
        <f t="shared" si="305"/>
        <v/>
      </c>
      <c r="M516" s="313"/>
      <c r="N516" s="55"/>
      <c r="O516" s="284"/>
      <c r="P516" s="284"/>
      <c r="Q516" s="284"/>
      <c r="R516" s="284"/>
      <c r="S516" s="284"/>
      <c r="T516" s="284"/>
      <c r="U516" s="284"/>
      <c r="V516" s="284"/>
      <c r="W516" s="284"/>
      <c r="X516" s="284"/>
      <c r="Y516" s="284"/>
      <c r="Z516" s="284"/>
      <c r="AA516" s="284"/>
    </row>
    <row r="517" ht="22.5" customHeight="1">
      <c r="A517" s="314"/>
      <c r="B517" s="315" t="s">
        <v>2263</v>
      </c>
      <c r="C517" s="316" t="str">
        <f t="shared" si="308"/>
        <v/>
      </c>
      <c r="D517" s="317">
        <v>1.0</v>
      </c>
      <c r="E517" s="316"/>
      <c r="F517" s="310"/>
      <c r="G517" s="317">
        <v>0.0</v>
      </c>
      <c r="H517" s="317">
        <v>0.0</v>
      </c>
      <c r="I517" s="321"/>
      <c r="J517" s="321"/>
      <c r="K517" s="147" t="str">
        <f t="shared" si="304"/>
        <v/>
      </c>
      <c r="L517" s="316" t="str">
        <f t="shared" si="305"/>
        <v/>
      </c>
      <c r="M517" s="319"/>
      <c r="N517" s="187"/>
      <c r="O517" s="284"/>
      <c r="P517" s="284"/>
      <c r="Q517" s="284"/>
      <c r="R517" s="284"/>
      <c r="S517" s="284"/>
      <c r="T517" s="284"/>
      <c r="U517" s="284"/>
      <c r="V517" s="284"/>
      <c r="W517" s="284"/>
      <c r="X517" s="284"/>
      <c r="Y517" s="284"/>
      <c r="Z517" s="284"/>
      <c r="AA517" s="284"/>
    </row>
    <row r="518" ht="22.5" customHeight="1">
      <c r="A518" s="132" t="s">
        <v>2336</v>
      </c>
      <c r="B518" s="9" t="s">
        <v>2289</v>
      </c>
      <c r="C518" s="320" t="str">
        <f t="shared" si="308"/>
        <v>x</v>
      </c>
      <c r="D518" s="311">
        <v>1.0</v>
      </c>
      <c r="E518" s="311">
        <v>6000.0</v>
      </c>
      <c r="F518" s="311">
        <f t="shared" ref="F518:F520" si="315">D518*E518</f>
        <v>6000</v>
      </c>
      <c r="G518" s="311">
        <f t="shared" ref="G518:G519" si="316">F518*$Q$7</f>
        <v>1800</v>
      </c>
      <c r="H518" s="311">
        <f t="shared" ref="H518:H520" si="317">G518</f>
        <v>1800</v>
      </c>
      <c r="I518" s="312">
        <v>45620.0</v>
      </c>
      <c r="J518" s="312">
        <f t="shared" ref="J518:J520" si="318">Edate(I518,1)</f>
        <v>45650</v>
      </c>
      <c r="K518" s="139">
        <f t="shared" si="304"/>
        <v>0</v>
      </c>
      <c r="L518" s="311">
        <f t="shared" si="305"/>
        <v>-517</v>
      </c>
      <c r="M518" s="313"/>
      <c r="N518" s="55"/>
      <c r="O518" s="284"/>
      <c r="P518" s="284"/>
      <c r="Q518" s="284"/>
      <c r="R518" s="284"/>
      <c r="S518" s="284"/>
      <c r="T518" s="284"/>
      <c r="U518" s="284"/>
      <c r="V518" s="284"/>
      <c r="W518" s="284"/>
      <c r="X518" s="284"/>
      <c r="Y518" s="284"/>
      <c r="Z518" s="284"/>
      <c r="AA518" s="284"/>
    </row>
    <row r="519" ht="22.5" customHeight="1">
      <c r="A519" s="314"/>
      <c r="B519" s="315" t="s">
        <v>2292</v>
      </c>
      <c r="C519" s="316" t="str">
        <f t="shared" si="308"/>
        <v/>
      </c>
      <c r="D519" s="317">
        <v>0.0</v>
      </c>
      <c r="E519" s="317">
        <v>6000.0</v>
      </c>
      <c r="F519" s="317">
        <f t="shared" si="315"/>
        <v>0</v>
      </c>
      <c r="G519" s="317">
        <f t="shared" si="316"/>
        <v>0</v>
      </c>
      <c r="H519" s="317">
        <f t="shared" si="317"/>
        <v>0</v>
      </c>
      <c r="I519" s="318">
        <v>45603.0</v>
      </c>
      <c r="J519" s="318">
        <f t="shared" si="318"/>
        <v>45633</v>
      </c>
      <c r="K519" s="143">
        <f t="shared" si="304"/>
        <v>1</v>
      </c>
      <c r="L519" s="317">
        <f t="shared" si="305"/>
        <v>-534</v>
      </c>
      <c r="M519" s="186"/>
      <c r="N519" s="187"/>
      <c r="O519" s="284"/>
      <c r="P519" s="284"/>
      <c r="Q519" s="284"/>
      <c r="R519" s="284"/>
      <c r="S519" s="284"/>
      <c r="T519" s="284"/>
      <c r="U519" s="284"/>
      <c r="V519" s="284"/>
      <c r="W519" s="284"/>
      <c r="X519" s="284"/>
      <c r="Y519" s="284"/>
      <c r="Z519" s="284"/>
      <c r="AA519" s="284"/>
    </row>
    <row r="520" ht="22.5" customHeight="1">
      <c r="A520" s="338"/>
      <c r="B520" s="339" t="s">
        <v>2298</v>
      </c>
      <c r="C520" s="340" t="str">
        <f t="shared" si="308"/>
        <v/>
      </c>
      <c r="D520" s="341">
        <v>0.0</v>
      </c>
      <c r="E520" s="341">
        <v>6.0</v>
      </c>
      <c r="F520" s="341">
        <f t="shared" si="315"/>
        <v>0</v>
      </c>
      <c r="G520" s="341">
        <f>F520*$Q$5</f>
        <v>0</v>
      </c>
      <c r="H520" s="341">
        <f t="shared" si="317"/>
        <v>0</v>
      </c>
      <c r="I520" s="342">
        <v>45621.0</v>
      </c>
      <c r="J520" s="342">
        <f t="shared" si="318"/>
        <v>45651</v>
      </c>
      <c r="K520" s="343">
        <v>0.0</v>
      </c>
      <c r="L520" s="341">
        <f t="shared" si="305"/>
        <v>-516</v>
      </c>
      <c r="M520" s="344"/>
      <c r="N520" s="120"/>
      <c r="O520" s="284"/>
      <c r="P520" s="284"/>
      <c r="Q520" s="284"/>
      <c r="R520" s="284"/>
      <c r="S520" s="284"/>
      <c r="T520" s="284"/>
      <c r="U520" s="284"/>
      <c r="V520" s="284"/>
      <c r="W520" s="284"/>
      <c r="X520" s="284"/>
      <c r="Y520" s="284"/>
      <c r="Z520" s="284"/>
      <c r="AA520" s="284"/>
    </row>
    <row r="521">
      <c r="A521" s="284"/>
      <c r="B521" s="284"/>
      <c r="C521" s="285" t="str">
        <f t="shared" si="308"/>
        <v/>
      </c>
      <c r="D521" s="285"/>
      <c r="E521" s="285"/>
      <c r="F521" s="285"/>
      <c r="G521" s="285"/>
      <c r="H521" s="285"/>
      <c r="I521" s="286"/>
      <c r="J521" s="286"/>
      <c r="K521" s="285"/>
      <c r="L521" s="285" t="str">
        <f t="shared" si="305"/>
        <v/>
      </c>
      <c r="M521" s="287"/>
      <c r="N521" s="284"/>
      <c r="O521" s="284"/>
      <c r="P521" s="284"/>
      <c r="Q521" s="284"/>
      <c r="R521" s="284"/>
      <c r="S521" s="284"/>
      <c r="T521" s="284"/>
      <c r="U521" s="284"/>
      <c r="V521" s="284"/>
      <c r="W521" s="284"/>
      <c r="X521" s="284"/>
      <c r="Y521" s="284"/>
      <c r="Z521" s="284"/>
      <c r="AA521" s="284"/>
    </row>
    <row r="522">
      <c r="A522" s="284"/>
      <c r="B522" s="284"/>
      <c r="C522" s="285" t="str">
        <f t="shared" si="308"/>
        <v/>
      </c>
      <c r="D522" s="285"/>
      <c r="E522" s="285"/>
      <c r="F522" s="285"/>
      <c r="G522" s="285"/>
      <c r="H522" s="285"/>
      <c r="I522" s="286"/>
      <c r="J522" s="286"/>
      <c r="K522" s="285"/>
      <c r="L522" s="284"/>
      <c r="M522" s="287"/>
      <c r="N522" s="284"/>
      <c r="O522" s="284"/>
      <c r="P522" s="284"/>
      <c r="Q522" s="284"/>
      <c r="R522" s="284"/>
      <c r="S522" s="284"/>
      <c r="T522" s="284"/>
      <c r="U522" s="284"/>
      <c r="V522" s="284"/>
      <c r="W522" s="284"/>
      <c r="X522" s="284"/>
      <c r="Y522" s="284"/>
      <c r="Z522" s="284"/>
      <c r="AA522" s="284"/>
    </row>
    <row r="523">
      <c r="A523" s="284"/>
      <c r="B523" s="284"/>
      <c r="C523" s="285" t="str">
        <f>if(G523=0,"","x")</f>
        <v/>
      </c>
      <c r="D523" s="285"/>
      <c r="E523" s="285"/>
      <c r="F523" s="285"/>
      <c r="G523" s="285"/>
      <c r="H523" s="285"/>
      <c r="I523" s="286"/>
      <c r="J523" s="286"/>
      <c r="K523" s="285"/>
      <c r="L523" s="284"/>
      <c r="M523" s="287"/>
      <c r="N523" s="284"/>
      <c r="O523" s="284"/>
      <c r="P523" s="284"/>
      <c r="Q523" s="284"/>
      <c r="R523" s="284"/>
      <c r="S523" s="284"/>
      <c r="T523" s="284"/>
      <c r="U523" s="284"/>
      <c r="V523" s="284"/>
      <c r="W523" s="284"/>
      <c r="X523" s="284"/>
      <c r="Y523" s="284"/>
      <c r="Z523" s="284"/>
      <c r="AA523" s="284"/>
    </row>
    <row r="524">
      <c r="A524" s="284"/>
      <c r="B524" s="293" t="s">
        <v>2246</v>
      </c>
      <c r="C524" s="289">
        <f>countif(C506:C523,"x")</f>
        <v>1</v>
      </c>
      <c r="D524" s="285"/>
      <c r="E524" s="285"/>
      <c r="F524" s="285" t="s">
        <v>874</v>
      </c>
      <c r="G524" s="297">
        <f t="shared" ref="G524:H524" si="319">sum(G506:G523)</f>
        <v>4422.98316</v>
      </c>
      <c r="H524" s="297">
        <f t="shared" si="319"/>
        <v>4422.98316</v>
      </c>
      <c r="I524" s="286"/>
      <c r="J524" s="286"/>
      <c r="K524" s="285"/>
      <c r="L524" s="284"/>
      <c r="M524" s="287"/>
      <c r="N524" s="284"/>
      <c r="O524" s="284"/>
      <c r="P524" s="284"/>
      <c r="Q524" s="284"/>
      <c r="R524" s="284"/>
      <c r="S524" s="284"/>
      <c r="T524" s="284"/>
      <c r="U524" s="284"/>
      <c r="V524" s="284"/>
      <c r="W524" s="284"/>
      <c r="X524" s="284"/>
      <c r="Y524" s="284"/>
      <c r="Z524" s="284"/>
      <c r="AA524" s="284"/>
    </row>
    <row r="525">
      <c r="A525" s="284"/>
      <c r="B525" s="284"/>
      <c r="C525" s="285"/>
      <c r="D525" s="285"/>
      <c r="E525" s="285"/>
      <c r="F525" s="285" t="s">
        <v>2247</v>
      </c>
      <c r="G525" s="285"/>
      <c r="H525" s="297">
        <f>H524+H499</f>
        <v>7414.97916</v>
      </c>
      <c r="I525" s="286"/>
      <c r="J525" s="286"/>
      <c r="K525" s="285"/>
      <c r="L525" s="284"/>
      <c r="M525" s="287"/>
      <c r="N525" s="284"/>
      <c r="O525" s="284"/>
      <c r="P525" s="284"/>
      <c r="Q525" s="284"/>
      <c r="R525" s="284"/>
      <c r="S525" s="284"/>
      <c r="T525" s="284"/>
      <c r="U525" s="284"/>
      <c r="V525" s="284"/>
      <c r="W525" s="284"/>
      <c r="X525" s="284"/>
      <c r="Y525" s="284"/>
      <c r="Z525" s="284"/>
      <c r="AA525" s="284"/>
    </row>
    <row r="526">
      <c r="A526" s="284"/>
      <c r="B526" s="284"/>
      <c r="C526" s="285"/>
      <c r="D526" s="285"/>
      <c r="E526" s="285"/>
      <c r="F526" s="285"/>
      <c r="G526" s="285"/>
      <c r="H526" s="285"/>
      <c r="I526" s="286"/>
      <c r="J526" s="286"/>
      <c r="K526" s="285"/>
      <c r="L526" s="284"/>
      <c r="M526" s="287"/>
      <c r="N526" s="284"/>
      <c r="O526" s="284"/>
      <c r="P526" s="284"/>
      <c r="Q526" s="284"/>
      <c r="R526" s="284"/>
      <c r="S526" s="284"/>
      <c r="T526" s="284"/>
      <c r="U526" s="284"/>
      <c r="V526" s="284"/>
      <c r="W526" s="284"/>
      <c r="X526" s="284"/>
      <c r="Y526" s="284"/>
      <c r="Z526" s="284"/>
      <c r="AA526" s="284"/>
    </row>
    <row r="527">
      <c r="A527" s="284"/>
      <c r="B527" s="284"/>
      <c r="C527" s="285"/>
      <c r="D527" s="285"/>
      <c r="E527" s="285"/>
      <c r="F527" s="285"/>
      <c r="G527" s="285"/>
      <c r="H527" s="285"/>
      <c r="I527" s="286"/>
      <c r="J527" s="286"/>
      <c r="K527" s="285"/>
      <c r="L527" s="284"/>
      <c r="M527" s="287"/>
      <c r="N527" s="284"/>
      <c r="O527" s="284"/>
      <c r="P527" s="284"/>
      <c r="Q527" s="284"/>
      <c r="R527" s="284"/>
      <c r="S527" s="284"/>
      <c r="T527" s="284"/>
      <c r="U527" s="284"/>
      <c r="V527" s="284"/>
      <c r="W527" s="284"/>
      <c r="X527" s="284"/>
      <c r="Y527" s="284"/>
      <c r="Z527" s="284"/>
      <c r="AA527" s="284"/>
    </row>
    <row r="528">
      <c r="A528" s="284"/>
      <c r="B528" s="290" t="s">
        <v>2360</v>
      </c>
      <c r="C528" s="285"/>
      <c r="D528" s="285"/>
      <c r="E528" s="285"/>
      <c r="F528" s="285"/>
      <c r="G528" s="285"/>
      <c r="H528" s="285"/>
      <c r="I528" s="286"/>
      <c r="J528" s="286" t="s">
        <v>2233</v>
      </c>
      <c r="K528" s="291">
        <f> Today()</f>
        <v>46167</v>
      </c>
      <c r="L528" s="285"/>
      <c r="M528" s="287"/>
      <c r="N528" s="284"/>
      <c r="O528" s="284"/>
      <c r="P528" s="284"/>
      <c r="Q528" s="284"/>
      <c r="R528" s="284"/>
      <c r="S528" s="284"/>
      <c r="T528" s="284"/>
      <c r="U528" s="284"/>
      <c r="V528" s="284"/>
      <c r="W528" s="284"/>
      <c r="X528" s="284"/>
      <c r="Y528" s="284"/>
      <c r="Z528" s="284"/>
      <c r="AA528" s="284"/>
    </row>
    <row r="529">
      <c r="A529" s="284"/>
      <c r="B529" s="284"/>
      <c r="C529" s="285"/>
      <c r="D529" s="285"/>
      <c r="E529" s="285"/>
      <c r="F529" s="285"/>
      <c r="G529" s="285"/>
      <c r="H529" s="285"/>
      <c r="I529" s="286"/>
      <c r="J529" s="286"/>
      <c r="K529" s="285"/>
      <c r="L529" s="285"/>
      <c r="M529" s="287"/>
      <c r="N529" s="284"/>
      <c r="O529" s="284"/>
      <c r="P529" s="284"/>
      <c r="Q529" s="284"/>
      <c r="R529" s="284"/>
      <c r="S529" s="284"/>
      <c r="T529" s="284"/>
      <c r="U529" s="284"/>
      <c r="V529" s="284"/>
      <c r="W529" s="284"/>
      <c r="X529" s="284"/>
      <c r="Y529" s="284"/>
      <c r="Z529" s="284"/>
      <c r="AA529" s="284"/>
    </row>
    <row r="530" ht="22.5" customHeight="1">
      <c r="A530" s="4" t="s">
        <v>181</v>
      </c>
      <c r="B530" s="4" t="s">
        <v>2216</v>
      </c>
      <c r="C530" s="345" t="s">
        <v>131</v>
      </c>
      <c r="D530" s="345" t="s">
        <v>2217</v>
      </c>
      <c r="E530" s="345" t="s">
        <v>8</v>
      </c>
      <c r="F530" s="345" t="s">
        <v>873</v>
      </c>
      <c r="G530" s="345" t="s">
        <v>17</v>
      </c>
      <c r="H530" s="345" t="s">
        <v>874</v>
      </c>
      <c r="I530" s="346" t="s">
        <v>2218</v>
      </c>
      <c r="J530" s="346" t="s">
        <v>876</v>
      </c>
      <c r="K530" s="345" t="s">
        <v>877</v>
      </c>
      <c r="L530" s="345" t="s">
        <v>878</v>
      </c>
      <c r="M530" s="347" t="s">
        <v>2219</v>
      </c>
      <c r="N530" s="4" t="s">
        <v>2220</v>
      </c>
      <c r="O530" s="284"/>
      <c r="P530" s="284"/>
      <c r="Q530" s="284"/>
      <c r="R530" s="284"/>
      <c r="S530" s="284"/>
      <c r="T530" s="284"/>
      <c r="U530" s="284"/>
      <c r="V530" s="284"/>
      <c r="W530" s="284"/>
      <c r="X530" s="284"/>
      <c r="Y530" s="284"/>
      <c r="Z530" s="284"/>
      <c r="AA530" s="284"/>
    </row>
    <row r="531" ht="22.5" customHeight="1">
      <c r="A531" s="128"/>
      <c r="B531" s="9" t="s">
        <v>2249</v>
      </c>
      <c r="C531" s="310" t="str">
        <f t="shared" ref="C531:C532" si="320">if(OR(G531=0,G531=""),"","x")</f>
        <v/>
      </c>
      <c r="D531" s="311">
        <v>0.0</v>
      </c>
      <c r="E531" s="311">
        <v>100.0</v>
      </c>
      <c r="F531" s="311">
        <f>D531*E531</f>
        <v>0</v>
      </c>
      <c r="G531" s="311">
        <f>F531*Q$8</f>
        <v>0</v>
      </c>
      <c r="H531" s="311">
        <f t="shared" ref="H531:H534" si="321">G531</f>
        <v>0</v>
      </c>
      <c r="I531" s="322"/>
      <c r="J531" s="322"/>
      <c r="K531" s="150" t="str">
        <f t="shared" ref="K531:K544" si="322">if(J531="","",if(H531=0,1,0))</f>
        <v/>
      </c>
      <c r="L531" s="310" t="str">
        <f t="shared" ref="L531:L546" si="323">if(J531="","",J531-$K$6)</f>
        <v/>
      </c>
      <c r="M531" s="313"/>
      <c r="N531" s="55"/>
      <c r="O531" s="284"/>
      <c r="P531" s="284"/>
      <c r="Q531" s="284"/>
      <c r="R531" s="284"/>
      <c r="S531" s="284"/>
      <c r="T531" s="284"/>
      <c r="U531" s="284"/>
      <c r="V531" s="284"/>
      <c r="W531" s="284"/>
      <c r="X531" s="284"/>
      <c r="Y531" s="284"/>
      <c r="Z531" s="284"/>
      <c r="AA531" s="284"/>
    </row>
    <row r="532" ht="22.5" customHeight="1">
      <c r="A532" s="314"/>
      <c r="B532" s="315" t="s">
        <v>2251</v>
      </c>
      <c r="C532" s="316" t="str">
        <f t="shared" si="320"/>
        <v/>
      </c>
      <c r="D532" s="317">
        <v>0.0</v>
      </c>
      <c r="E532" s="317">
        <v>5.0</v>
      </c>
      <c r="F532" s="317">
        <v>15.0</v>
      </c>
      <c r="G532" s="317">
        <v>0.0</v>
      </c>
      <c r="H532" s="317">
        <f t="shared" si="321"/>
        <v>0</v>
      </c>
      <c r="I532" s="318">
        <v>45597.0</v>
      </c>
      <c r="J532" s="318">
        <f t="shared" ref="J532:J533" si="324">Edate(I532,1)</f>
        <v>45627</v>
      </c>
      <c r="K532" s="143">
        <f t="shared" si="322"/>
        <v>1</v>
      </c>
      <c r="L532" s="317">
        <f t="shared" si="323"/>
        <v>-540</v>
      </c>
      <c r="M532" s="319"/>
      <c r="N532" s="187"/>
      <c r="O532" s="284"/>
      <c r="P532" s="284"/>
      <c r="Q532" s="284"/>
      <c r="R532" s="284"/>
      <c r="S532" s="284"/>
      <c r="T532" s="284"/>
      <c r="U532" s="284"/>
      <c r="V532" s="284"/>
      <c r="W532" s="284"/>
      <c r="X532" s="284"/>
      <c r="Y532" s="284"/>
      <c r="Z532" s="284"/>
      <c r="AA532" s="284"/>
    </row>
    <row r="533" ht="22.5" customHeight="1">
      <c r="A533" s="128"/>
      <c r="B533" s="9" t="s">
        <v>2254</v>
      </c>
      <c r="C533" s="320" t="s">
        <v>1350</v>
      </c>
      <c r="D533" s="311">
        <v>0.0</v>
      </c>
      <c r="E533" s="311">
        <v>3.0</v>
      </c>
      <c r="F533" s="311">
        <f t="shared" ref="F533:F536" si="325">D533*E533</f>
        <v>0</v>
      </c>
      <c r="G533" s="311">
        <f>F533*$Q$5</f>
        <v>0</v>
      </c>
      <c r="H533" s="311">
        <f t="shared" si="321"/>
        <v>0</v>
      </c>
      <c r="I533" s="312">
        <v>45597.0</v>
      </c>
      <c r="J533" s="312">
        <f t="shared" si="324"/>
        <v>45627</v>
      </c>
      <c r="K533" s="139">
        <f t="shared" si="322"/>
        <v>1</v>
      </c>
      <c r="L533" s="311">
        <f t="shared" si="323"/>
        <v>-540</v>
      </c>
      <c r="M533" s="313"/>
      <c r="N533" s="55"/>
      <c r="O533" s="284"/>
      <c r="P533" s="284"/>
      <c r="Q533" s="284"/>
      <c r="R533" s="284"/>
      <c r="S533" s="284"/>
      <c r="T533" s="284"/>
      <c r="U533" s="284"/>
      <c r="V533" s="284"/>
      <c r="W533" s="284"/>
      <c r="X533" s="284"/>
      <c r="Y533" s="284"/>
      <c r="Z533" s="284"/>
      <c r="AA533" s="284"/>
    </row>
    <row r="534" ht="22.5" customHeight="1">
      <c r="A534" s="314"/>
      <c r="B534" s="315" t="s">
        <v>2255</v>
      </c>
      <c r="C534" s="316" t="str">
        <f t="shared" ref="C534:C547" si="326">if(OR(G534=0,G534=""),"","x")</f>
        <v/>
      </c>
      <c r="D534" s="317">
        <v>0.0</v>
      </c>
      <c r="E534" s="317">
        <v>1500.0</v>
      </c>
      <c r="F534" s="317">
        <f t="shared" si="325"/>
        <v>0</v>
      </c>
      <c r="G534" s="317">
        <f>F534*$Q$7</f>
        <v>0</v>
      </c>
      <c r="H534" s="317">
        <f t="shared" si="321"/>
        <v>0</v>
      </c>
      <c r="I534" s="321"/>
      <c r="J534" s="321"/>
      <c r="K534" s="147" t="str">
        <f t="shared" si="322"/>
        <v/>
      </c>
      <c r="L534" s="316" t="str">
        <f t="shared" si="323"/>
        <v/>
      </c>
      <c r="M534" s="319"/>
      <c r="N534" s="187"/>
      <c r="O534" s="284"/>
      <c r="P534" s="284"/>
      <c r="Q534" s="284"/>
      <c r="R534" s="284"/>
      <c r="S534" s="284"/>
      <c r="T534" s="284"/>
      <c r="U534" s="284"/>
      <c r="V534" s="284"/>
      <c r="W534" s="284"/>
      <c r="X534" s="284"/>
      <c r="Y534" s="284"/>
      <c r="Z534" s="284"/>
      <c r="AA534" s="284"/>
    </row>
    <row r="535" ht="22.5" customHeight="1">
      <c r="A535" s="128"/>
      <c r="B535" s="9" t="s">
        <v>2256</v>
      </c>
      <c r="C535" s="310" t="str">
        <f t="shared" si="326"/>
        <v/>
      </c>
      <c r="D535" s="311">
        <v>0.0</v>
      </c>
      <c r="E535" s="311">
        <v>500.0</v>
      </c>
      <c r="F535" s="311">
        <f t="shared" si="325"/>
        <v>0</v>
      </c>
      <c r="G535" s="311">
        <f t="shared" ref="G535:H535" si="327">F535</f>
        <v>0</v>
      </c>
      <c r="H535" s="311">
        <f t="shared" si="327"/>
        <v>0</v>
      </c>
      <c r="I535" s="322"/>
      <c r="J535" s="322"/>
      <c r="K535" s="150" t="str">
        <f t="shared" si="322"/>
        <v/>
      </c>
      <c r="L535" s="310" t="str">
        <f t="shared" si="323"/>
        <v/>
      </c>
      <c r="M535" s="313"/>
      <c r="N535" s="55"/>
      <c r="O535" s="284"/>
      <c r="P535" s="284"/>
      <c r="Q535" s="284"/>
      <c r="R535" s="284"/>
      <c r="S535" s="284"/>
      <c r="T535" s="284"/>
      <c r="U535" s="284"/>
      <c r="V535" s="284"/>
      <c r="W535" s="284"/>
      <c r="X535" s="284"/>
      <c r="Y535" s="284"/>
      <c r="Z535" s="284"/>
      <c r="AA535" s="284"/>
    </row>
    <row r="536" ht="22.5" customHeight="1">
      <c r="A536" s="314"/>
      <c r="B536" s="315" t="s">
        <v>2257</v>
      </c>
      <c r="C536" s="316" t="str">
        <f t="shared" si="326"/>
        <v/>
      </c>
      <c r="D536" s="317">
        <v>0.0</v>
      </c>
      <c r="E536" s="317">
        <v>22.0</v>
      </c>
      <c r="F536" s="317">
        <f t="shared" si="325"/>
        <v>0</v>
      </c>
      <c r="G536" s="317">
        <f t="shared" ref="G536:G537" si="328">F536*$Q$6</f>
        <v>0</v>
      </c>
      <c r="H536" s="317">
        <f t="shared" ref="H536:H539" si="329">G536</f>
        <v>0</v>
      </c>
      <c r="I536" s="318">
        <v>45597.0</v>
      </c>
      <c r="J536" s="318">
        <f t="shared" ref="J536:J538" si="330">Edate(I536,1)</f>
        <v>45627</v>
      </c>
      <c r="K536" s="143">
        <f t="shared" si="322"/>
        <v>1</v>
      </c>
      <c r="L536" s="317">
        <f t="shared" si="323"/>
        <v>-540</v>
      </c>
      <c r="M536" s="319"/>
      <c r="N536" s="187"/>
      <c r="O536" s="284"/>
      <c r="P536" s="284"/>
      <c r="Q536" s="284"/>
      <c r="R536" s="284"/>
      <c r="S536" s="284"/>
      <c r="T536" s="284"/>
      <c r="U536" s="284"/>
      <c r="V536" s="284"/>
      <c r="W536" s="284"/>
      <c r="X536" s="284"/>
      <c r="Y536" s="284"/>
      <c r="Z536" s="284"/>
      <c r="AA536" s="284"/>
    </row>
    <row r="537" ht="22.5" customHeight="1">
      <c r="A537" s="128"/>
      <c r="B537" s="9" t="s">
        <v>2258</v>
      </c>
      <c r="C537" s="310" t="str">
        <f t="shared" si="326"/>
        <v/>
      </c>
      <c r="D537" s="311">
        <v>0.0</v>
      </c>
      <c r="E537" s="311">
        <v>0.0</v>
      </c>
      <c r="F537" s="311">
        <v>0.0</v>
      </c>
      <c r="G537" s="311">
        <f t="shared" si="328"/>
        <v>0</v>
      </c>
      <c r="H537" s="311">
        <f t="shared" si="329"/>
        <v>0</v>
      </c>
      <c r="I537" s="322"/>
      <c r="J537" s="312">
        <f t="shared" si="330"/>
        <v>31</v>
      </c>
      <c r="K537" s="139">
        <f t="shared" si="322"/>
        <v>1</v>
      </c>
      <c r="L537" s="311">
        <f t="shared" si="323"/>
        <v>-46136</v>
      </c>
      <c r="M537" s="313"/>
      <c r="N537" s="55"/>
      <c r="O537" s="284"/>
      <c r="P537" s="284"/>
      <c r="Q537" s="284"/>
      <c r="R537" s="284"/>
      <c r="S537" s="284"/>
      <c r="T537" s="284"/>
      <c r="U537" s="284"/>
      <c r="V537" s="284"/>
      <c r="W537" s="284"/>
      <c r="X537" s="284"/>
      <c r="Y537" s="284"/>
      <c r="Z537" s="284"/>
      <c r="AA537" s="284"/>
    </row>
    <row r="538" ht="22.5" customHeight="1">
      <c r="A538" s="314"/>
      <c r="B538" s="315" t="s">
        <v>2259</v>
      </c>
      <c r="C538" s="316" t="str">
        <f t="shared" si="326"/>
        <v/>
      </c>
      <c r="D538" s="317">
        <v>0.0</v>
      </c>
      <c r="E538" s="317">
        <v>15000.0</v>
      </c>
      <c r="F538" s="317">
        <f t="shared" ref="F538:F540" si="331">D538*E538</f>
        <v>0</v>
      </c>
      <c r="G538" s="317">
        <f t="shared" ref="G538:G540" si="332">F538*$Q$7</f>
        <v>0</v>
      </c>
      <c r="H538" s="317">
        <f t="shared" si="329"/>
        <v>0</v>
      </c>
      <c r="I538" s="318">
        <v>45609.0</v>
      </c>
      <c r="J538" s="318">
        <f t="shared" si="330"/>
        <v>45639</v>
      </c>
      <c r="K538" s="143">
        <f t="shared" si="322"/>
        <v>1</v>
      </c>
      <c r="L538" s="317">
        <f t="shared" si="323"/>
        <v>-528</v>
      </c>
      <c r="M538" s="319"/>
      <c r="N538" s="187"/>
      <c r="O538" s="284"/>
      <c r="P538" s="284"/>
      <c r="Q538" s="284"/>
      <c r="R538" s="284"/>
      <c r="S538" s="284"/>
      <c r="T538" s="284"/>
      <c r="U538" s="284"/>
      <c r="V538" s="284"/>
      <c r="W538" s="284"/>
      <c r="X538" s="284"/>
      <c r="Y538" s="284"/>
      <c r="Z538" s="284"/>
      <c r="AA538" s="284"/>
    </row>
    <row r="539" ht="22.5" customHeight="1">
      <c r="A539" s="128"/>
      <c r="B539" s="9" t="s">
        <v>2267</v>
      </c>
      <c r="C539" s="310" t="str">
        <f t="shared" si="326"/>
        <v/>
      </c>
      <c r="D539" s="311">
        <v>0.0</v>
      </c>
      <c r="E539" s="311">
        <v>3000.0</v>
      </c>
      <c r="F539" s="311">
        <f t="shared" si="331"/>
        <v>0</v>
      </c>
      <c r="G539" s="311">
        <f t="shared" si="332"/>
        <v>0</v>
      </c>
      <c r="H539" s="311">
        <f t="shared" si="329"/>
        <v>0</v>
      </c>
      <c r="I539" s="322"/>
      <c r="J539" s="322"/>
      <c r="K539" s="150" t="str">
        <f t="shared" si="322"/>
        <v/>
      </c>
      <c r="L539" s="310" t="str">
        <f t="shared" si="323"/>
        <v/>
      </c>
      <c r="M539" s="313"/>
      <c r="N539" s="55"/>
      <c r="O539" s="284"/>
      <c r="P539" s="284"/>
      <c r="Q539" s="284"/>
      <c r="R539" s="284"/>
      <c r="S539" s="284"/>
      <c r="T539" s="284"/>
      <c r="U539" s="284"/>
      <c r="V539" s="284"/>
      <c r="W539" s="284"/>
      <c r="X539" s="284"/>
      <c r="Y539" s="284"/>
      <c r="Z539" s="284"/>
      <c r="AA539" s="284"/>
    </row>
    <row r="540" ht="22.5" customHeight="1">
      <c r="A540" s="314"/>
      <c r="B540" s="315" t="s">
        <v>2279</v>
      </c>
      <c r="C540" s="316" t="str">
        <f t="shared" si="326"/>
        <v/>
      </c>
      <c r="D540" s="317">
        <v>0.0</v>
      </c>
      <c r="E540" s="317">
        <v>5000.0</v>
      </c>
      <c r="F540" s="317">
        <f t="shared" si="331"/>
        <v>0</v>
      </c>
      <c r="G540" s="317">
        <f t="shared" si="332"/>
        <v>0</v>
      </c>
      <c r="H540" s="317">
        <v>0.0</v>
      </c>
      <c r="I540" s="321"/>
      <c r="J540" s="321"/>
      <c r="K540" s="147" t="str">
        <f t="shared" si="322"/>
        <v/>
      </c>
      <c r="L540" s="316" t="str">
        <f t="shared" si="323"/>
        <v/>
      </c>
      <c r="M540" s="319"/>
      <c r="N540" s="187"/>
      <c r="O540" s="284"/>
      <c r="P540" s="284"/>
      <c r="Q540" s="284"/>
      <c r="R540" s="284"/>
      <c r="S540" s="284"/>
      <c r="T540" s="284"/>
      <c r="U540" s="284"/>
      <c r="V540" s="284"/>
      <c r="W540" s="284"/>
      <c r="X540" s="284"/>
      <c r="Y540" s="284"/>
      <c r="Z540" s="284"/>
      <c r="AA540" s="284"/>
    </row>
    <row r="541" ht="22.5" customHeight="1">
      <c r="A541" s="128"/>
      <c r="B541" s="9" t="s">
        <v>2328</v>
      </c>
      <c r="C541" s="310" t="str">
        <f t="shared" si="326"/>
        <v/>
      </c>
      <c r="D541" s="310"/>
      <c r="E541" s="310"/>
      <c r="F541" s="310"/>
      <c r="G541" s="310"/>
      <c r="H541" s="310"/>
      <c r="I541" s="322"/>
      <c r="J541" s="322"/>
      <c r="K541" s="150" t="str">
        <f t="shared" si="322"/>
        <v/>
      </c>
      <c r="L541" s="310" t="str">
        <f t="shared" si="323"/>
        <v/>
      </c>
      <c r="M541" s="313"/>
      <c r="N541" s="55"/>
      <c r="O541" s="284"/>
      <c r="P541" s="284"/>
      <c r="Q541" s="284"/>
      <c r="R541" s="284"/>
      <c r="S541" s="284"/>
      <c r="T541" s="284"/>
      <c r="U541" s="284"/>
      <c r="V541" s="284"/>
      <c r="W541" s="284"/>
      <c r="X541" s="284"/>
      <c r="Y541" s="284"/>
      <c r="Z541" s="284"/>
      <c r="AA541" s="284"/>
    </row>
    <row r="542" ht="22.5" customHeight="1">
      <c r="A542" s="323" t="s">
        <v>2329</v>
      </c>
      <c r="B542" s="315" t="s">
        <v>2263</v>
      </c>
      <c r="C542" s="316" t="str">
        <f t="shared" si="326"/>
        <v/>
      </c>
      <c r="D542" s="317">
        <v>1.0</v>
      </c>
      <c r="E542" s="316"/>
      <c r="F542" s="316"/>
      <c r="G542" s="317">
        <v>0.0</v>
      </c>
      <c r="H542" s="317">
        <v>0.0</v>
      </c>
      <c r="I542" s="321"/>
      <c r="J542" s="321"/>
      <c r="K542" s="147" t="str">
        <f t="shared" si="322"/>
        <v/>
      </c>
      <c r="L542" s="316" t="str">
        <f t="shared" si="323"/>
        <v/>
      </c>
      <c r="M542" s="319"/>
      <c r="N542" s="187"/>
      <c r="O542" s="284"/>
      <c r="P542" s="284"/>
      <c r="Q542" s="284"/>
      <c r="R542" s="284"/>
      <c r="S542" s="284"/>
      <c r="T542" s="284"/>
      <c r="U542" s="284"/>
      <c r="V542" s="284"/>
      <c r="W542" s="284"/>
      <c r="X542" s="284"/>
      <c r="Y542" s="284"/>
      <c r="Z542" s="284"/>
      <c r="AA542" s="284"/>
    </row>
    <row r="543" ht="22.5" customHeight="1">
      <c r="A543" s="128"/>
      <c r="B543" s="9" t="s">
        <v>2289</v>
      </c>
      <c r="C543" s="310" t="str">
        <f t="shared" si="326"/>
        <v/>
      </c>
      <c r="D543" s="311">
        <v>0.0</v>
      </c>
      <c r="E543" s="311">
        <v>5000.0</v>
      </c>
      <c r="F543" s="311">
        <f t="shared" ref="F543:F545" si="333">D543*E543</f>
        <v>0</v>
      </c>
      <c r="G543" s="311">
        <f t="shared" ref="G543:G544" si="334">F543*$Q$7</f>
        <v>0</v>
      </c>
      <c r="H543" s="311">
        <f t="shared" ref="H543:H545" si="335">G543</f>
        <v>0</v>
      </c>
      <c r="I543" s="312">
        <v>45620.0</v>
      </c>
      <c r="J543" s="312">
        <f t="shared" ref="J543:J545" si="336">Edate(I543,1)</f>
        <v>45650</v>
      </c>
      <c r="K543" s="139">
        <f t="shared" si="322"/>
        <v>1</v>
      </c>
      <c r="L543" s="311">
        <f t="shared" si="323"/>
        <v>-517</v>
      </c>
      <c r="M543" s="313"/>
      <c r="N543" s="55"/>
      <c r="O543" s="284"/>
      <c r="P543" s="284"/>
      <c r="Q543" s="284"/>
      <c r="R543" s="284"/>
      <c r="S543" s="284"/>
      <c r="T543" s="284"/>
      <c r="U543" s="284"/>
      <c r="V543" s="284"/>
      <c r="W543" s="284"/>
      <c r="X543" s="284"/>
      <c r="Y543" s="284"/>
      <c r="Z543" s="284"/>
      <c r="AA543" s="284"/>
    </row>
    <row r="544" ht="22.5" customHeight="1">
      <c r="A544" s="323" t="s">
        <v>2337</v>
      </c>
      <c r="B544" s="315" t="s">
        <v>2292</v>
      </c>
      <c r="C544" s="316" t="str">
        <f t="shared" si="326"/>
        <v/>
      </c>
      <c r="D544" s="317">
        <v>0.0</v>
      </c>
      <c r="E544" s="317">
        <v>6000.0</v>
      </c>
      <c r="F544" s="317">
        <f t="shared" si="333"/>
        <v>0</v>
      </c>
      <c r="G544" s="317">
        <f t="shared" si="334"/>
        <v>0</v>
      </c>
      <c r="H544" s="317">
        <f t="shared" si="335"/>
        <v>0</v>
      </c>
      <c r="I544" s="318">
        <v>45603.0</v>
      </c>
      <c r="J544" s="318">
        <f t="shared" si="336"/>
        <v>45633</v>
      </c>
      <c r="K544" s="143">
        <f t="shared" si="322"/>
        <v>1</v>
      </c>
      <c r="L544" s="317">
        <f t="shared" si="323"/>
        <v>-534</v>
      </c>
      <c r="M544" s="348" t="s">
        <v>2332</v>
      </c>
      <c r="N544" s="187"/>
      <c r="O544" s="284"/>
      <c r="P544" s="284"/>
      <c r="Q544" s="284"/>
      <c r="R544" s="284"/>
      <c r="S544" s="284"/>
      <c r="T544" s="284"/>
      <c r="U544" s="284"/>
      <c r="V544" s="284"/>
      <c r="W544" s="284"/>
      <c r="X544" s="284"/>
      <c r="Y544" s="284"/>
      <c r="Z544" s="284"/>
      <c r="AA544" s="284"/>
    </row>
    <row r="545" ht="22.5" customHeight="1">
      <c r="A545" s="338"/>
      <c r="B545" s="339" t="s">
        <v>2298</v>
      </c>
      <c r="C545" s="340" t="str">
        <f t="shared" si="326"/>
        <v/>
      </c>
      <c r="D545" s="341">
        <v>0.0</v>
      </c>
      <c r="E545" s="341">
        <v>6.0</v>
      </c>
      <c r="F545" s="341">
        <f t="shared" si="333"/>
        <v>0</v>
      </c>
      <c r="G545" s="341">
        <f>F545*$Q$5</f>
        <v>0</v>
      </c>
      <c r="H545" s="341">
        <f t="shared" si="335"/>
        <v>0</v>
      </c>
      <c r="I545" s="342">
        <v>45621.0</v>
      </c>
      <c r="J545" s="342">
        <f t="shared" si="336"/>
        <v>45651</v>
      </c>
      <c r="K545" s="343">
        <v>0.0</v>
      </c>
      <c r="L545" s="341">
        <f t="shared" si="323"/>
        <v>-516</v>
      </c>
      <c r="M545" s="344"/>
      <c r="N545" s="120"/>
      <c r="O545" s="284"/>
      <c r="P545" s="284"/>
      <c r="Q545" s="284"/>
      <c r="R545" s="284"/>
      <c r="S545" s="284"/>
      <c r="T545" s="284"/>
      <c r="U545" s="284"/>
      <c r="V545" s="284"/>
      <c r="W545" s="284"/>
      <c r="X545" s="284"/>
      <c r="Y545" s="284"/>
      <c r="Z545" s="284"/>
      <c r="AA545" s="284"/>
    </row>
    <row r="546">
      <c r="A546" s="284"/>
      <c r="B546" s="284"/>
      <c r="C546" s="285" t="str">
        <f t="shared" si="326"/>
        <v/>
      </c>
      <c r="D546" s="285"/>
      <c r="E546" s="285"/>
      <c r="F546" s="285"/>
      <c r="G546" s="285"/>
      <c r="H546" s="285"/>
      <c r="I546" s="286"/>
      <c r="J546" s="286"/>
      <c r="K546" s="285"/>
      <c r="L546" s="285" t="str">
        <f t="shared" si="323"/>
        <v/>
      </c>
      <c r="M546" s="287"/>
      <c r="N546" s="284"/>
      <c r="O546" s="284"/>
      <c r="P546" s="284"/>
      <c r="Q546" s="284"/>
      <c r="R546" s="284"/>
      <c r="S546" s="284"/>
      <c r="T546" s="284"/>
      <c r="U546" s="284"/>
      <c r="V546" s="284"/>
      <c r="W546" s="284"/>
      <c r="X546" s="284"/>
      <c r="Y546" s="284"/>
      <c r="Z546" s="284"/>
      <c r="AA546" s="284"/>
    </row>
    <row r="547">
      <c r="A547" s="284"/>
      <c r="B547" s="284"/>
      <c r="C547" s="285" t="str">
        <f t="shared" si="326"/>
        <v/>
      </c>
      <c r="D547" s="285"/>
      <c r="E547" s="285"/>
      <c r="F547" s="285"/>
      <c r="G547" s="285"/>
      <c r="H547" s="285"/>
      <c r="I547" s="286"/>
      <c r="J547" s="286"/>
      <c r="K547" s="285"/>
      <c r="L547" s="284"/>
      <c r="M547" s="287"/>
      <c r="N547" s="284"/>
      <c r="O547" s="284"/>
      <c r="P547" s="284"/>
      <c r="Q547" s="284"/>
      <c r="R547" s="284"/>
      <c r="S547" s="284"/>
      <c r="T547" s="284"/>
      <c r="U547" s="284"/>
      <c r="V547" s="284"/>
      <c r="W547" s="284"/>
      <c r="X547" s="284"/>
      <c r="Y547" s="284"/>
      <c r="Z547" s="284"/>
      <c r="AA547" s="284"/>
    </row>
    <row r="548">
      <c r="A548" s="284"/>
      <c r="B548" s="284"/>
      <c r="C548" s="285" t="str">
        <f>if(G548=0,"","x")</f>
        <v/>
      </c>
      <c r="D548" s="285"/>
      <c r="E548" s="285"/>
      <c r="F548" s="285"/>
      <c r="G548" s="285"/>
      <c r="H548" s="285"/>
      <c r="I548" s="286"/>
      <c r="J548" s="286"/>
      <c r="K548" s="285"/>
      <c r="L548" s="284"/>
      <c r="M548" s="287"/>
      <c r="N548" s="284"/>
      <c r="O548" s="284"/>
      <c r="P548" s="284"/>
      <c r="Q548" s="284"/>
      <c r="R548" s="284"/>
      <c r="S548" s="284"/>
      <c r="T548" s="284"/>
      <c r="U548" s="284"/>
      <c r="V548" s="284"/>
      <c r="W548" s="284"/>
      <c r="X548" s="284"/>
      <c r="Y548" s="284"/>
      <c r="Z548" s="284"/>
      <c r="AA548" s="284"/>
    </row>
    <row r="549">
      <c r="A549" s="284"/>
      <c r="B549" s="293" t="s">
        <v>2246</v>
      </c>
      <c r="C549" s="297">
        <f>countif(C531:C548,"x")</f>
        <v>1</v>
      </c>
      <c r="D549" s="285"/>
      <c r="E549" s="285"/>
      <c r="F549" s="285" t="s">
        <v>874</v>
      </c>
      <c r="G549" s="297">
        <f t="shared" ref="G549:H549" si="337">sum(G531:G548)</f>
        <v>0</v>
      </c>
      <c r="H549" s="297">
        <f t="shared" si="337"/>
        <v>0</v>
      </c>
      <c r="I549" s="286"/>
      <c r="J549" s="286"/>
      <c r="K549" s="285"/>
      <c r="L549" s="284"/>
      <c r="M549" s="287"/>
      <c r="N549" s="284"/>
      <c r="O549" s="284"/>
      <c r="P549" s="284"/>
      <c r="Q549" s="284"/>
      <c r="R549" s="284"/>
      <c r="S549" s="284"/>
      <c r="T549" s="284"/>
      <c r="U549" s="284"/>
      <c r="V549" s="284"/>
      <c r="W549" s="284"/>
      <c r="X549" s="284"/>
      <c r="Y549" s="284"/>
      <c r="Z549" s="284"/>
      <c r="AA549" s="284"/>
    </row>
    <row r="550">
      <c r="A550" s="284"/>
      <c r="B550" s="284"/>
      <c r="C550" s="285"/>
      <c r="D550" s="285"/>
      <c r="E550" s="285"/>
      <c r="F550" s="285" t="s">
        <v>2247</v>
      </c>
      <c r="G550" s="285"/>
      <c r="H550" s="297">
        <f>H549+H524</f>
        <v>4422.98316</v>
      </c>
      <c r="I550" s="286"/>
      <c r="J550" s="286"/>
      <c r="K550" s="285"/>
      <c r="L550" s="284"/>
      <c r="M550" s="287"/>
      <c r="N550" s="284"/>
      <c r="O550" s="284"/>
      <c r="P550" s="284"/>
      <c r="Q550" s="284"/>
      <c r="R550" s="284"/>
      <c r="S550" s="284"/>
      <c r="T550" s="284"/>
      <c r="U550" s="284"/>
      <c r="V550" s="284"/>
      <c r="W550" s="284"/>
      <c r="X550" s="284"/>
      <c r="Y550" s="284"/>
      <c r="Z550" s="284"/>
      <c r="AA550" s="284"/>
    </row>
    <row r="551">
      <c r="A551" s="284"/>
      <c r="B551" s="284"/>
      <c r="C551" s="284"/>
      <c r="D551" s="284"/>
      <c r="E551" s="284"/>
      <c r="F551" s="284"/>
      <c r="G551" s="284"/>
      <c r="H551" s="285"/>
      <c r="I551" s="286"/>
      <c r="J551" s="286"/>
      <c r="K551" s="285"/>
      <c r="L551" s="284"/>
      <c r="M551" s="287"/>
      <c r="N551" s="284"/>
      <c r="O551" s="284"/>
      <c r="P551" s="284"/>
      <c r="Q551" s="284"/>
      <c r="R551" s="284"/>
      <c r="S551" s="284"/>
      <c r="T551" s="284"/>
      <c r="U551" s="284"/>
      <c r="V551" s="284"/>
      <c r="W551" s="284"/>
      <c r="X551" s="284"/>
      <c r="Y551" s="284"/>
      <c r="Z551" s="284"/>
      <c r="AA551" s="284"/>
    </row>
    <row r="552">
      <c r="A552" s="284"/>
      <c r="B552" s="284"/>
      <c r="C552" s="284"/>
      <c r="D552" s="284"/>
      <c r="E552" s="284"/>
      <c r="F552" s="284"/>
      <c r="G552" s="284"/>
      <c r="H552" s="285"/>
      <c r="I552" s="286"/>
      <c r="J552" s="286"/>
      <c r="K552" s="285"/>
      <c r="L552" s="284"/>
      <c r="M552" s="287"/>
      <c r="N552" s="284"/>
      <c r="O552" s="284"/>
      <c r="P552" s="284"/>
      <c r="Q552" s="284"/>
      <c r="R552" s="284"/>
      <c r="S552" s="284"/>
      <c r="T552" s="284"/>
      <c r="U552" s="284"/>
      <c r="V552" s="284"/>
      <c r="W552" s="284"/>
      <c r="X552" s="284"/>
      <c r="Y552" s="284"/>
      <c r="Z552" s="284"/>
      <c r="AA552" s="284"/>
    </row>
    <row r="553">
      <c r="A553" s="284"/>
      <c r="B553" s="284"/>
      <c r="C553" s="284"/>
      <c r="D553" s="284"/>
      <c r="E553" s="284"/>
      <c r="F553" s="284"/>
      <c r="G553" s="284"/>
      <c r="H553" s="285"/>
      <c r="I553" s="286"/>
      <c r="J553" s="286"/>
      <c r="K553" s="285"/>
      <c r="L553" s="284"/>
      <c r="M553" s="287"/>
      <c r="N553" s="284"/>
      <c r="O553" s="284"/>
      <c r="P553" s="284"/>
      <c r="Q553" s="284"/>
      <c r="R553" s="284"/>
      <c r="S553" s="284"/>
      <c r="T553" s="284"/>
      <c r="U553" s="284"/>
      <c r="V553" s="284"/>
      <c r="W553" s="284"/>
      <c r="X553" s="284"/>
      <c r="Y553" s="284"/>
      <c r="Z553" s="284"/>
      <c r="AA553" s="284"/>
    </row>
    <row r="554">
      <c r="A554" s="284"/>
      <c r="B554" s="284"/>
      <c r="C554" s="284"/>
      <c r="D554" s="284"/>
      <c r="E554" s="284"/>
      <c r="F554" s="284"/>
      <c r="G554" s="284"/>
      <c r="H554" s="285"/>
      <c r="I554" s="286"/>
      <c r="J554" s="286"/>
      <c r="K554" s="285"/>
      <c r="L554" s="284"/>
      <c r="M554" s="287"/>
      <c r="N554" s="284"/>
      <c r="O554" s="284"/>
      <c r="P554" s="284"/>
      <c r="Q554" s="284"/>
      <c r="R554" s="284"/>
      <c r="S554" s="284"/>
      <c r="T554" s="284"/>
      <c r="U554" s="284"/>
      <c r="V554" s="284"/>
      <c r="W554" s="284"/>
      <c r="X554" s="284"/>
      <c r="Y554" s="284"/>
      <c r="Z554" s="284"/>
      <c r="AA554" s="284"/>
    </row>
    <row r="555">
      <c r="A555" s="284"/>
      <c r="B555" s="284"/>
      <c r="C555" s="284"/>
      <c r="D555" s="284"/>
      <c r="E555" s="284"/>
      <c r="F555" s="284"/>
      <c r="G555" s="284"/>
      <c r="H555" s="285"/>
      <c r="I555" s="286"/>
      <c r="J555" s="286"/>
      <c r="K555" s="285"/>
      <c r="L555" s="284"/>
      <c r="M555" s="287"/>
      <c r="N555" s="284"/>
      <c r="O555" s="284"/>
      <c r="P555" s="284"/>
      <c r="Q555" s="284"/>
      <c r="R555" s="284"/>
      <c r="S555" s="284"/>
      <c r="T555" s="284"/>
      <c r="U555" s="284"/>
      <c r="V555" s="284"/>
      <c r="W555" s="284"/>
      <c r="X555" s="284"/>
      <c r="Y555" s="284"/>
      <c r="Z555" s="284"/>
      <c r="AA555" s="284"/>
    </row>
    <row r="556">
      <c r="A556" s="284"/>
      <c r="B556" s="349"/>
      <c r="C556" s="284"/>
      <c r="D556" s="284"/>
      <c r="E556" s="284"/>
      <c r="F556" s="284"/>
      <c r="G556" s="284"/>
      <c r="H556" s="285"/>
      <c r="I556" s="286"/>
      <c r="J556" s="286"/>
      <c r="K556" s="285"/>
      <c r="L556" s="284"/>
      <c r="M556" s="287"/>
      <c r="N556" s="284"/>
      <c r="O556" s="284"/>
      <c r="P556" s="284"/>
      <c r="Q556" s="284"/>
      <c r="R556" s="284"/>
      <c r="S556" s="284"/>
      <c r="T556" s="284"/>
      <c r="U556" s="284"/>
      <c r="V556" s="284"/>
      <c r="W556" s="284"/>
      <c r="X556" s="284"/>
      <c r="Y556" s="284"/>
      <c r="Z556" s="284"/>
      <c r="AA556" s="284"/>
    </row>
    <row r="557">
      <c r="A557" s="284"/>
      <c r="B557" s="284"/>
      <c r="C557" s="284"/>
      <c r="D557" s="284"/>
      <c r="E557" s="284"/>
      <c r="F557" s="284"/>
      <c r="G557" s="284"/>
      <c r="H557" s="285"/>
      <c r="I557" s="286"/>
      <c r="J557" s="286"/>
      <c r="K557" s="285"/>
      <c r="L557" s="284"/>
      <c r="M557" s="287"/>
      <c r="N557" s="284"/>
      <c r="O557" s="284"/>
      <c r="P557" s="284"/>
      <c r="Q557" s="284"/>
      <c r="R557" s="284"/>
      <c r="S557" s="284"/>
      <c r="T557" s="284"/>
      <c r="U557" s="284"/>
      <c r="V557" s="284"/>
      <c r="W557" s="284"/>
      <c r="X557" s="284"/>
      <c r="Y557" s="284"/>
      <c r="Z557" s="284"/>
      <c r="AA557" s="284"/>
    </row>
    <row r="558">
      <c r="A558" s="284"/>
      <c r="B558" s="284"/>
      <c r="C558" s="284"/>
      <c r="D558" s="284"/>
      <c r="E558" s="284"/>
      <c r="F558" s="284"/>
      <c r="G558" s="284"/>
      <c r="H558" s="285"/>
      <c r="I558" s="286"/>
      <c r="J558" s="286"/>
      <c r="K558" s="285"/>
      <c r="L558" s="284"/>
      <c r="M558" s="287"/>
      <c r="N558" s="284"/>
      <c r="O558" s="284"/>
      <c r="P558" s="284"/>
      <c r="Q558" s="284"/>
      <c r="R558" s="284"/>
      <c r="S558" s="284"/>
      <c r="T558" s="284"/>
      <c r="U558" s="284"/>
      <c r="V558" s="284"/>
      <c r="W558" s="284"/>
      <c r="X558" s="284"/>
      <c r="Y558" s="284"/>
      <c r="Z558" s="284"/>
      <c r="AA558" s="284"/>
    </row>
    <row r="559">
      <c r="A559" s="284"/>
      <c r="B559" s="284"/>
      <c r="C559" s="284"/>
      <c r="D559" s="284"/>
      <c r="E559" s="284"/>
      <c r="F559" s="284"/>
      <c r="G559" s="284"/>
      <c r="H559" s="285"/>
      <c r="I559" s="286"/>
      <c r="J559" s="286"/>
      <c r="K559" s="285"/>
      <c r="L559" s="284"/>
      <c r="M559" s="287"/>
      <c r="N559" s="284"/>
      <c r="O559" s="284"/>
      <c r="P559" s="284"/>
      <c r="Q559" s="284"/>
      <c r="R559" s="284"/>
      <c r="S559" s="284"/>
      <c r="T559" s="284"/>
      <c r="U559" s="284"/>
      <c r="V559" s="284"/>
      <c r="W559" s="284"/>
      <c r="X559" s="284"/>
      <c r="Y559" s="284"/>
      <c r="Z559" s="284"/>
      <c r="AA559" s="284"/>
    </row>
    <row r="560">
      <c r="A560" s="284"/>
      <c r="B560" s="284"/>
      <c r="C560" s="284"/>
      <c r="D560" s="284"/>
      <c r="E560" s="284"/>
      <c r="F560" s="284"/>
      <c r="G560" s="284"/>
      <c r="H560" s="285"/>
      <c r="I560" s="286"/>
      <c r="J560" s="286"/>
      <c r="K560" s="285"/>
      <c r="L560" s="284"/>
      <c r="M560" s="287"/>
      <c r="N560" s="284"/>
      <c r="O560" s="284"/>
      <c r="P560" s="284"/>
      <c r="Q560" s="284"/>
      <c r="R560" s="284"/>
      <c r="S560" s="284"/>
      <c r="T560" s="284"/>
      <c r="U560" s="284"/>
      <c r="V560" s="284"/>
      <c r="W560" s="284"/>
      <c r="X560" s="284"/>
      <c r="Y560" s="284"/>
      <c r="Z560" s="284"/>
      <c r="AA560" s="284"/>
    </row>
    <row r="561">
      <c r="A561" s="284"/>
      <c r="B561" s="284"/>
      <c r="C561" s="284"/>
      <c r="D561" s="284"/>
      <c r="E561" s="284"/>
      <c r="F561" s="284"/>
      <c r="G561" s="284"/>
      <c r="H561" s="285"/>
      <c r="I561" s="286"/>
      <c r="J561" s="286"/>
      <c r="K561" s="285"/>
      <c r="L561" s="284"/>
      <c r="M561" s="287"/>
      <c r="N561" s="284"/>
      <c r="O561" s="284"/>
      <c r="P561" s="284"/>
      <c r="Q561" s="284"/>
      <c r="R561" s="284"/>
      <c r="S561" s="284"/>
      <c r="T561" s="284"/>
      <c r="U561" s="284"/>
      <c r="V561" s="284"/>
      <c r="W561" s="284"/>
      <c r="X561" s="284"/>
      <c r="Y561" s="284"/>
      <c r="Z561" s="284"/>
      <c r="AA561" s="284"/>
    </row>
    <row r="562">
      <c r="A562" s="284"/>
      <c r="B562" s="284"/>
      <c r="C562" s="284"/>
      <c r="D562" s="284"/>
      <c r="E562" s="284"/>
      <c r="F562" s="284"/>
      <c r="G562" s="284"/>
      <c r="H562" s="285"/>
      <c r="I562" s="286"/>
      <c r="J562" s="286"/>
      <c r="K562" s="285"/>
      <c r="L562" s="284"/>
      <c r="M562" s="287"/>
      <c r="N562" s="284"/>
      <c r="O562" s="284"/>
      <c r="P562" s="284"/>
      <c r="Q562" s="284"/>
      <c r="R562" s="284"/>
      <c r="S562" s="284"/>
      <c r="T562" s="284"/>
      <c r="U562" s="284"/>
      <c r="V562" s="284"/>
      <c r="W562" s="284"/>
      <c r="X562" s="284"/>
      <c r="Y562" s="284"/>
      <c r="Z562" s="284"/>
      <c r="AA562" s="284"/>
    </row>
    <row r="563">
      <c r="A563" s="284"/>
      <c r="B563" s="284"/>
      <c r="C563" s="284"/>
      <c r="D563" s="284"/>
      <c r="E563" s="284"/>
      <c r="F563" s="284"/>
      <c r="G563" s="284"/>
      <c r="H563" s="285"/>
      <c r="I563" s="286"/>
      <c r="J563" s="286"/>
      <c r="K563" s="285"/>
      <c r="L563" s="284"/>
      <c r="M563" s="287"/>
      <c r="N563" s="284"/>
      <c r="O563" s="284"/>
      <c r="P563" s="284"/>
      <c r="Q563" s="284"/>
      <c r="R563" s="284"/>
      <c r="S563" s="284"/>
      <c r="T563" s="284"/>
      <c r="U563" s="284"/>
      <c r="V563" s="284"/>
      <c r="W563" s="284"/>
      <c r="X563" s="284"/>
      <c r="Y563" s="284"/>
      <c r="Z563" s="284"/>
      <c r="AA563" s="284"/>
    </row>
    <row r="564">
      <c r="A564" s="284"/>
      <c r="B564" s="284"/>
      <c r="C564" s="284"/>
      <c r="D564" s="284"/>
      <c r="E564" s="284"/>
      <c r="F564" s="284"/>
      <c r="G564" s="284"/>
      <c r="H564" s="285"/>
      <c r="I564" s="286"/>
      <c r="J564" s="286"/>
      <c r="K564" s="285"/>
      <c r="L564" s="284"/>
      <c r="M564" s="287"/>
      <c r="N564" s="284"/>
      <c r="O564" s="284"/>
      <c r="P564" s="284"/>
      <c r="Q564" s="284"/>
      <c r="R564" s="284"/>
      <c r="S564" s="284"/>
      <c r="T564" s="284"/>
      <c r="U564" s="284"/>
      <c r="V564" s="284"/>
      <c r="W564" s="284"/>
      <c r="X564" s="284"/>
      <c r="Y564" s="284"/>
      <c r="Z564" s="284"/>
      <c r="AA564" s="284"/>
    </row>
    <row r="565">
      <c r="A565" s="284"/>
      <c r="B565" s="284"/>
      <c r="C565" s="284"/>
      <c r="D565" s="284"/>
      <c r="E565" s="284"/>
      <c r="F565" s="284"/>
      <c r="G565" s="284"/>
      <c r="H565" s="285"/>
      <c r="I565" s="286"/>
      <c r="J565" s="286"/>
      <c r="K565" s="285"/>
      <c r="L565" s="284"/>
      <c r="M565" s="287"/>
      <c r="N565" s="284"/>
      <c r="O565" s="284"/>
      <c r="P565" s="284"/>
      <c r="Q565" s="284"/>
      <c r="R565" s="284"/>
      <c r="S565" s="284"/>
      <c r="T565" s="284"/>
      <c r="U565" s="284"/>
      <c r="V565" s="284"/>
      <c r="W565" s="284"/>
      <c r="X565" s="284"/>
      <c r="Y565" s="284"/>
      <c r="Z565" s="284"/>
      <c r="AA565" s="284"/>
    </row>
    <row r="566">
      <c r="A566" s="284"/>
      <c r="B566" s="284"/>
      <c r="C566" s="284"/>
      <c r="D566" s="284"/>
      <c r="E566" s="284"/>
      <c r="F566" s="284"/>
      <c r="G566" s="284"/>
      <c r="H566" s="285"/>
      <c r="I566" s="286"/>
      <c r="J566" s="286"/>
      <c r="K566" s="285"/>
      <c r="L566" s="284"/>
      <c r="M566" s="287"/>
      <c r="N566" s="284"/>
      <c r="O566" s="284"/>
      <c r="P566" s="284"/>
      <c r="Q566" s="284"/>
      <c r="R566" s="284"/>
      <c r="S566" s="284"/>
      <c r="T566" s="284"/>
      <c r="U566" s="284"/>
      <c r="V566" s="284"/>
      <c r="W566" s="284"/>
      <c r="X566" s="284"/>
      <c r="Y566" s="284"/>
      <c r="Z566" s="284"/>
      <c r="AA566" s="284"/>
    </row>
    <row r="567">
      <c r="A567" s="284"/>
      <c r="B567" s="284"/>
      <c r="C567" s="284"/>
      <c r="D567" s="284"/>
      <c r="E567" s="284"/>
      <c r="F567" s="284"/>
      <c r="G567" s="284"/>
      <c r="H567" s="285"/>
      <c r="I567" s="286"/>
      <c r="J567" s="286"/>
      <c r="K567" s="285"/>
      <c r="L567" s="284"/>
      <c r="M567" s="287"/>
      <c r="N567" s="284"/>
      <c r="O567" s="284"/>
      <c r="P567" s="284"/>
      <c r="Q567" s="284"/>
      <c r="R567" s="284"/>
      <c r="S567" s="284"/>
      <c r="T567" s="284"/>
      <c r="U567" s="284"/>
      <c r="V567" s="284"/>
      <c r="W567" s="284"/>
      <c r="X567" s="284"/>
      <c r="Y567" s="284"/>
      <c r="Z567" s="284"/>
      <c r="AA567" s="284"/>
    </row>
    <row r="568">
      <c r="A568" s="284"/>
      <c r="B568" s="284"/>
      <c r="C568" s="284"/>
      <c r="D568" s="284"/>
      <c r="E568" s="284"/>
      <c r="F568" s="284"/>
      <c r="G568" s="284"/>
      <c r="H568" s="285"/>
      <c r="I568" s="286"/>
      <c r="J568" s="286"/>
      <c r="K568" s="285"/>
      <c r="L568" s="284"/>
      <c r="M568" s="287"/>
      <c r="N568" s="284"/>
      <c r="O568" s="284"/>
      <c r="P568" s="284"/>
      <c r="Q568" s="284"/>
      <c r="R568" s="284"/>
      <c r="S568" s="284"/>
      <c r="T568" s="284"/>
      <c r="U568" s="284"/>
      <c r="V568" s="284"/>
      <c r="W568" s="284"/>
      <c r="X568" s="284"/>
      <c r="Y568" s="284"/>
      <c r="Z568" s="284"/>
      <c r="AA568" s="284"/>
    </row>
    <row r="569">
      <c r="A569" s="284"/>
      <c r="B569" s="284"/>
      <c r="C569" s="284"/>
      <c r="D569" s="284"/>
      <c r="E569" s="284"/>
      <c r="F569" s="284"/>
      <c r="G569" s="284"/>
      <c r="H569" s="285"/>
      <c r="I569" s="286"/>
      <c r="J569" s="286"/>
      <c r="K569" s="285"/>
      <c r="L569" s="284"/>
      <c r="M569" s="287"/>
      <c r="N569" s="284"/>
      <c r="O569" s="284"/>
      <c r="P569" s="284"/>
      <c r="Q569" s="284"/>
      <c r="R569" s="284"/>
      <c r="S569" s="284"/>
      <c r="T569" s="284"/>
      <c r="U569" s="284"/>
      <c r="V569" s="284"/>
      <c r="W569" s="284"/>
      <c r="X569" s="284"/>
      <c r="Y569" s="284"/>
      <c r="Z569" s="284"/>
      <c r="AA569" s="284"/>
    </row>
    <row r="570">
      <c r="A570" s="284"/>
      <c r="B570" s="284"/>
      <c r="C570" s="284"/>
      <c r="D570" s="284"/>
      <c r="E570" s="284"/>
      <c r="F570" s="284"/>
      <c r="G570" s="284"/>
      <c r="H570" s="285"/>
      <c r="I570" s="286"/>
      <c r="J570" s="286"/>
      <c r="K570" s="285"/>
      <c r="L570" s="284"/>
      <c r="M570" s="287"/>
      <c r="N570" s="284"/>
      <c r="O570" s="284"/>
      <c r="P570" s="284"/>
      <c r="Q570" s="284"/>
      <c r="R570" s="284"/>
      <c r="S570" s="284"/>
      <c r="T570" s="284"/>
      <c r="U570" s="284"/>
      <c r="V570" s="284"/>
      <c r="W570" s="284"/>
      <c r="X570" s="284"/>
      <c r="Y570" s="284"/>
      <c r="Z570" s="284"/>
      <c r="AA570" s="284"/>
    </row>
    <row r="571">
      <c r="A571" s="284"/>
      <c r="B571" s="284"/>
      <c r="C571" s="284"/>
      <c r="D571" s="284"/>
      <c r="E571" s="284"/>
      <c r="F571" s="284"/>
      <c r="G571" s="284"/>
      <c r="H571" s="285"/>
      <c r="I571" s="286"/>
      <c r="J571" s="286"/>
      <c r="K571" s="285"/>
      <c r="L571" s="284"/>
      <c r="M571" s="287"/>
      <c r="N571" s="284"/>
      <c r="O571" s="284"/>
      <c r="P571" s="284"/>
      <c r="Q571" s="284"/>
      <c r="R571" s="284"/>
      <c r="S571" s="284"/>
      <c r="T571" s="284"/>
      <c r="U571" s="284"/>
      <c r="V571" s="284"/>
      <c r="W571" s="284"/>
      <c r="X571" s="284"/>
      <c r="Y571" s="284"/>
      <c r="Z571" s="284"/>
      <c r="AA571" s="284"/>
    </row>
    <row r="572">
      <c r="A572" s="284"/>
      <c r="B572" s="284"/>
      <c r="C572" s="284"/>
      <c r="D572" s="284"/>
      <c r="E572" s="284"/>
      <c r="F572" s="284"/>
      <c r="G572" s="284"/>
      <c r="H572" s="285"/>
      <c r="I572" s="286"/>
      <c r="J572" s="286"/>
      <c r="K572" s="285"/>
      <c r="L572" s="284"/>
      <c r="M572" s="287"/>
      <c r="N572" s="284"/>
      <c r="O572" s="284"/>
      <c r="P572" s="284"/>
      <c r="Q572" s="284"/>
      <c r="R572" s="284"/>
      <c r="S572" s="284"/>
      <c r="T572" s="284"/>
      <c r="U572" s="284"/>
      <c r="V572" s="284"/>
      <c r="W572" s="284"/>
      <c r="X572" s="284"/>
      <c r="Y572" s="284"/>
      <c r="Z572" s="284"/>
      <c r="AA572" s="284"/>
    </row>
    <row r="573">
      <c r="A573" s="284"/>
      <c r="B573" s="284"/>
      <c r="C573" s="284"/>
      <c r="D573" s="284"/>
      <c r="E573" s="284"/>
      <c r="F573" s="284"/>
      <c r="G573" s="284"/>
      <c r="H573" s="285"/>
      <c r="I573" s="286"/>
      <c r="J573" s="286"/>
      <c r="K573" s="285"/>
      <c r="L573" s="284"/>
      <c r="M573" s="287"/>
      <c r="N573" s="284"/>
      <c r="O573" s="284"/>
      <c r="P573" s="284"/>
      <c r="Q573" s="284"/>
      <c r="R573" s="284"/>
      <c r="S573" s="284"/>
      <c r="T573" s="284"/>
      <c r="U573" s="284"/>
      <c r="V573" s="284"/>
      <c r="W573" s="284"/>
      <c r="X573" s="284"/>
      <c r="Y573" s="284"/>
      <c r="Z573" s="284"/>
      <c r="AA573" s="284"/>
    </row>
    <row r="574">
      <c r="A574" s="284"/>
      <c r="B574" s="349"/>
      <c r="C574" s="284"/>
      <c r="D574" s="284"/>
      <c r="E574" s="284"/>
      <c r="F574" s="284"/>
      <c r="G574" s="284"/>
      <c r="H574" s="285"/>
      <c r="I574" s="286"/>
      <c r="J574" s="286"/>
      <c r="K574" s="285"/>
      <c r="L574" s="284"/>
      <c r="M574" s="287"/>
      <c r="N574" s="284"/>
      <c r="O574" s="284"/>
      <c r="P574" s="284"/>
      <c r="Q574" s="284"/>
      <c r="R574" s="284"/>
      <c r="S574" s="284"/>
      <c r="T574" s="284"/>
      <c r="U574" s="284"/>
      <c r="V574" s="284"/>
      <c r="W574" s="284"/>
      <c r="X574" s="284"/>
      <c r="Y574" s="284"/>
      <c r="Z574" s="284"/>
      <c r="AA574" s="284"/>
    </row>
    <row r="575">
      <c r="A575" s="284"/>
      <c r="B575" s="284"/>
      <c r="C575" s="284"/>
      <c r="D575" s="284"/>
      <c r="E575" s="284"/>
      <c r="F575" s="284"/>
      <c r="G575" s="284"/>
      <c r="H575" s="285"/>
      <c r="I575" s="286"/>
      <c r="J575" s="286"/>
      <c r="K575" s="285"/>
      <c r="L575" s="284"/>
      <c r="M575" s="287"/>
      <c r="N575" s="284"/>
      <c r="O575" s="284"/>
      <c r="P575" s="284"/>
      <c r="Q575" s="284"/>
      <c r="R575" s="284"/>
      <c r="S575" s="284"/>
      <c r="T575" s="284"/>
      <c r="U575" s="284"/>
      <c r="V575" s="284"/>
      <c r="W575" s="284"/>
      <c r="X575" s="284"/>
      <c r="Y575" s="284"/>
      <c r="Z575" s="284"/>
      <c r="AA575" s="284"/>
    </row>
    <row r="576">
      <c r="A576" s="284"/>
      <c r="B576" s="284"/>
      <c r="C576" s="284"/>
      <c r="D576" s="284"/>
      <c r="E576" s="284"/>
      <c r="F576" s="284"/>
      <c r="G576" s="284"/>
      <c r="H576" s="285"/>
      <c r="I576" s="286"/>
      <c r="J576" s="286"/>
      <c r="K576" s="285"/>
      <c r="L576" s="284"/>
      <c r="M576" s="287"/>
      <c r="N576" s="284"/>
      <c r="O576" s="284"/>
      <c r="P576" s="284"/>
      <c r="Q576" s="284"/>
      <c r="R576" s="284"/>
      <c r="S576" s="284"/>
      <c r="T576" s="284"/>
      <c r="U576" s="284"/>
      <c r="V576" s="284"/>
      <c r="W576" s="284"/>
      <c r="X576" s="284"/>
      <c r="Y576" s="284"/>
      <c r="Z576" s="284"/>
      <c r="AA576" s="284"/>
    </row>
    <row r="577">
      <c r="A577" s="284"/>
      <c r="B577" s="284"/>
      <c r="C577" s="284"/>
      <c r="D577" s="284"/>
      <c r="E577" s="284"/>
      <c r="F577" s="284"/>
      <c r="G577" s="284"/>
      <c r="H577" s="285"/>
      <c r="I577" s="286"/>
      <c r="J577" s="286"/>
      <c r="K577" s="285"/>
      <c r="L577" s="284"/>
      <c r="M577" s="287"/>
      <c r="N577" s="284"/>
      <c r="O577" s="284"/>
      <c r="P577" s="284"/>
      <c r="Q577" s="284"/>
      <c r="R577" s="284"/>
      <c r="S577" s="284"/>
      <c r="T577" s="284"/>
      <c r="U577" s="284"/>
      <c r="V577" s="284"/>
      <c r="W577" s="284"/>
      <c r="X577" s="284"/>
      <c r="Y577" s="284"/>
      <c r="Z577" s="284"/>
      <c r="AA577" s="284"/>
    </row>
    <row r="578">
      <c r="A578" s="284"/>
      <c r="B578" s="349"/>
      <c r="C578" s="284"/>
      <c r="D578" s="284"/>
      <c r="E578" s="284"/>
      <c r="F578" s="284"/>
      <c r="G578" s="284"/>
      <c r="H578" s="285"/>
      <c r="I578" s="286"/>
      <c r="J578" s="286"/>
      <c r="K578" s="285"/>
      <c r="L578" s="284"/>
      <c r="M578" s="287"/>
      <c r="N578" s="284"/>
      <c r="O578" s="284"/>
      <c r="P578" s="284"/>
      <c r="Q578" s="284"/>
      <c r="R578" s="284"/>
      <c r="S578" s="284"/>
      <c r="T578" s="284"/>
      <c r="U578" s="284"/>
      <c r="V578" s="284"/>
      <c r="W578" s="284"/>
      <c r="X578" s="284"/>
      <c r="Y578" s="284"/>
      <c r="Z578" s="284"/>
      <c r="AA578" s="284"/>
    </row>
    <row r="579">
      <c r="A579" s="284"/>
      <c r="B579" s="284"/>
      <c r="C579" s="284"/>
      <c r="D579" s="284"/>
      <c r="E579" s="284"/>
      <c r="F579" s="284"/>
      <c r="G579" s="284"/>
      <c r="H579" s="285"/>
      <c r="I579" s="286"/>
      <c r="J579" s="286"/>
      <c r="K579" s="285"/>
      <c r="L579" s="284"/>
      <c r="M579" s="287"/>
      <c r="N579" s="284"/>
      <c r="O579" s="284"/>
      <c r="P579" s="284"/>
      <c r="Q579" s="284"/>
      <c r="R579" s="284"/>
      <c r="S579" s="284"/>
      <c r="T579" s="284"/>
      <c r="U579" s="284"/>
      <c r="V579" s="284"/>
      <c r="W579" s="284"/>
      <c r="X579" s="284"/>
      <c r="Y579" s="284"/>
      <c r="Z579" s="284"/>
      <c r="AA579" s="284"/>
    </row>
    <row r="580">
      <c r="A580" s="284"/>
      <c r="B580" s="284"/>
      <c r="C580" s="284"/>
      <c r="D580" s="284"/>
      <c r="E580" s="284"/>
      <c r="F580" s="284"/>
      <c r="G580" s="284"/>
      <c r="H580" s="285"/>
      <c r="I580" s="286"/>
      <c r="J580" s="286"/>
      <c r="K580" s="285"/>
      <c r="L580" s="284"/>
      <c r="M580" s="287"/>
      <c r="N580" s="284"/>
      <c r="O580" s="284"/>
      <c r="P580" s="284"/>
      <c r="Q580" s="284"/>
      <c r="R580" s="284"/>
      <c r="S580" s="284"/>
      <c r="T580" s="284"/>
      <c r="U580" s="284"/>
      <c r="V580" s="284"/>
      <c r="W580" s="284"/>
      <c r="X580" s="284"/>
      <c r="Y580" s="284"/>
      <c r="Z580" s="284"/>
      <c r="AA580" s="284"/>
    </row>
    <row r="581">
      <c r="A581" s="284"/>
      <c r="B581" s="284"/>
      <c r="C581" s="284"/>
      <c r="D581" s="284"/>
      <c r="E581" s="284"/>
      <c r="F581" s="284"/>
      <c r="G581" s="284"/>
      <c r="H581" s="285"/>
      <c r="I581" s="286"/>
      <c r="J581" s="286"/>
      <c r="K581" s="285"/>
      <c r="L581" s="284"/>
      <c r="M581" s="287"/>
      <c r="N581" s="284"/>
      <c r="O581" s="284"/>
      <c r="P581" s="284"/>
      <c r="Q581" s="284"/>
      <c r="R581" s="284"/>
      <c r="S581" s="284"/>
      <c r="T581" s="284"/>
      <c r="U581" s="284"/>
      <c r="V581" s="284"/>
      <c r="W581" s="284"/>
      <c r="X581" s="284"/>
      <c r="Y581" s="284"/>
      <c r="Z581" s="284"/>
      <c r="AA581" s="284"/>
    </row>
    <row r="582">
      <c r="A582" s="284"/>
      <c r="B582" s="284"/>
      <c r="C582" s="284"/>
      <c r="D582" s="284"/>
      <c r="E582" s="284"/>
      <c r="F582" s="284"/>
      <c r="G582" s="284"/>
      <c r="H582" s="285"/>
      <c r="I582" s="286"/>
      <c r="J582" s="286"/>
      <c r="K582" s="285"/>
      <c r="L582" s="284"/>
      <c r="M582" s="287"/>
      <c r="N582" s="284"/>
      <c r="O582" s="284"/>
      <c r="P582" s="284"/>
      <c r="Q582" s="284"/>
      <c r="R582" s="284"/>
      <c r="S582" s="284"/>
      <c r="T582" s="284"/>
      <c r="U582" s="284"/>
      <c r="V582" s="284"/>
      <c r="W582" s="284"/>
      <c r="X582" s="284"/>
      <c r="Y582" s="284"/>
      <c r="Z582" s="284"/>
      <c r="AA582" s="284"/>
    </row>
    <row r="583">
      <c r="A583" s="284"/>
      <c r="B583" s="284"/>
      <c r="C583" s="284"/>
      <c r="D583" s="284"/>
      <c r="E583" s="284"/>
      <c r="F583" s="284"/>
      <c r="G583" s="284"/>
      <c r="H583" s="285"/>
      <c r="I583" s="286"/>
      <c r="J583" s="286"/>
      <c r="K583" s="285"/>
      <c r="L583" s="284"/>
      <c r="M583" s="287"/>
      <c r="N583" s="284"/>
      <c r="O583" s="284"/>
      <c r="P583" s="284"/>
      <c r="Q583" s="284"/>
      <c r="R583" s="284"/>
      <c r="S583" s="284"/>
      <c r="T583" s="284"/>
      <c r="U583" s="284"/>
      <c r="V583" s="284"/>
      <c r="W583" s="284"/>
      <c r="X583" s="284"/>
      <c r="Y583" s="284"/>
      <c r="Z583" s="284"/>
      <c r="AA583" s="284"/>
    </row>
    <row r="584">
      <c r="A584" s="284"/>
      <c r="B584" s="284"/>
      <c r="C584" s="284"/>
      <c r="D584" s="284"/>
      <c r="E584" s="284"/>
      <c r="F584" s="284"/>
      <c r="G584" s="284"/>
      <c r="H584" s="285"/>
      <c r="I584" s="286"/>
      <c r="J584" s="286"/>
      <c r="K584" s="285"/>
      <c r="L584" s="284"/>
      <c r="M584" s="287"/>
      <c r="N584" s="284"/>
      <c r="O584" s="284"/>
      <c r="P584" s="284"/>
      <c r="Q584" s="284"/>
      <c r="R584" s="284"/>
      <c r="S584" s="284"/>
      <c r="T584" s="284"/>
      <c r="U584" s="284"/>
      <c r="V584" s="284"/>
      <c r="W584" s="284"/>
      <c r="X584" s="284"/>
      <c r="Y584" s="284"/>
      <c r="Z584" s="284"/>
      <c r="AA584" s="284"/>
    </row>
    <row r="585">
      <c r="A585" s="284"/>
      <c r="B585" s="284"/>
      <c r="C585" s="284"/>
      <c r="D585" s="284"/>
      <c r="E585" s="284"/>
      <c r="F585" s="284"/>
      <c r="G585" s="284"/>
      <c r="H585" s="285"/>
      <c r="I585" s="286"/>
      <c r="J585" s="286"/>
      <c r="K585" s="285"/>
      <c r="L585" s="284"/>
      <c r="M585" s="287"/>
      <c r="N585" s="284"/>
      <c r="O585" s="284"/>
      <c r="P585" s="284"/>
      <c r="Q585" s="284"/>
      <c r="R585" s="284"/>
      <c r="S585" s="284"/>
      <c r="T585" s="284"/>
      <c r="U585" s="284"/>
      <c r="V585" s="284"/>
      <c r="W585" s="284"/>
      <c r="X585" s="284"/>
      <c r="Y585" s="284"/>
      <c r="Z585" s="284"/>
      <c r="AA585" s="284"/>
    </row>
    <row r="586">
      <c r="A586" s="284"/>
      <c r="B586" s="284"/>
      <c r="C586" s="284"/>
      <c r="D586" s="284"/>
      <c r="E586" s="284"/>
      <c r="F586" s="284"/>
      <c r="G586" s="284"/>
      <c r="H586" s="285"/>
      <c r="I586" s="286"/>
      <c r="J586" s="286"/>
      <c r="K586" s="285"/>
      <c r="L586" s="284"/>
      <c r="M586" s="287"/>
      <c r="N586" s="284"/>
      <c r="O586" s="284"/>
      <c r="P586" s="284"/>
      <c r="Q586" s="284"/>
      <c r="R586" s="284"/>
      <c r="S586" s="284"/>
      <c r="T586" s="284"/>
      <c r="U586" s="284"/>
      <c r="V586" s="284"/>
      <c r="W586" s="284"/>
      <c r="X586" s="284"/>
      <c r="Y586" s="284"/>
      <c r="Z586" s="284"/>
      <c r="AA586" s="284"/>
    </row>
    <row r="587">
      <c r="A587" s="284"/>
      <c r="B587" s="284"/>
      <c r="C587" s="284"/>
      <c r="D587" s="284"/>
      <c r="E587" s="284"/>
      <c r="F587" s="284"/>
      <c r="G587" s="284"/>
      <c r="H587" s="285"/>
      <c r="I587" s="286"/>
      <c r="J587" s="286"/>
      <c r="K587" s="285"/>
      <c r="L587" s="284"/>
      <c r="M587" s="287"/>
      <c r="N587" s="284"/>
      <c r="O587" s="284"/>
      <c r="P587" s="284"/>
      <c r="Q587" s="284"/>
      <c r="R587" s="284"/>
      <c r="S587" s="284"/>
      <c r="T587" s="284"/>
      <c r="U587" s="284"/>
      <c r="V587" s="284"/>
      <c r="W587" s="284"/>
      <c r="X587" s="284"/>
      <c r="Y587" s="284"/>
      <c r="Z587" s="284"/>
      <c r="AA587" s="284"/>
    </row>
    <row r="588">
      <c r="A588" s="284"/>
      <c r="B588" s="284"/>
      <c r="C588" s="284"/>
      <c r="D588" s="284"/>
      <c r="E588" s="284"/>
      <c r="F588" s="284"/>
      <c r="G588" s="284"/>
      <c r="H588" s="285"/>
      <c r="I588" s="286"/>
      <c r="J588" s="286"/>
      <c r="K588" s="285"/>
      <c r="L588" s="284"/>
      <c r="M588" s="287"/>
      <c r="N588" s="284"/>
      <c r="O588" s="284"/>
      <c r="P588" s="284"/>
      <c r="Q588" s="284"/>
      <c r="R588" s="284"/>
      <c r="S588" s="284"/>
      <c r="T588" s="284"/>
      <c r="U588" s="284"/>
      <c r="V588" s="284"/>
      <c r="W588" s="284"/>
      <c r="X588" s="284"/>
      <c r="Y588" s="284"/>
      <c r="Z588" s="284"/>
      <c r="AA588" s="284"/>
    </row>
    <row r="589">
      <c r="A589" s="284"/>
      <c r="B589" s="284"/>
      <c r="C589" s="284"/>
      <c r="D589" s="284"/>
      <c r="E589" s="284"/>
      <c r="F589" s="284"/>
      <c r="G589" s="284"/>
      <c r="H589" s="285"/>
      <c r="I589" s="286"/>
      <c r="J589" s="286"/>
      <c r="K589" s="285"/>
      <c r="L589" s="284"/>
      <c r="M589" s="287"/>
      <c r="N589" s="284"/>
      <c r="O589" s="284"/>
      <c r="P589" s="284"/>
      <c r="Q589" s="284"/>
      <c r="R589" s="284"/>
      <c r="S589" s="284"/>
      <c r="T589" s="284"/>
      <c r="U589" s="284"/>
      <c r="V589" s="284"/>
      <c r="W589" s="284"/>
      <c r="X589" s="284"/>
      <c r="Y589" s="284"/>
      <c r="Z589" s="284"/>
      <c r="AA589" s="284"/>
    </row>
    <row r="590">
      <c r="A590" s="284"/>
      <c r="B590" s="284"/>
      <c r="C590" s="284"/>
      <c r="D590" s="284"/>
      <c r="E590" s="284"/>
      <c r="F590" s="284"/>
      <c r="G590" s="284"/>
      <c r="H590" s="285"/>
      <c r="I590" s="286"/>
      <c r="J590" s="286"/>
      <c r="K590" s="285"/>
      <c r="L590" s="284"/>
      <c r="M590" s="287"/>
      <c r="N590" s="284"/>
      <c r="O590" s="284"/>
      <c r="P590" s="284"/>
      <c r="Q590" s="284"/>
      <c r="R590" s="284"/>
      <c r="S590" s="284"/>
      <c r="T590" s="284"/>
      <c r="U590" s="284"/>
      <c r="V590" s="284"/>
      <c r="W590" s="284"/>
      <c r="X590" s="284"/>
      <c r="Y590" s="284"/>
      <c r="Z590" s="284"/>
      <c r="AA590" s="284"/>
    </row>
    <row r="591">
      <c r="A591" s="284"/>
      <c r="B591" s="284"/>
      <c r="C591" s="284"/>
      <c r="D591" s="284"/>
      <c r="E591" s="284"/>
      <c r="F591" s="284"/>
      <c r="G591" s="284"/>
      <c r="H591" s="285"/>
      <c r="I591" s="286"/>
      <c r="J591" s="286"/>
      <c r="K591" s="285"/>
      <c r="L591" s="284"/>
      <c r="M591" s="287"/>
      <c r="N591" s="284"/>
      <c r="O591" s="284"/>
      <c r="P591" s="284"/>
      <c r="Q591" s="284"/>
      <c r="R591" s="284"/>
      <c r="S591" s="284"/>
      <c r="T591" s="284"/>
      <c r="U591" s="284"/>
      <c r="V591" s="284"/>
      <c r="W591" s="284"/>
      <c r="X591" s="284"/>
      <c r="Y591" s="284"/>
      <c r="Z591" s="284"/>
      <c r="AA591" s="284"/>
    </row>
    <row r="592">
      <c r="A592" s="284"/>
      <c r="B592" s="284"/>
      <c r="C592" s="284"/>
      <c r="D592" s="284"/>
      <c r="E592" s="284"/>
      <c r="F592" s="284"/>
      <c r="G592" s="284"/>
      <c r="H592" s="285"/>
      <c r="I592" s="286"/>
      <c r="J592" s="286"/>
      <c r="K592" s="285"/>
      <c r="L592" s="284"/>
      <c r="M592" s="287"/>
      <c r="N592" s="284"/>
      <c r="O592" s="284"/>
      <c r="P592" s="284"/>
      <c r="Q592" s="284"/>
      <c r="R592" s="284"/>
      <c r="S592" s="284"/>
      <c r="T592" s="284"/>
      <c r="U592" s="284"/>
      <c r="V592" s="284"/>
      <c r="W592" s="284"/>
      <c r="X592" s="284"/>
      <c r="Y592" s="284"/>
      <c r="Z592" s="284"/>
      <c r="AA592" s="284"/>
    </row>
    <row r="593">
      <c r="A593" s="284"/>
      <c r="B593" s="284"/>
      <c r="C593" s="284"/>
      <c r="D593" s="284"/>
      <c r="E593" s="284"/>
      <c r="F593" s="284"/>
      <c r="G593" s="284"/>
      <c r="H593" s="285"/>
      <c r="I593" s="286"/>
      <c r="J593" s="286"/>
      <c r="K593" s="285"/>
      <c r="L593" s="284"/>
      <c r="M593" s="287"/>
      <c r="N593" s="284"/>
      <c r="O593" s="284"/>
      <c r="P593" s="284"/>
      <c r="Q593" s="284"/>
      <c r="R593" s="284"/>
      <c r="S593" s="284"/>
      <c r="T593" s="284"/>
      <c r="U593" s="284"/>
      <c r="V593" s="284"/>
      <c r="W593" s="284"/>
      <c r="X593" s="284"/>
      <c r="Y593" s="284"/>
      <c r="Z593" s="284"/>
      <c r="AA593" s="284"/>
    </row>
    <row r="594">
      <c r="A594" s="284"/>
      <c r="B594" s="284"/>
      <c r="C594" s="284"/>
      <c r="D594" s="284"/>
      <c r="E594" s="284"/>
      <c r="F594" s="284"/>
      <c r="G594" s="284"/>
      <c r="H594" s="285"/>
      <c r="I594" s="286"/>
      <c r="J594" s="286"/>
      <c r="K594" s="285"/>
      <c r="L594" s="284"/>
      <c r="M594" s="287"/>
      <c r="N594" s="284"/>
      <c r="O594" s="284"/>
      <c r="P594" s="284"/>
      <c r="Q594" s="284"/>
      <c r="R594" s="284"/>
      <c r="S594" s="284"/>
      <c r="T594" s="284"/>
      <c r="U594" s="284"/>
      <c r="V594" s="284"/>
      <c r="W594" s="284"/>
      <c r="X594" s="284"/>
      <c r="Y594" s="284"/>
      <c r="Z594" s="284"/>
      <c r="AA594" s="284"/>
    </row>
    <row r="595">
      <c r="A595" s="284"/>
      <c r="B595" s="284"/>
      <c r="C595" s="284"/>
      <c r="D595" s="284"/>
      <c r="E595" s="284"/>
      <c r="F595" s="284"/>
      <c r="G595" s="284"/>
      <c r="H595" s="285"/>
      <c r="I595" s="286"/>
      <c r="J595" s="286"/>
      <c r="K595" s="285"/>
      <c r="L595" s="284"/>
      <c r="M595" s="287"/>
      <c r="N595" s="284"/>
      <c r="O595" s="284"/>
      <c r="P595" s="284"/>
      <c r="Q595" s="284"/>
      <c r="R595" s="284"/>
      <c r="S595" s="284"/>
      <c r="T595" s="284"/>
      <c r="U595" s="284"/>
      <c r="V595" s="284"/>
      <c r="W595" s="284"/>
      <c r="X595" s="284"/>
      <c r="Y595" s="284"/>
      <c r="Z595" s="284"/>
      <c r="AA595" s="284"/>
    </row>
    <row r="596">
      <c r="A596" s="284"/>
      <c r="B596" s="284"/>
      <c r="C596" s="284"/>
      <c r="D596" s="284"/>
      <c r="E596" s="284"/>
      <c r="F596" s="284"/>
      <c r="G596" s="284"/>
      <c r="H596" s="285"/>
      <c r="I596" s="286"/>
      <c r="J596" s="286"/>
      <c r="K596" s="285"/>
      <c r="L596" s="284"/>
      <c r="M596" s="287"/>
      <c r="N596" s="284"/>
      <c r="O596" s="284"/>
      <c r="P596" s="284"/>
      <c r="Q596" s="284"/>
      <c r="R596" s="284"/>
      <c r="S596" s="284"/>
      <c r="T596" s="284"/>
      <c r="U596" s="284"/>
      <c r="V596" s="284"/>
      <c r="W596" s="284"/>
      <c r="X596" s="284"/>
      <c r="Y596" s="284"/>
      <c r="Z596" s="284"/>
      <c r="AA596" s="284"/>
    </row>
    <row r="597">
      <c r="A597" s="284"/>
      <c r="B597" s="284"/>
      <c r="C597" s="284"/>
      <c r="D597" s="284"/>
      <c r="E597" s="284"/>
      <c r="F597" s="284"/>
      <c r="G597" s="284"/>
      <c r="H597" s="285"/>
      <c r="I597" s="286"/>
      <c r="J597" s="286"/>
      <c r="K597" s="285"/>
      <c r="L597" s="284"/>
      <c r="M597" s="287"/>
      <c r="N597" s="284"/>
      <c r="O597" s="284"/>
      <c r="P597" s="284"/>
      <c r="Q597" s="284"/>
      <c r="R597" s="284"/>
      <c r="S597" s="284"/>
      <c r="T597" s="284"/>
      <c r="U597" s="284"/>
      <c r="V597" s="284"/>
      <c r="W597" s="284"/>
      <c r="X597" s="284"/>
      <c r="Y597" s="284"/>
      <c r="Z597" s="284"/>
      <c r="AA597" s="284"/>
    </row>
    <row r="598">
      <c r="A598" s="284"/>
      <c r="B598" s="284"/>
      <c r="C598" s="284"/>
      <c r="D598" s="284"/>
      <c r="E598" s="284"/>
      <c r="F598" s="284"/>
      <c r="G598" s="284"/>
      <c r="H598" s="285"/>
      <c r="I598" s="286"/>
      <c r="J598" s="286"/>
      <c r="K598" s="285"/>
      <c r="L598" s="284"/>
      <c r="M598" s="287"/>
      <c r="N598" s="284"/>
      <c r="O598" s="284"/>
      <c r="P598" s="284"/>
      <c r="Q598" s="284"/>
      <c r="R598" s="284"/>
      <c r="S598" s="284"/>
      <c r="T598" s="284"/>
      <c r="U598" s="284"/>
      <c r="V598" s="284"/>
      <c r="W598" s="284"/>
      <c r="X598" s="284"/>
      <c r="Y598" s="284"/>
      <c r="Z598" s="284"/>
      <c r="AA598" s="284"/>
    </row>
    <row r="599">
      <c r="A599" s="284"/>
      <c r="B599" s="284"/>
      <c r="C599" s="284"/>
      <c r="D599" s="284"/>
      <c r="E599" s="284"/>
      <c r="F599" s="284"/>
      <c r="G599" s="284"/>
      <c r="H599" s="285"/>
      <c r="I599" s="286"/>
      <c r="J599" s="286"/>
      <c r="K599" s="285"/>
      <c r="L599" s="284"/>
      <c r="M599" s="287"/>
      <c r="N599" s="284"/>
      <c r="O599" s="284"/>
      <c r="P599" s="284"/>
      <c r="Q599" s="284"/>
      <c r="R599" s="284"/>
      <c r="S599" s="284"/>
      <c r="T599" s="284"/>
      <c r="U599" s="284"/>
      <c r="V599" s="284"/>
      <c r="W599" s="284"/>
      <c r="X599" s="284"/>
      <c r="Y599" s="284"/>
      <c r="Z599" s="284"/>
      <c r="AA599" s="284"/>
    </row>
    <row r="600">
      <c r="A600" s="284"/>
      <c r="B600" s="284"/>
      <c r="C600" s="285"/>
      <c r="D600" s="285"/>
      <c r="E600" s="285"/>
      <c r="F600" s="285"/>
      <c r="G600" s="285"/>
      <c r="H600" s="285"/>
      <c r="I600" s="286"/>
      <c r="J600" s="286"/>
      <c r="K600" s="285"/>
      <c r="L600" s="284"/>
      <c r="M600" s="287"/>
      <c r="N600" s="284"/>
      <c r="O600" s="284"/>
      <c r="P600" s="284"/>
      <c r="Q600" s="284"/>
      <c r="R600" s="284"/>
      <c r="S600" s="284"/>
      <c r="T600" s="284"/>
      <c r="U600" s="284"/>
      <c r="V600" s="284"/>
      <c r="W600" s="284"/>
      <c r="X600" s="284"/>
      <c r="Y600" s="284"/>
      <c r="Z600" s="284"/>
      <c r="AA600" s="284"/>
    </row>
    <row r="601">
      <c r="A601" s="284"/>
      <c r="B601" s="284"/>
      <c r="C601" s="285"/>
      <c r="D601" s="285"/>
      <c r="E601" s="285"/>
      <c r="F601" s="285"/>
      <c r="G601" s="285"/>
      <c r="H601" s="285"/>
      <c r="I601" s="286"/>
      <c r="J601" s="286"/>
      <c r="K601" s="285"/>
      <c r="L601" s="284"/>
      <c r="M601" s="287"/>
      <c r="N601" s="284"/>
      <c r="O601" s="284"/>
      <c r="P601" s="284"/>
      <c r="Q601" s="284"/>
      <c r="R601" s="284"/>
      <c r="S601" s="284"/>
      <c r="T601" s="284"/>
      <c r="U601" s="284"/>
      <c r="V601" s="284"/>
      <c r="W601" s="284"/>
      <c r="X601" s="284"/>
      <c r="Y601" s="284"/>
      <c r="Z601" s="284"/>
      <c r="AA601" s="284"/>
    </row>
    <row r="602">
      <c r="A602" s="284"/>
      <c r="B602" s="284"/>
      <c r="C602" s="285"/>
      <c r="D602" s="285"/>
      <c r="E602" s="285"/>
      <c r="F602" s="285"/>
      <c r="G602" s="285"/>
      <c r="H602" s="285"/>
      <c r="I602" s="286"/>
      <c r="J602" s="286"/>
      <c r="K602" s="285"/>
      <c r="L602" s="284"/>
      <c r="M602" s="287"/>
      <c r="N602" s="284"/>
      <c r="O602" s="284"/>
      <c r="P602" s="284"/>
      <c r="Q602" s="284"/>
      <c r="R602" s="284"/>
      <c r="S602" s="284"/>
      <c r="T602" s="284"/>
      <c r="U602" s="284"/>
      <c r="V602" s="284"/>
      <c r="W602" s="284"/>
      <c r="X602" s="284"/>
      <c r="Y602" s="284"/>
      <c r="Z602" s="284"/>
      <c r="AA602" s="284"/>
    </row>
    <row r="603">
      <c r="A603" s="284"/>
      <c r="B603" s="284"/>
      <c r="C603" s="285"/>
      <c r="D603" s="285"/>
      <c r="E603" s="285"/>
      <c r="F603" s="285"/>
      <c r="G603" s="285"/>
      <c r="H603" s="285"/>
      <c r="I603" s="286"/>
      <c r="J603" s="286"/>
      <c r="K603" s="285"/>
      <c r="L603" s="284"/>
      <c r="M603" s="287"/>
      <c r="N603" s="284"/>
      <c r="O603" s="284"/>
      <c r="P603" s="284"/>
      <c r="Q603" s="284"/>
      <c r="R603" s="284"/>
      <c r="S603" s="284"/>
      <c r="T603" s="284"/>
      <c r="U603" s="284"/>
      <c r="V603" s="284"/>
      <c r="W603" s="284"/>
      <c r="X603" s="284"/>
      <c r="Y603" s="284"/>
      <c r="Z603" s="284"/>
      <c r="AA603" s="284"/>
    </row>
    <row r="604">
      <c r="A604" s="284"/>
      <c r="B604" s="284"/>
      <c r="C604" s="285"/>
      <c r="D604" s="285"/>
      <c r="E604" s="285"/>
      <c r="F604" s="285"/>
      <c r="G604" s="285"/>
      <c r="H604" s="285"/>
      <c r="I604" s="286"/>
      <c r="J604" s="286"/>
      <c r="K604" s="285"/>
      <c r="L604" s="284"/>
      <c r="M604" s="287"/>
      <c r="N604" s="284"/>
      <c r="O604" s="284"/>
      <c r="P604" s="284"/>
      <c r="Q604" s="284"/>
      <c r="R604" s="284"/>
      <c r="S604" s="284"/>
      <c r="T604" s="284"/>
      <c r="U604" s="284"/>
      <c r="V604" s="284"/>
      <c r="W604" s="284"/>
      <c r="X604" s="284"/>
      <c r="Y604" s="284"/>
      <c r="Z604" s="284"/>
      <c r="AA604" s="284"/>
    </row>
    <row r="605">
      <c r="A605" s="284"/>
      <c r="B605" s="284"/>
      <c r="C605" s="285"/>
      <c r="D605" s="285"/>
      <c r="E605" s="285"/>
      <c r="F605" s="285"/>
      <c r="G605" s="285"/>
      <c r="H605" s="285"/>
      <c r="I605" s="286"/>
      <c r="J605" s="286"/>
      <c r="K605" s="285"/>
      <c r="L605" s="284"/>
      <c r="M605" s="287"/>
      <c r="N605" s="284"/>
      <c r="O605" s="284"/>
      <c r="P605" s="284"/>
      <c r="Q605" s="284"/>
      <c r="R605" s="284"/>
      <c r="S605" s="284"/>
      <c r="T605" s="284"/>
      <c r="U605" s="284"/>
      <c r="V605" s="284"/>
      <c r="W605" s="284"/>
      <c r="X605" s="284"/>
      <c r="Y605" s="284"/>
      <c r="Z605" s="284"/>
      <c r="AA605" s="284"/>
    </row>
    <row r="606">
      <c r="A606" s="284"/>
      <c r="B606" s="284"/>
      <c r="C606" s="285"/>
      <c r="D606" s="285"/>
      <c r="E606" s="285"/>
      <c r="F606" s="285"/>
      <c r="G606" s="285"/>
      <c r="H606" s="285"/>
      <c r="I606" s="286"/>
      <c r="J606" s="286"/>
      <c r="K606" s="285"/>
      <c r="L606" s="284"/>
      <c r="M606" s="287"/>
      <c r="N606" s="284"/>
      <c r="O606" s="284"/>
      <c r="P606" s="284"/>
      <c r="Q606" s="284"/>
      <c r="R606" s="284"/>
      <c r="S606" s="284"/>
      <c r="T606" s="284"/>
      <c r="U606" s="284"/>
      <c r="V606" s="284"/>
      <c r="W606" s="284"/>
      <c r="X606" s="284"/>
      <c r="Y606" s="284"/>
      <c r="Z606" s="284"/>
      <c r="AA606" s="284"/>
    </row>
    <row r="607">
      <c r="A607" s="284"/>
      <c r="B607" s="284"/>
      <c r="C607" s="285"/>
      <c r="D607" s="285"/>
      <c r="E607" s="285"/>
      <c r="F607" s="285"/>
      <c r="G607" s="285"/>
      <c r="H607" s="285"/>
      <c r="I607" s="286"/>
      <c r="J607" s="286"/>
      <c r="K607" s="285"/>
      <c r="L607" s="284"/>
      <c r="M607" s="287"/>
      <c r="N607" s="284"/>
      <c r="O607" s="284"/>
      <c r="P607" s="284"/>
      <c r="Q607" s="284"/>
      <c r="R607" s="284"/>
      <c r="S607" s="284"/>
      <c r="T607" s="284"/>
      <c r="U607" s="284"/>
      <c r="V607" s="284"/>
      <c r="W607" s="284"/>
      <c r="X607" s="284"/>
      <c r="Y607" s="284"/>
      <c r="Z607" s="284"/>
      <c r="AA607" s="284"/>
    </row>
    <row r="608">
      <c r="A608" s="284"/>
      <c r="B608" s="284"/>
      <c r="C608" s="285"/>
      <c r="D608" s="285"/>
      <c r="E608" s="285"/>
      <c r="F608" s="285"/>
      <c r="G608" s="285"/>
      <c r="H608" s="285"/>
      <c r="I608" s="286"/>
      <c r="J608" s="286"/>
      <c r="K608" s="285"/>
      <c r="L608" s="284"/>
      <c r="M608" s="287"/>
      <c r="N608" s="284"/>
      <c r="O608" s="284"/>
      <c r="P608" s="284"/>
      <c r="Q608" s="284"/>
      <c r="R608" s="284"/>
      <c r="S608" s="284"/>
      <c r="T608" s="284"/>
      <c r="U608" s="284"/>
      <c r="V608" s="284"/>
      <c r="W608" s="284"/>
      <c r="X608" s="284"/>
      <c r="Y608" s="284"/>
      <c r="Z608" s="284"/>
      <c r="AA608" s="284"/>
    </row>
    <row r="609">
      <c r="A609" s="284"/>
      <c r="B609" s="284"/>
      <c r="C609" s="285"/>
      <c r="D609" s="285"/>
      <c r="E609" s="285"/>
      <c r="F609" s="285"/>
      <c r="G609" s="285"/>
      <c r="H609" s="285"/>
      <c r="I609" s="286"/>
      <c r="J609" s="286"/>
      <c r="K609" s="285"/>
      <c r="L609" s="284"/>
      <c r="M609" s="287"/>
      <c r="N609" s="284"/>
      <c r="O609" s="284"/>
      <c r="P609" s="284"/>
      <c r="Q609" s="284"/>
      <c r="R609" s="284"/>
      <c r="S609" s="284"/>
      <c r="T609" s="284"/>
      <c r="U609" s="284"/>
      <c r="V609" s="284"/>
      <c r="W609" s="284"/>
      <c r="X609" s="284"/>
      <c r="Y609" s="284"/>
      <c r="Z609" s="284"/>
      <c r="AA609" s="284"/>
    </row>
    <row r="610">
      <c r="A610" s="284"/>
      <c r="B610" s="284"/>
      <c r="C610" s="285"/>
      <c r="D610" s="285"/>
      <c r="E610" s="285"/>
      <c r="F610" s="285"/>
      <c r="G610" s="285"/>
      <c r="H610" s="285"/>
      <c r="I610" s="286"/>
      <c r="J610" s="286"/>
      <c r="K610" s="285"/>
      <c r="L610" s="284"/>
      <c r="M610" s="287"/>
      <c r="N610" s="284"/>
      <c r="O610" s="284"/>
      <c r="P610" s="284"/>
      <c r="Q610" s="284"/>
      <c r="R610" s="284"/>
      <c r="S610" s="284"/>
      <c r="T610" s="284"/>
      <c r="U610" s="284"/>
      <c r="V610" s="284"/>
      <c r="W610" s="284"/>
      <c r="X610" s="284"/>
      <c r="Y610" s="284"/>
      <c r="Z610" s="284"/>
      <c r="AA610" s="284"/>
    </row>
    <row r="611">
      <c r="A611" s="284"/>
      <c r="B611" s="284"/>
      <c r="C611" s="285"/>
      <c r="D611" s="285"/>
      <c r="E611" s="285"/>
      <c r="F611" s="285"/>
      <c r="G611" s="285"/>
      <c r="H611" s="285"/>
      <c r="I611" s="286"/>
      <c r="J611" s="286"/>
      <c r="K611" s="285"/>
      <c r="L611" s="284"/>
      <c r="M611" s="287"/>
      <c r="N611" s="284"/>
      <c r="O611" s="284"/>
      <c r="P611" s="284"/>
      <c r="Q611" s="284"/>
      <c r="R611" s="284"/>
      <c r="S611" s="284"/>
      <c r="T611" s="284"/>
      <c r="U611" s="284"/>
      <c r="V611" s="284"/>
      <c r="W611" s="284"/>
      <c r="X611" s="284"/>
      <c r="Y611" s="284"/>
      <c r="Z611" s="284"/>
      <c r="AA611" s="284"/>
    </row>
    <row r="612">
      <c r="A612" s="284"/>
      <c r="B612" s="284"/>
      <c r="C612" s="285"/>
      <c r="D612" s="285"/>
      <c r="E612" s="285"/>
      <c r="F612" s="285"/>
      <c r="G612" s="285"/>
      <c r="H612" s="285"/>
      <c r="I612" s="286"/>
      <c r="J612" s="286"/>
      <c r="K612" s="285"/>
      <c r="L612" s="284"/>
      <c r="M612" s="287"/>
      <c r="N612" s="284"/>
      <c r="O612" s="284"/>
      <c r="P612" s="284"/>
      <c r="Q612" s="284"/>
      <c r="R612" s="284"/>
      <c r="S612" s="284"/>
      <c r="T612" s="284"/>
      <c r="U612" s="284"/>
      <c r="V612" s="284"/>
      <c r="W612" s="284"/>
      <c r="X612" s="284"/>
      <c r="Y612" s="284"/>
      <c r="Z612" s="284"/>
      <c r="AA612" s="284"/>
    </row>
    <row r="613">
      <c r="A613" s="284"/>
      <c r="B613" s="284"/>
      <c r="C613" s="285"/>
      <c r="D613" s="285"/>
      <c r="E613" s="285"/>
      <c r="F613" s="285"/>
      <c r="G613" s="285"/>
      <c r="H613" s="285"/>
      <c r="I613" s="286"/>
      <c r="J613" s="286"/>
      <c r="K613" s="285"/>
      <c r="L613" s="284"/>
      <c r="M613" s="287"/>
      <c r="N613" s="284"/>
      <c r="O613" s="284"/>
      <c r="P613" s="284"/>
      <c r="Q613" s="284"/>
      <c r="R613" s="284"/>
      <c r="S613" s="284"/>
      <c r="T613" s="284"/>
      <c r="U613" s="284"/>
      <c r="V613" s="284"/>
      <c r="W613" s="284"/>
      <c r="X613" s="284"/>
      <c r="Y613" s="284"/>
      <c r="Z613" s="284"/>
      <c r="AA613" s="284"/>
    </row>
    <row r="614">
      <c r="A614" s="284"/>
      <c r="B614" s="284"/>
      <c r="C614" s="285"/>
      <c r="D614" s="285"/>
      <c r="E614" s="285"/>
      <c r="F614" s="285"/>
      <c r="G614" s="285"/>
      <c r="H614" s="285"/>
      <c r="I614" s="286"/>
      <c r="J614" s="286"/>
      <c r="K614" s="285"/>
      <c r="L614" s="284"/>
      <c r="M614" s="287"/>
      <c r="N614" s="284"/>
      <c r="O614" s="284"/>
      <c r="P614" s="284"/>
      <c r="Q614" s="284"/>
      <c r="R614" s="284"/>
      <c r="S614" s="284"/>
      <c r="T614" s="284"/>
      <c r="U614" s="284"/>
      <c r="V614" s="284"/>
      <c r="W614" s="284"/>
      <c r="X614" s="284"/>
      <c r="Y614" s="284"/>
      <c r="Z614" s="284"/>
      <c r="AA614" s="284"/>
    </row>
    <row r="615">
      <c r="A615" s="284"/>
      <c r="B615" s="284"/>
      <c r="C615" s="285"/>
      <c r="D615" s="285"/>
      <c r="E615" s="285"/>
      <c r="F615" s="285"/>
      <c r="G615" s="285"/>
      <c r="H615" s="285"/>
      <c r="I615" s="286"/>
      <c r="J615" s="286"/>
      <c r="K615" s="285"/>
      <c r="L615" s="284"/>
      <c r="M615" s="287"/>
      <c r="N615" s="284"/>
      <c r="O615" s="284"/>
      <c r="P615" s="284"/>
      <c r="Q615" s="284"/>
      <c r="R615" s="284"/>
      <c r="S615" s="284"/>
      <c r="T615" s="284"/>
      <c r="U615" s="284"/>
      <c r="V615" s="284"/>
      <c r="W615" s="284"/>
      <c r="X615" s="284"/>
      <c r="Y615" s="284"/>
      <c r="Z615" s="284"/>
      <c r="AA615" s="284"/>
    </row>
    <row r="616">
      <c r="A616" s="284"/>
      <c r="B616" s="284"/>
      <c r="C616" s="285"/>
      <c r="D616" s="285"/>
      <c r="E616" s="285"/>
      <c r="F616" s="285"/>
      <c r="G616" s="285"/>
      <c r="H616" s="285"/>
      <c r="I616" s="286"/>
      <c r="J616" s="286"/>
      <c r="K616" s="285"/>
      <c r="L616" s="284"/>
      <c r="M616" s="287"/>
      <c r="N616" s="284"/>
      <c r="O616" s="284"/>
      <c r="P616" s="284"/>
      <c r="Q616" s="284"/>
      <c r="R616" s="284"/>
      <c r="S616" s="284"/>
      <c r="T616" s="284"/>
      <c r="U616" s="284"/>
      <c r="V616" s="284"/>
      <c r="W616" s="284"/>
      <c r="X616" s="284"/>
      <c r="Y616" s="284"/>
      <c r="Z616" s="284"/>
      <c r="AA616" s="284"/>
    </row>
    <row r="617">
      <c r="A617" s="284"/>
      <c r="B617" s="284"/>
      <c r="C617" s="285"/>
      <c r="D617" s="285"/>
      <c r="E617" s="285"/>
      <c r="F617" s="285"/>
      <c r="G617" s="285"/>
      <c r="H617" s="285"/>
      <c r="I617" s="286"/>
      <c r="J617" s="286"/>
      <c r="K617" s="285"/>
      <c r="L617" s="284"/>
      <c r="M617" s="287"/>
      <c r="N617" s="284"/>
      <c r="O617" s="284"/>
      <c r="P617" s="284"/>
      <c r="Q617" s="284"/>
      <c r="R617" s="284"/>
      <c r="S617" s="284"/>
      <c r="T617" s="284"/>
      <c r="U617" s="284"/>
      <c r="V617" s="284"/>
      <c r="W617" s="284"/>
      <c r="X617" s="284"/>
      <c r="Y617" s="284"/>
      <c r="Z617" s="284"/>
      <c r="AA617" s="284"/>
    </row>
    <row r="618">
      <c r="A618" s="284"/>
      <c r="B618" s="284"/>
      <c r="C618" s="285"/>
      <c r="D618" s="285"/>
      <c r="E618" s="285"/>
      <c r="F618" s="285"/>
      <c r="G618" s="285"/>
      <c r="H618" s="285"/>
      <c r="I618" s="286"/>
      <c r="J618" s="286"/>
      <c r="K618" s="285"/>
      <c r="L618" s="284"/>
      <c r="M618" s="287"/>
      <c r="N618" s="284"/>
      <c r="O618" s="284"/>
      <c r="P618" s="284"/>
      <c r="Q618" s="284"/>
      <c r="R618" s="284"/>
      <c r="S618" s="284"/>
      <c r="T618" s="284"/>
      <c r="U618" s="284"/>
      <c r="V618" s="284"/>
      <c r="W618" s="284"/>
      <c r="X618" s="284"/>
      <c r="Y618" s="284"/>
      <c r="Z618" s="284"/>
      <c r="AA618" s="284"/>
    </row>
    <row r="619">
      <c r="A619" s="284"/>
      <c r="B619" s="284"/>
      <c r="C619" s="285"/>
      <c r="D619" s="285"/>
      <c r="E619" s="285"/>
      <c r="F619" s="285"/>
      <c r="G619" s="285"/>
      <c r="H619" s="285"/>
      <c r="I619" s="286"/>
      <c r="J619" s="286"/>
      <c r="K619" s="285"/>
      <c r="L619" s="284"/>
      <c r="M619" s="287"/>
      <c r="N619" s="284"/>
      <c r="O619" s="284"/>
      <c r="P619" s="284"/>
      <c r="Q619" s="284"/>
      <c r="R619" s="284"/>
      <c r="S619" s="284"/>
      <c r="T619" s="284"/>
      <c r="U619" s="284"/>
      <c r="V619" s="284"/>
      <c r="W619" s="284"/>
      <c r="X619" s="284"/>
      <c r="Y619" s="284"/>
      <c r="Z619" s="284"/>
      <c r="AA619" s="284"/>
    </row>
    <row r="620">
      <c r="A620" s="284"/>
      <c r="B620" s="284"/>
      <c r="C620" s="285"/>
      <c r="D620" s="285"/>
      <c r="E620" s="285"/>
      <c r="F620" s="285"/>
      <c r="G620" s="285"/>
      <c r="H620" s="285"/>
      <c r="I620" s="286"/>
      <c r="J620" s="286"/>
      <c r="K620" s="285"/>
      <c r="L620" s="284"/>
      <c r="M620" s="287"/>
      <c r="N620" s="284"/>
      <c r="O620" s="284"/>
      <c r="P620" s="284"/>
      <c r="Q620" s="284"/>
      <c r="R620" s="284"/>
      <c r="S620" s="284"/>
      <c r="T620" s="284"/>
      <c r="U620" s="284"/>
      <c r="V620" s="284"/>
      <c r="W620" s="284"/>
      <c r="X620" s="284"/>
      <c r="Y620" s="284"/>
      <c r="Z620" s="284"/>
      <c r="AA620" s="284"/>
    </row>
    <row r="621">
      <c r="A621" s="284"/>
      <c r="B621" s="284"/>
      <c r="C621" s="285"/>
      <c r="D621" s="285"/>
      <c r="E621" s="285"/>
      <c r="F621" s="285"/>
      <c r="G621" s="285"/>
      <c r="H621" s="285"/>
      <c r="I621" s="286"/>
      <c r="J621" s="286"/>
      <c r="K621" s="285"/>
      <c r="L621" s="284"/>
      <c r="M621" s="287"/>
      <c r="N621" s="284"/>
      <c r="O621" s="284"/>
      <c r="P621" s="284"/>
      <c r="Q621" s="284"/>
      <c r="R621" s="284"/>
      <c r="S621" s="284"/>
      <c r="T621" s="284"/>
      <c r="U621" s="284"/>
      <c r="V621" s="284"/>
      <c r="W621" s="284"/>
      <c r="X621" s="284"/>
      <c r="Y621" s="284"/>
      <c r="Z621" s="284"/>
      <c r="AA621" s="284"/>
    </row>
    <row r="622">
      <c r="A622" s="284"/>
      <c r="B622" s="284"/>
      <c r="C622" s="285"/>
      <c r="D622" s="285"/>
      <c r="E622" s="285"/>
      <c r="F622" s="285"/>
      <c r="G622" s="285"/>
      <c r="H622" s="285"/>
      <c r="I622" s="286"/>
      <c r="J622" s="286"/>
      <c r="K622" s="285"/>
      <c r="L622" s="284"/>
      <c r="M622" s="287"/>
      <c r="N622" s="284"/>
      <c r="O622" s="284"/>
      <c r="P622" s="284"/>
      <c r="Q622" s="284"/>
      <c r="R622" s="284"/>
      <c r="S622" s="284"/>
      <c r="T622" s="284"/>
      <c r="U622" s="284"/>
      <c r="V622" s="284"/>
      <c r="W622" s="284"/>
      <c r="X622" s="284"/>
      <c r="Y622" s="284"/>
      <c r="Z622" s="284"/>
      <c r="AA622" s="284"/>
    </row>
    <row r="623">
      <c r="A623" s="284"/>
      <c r="B623" s="284"/>
      <c r="C623" s="285"/>
      <c r="D623" s="285"/>
      <c r="E623" s="285"/>
      <c r="F623" s="285"/>
      <c r="G623" s="285"/>
      <c r="H623" s="285"/>
      <c r="I623" s="286"/>
      <c r="J623" s="286"/>
      <c r="K623" s="285"/>
      <c r="L623" s="284"/>
      <c r="M623" s="287"/>
      <c r="N623" s="284"/>
      <c r="O623" s="284"/>
      <c r="P623" s="284"/>
      <c r="Q623" s="284"/>
      <c r="R623" s="284"/>
      <c r="S623" s="284"/>
      <c r="T623" s="284"/>
      <c r="U623" s="284"/>
      <c r="V623" s="284"/>
      <c r="W623" s="284"/>
      <c r="X623" s="284"/>
      <c r="Y623" s="284"/>
      <c r="Z623" s="284"/>
      <c r="AA623" s="284"/>
    </row>
    <row r="624">
      <c r="A624" s="284"/>
      <c r="B624" s="284"/>
      <c r="C624" s="285"/>
      <c r="D624" s="285"/>
      <c r="E624" s="285"/>
      <c r="F624" s="285"/>
      <c r="G624" s="285"/>
      <c r="H624" s="285"/>
      <c r="I624" s="286"/>
      <c r="J624" s="286"/>
      <c r="K624" s="285"/>
      <c r="L624" s="284"/>
      <c r="M624" s="287"/>
      <c r="N624" s="284"/>
      <c r="O624" s="284"/>
      <c r="P624" s="284"/>
      <c r="Q624" s="284"/>
      <c r="R624" s="284"/>
      <c r="S624" s="284"/>
      <c r="T624" s="284"/>
      <c r="U624" s="284"/>
      <c r="V624" s="284"/>
      <c r="W624" s="284"/>
      <c r="X624" s="284"/>
      <c r="Y624" s="284"/>
      <c r="Z624" s="284"/>
      <c r="AA624" s="284"/>
    </row>
    <row r="625">
      <c r="A625" s="284"/>
      <c r="B625" s="284"/>
      <c r="C625" s="285"/>
      <c r="D625" s="285"/>
      <c r="E625" s="285"/>
      <c r="F625" s="285"/>
      <c r="G625" s="285"/>
      <c r="H625" s="285"/>
      <c r="I625" s="286"/>
      <c r="J625" s="286"/>
      <c r="K625" s="285"/>
      <c r="L625" s="284"/>
      <c r="M625" s="287"/>
      <c r="N625" s="284"/>
      <c r="O625" s="284"/>
      <c r="P625" s="284"/>
      <c r="Q625" s="284"/>
      <c r="R625" s="284"/>
      <c r="S625" s="284"/>
      <c r="T625" s="284"/>
      <c r="U625" s="284"/>
      <c r="V625" s="284"/>
      <c r="W625" s="284"/>
      <c r="X625" s="284"/>
      <c r="Y625" s="284"/>
      <c r="Z625" s="284"/>
      <c r="AA625" s="284"/>
    </row>
    <row r="626">
      <c r="A626" s="284"/>
      <c r="B626" s="284"/>
      <c r="C626" s="285"/>
      <c r="D626" s="285"/>
      <c r="E626" s="285"/>
      <c r="F626" s="285"/>
      <c r="G626" s="285"/>
      <c r="H626" s="285"/>
      <c r="I626" s="286"/>
      <c r="J626" s="286"/>
      <c r="K626" s="285"/>
      <c r="L626" s="284"/>
      <c r="M626" s="287"/>
      <c r="N626" s="284"/>
      <c r="O626" s="284"/>
      <c r="P626" s="284"/>
      <c r="Q626" s="284"/>
      <c r="R626" s="284"/>
      <c r="S626" s="284"/>
      <c r="T626" s="284"/>
      <c r="U626" s="284"/>
      <c r="V626" s="284"/>
      <c r="W626" s="284"/>
      <c r="X626" s="284"/>
      <c r="Y626" s="284"/>
      <c r="Z626" s="284"/>
      <c r="AA626" s="284"/>
    </row>
    <row r="627">
      <c r="A627" s="284"/>
      <c r="B627" s="284"/>
      <c r="C627" s="285"/>
      <c r="D627" s="285"/>
      <c r="E627" s="285"/>
      <c r="F627" s="285"/>
      <c r="G627" s="285"/>
      <c r="H627" s="285"/>
      <c r="I627" s="286"/>
      <c r="J627" s="286"/>
      <c r="K627" s="285"/>
      <c r="L627" s="284"/>
      <c r="M627" s="287"/>
      <c r="N627" s="284"/>
      <c r="O627" s="284"/>
      <c r="P627" s="284"/>
      <c r="Q627" s="284"/>
      <c r="R627" s="284"/>
      <c r="S627" s="284"/>
      <c r="T627" s="284"/>
      <c r="U627" s="284"/>
      <c r="V627" s="284"/>
      <c r="W627" s="284"/>
      <c r="X627" s="284"/>
      <c r="Y627" s="284"/>
      <c r="Z627" s="284"/>
      <c r="AA627" s="284"/>
    </row>
    <row r="628">
      <c r="A628" s="284"/>
      <c r="B628" s="284"/>
      <c r="C628" s="285"/>
      <c r="D628" s="285"/>
      <c r="E628" s="285"/>
      <c r="F628" s="285"/>
      <c r="G628" s="285"/>
      <c r="H628" s="285"/>
      <c r="I628" s="286"/>
      <c r="J628" s="286"/>
      <c r="K628" s="285"/>
      <c r="L628" s="284"/>
      <c r="M628" s="287"/>
      <c r="N628" s="284"/>
      <c r="O628" s="284"/>
      <c r="P628" s="284"/>
      <c r="Q628" s="284"/>
      <c r="R628" s="284"/>
      <c r="S628" s="284"/>
      <c r="T628" s="284"/>
      <c r="U628" s="284"/>
      <c r="V628" s="284"/>
      <c r="W628" s="284"/>
      <c r="X628" s="284"/>
      <c r="Y628" s="284"/>
      <c r="Z628" s="284"/>
      <c r="AA628" s="284"/>
    </row>
    <row r="629">
      <c r="A629" s="284"/>
      <c r="B629" s="284"/>
      <c r="C629" s="285"/>
      <c r="D629" s="285"/>
      <c r="E629" s="285"/>
      <c r="F629" s="285"/>
      <c r="G629" s="285"/>
      <c r="H629" s="285"/>
      <c r="I629" s="286"/>
      <c r="J629" s="286"/>
      <c r="K629" s="285"/>
      <c r="L629" s="284"/>
      <c r="M629" s="287"/>
      <c r="N629" s="284"/>
      <c r="O629" s="284"/>
      <c r="P629" s="284"/>
      <c r="Q629" s="284"/>
      <c r="R629" s="284"/>
      <c r="S629" s="284"/>
      <c r="T629" s="284"/>
      <c r="U629" s="284"/>
      <c r="V629" s="284"/>
      <c r="W629" s="284"/>
      <c r="X629" s="284"/>
      <c r="Y629" s="284"/>
      <c r="Z629" s="284"/>
      <c r="AA629" s="284"/>
    </row>
    <row r="630">
      <c r="A630" s="284"/>
      <c r="B630" s="284"/>
      <c r="C630" s="285"/>
      <c r="D630" s="285"/>
      <c r="E630" s="285"/>
      <c r="F630" s="285"/>
      <c r="G630" s="285"/>
      <c r="H630" s="285"/>
      <c r="I630" s="286"/>
      <c r="J630" s="286"/>
      <c r="K630" s="285"/>
      <c r="L630" s="284"/>
      <c r="M630" s="287"/>
      <c r="N630" s="284"/>
      <c r="O630" s="284"/>
      <c r="P630" s="284"/>
      <c r="Q630" s="284"/>
      <c r="R630" s="284"/>
      <c r="S630" s="284"/>
      <c r="T630" s="284"/>
      <c r="U630" s="284"/>
      <c r="V630" s="284"/>
      <c r="W630" s="284"/>
      <c r="X630" s="284"/>
      <c r="Y630" s="284"/>
      <c r="Z630" s="284"/>
      <c r="AA630" s="284"/>
    </row>
    <row r="631">
      <c r="A631" s="284"/>
      <c r="B631" s="284"/>
      <c r="C631" s="285"/>
      <c r="D631" s="285"/>
      <c r="E631" s="285"/>
      <c r="F631" s="285"/>
      <c r="G631" s="285"/>
      <c r="H631" s="285"/>
      <c r="I631" s="286"/>
      <c r="J631" s="286"/>
      <c r="K631" s="285"/>
      <c r="L631" s="284"/>
      <c r="M631" s="287"/>
      <c r="N631" s="284"/>
      <c r="O631" s="284"/>
      <c r="P631" s="284"/>
      <c r="Q631" s="284"/>
      <c r="R631" s="284"/>
      <c r="S631" s="284"/>
      <c r="T631" s="284"/>
      <c r="U631" s="284"/>
      <c r="V631" s="284"/>
      <c r="W631" s="284"/>
      <c r="X631" s="284"/>
      <c r="Y631" s="284"/>
      <c r="Z631" s="284"/>
      <c r="AA631" s="284"/>
    </row>
    <row r="632">
      <c r="A632" s="284"/>
      <c r="B632" s="284"/>
      <c r="C632" s="285"/>
      <c r="D632" s="285"/>
      <c r="E632" s="285"/>
      <c r="F632" s="285"/>
      <c r="G632" s="285"/>
      <c r="H632" s="285"/>
      <c r="I632" s="286"/>
      <c r="J632" s="286"/>
      <c r="K632" s="285"/>
      <c r="L632" s="284"/>
      <c r="M632" s="287"/>
      <c r="N632" s="284"/>
      <c r="O632" s="284"/>
      <c r="P632" s="284"/>
      <c r="Q632" s="284"/>
      <c r="R632" s="284"/>
      <c r="S632" s="284"/>
      <c r="T632" s="284"/>
      <c r="U632" s="284"/>
      <c r="V632" s="284"/>
      <c r="W632" s="284"/>
      <c r="X632" s="284"/>
      <c r="Y632" s="284"/>
      <c r="Z632" s="284"/>
      <c r="AA632" s="284"/>
    </row>
    <row r="633">
      <c r="A633" s="284"/>
      <c r="B633" s="284"/>
      <c r="C633" s="285"/>
      <c r="D633" s="285"/>
      <c r="E633" s="285"/>
      <c r="F633" s="285"/>
      <c r="G633" s="285"/>
      <c r="H633" s="285"/>
      <c r="I633" s="286"/>
      <c r="J633" s="286"/>
      <c r="K633" s="285"/>
      <c r="L633" s="284"/>
      <c r="M633" s="287"/>
      <c r="N633" s="284"/>
      <c r="O633" s="284"/>
      <c r="P633" s="284"/>
      <c r="Q633" s="284"/>
      <c r="R633" s="284"/>
      <c r="S633" s="284"/>
      <c r="T633" s="284"/>
      <c r="U633" s="284"/>
      <c r="V633" s="284"/>
      <c r="W633" s="284"/>
      <c r="X633" s="284"/>
      <c r="Y633" s="284"/>
      <c r="Z633" s="284"/>
      <c r="AA633" s="284"/>
    </row>
    <row r="634">
      <c r="A634" s="284"/>
      <c r="B634" s="284"/>
      <c r="C634" s="285"/>
      <c r="D634" s="285"/>
      <c r="E634" s="285"/>
      <c r="F634" s="285"/>
      <c r="G634" s="285"/>
      <c r="H634" s="285"/>
      <c r="I634" s="286"/>
      <c r="J634" s="286"/>
      <c r="K634" s="285"/>
      <c r="L634" s="284"/>
      <c r="M634" s="287"/>
      <c r="N634" s="284"/>
      <c r="O634" s="284"/>
      <c r="P634" s="284"/>
      <c r="Q634" s="284"/>
      <c r="R634" s="284"/>
      <c r="S634" s="284"/>
      <c r="T634" s="284"/>
      <c r="U634" s="284"/>
      <c r="V634" s="284"/>
      <c r="W634" s="284"/>
      <c r="X634" s="284"/>
      <c r="Y634" s="284"/>
      <c r="Z634" s="284"/>
      <c r="AA634" s="284"/>
    </row>
    <row r="635">
      <c r="A635" s="284"/>
      <c r="B635" s="284"/>
      <c r="C635" s="285"/>
      <c r="D635" s="285"/>
      <c r="E635" s="285"/>
      <c r="F635" s="285"/>
      <c r="G635" s="285"/>
      <c r="H635" s="285"/>
      <c r="I635" s="286"/>
      <c r="J635" s="286"/>
      <c r="K635" s="285"/>
      <c r="L635" s="284"/>
      <c r="M635" s="287"/>
      <c r="N635" s="284"/>
      <c r="O635" s="284"/>
      <c r="P635" s="284"/>
      <c r="Q635" s="284"/>
      <c r="R635" s="284"/>
      <c r="S635" s="284"/>
      <c r="T635" s="284"/>
      <c r="U635" s="284"/>
      <c r="V635" s="284"/>
      <c r="W635" s="284"/>
      <c r="X635" s="284"/>
      <c r="Y635" s="284"/>
      <c r="Z635" s="284"/>
      <c r="AA635" s="284"/>
    </row>
    <row r="636">
      <c r="A636" s="284"/>
      <c r="B636" s="284"/>
      <c r="C636" s="285"/>
      <c r="D636" s="285"/>
      <c r="E636" s="285"/>
      <c r="F636" s="285"/>
      <c r="G636" s="285"/>
      <c r="H636" s="285"/>
      <c r="I636" s="286"/>
      <c r="J636" s="286"/>
      <c r="K636" s="285"/>
      <c r="L636" s="284"/>
      <c r="M636" s="287"/>
      <c r="N636" s="284"/>
      <c r="O636" s="284"/>
      <c r="P636" s="284"/>
      <c r="Q636" s="284"/>
      <c r="R636" s="284"/>
      <c r="S636" s="284"/>
      <c r="T636" s="284"/>
      <c r="U636" s="284"/>
      <c r="V636" s="284"/>
      <c r="W636" s="284"/>
      <c r="X636" s="284"/>
      <c r="Y636" s="284"/>
      <c r="Z636" s="284"/>
      <c r="AA636" s="284"/>
    </row>
    <row r="637">
      <c r="A637" s="284"/>
      <c r="B637" s="284"/>
      <c r="C637" s="285"/>
      <c r="D637" s="285"/>
      <c r="E637" s="285"/>
      <c r="F637" s="285"/>
      <c r="G637" s="285"/>
      <c r="H637" s="285"/>
      <c r="I637" s="286"/>
      <c r="J637" s="286"/>
      <c r="K637" s="285"/>
      <c r="L637" s="284"/>
      <c r="M637" s="287"/>
      <c r="N637" s="284"/>
      <c r="O637" s="284"/>
      <c r="P637" s="284"/>
      <c r="Q637" s="284"/>
      <c r="R637" s="284"/>
      <c r="S637" s="284"/>
      <c r="T637" s="284"/>
      <c r="U637" s="284"/>
      <c r="V637" s="284"/>
      <c r="W637" s="284"/>
      <c r="X637" s="284"/>
      <c r="Y637" s="284"/>
      <c r="Z637" s="284"/>
      <c r="AA637" s="284"/>
    </row>
    <row r="638">
      <c r="A638" s="284"/>
      <c r="B638" s="284"/>
      <c r="C638" s="285"/>
      <c r="D638" s="285"/>
      <c r="E638" s="285"/>
      <c r="F638" s="285"/>
      <c r="G638" s="285"/>
      <c r="H638" s="285"/>
      <c r="I638" s="286"/>
      <c r="J638" s="286"/>
      <c r="K638" s="285"/>
      <c r="L638" s="284"/>
      <c r="M638" s="287"/>
      <c r="N638" s="284"/>
      <c r="O638" s="284"/>
      <c r="P638" s="284"/>
      <c r="Q638" s="284"/>
      <c r="R638" s="284"/>
      <c r="S638" s="284"/>
      <c r="T638" s="284"/>
      <c r="U638" s="284"/>
      <c r="V638" s="284"/>
      <c r="W638" s="284"/>
      <c r="X638" s="284"/>
      <c r="Y638" s="284"/>
      <c r="Z638" s="284"/>
      <c r="AA638" s="284"/>
    </row>
    <row r="639">
      <c r="A639" s="284"/>
      <c r="B639" s="284"/>
      <c r="C639" s="285"/>
      <c r="D639" s="285"/>
      <c r="E639" s="285"/>
      <c r="F639" s="285"/>
      <c r="G639" s="285"/>
      <c r="H639" s="285"/>
      <c r="I639" s="286"/>
      <c r="J639" s="286"/>
      <c r="K639" s="285"/>
      <c r="L639" s="284"/>
      <c r="M639" s="287"/>
      <c r="N639" s="284"/>
      <c r="O639" s="284"/>
      <c r="P639" s="284"/>
      <c r="Q639" s="284"/>
      <c r="R639" s="284"/>
      <c r="S639" s="284"/>
      <c r="T639" s="284"/>
      <c r="U639" s="284"/>
      <c r="V639" s="284"/>
      <c r="W639" s="284"/>
      <c r="X639" s="284"/>
      <c r="Y639" s="284"/>
      <c r="Z639" s="284"/>
      <c r="AA639" s="284"/>
    </row>
    <row r="640">
      <c r="A640" s="284"/>
      <c r="B640" s="284"/>
      <c r="C640" s="285"/>
      <c r="D640" s="285"/>
      <c r="E640" s="285"/>
      <c r="F640" s="285"/>
      <c r="G640" s="285"/>
      <c r="H640" s="285"/>
      <c r="I640" s="286"/>
      <c r="J640" s="286"/>
      <c r="K640" s="285"/>
      <c r="L640" s="284"/>
      <c r="M640" s="287"/>
      <c r="N640" s="284"/>
      <c r="O640" s="284"/>
      <c r="P640" s="284"/>
      <c r="Q640" s="284"/>
      <c r="R640" s="284"/>
      <c r="S640" s="284"/>
      <c r="T640" s="284"/>
      <c r="U640" s="284"/>
      <c r="V640" s="284"/>
      <c r="W640" s="284"/>
      <c r="X640" s="284"/>
      <c r="Y640" s="284"/>
      <c r="Z640" s="284"/>
      <c r="AA640" s="284"/>
    </row>
    <row r="641">
      <c r="A641" s="284"/>
      <c r="B641" s="284"/>
      <c r="C641" s="285"/>
      <c r="D641" s="285"/>
      <c r="E641" s="285"/>
      <c r="F641" s="285"/>
      <c r="G641" s="285"/>
      <c r="H641" s="285"/>
      <c r="I641" s="286"/>
      <c r="J641" s="286"/>
      <c r="K641" s="285"/>
      <c r="L641" s="284"/>
      <c r="M641" s="287"/>
      <c r="N641" s="284"/>
      <c r="O641" s="284"/>
      <c r="P641" s="284"/>
      <c r="Q641" s="284"/>
      <c r="R641" s="284"/>
      <c r="S641" s="284"/>
      <c r="T641" s="284"/>
      <c r="U641" s="284"/>
      <c r="V641" s="284"/>
      <c r="W641" s="284"/>
      <c r="X641" s="284"/>
      <c r="Y641" s="284"/>
      <c r="Z641" s="284"/>
      <c r="AA641" s="284"/>
    </row>
    <row r="642">
      <c r="A642" s="284"/>
      <c r="B642" s="284"/>
      <c r="C642" s="285"/>
      <c r="D642" s="285"/>
      <c r="E642" s="285"/>
      <c r="F642" s="285"/>
      <c r="G642" s="285"/>
      <c r="H642" s="285"/>
      <c r="I642" s="286"/>
      <c r="J642" s="286"/>
      <c r="K642" s="285"/>
      <c r="L642" s="284"/>
      <c r="M642" s="287"/>
      <c r="N642" s="284"/>
      <c r="O642" s="284"/>
      <c r="P642" s="284"/>
      <c r="Q642" s="284"/>
      <c r="R642" s="284"/>
      <c r="S642" s="284"/>
      <c r="T642" s="284"/>
      <c r="U642" s="284"/>
      <c r="V642" s="284"/>
      <c r="W642" s="284"/>
      <c r="X642" s="284"/>
      <c r="Y642" s="284"/>
      <c r="Z642" s="284"/>
      <c r="AA642" s="284"/>
    </row>
    <row r="643">
      <c r="A643" s="284"/>
      <c r="B643" s="284"/>
      <c r="C643" s="285"/>
      <c r="D643" s="285"/>
      <c r="E643" s="285"/>
      <c r="F643" s="285"/>
      <c r="G643" s="285"/>
      <c r="H643" s="285"/>
      <c r="I643" s="286"/>
      <c r="J643" s="286"/>
      <c r="K643" s="285"/>
      <c r="L643" s="284"/>
      <c r="M643" s="287"/>
      <c r="N643" s="284"/>
      <c r="O643" s="284"/>
      <c r="P643" s="284"/>
      <c r="Q643" s="284"/>
      <c r="R643" s="284"/>
      <c r="S643" s="284"/>
      <c r="T643" s="284"/>
      <c r="U643" s="284"/>
      <c r="V643" s="284"/>
      <c r="W643" s="284"/>
      <c r="X643" s="284"/>
      <c r="Y643" s="284"/>
      <c r="Z643" s="284"/>
      <c r="AA643" s="284"/>
    </row>
    <row r="644">
      <c r="A644" s="284"/>
      <c r="B644" s="284"/>
      <c r="C644" s="285"/>
      <c r="D644" s="285"/>
      <c r="E644" s="285"/>
      <c r="F644" s="285"/>
      <c r="G644" s="285"/>
      <c r="H644" s="285"/>
      <c r="I644" s="286"/>
      <c r="J644" s="286"/>
      <c r="K644" s="285"/>
      <c r="L644" s="284"/>
      <c r="M644" s="287"/>
      <c r="N644" s="284"/>
      <c r="O644" s="284"/>
      <c r="P644" s="284"/>
      <c r="Q644" s="284"/>
      <c r="R644" s="284"/>
      <c r="S644" s="284"/>
      <c r="T644" s="284"/>
      <c r="U644" s="284"/>
      <c r="V644" s="284"/>
      <c r="W644" s="284"/>
      <c r="X644" s="284"/>
      <c r="Y644" s="284"/>
      <c r="Z644" s="284"/>
      <c r="AA644" s="284"/>
    </row>
    <row r="645">
      <c r="A645" s="284"/>
      <c r="B645" s="284"/>
      <c r="C645" s="285"/>
      <c r="D645" s="285"/>
      <c r="E645" s="285"/>
      <c r="F645" s="285"/>
      <c r="G645" s="285"/>
      <c r="H645" s="285"/>
      <c r="I645" s="286"/>
      <c r="J645" s="286"/>
      <c r="K645" s="285"/>
      <c r="L645" s="284"/>
      <c r="M645" s="287"/>
      <c r="N645" s="284"/>
      <c r="O645" s="284"/>
      <c r="P645" s="284"/>
      <c r="Q645" s="284"/>
      <c r="R645" s="284"/>
      <c r="S645" s="284"/>
      <c r="T645" s="284"/>
      <c r="U645" s="284"/>
      <c r="V645" s="284"/>
      <c r="W645" s="284"/>
      <c r="X645" s="284"/>
      <c r="Y645" s="284"/>
      <c r="Z645" s="284"/>
      <c r="AA645" s="284"/>
    </row>
    <row r="646">
      <c r="A646" s="284"/>
      <c r="B646" s="284"/>
      <c r="C646" s="285"/>
      <c r="D646" s="285"/>
      <c r="E646" s="285"/>
      <c r="F646" s="285"/>
      <c r="G646" s="285"/>
      <c r="H646" s="285"/>
      <c r="I646" s="286"/>
      <c r="J646" s="286"/>
      <c r="K646" s="285"/>
      <c r="L646" s="284"/>
      <c r="M646" s="287"/>
      <c r="N646" s="284"/>
      <c r="O646" s="284"/>
      <c r="P646" s="284"/>
      <c r="Q646" s="284"/>
      <c r="R646" s="284"/>
      <c r="S646" s="284"/>
      <c r="T646" s="284"/>
      <c r="U646" s="284"/>
      <c r="V646" s="284"/>
      <c r="W646" s="284"/>
      <c r="X646" s="284"/>
      <c r="Y646" s="284"/>
      <c r="Z646" s="284"/>
      <c r="AA646" s="284"/>
    </row>
    <row r="647">
      <c r="A647" s="284"/>
      <c r="B647" s="284"/>
      <c r="C647" s="285"/>
      <c r="D647" s="285"/>
      <c r="E647" s="285"/>
      <c r="F647" s="285"/>
      <c r="G647" s="285"/>
      <c r="H647" s="285"/>
      <c r="I647" s="286"/>
      <c r="J647" s="286"/>
      <c r="K647" s="285"/>
      <c r="L647" s="284"/>
      <c r="M647" s="287"/>
      <c r="N647" s="284"/>
      <c r="O647" s="284"/>
      <c r="P647" s="284"/>
      <c r="Q647" s="284"/>
      <c r="R647" s="284"/>
      <c r="S647" s="284"/>
      <c r="T647" s="284"/>
      <c r="U647" s="284"/>
      <c r="V647" s="284"/>
      <c r="W647" s="284"/>
      <c r="X647" s="284"/>
      <c r="Y647" s="284"/>
      <c r="Z647" s="284"/>
      <c r="AA647" s="284"/>
    </row>
    <row r="648">
      <c r="A648" s="284"/>
      <c r="B648" s="284"/>
      <c r="C648" s="285"/>
      <c r="D648" s="285"/>
      <c r="E648" s="285"/>
      <c r="F648" s="285"/>
      <c r="G648" s="285"/>
      <c r="H648" s="285"/>
      <c r="I648" s="286"/>
      <c r="J648" s="286"/>
      <c r="K648" s="285"/>
      <c r="L648" s="284"/>
      <c r="M648" s="287"/>
      <c r="N648" s="284"/>
      <c r="O648" s="284"/>
      <c r="P648" s="284"/>
      <c r="Q648" s="284"/>
      <c r="R648" s="284"/>
      <c r="S648" s="284"/>
      <c r="T648" s="284"/>
      <c r="U648" s="284"/>
      <c r="V648" s="284"/>
      <c r="W648" s="284"/>
      <c r="X648" s="284"/>
      <c r="Y648" s="284"/>
      <c r="Z648" s="284"/>
      <c r="AA648" s="284"/>
    </row>
    <row r="649">
      <c r="A649" s="284"/>
      <c r="B649" s="284"/>
      <c r="C649" s="285"/>
      <c r="D649" s="285"/>
      <c r="E649" s="285"/>
      <c r="F649" s="285"/>
      <c r="G649" s="285"/>
      <c r="H649" s="285"/>
      <c r="I649" s="286"/>
      <c r="J649" s="286"/>
      <c r="K649" s="285"/>
      <c r="L649" s="284"/>
      <c r="M649" s="287"/>
      <c r="N649" s="284"/>
      <c r="O649" s="284"/>
      <c r="P649" s="284"/>
      <c r="Q649" s="284"/>
      <c r="R649" s="284"/>
      <c r="S649" s="284"/>
      <c r="T649" s="284"/>
      <c r="U649" s="284"/>
      <c r="V649" s="284"/>
      <c r="W649" s="284"/>
      <c r="X649" s="284"/>
      <c r="Y649" s="284"/>
      <c r="Z649" s="284"/>
      <c r="AA649" s="284"/>
    </row>
    <row r="650">
      <c r="A650" s="284"/>
      <c r="B650" s="284"/>
      <c r="C650" s="285"/>
      <c r="D650" s="285"/>
      <c r="E650" s="285"/>
      <c r="F650" s="285"/>
      <c r="G650" s="285"/>
      <c r="H650" s="285"/>
      <c r="I650" s="286"/>
      <c r="J650" s="286"/>
      <c r="K650" s="285"/>
      <c r="L650" s="284"/>
      <c r="M650" s="287"/>
      <c r="N650" s="284"/>
      <c r="O650" s="284"/>
      <c r="P650" s="284"/>
      <c r="Q650" s="284"/>
      <c r="R650" s="284"/>
      <c r="S650" s="284"/>
      <c r="T650" s="284"/>
      <c r="U650" s="284"/>
      <c r="V650" s="284"/>
      <c r="W650" s="284"/>
      <c r="X650" s="284"/>
      <c r="Y650" s="284"/>
      <c r="Z650" s="284"/>
      <c r="AA650" s="284"/>
    </row>
    <row r="651">
      <c r="A651" s="284"/>
      <c r="B651" s="284"/>
      <c r="C651" s="285"/>
      <c r="D651" s="285"/>
      <c r="E651" s="285"/>
      <c r="F651" s="285"/>
      <c r="G651" s="285"/>
      <c r="H651" s="285"/>
      <c r="I651" s="286"/>
      <c r="J651" s="286"/>
      <c r="K651" s="285"/>
      <c r="L651" s="284"/>
      <c r="M651" s="287"/>
      <c r="N651" s="284"/>
      <c r="O651" s="284"/>
      <c r="P651" s="284"/>
      <c r="Q651" s="284"/>
      <c r="R651" s="284"/>
      <c r="S651" s="284"/>
      <c r="T651" s="284"/>
      <c r="U651" s="284"/>
      <c r="V651" s="284"/>
      <c r="W651" s="284"/>
      <c r="X651" s="284"/>
      <c r="Y651" s="284"/>
      <c r="Z651" s="284"/>
      <c r="AA651" s="284"/>
    </row>
    <row r="652">
      <c r="A652" s="284"/>
      <c r="B652" s="284"/>
      <c r="C652" s="285"/>
      <c r="D652" s="285"/>
      <c r="E652" s="285"/>
      <c r="F652" s="285"/>
      <c r="G652" s="285"/>
      <c r="H652" s="285"/>
      <c r="I652" s="286"/>
      <c r="J652" s="286"/>
      <c r="K652" s="285"/>
      <c r="L652" s="284"/>
      <c r="M652" s="287"/>
      <c r="N652" s="284"/>
      <c r="O652" s="284"/>
      <c r="P652" s="284"/>
      <c r="Q652" s="284"/>
      <c r="R652" s="284"/>
      <c r="S652" s="284"/>
      <c r="T652" s="284"/>
      <c r="U652" s="284"/>
      <c r="V652" s="284"/>
      <c r="W652" s="284"/>
      <c r="X652" s="284"/>
      <c r="Y652" s="284"/>
      <c r="Z652" s="284"/>
      <c r="AA652" s="284"/>
    </row>
    <row r="653">
      <c r="A653" s="284"/>
      <c r="B653" s="284"/>
      <c r="C653" s="285"/>
      <c r="D653" s="285"/>
      <c r="E653" s="285"/>
      <c r="F653" s="285"/>
      <c r="G653" s="285"/>
      <c r="H653" s="285"/>
      <c r="I653" s="286"/>
      <c r="J653" s="286"/>
      <c r="K653" s="285"/>
      <c r="L653" s="284"/>
      <c r="M653" s="287"/>
      <c r="N653" s="284"/>
      <c r="O653" s="284"/>
      <c r="P653" s="284"/>
      <c r="Q653" s="284"/>
      <c r="R653" s="284"/>
      <c r="S653" s="284"/>
      <c r="T653" s="284"/>
      <c r="U653" s="284"/>
      <c r="V653" s="284"/>
      <c r="W653" s="284"/>
      <c r="X653" s="284"/>
      <c r="Y653" s="284"/>
      <c r="Z653" s="284"/>
      <c r="AA653" s="284"/>
    </row>
    <row r="654">
      <c r="A654" s="284"/>
      <c r="B654" s="284"/>
      <c r="C654" s="285"/>
      <c r="D654" s="285"/>
      <c r="E654" s="285"/>
      <c r="F654" s="285"/>
      <c r="G654" s="285"/>
      <c r="H654" s="285"/>
      <c r="I654" s="286"/>
      <c r="J654" s="286"/>
      <c r="K654" s="285"/>
      <c r="L654" s="284"/>
      <c r="M654" s="287"/>
      <c r="N654" s="284"/>
      <c r="O654" s="284"/>
      <c r="P654" s="284"/>
      <c r="Q654" s="284"/>
      <c r="R654" s="284"/>
      <c r="S654" s="284"/>
      <c r="T654" s="284"/>
      <c r="U654" s="284"/>
      <c r="V654" s="284"/>
      <c r="W654" s="284"/>
      <c r="X654" s="284"/>
      <c r="Y654" s="284"/>
      <c r="Z654" s="284"/>
      <c r="AA654" s="284"/>
    </row>
    <row r="655">
      <c r="A655" s="284"/>
      <c r="B655" s="284"/>
      <c r="C655" s="285"/>
      <c r="D655" s="285"/>
      <c r="E655" s="285"/>
      <c r="F655" s="285"/>
      <c r="G655" s="285"/>
      <c r="H655" s="285"/>
      <c r="I655" s="286"/>
      <c r="J655" s="286"/>
      <c r="K655" s="285"/>
      <c r="L655" s="284"/>
      <c r="M655" s="287"/>
      <c r="N655" s="284"/>
      <c r="O655" s="284"/>
      <c r="P655" s="284"/>
      <c r="Q655" s="284"/>
      <c r="R655" s="284"/>
      <c r="S655" s="284"/>
      <c r="T655" s="284"/>
      <c r="U655" s="284"/>
      <c r="V655" s="284"/>
      <c r="W655" s="284"/>
      <c r="X655" s="284"/>
      <c r="Y655" s="284"/>
      <c r="Z655" s="284"/>
      <c r="AA655" s="284"/>
    </row>
    <row r="656">
      <c r="A656" s="284"/>
      <c r="B656" s="284"/>
      <c r="C656" s="285"/>
      <c r="D656" s="285"/>
      <c r="E656" s="285"/>
      <c r="F656" s="285"/>
      <c r="G656" s="285"/>
      <c r="H656" s="285"/>
      <c r="I656" s="286"/>
      <c r="J656" s="286"/>
      <c r="K656" s="285"/>
      <c r="L656" s="284"/>
      <c r="M656" s="287"/>
      <c r="N656" s="284"/>
      <c r="O656" s="284"/>
      <c r="P656" s="284"/>
      <c r="Q656" s="284"/>
      <c r="R656" s="284"/>
      <c r="S656" s="284"/>
      <c r="T656" s="284"/>
      <c r="U656" s="284"/>
      <c r="V656" s="284"/>
      <c r="W656" s="284"/>
      <c r="X656" s="284"/>
      <c r="Y656" s="284"/>
      <c r="Z656" s="284"/>
      <c r="AA656" s="284"/>
    </row>
    <row r="657">
      <c r="A657" s="284"/>
      <c r="B657" s="284"/>
      <c r="C657" s="285"/>
      <c r="D657" s="285"/>
      <c r="E657" s="285"/>
      <c r="F657" s="285"/>
      <c r="G657" s="285"/>
      <c r="H657" s="285"/>
      <c r="I657" s="286"/>
      <c r="J657" s="286"/>
      <c r="K657" s="285"/>
      <c r="L657" s="284"/>
      <c r="M657" s="287"/>
      <c r="N657" s="284"/>
      <c r="O657" s="284"/>
      <c r="P657" s="284"/>
      <c r="Q657" s="284"/>
      <c r="R657" s="284"/>
      <c r="S657" s="284"/>
      <c r="T657" s="284"/>
      <c r="U657" s="284"/>
      <c r="V657" s="284"/>
      <c r="W657" s="284"/>
      <c r="X657" s="284"/>
      <c r="Y657" s="284"/>
      <c r="Z657" s="284"/>
      <c r="AA657" s="284"/>
    </row>
    <row r="658">
      <c r="A658" s="284"/>
      <c r="B658" s="284"/>
      <c r="C658" s="285"/>
      <c r="D658" s="285"/>
      <c r="E658" s="285"/>
      <c r="F658" s="285"/>
      <c r="G658" s="285"/>
      <c r="H658" s="285"/>
      <c r="I658" s="286"/>
      <c r="J658" s="286"/>
      <c r="K658" s="285"/>
      <c r="L658" s="284"/>
      <c r="M658" s="287"/>
      <c r="N658" s="284"/>
      <c r="O658" s="284"/>
      <c r="P658" s="284"/>
      <c r="Q658" s="284"/>
      <c r="R658" s="284"/>
      <c r="S658" s="284"/>
      <c r="T658" s="284"/>
      <c r="U658" s="284"/>
      <c r="V658" s="284"/>
      <c r="W658" s="284"/>
      <c r="X658" s="284"/>
      <c r="Y658" s="284"/>
      <c r="Z658" s="284"/>
      <c r="AA658" s="284"/>
    </row>
    <row r="659">
      <c r="A659" s="284"/>
      <c r="B659" s="284"/>
      <c r="C659" s="285"/>
      <c r="D659" s="285"/>
      <c r="E659" s="285"/>
      <c r="F659" s="285"/>
      <c r="G659" s="285"/>
      <c r="H659" s="285"/>
      <c r="I659" s="286"/>
      <c r="J659" s="286"/>
      <c r="K659" s="285"/>
      <c r="L659" s="284"/>
      <c r="M659" s="287"/>
      <c r="N659" s="284"/>
      <c r="O659" s="284"/>
      <c r="P659" s="284"/>
      <c r="Q659" s="284"/>
      <c r="R659" s="284"/>
      <c r="S659" s="284"/>
      <c r="T659" s="284"/>
      <c r="U659" s="284"/>
      <c r="V659" s="284"/>
      <c r="W659" s="284"/>
      <c r="X659" s="284"/>
      <c r="Y659" s="284"/>
      <c r="Z659" s="284"/>
      <c r="AA659" s="284"/>
    </row>
    <row r="660">
      <c r="A660" s="284"/>
      <c r="B660" s="284"/>
      <c r="C660" s="285"/>
      <c r="D660" s="285"/>
      <c r="E660" s="285"/>
      <c r="F660" s="285"/>
      <c r="G660" s="285"/>
      <c r="H660" s="285"/>
      <c r="I660" s="286"/>
      <c r="J660" s="286"/>
      <c r="K660" s="285"/>
      <c r="L660" s="284"/>
      <c r="M660" s="287"/>
      <c r="N660" s="284"/>
      <c r="O660" s="284"/>
      <c r="P660" s="284"/>
      <c r="Q660" s="284"/>
      <c r="R660" s="284"/>
      <c r="S660" s="284"/>
      <c r="T660" s="284"/>
      <c r="U660" s="284"/>
      <c r="V660" s="284"/>
      <c r="W660" s="284"/>
      <c r="X660" s="284"/>
      <c r="Y660" s="284"/>
      <c r="Z660" s="284"/>
      <c r="AA660" s="284"/>
    </row>
    <row r="661">
      <c r="A661" s="284"/>
      <c r="B661" s="284"/>
      <c r="C661" s="285"/>
      <c r="D661" s="285"/>
      <c r="E661" s="285"/>
      <c r="F661" s="285"/>
      <c r="G661" s="285"/>
      <c r="H661" s="285"/>
      <c r="I661" s="286"/>
      <c r="J661" s="286"/>
      <c r="K661" s="285"/>
      <c r="L661" s="284"/>
      <c r="M661" s="287"/>
      <c r="N661" s="284"/>
      <c r="O661" s="284"/>
      <c r="P661" s="284"/>
      <c r="Q661" s="284"/>
      <c r="R661" s="284"/>
      <c r="S661" s="284"/>
      <c r="T661" s="284"/>
      <c r="U661" s="284"/>
      <c r="V661" s="284"/>
      <c r="W661" s="284"/>
      <c r="X661" s="284"/>
      <c r="Y661" s="284"/>
      <c r="Z661" s="284"/>
      <c r="AA661" s="284"/>
    </row>
    <row r="662">
      <c r="A662" s="284"/>
      <c r="B662" s="284"/>
      <c r="C662" s="285"/>
      <c r="D662" s="285"/>
      <c r="E662" s="285"/>
      <c r="F662" s="285"/>
      <c r="G662" s="285"/>
      <c r="H662" s="285"/>
      <c r="I662" s="286"/>
      <c r="J662" s="286"/>
      <c r="K662" s="285"/>
      <c r="L662" s="284"/>
      <c r="M662" s="287"/>
      <c r="N662" s="284"/>
      <c r="O662" s="284"/>
      <c r="P662" s="284"/>
      <c r="Q662" s="284"/>
      <c r="R662" s="284"/>
      <c r="S662" s="284"/>
      <c r="T662" s="284"/>
      <c r="U662" s="284"/>
      <c r="V662" s="284"/>
      <c r="W662" s="284"/>
      <c r="X662" s="284"/>
      <c r="Y662" s="284"/>
      <c r="Z662" s="284"/>
      <c r="AA662" s="284"/>
    </row>
    <row r="663">
      <c r="A663" s="284"/>
      <c r="B663" s="284"/>
      <c r="C663" s="285"/>
      <c r="D663" s="285"/>
      <c r="E663" s="285"/>
      <c r="F663" s="285"/>
      <c r="G663" s="285"/>
      <c r="H663" s="285"/>
      <c r="I663" s="286"/>
      <c r="J663" s="286"/>
      <c r="K663" s="285"/>
      <c r="L663" s="284"/>
      <c r="M663" s="287"/>
      <c r="N663" s="284"/>
      <c r="O663" s="284"/>
      <c r="P663" s="284"/>
      <c r="Q663" s="284"/>
      <c r="R663" s="284"/>
      <c r="S663" s="284"/>
      <c r="T663" s="284"/>
      <c r="U663" s="284"/>
      <c r="V663" s="284"/>
      <c r="W663" s="284"/>
      <c r="X663" s="284"/>
      <c r="Y663" s="284"/>
      <c r="Z663" s="284"/>
      <c r="AA663" s="284"/>
    </row>
    <row r="664">
      <c r="A664" s="284"/>
      <c r="B664" s="284"/>
      <c r="C664" s="285"/>
      <c r="D664" s="285"/>
      <c r="E664" s="285"/>
      <c r="F664" s="285"/>
      <c r="G664" s="285"/>
      <c r="H664" s="285"/>
      <c r="I664" s="286"/>
      <c r="J664" s="286"/>
      <c r="K664" s="285"/>
      <c r="L664" s="284"/>
      <c r="M664" s="287"/>
      <c r="N664" s="284"/>
      <c r="O664" s="284"/>
      <c r="P664" s="284"/>
      <c r="Q664" s="284"/>
      <c r="R664" s="284"/>
      <c r="S664" s="284"/>
      <c r="T664" s="284"/>
      <c r="U664" s="284"/>
      <c r="V664" s="284"/>
      <c r="W664" s="284"/>
      <c r="X664" s="284"/>
      <c r="Y664" s="284"/>
      <c r="Z664" s="284"/>
      <c r="AA664" s="284"/>
    </row>
    <row r="665">
      <c r="A665" s="284"/>
      <c r="B665" s="284"/>
      <c r="C665" s="285"/>
      <c r="D665" s="285"/>
      <c r="E665" s="285"/>
      <c r="F665" s="285"/>
      <c r="G665" s="285"/>
      <c r="H665" s="285"/>
      <c r="I665" s="286"/>
      <c r="J665" s="286"/>
      <c r="K665" s="285"/>
      <c r="L665" s="284"/>
      <c r="M665" s="287"/>
      <c r="N665" s="284"/>
      <c r="O665" s="284"/>
      <c r="P665" s="284"/>
      <c r="Q665" s="284"/>
      <c r="R665" s="284"/>
      <c r="S665" s="284"/>
      <c r="T665" s="284"/>
      <c r="U665" s="284"/>
      <c r="V665" s="284"/>
      <c r="W665" s="284"/>
      <c r="X665" s="284"/>
      <c r="Y665" s="284"/>
      <c r="Z665" s="284"/>
      <c r="AA665" s="284"/>
    </row>
    <row r="666">
      <c r="A666" s="284"/>
      <c r="B666" s="284"/>
      <c r="C666" s="285"/>
      <c r="D666" s="285"/>
      <c r="E666" s="285"/>
      <c r="F666" s="285"/>
      <c r="G666" s="285"/>
      <c r="H666" s="285"/>
      <c r="I666" s="286"/>
      <c r="J666" s="286"/>
      <c r="K666" s="285"/>
      <c r="L666" s="284"/>
      <c r="M666" s="287"/>
      <c r="N666" s="284"/>
      <c r="O666" s="284"/>
      <c r="P666" s="284"/>
      <c r="Q666" s="284"/>
      <c r="R666" s="284"/>
      <c r="S666" s="284"/>
      <c r="T666" s="284"/>
      <c r="U666" s="284"/>
      <c r="V666" s="284"/>
      <c r="W666" s="284"/>
      <c r="X666" s="284"/>
      <c r="Y666" s="284"/>
      <c r="Z666" s="284"/>
      <c r="AA666" s="284"/>
    </row>
    <row r="667">
      <c r="A667" s="284"/>
      <c r="B667" s="284"/>
      <c r="C667" s="285"/>
      <c r="D667" s="285"/>
      <c r="E667" s="285"/>
      <c r="F667" s="285"/>
      <c r="G667" s="285"/>
      <c r="H667" s="285"/>
      <c r="I667" s="286"/>
      <c r="J667" s="286"/>
      <c r="K667" s="285"/>
      <c r="L667" s="284"/>
      <c r="M667" s="287"/>
      <c r="N667" s="284"/>
      <c r="O667" s="284"/>
      <c r="P667" s="284"/>
      <c r="Q667" s="284"/>
      <c r="R667" s="284"/>
      <c r="S667" s="284"/>
      <c r="T667" s="284"/>
      <c r="U667" s="284"/>
      <c r="V667" s="284"/>
      <c r="W667" s="284"/>
      <c r="X667" s="284"/>
      <c r="Y667" s="284"/>
      <c r="Z667" s="284"/>
      <c r="AA667" s="284"/>
    </row>
    <row r="668">
      <c r="A668" s="284"/>
      <c r="B668" s="284"/>
      <c r="C668" s="285"/>
      <c r="D668" s="285"/>
      <c r="E668" s="285"/>
      <c r="F668" s="285"/>
      <c r="G668" s="285"/>
      <c r="H668" s="285"/>
      <c r="I668" s="286"/>
      <c r="J668" s="286"/>
      <c r="K668" s="285"/>
      <c r="L668" s="284"/>
      <c r="M668" s="287"/>
      <c r="N668" s="284"/>
      <c r="O668" s="284"/>
      <c r="P668" s="284"/>
      <c r="Q668" s="284"/>
      <c r="R668" s="284"/>
      <c r="S668" s="284"/>
      <c r="T668" s="284"/>
      <c r="U668" s="284"/>
      <c r="V668" s="284"/>
      <c r="W668" s="284"/>
      <c r="X668" s="284"/>
      <c r="Y668" s="284"/>
      <c r="Z668" s="284"/>
      <c r="AA668" s="284"/>
    </row>
    <row r="669">
      <c r="A669" s="284"/>
      <c r="B669" s="284"/>
      <c r="C669" s="285"/>
      <c r="D669" s="285"/>
      <c r="E669" s="285"/>
      <c r="F669" s="285"/>
      <c r="G669" s="285"/>
      <c r="H669" s="285"/>
      <c r="I669" s="286"/>
      <c r="J669" s="286"/>
      <c r="K669" s="285"/>
      <c r="L669" s="284"/>
      <c r="M669" s="287"/>
      <c r="N669" s="284"/>
      <c r="O669" s="284"/>
      <c r="P669" s="284"/>
      <c r="Q669" s="284"/>
      <c r="R669" s="284"/>
      <c r="S669" s="284"/>
      <c r="T669" s="284"/>
      <c r="U669" s="284"/>
      <c r="V669" s="284"/>
      <c r="W669" s="284"/>
      <c r="X669" s="284"/>
      <c r="Y669" s="284"/>
      <c r="Z669" s="284"/>
      <c r="AA669" s="284"/>
    </row>
    <row r="670">
      <c r="A670" s="284"/>
      <c r="B670" s="284"/>
      <c r="C670" s="285"/>
      <c r="D670" s="285"/>
      <c r="E670" s="285"/>
      <c r="F670" s="285"/>
      <c r="G670" s="285"/>
      <c r="H670" s="285"/>
      <c r="I670" s="286"/>
      <c r="J670" s="286"/>
      <c r="K670" s="285"/>
      <c r="L670" s="284"/>
      <c r="M670" s="287"/>
      <c r="N670" s="284"/>
      <c r="O670" s="284"/>
      <c r="P670" s="284"/>
      <c r="Q670" s="284"/>
      <c r="R670" s="284"/>
      <c r="S670" s="284"/>
      <c r="T670" s="284"/>
      <c r="U670" s="284"/>
      <c r="V670" s="284"/>
      <c r="W670" s="284"/>
      <c r="X670" s="284"/>
      <c r="Y670" s="284"/>
      <c r="Z670" s="284"/>
      <c r="AA670" s="284"/>
    </row>
    <row r="671">
      <c r="A671" s="284"/>
      <c r="B671" s="284"/>
      <c r="C671" s="285"/>
      <c r="D671" s="285"/>
      <c r="E671" s="285"/>
      <c r="F671" s="285"/>
      <c r="G671" s="285"/>
      <c r="H671" s="285"/>
      <c r="I671" s="286"/>
      <c r="J671" s="286"/>
      <c r="K671" s="285"/>
      <c r="L671" s="284"/>
      <c r="M671" s="287"/>
      <c r="N671" s="284"/>
      <c r="O671" s="284"/>
      <c r="P671" s="284"/>
      <c r="Q671" s="284"/>
      <c r="R671" s="284"/>
      <c r="S671" s="284"/>
      <c r="T671" s="284"/>
      <c r="U671" s="284"/>
      <c r="V671" s="284"/>
      <c r="W671" s="284"/>
      <c r="X671" s="284"/>
      <c r="Y671" s="284"/>
      <c r="Z671" s="284"/>
      <c r="AA671" s="284"/>
    </row>
    <row r="672">
      <c r="A672" s="284"/>
      <c r="B672" s="284"/>
      <c r="C672" s="285"/>
      <c r="D672" s="285"/>
      <c r="E672" s="285"/>
      <c r="F672" s="285"/>
      <c r="G672" s="285"/>
      <c r="H672" s="285"/>
      <c r="I672" s="286"/>
      <c r="J672" s="286"/>
      <c r="K672" s="285"/>
      <c r="L672" s="284"/>
      <c r="M672" s="287"/>
      <c r="N672" s="284"/>
      <c r="O672" s="284"/>
      <c r="P672" s="284"/>
      <c r="Q672" s="284"/>
      <c r="R672" s="284"/>
      <c r="S672" s="284"/>
      <c r="T672" s="284"/>
      <c r="U672" s="284"/>
      <c r="V672" s="284"/>
      <c r="W672" s="284"/>
      <c r="X672" s="284"/>
      <c r="Y672" s="284"/>
      <c r="Z672" s="284"/>
      <c r="AA672" s="284"/>
    </row>
    <row r="673">
      <c r="A673" s="284"/>
      <c r="B673" s="284"/>
      <c r="C673" s="285"/>
      <c r="D673" s="285"/>
      <c r="E673" s="285"/>
      <c r="F673" s="285"/>
      <c r="G673" s="285"/>
      <c r="H673" s="285"/>
      <c r="I673" s="286"/>
      <c r="J673" s="286"/>
      <c r="K673" s="285"/>
      <c r="L673" s="284"/>
      <c r="M673" s="287"/>
      <c r="N673" s="284"/>
      <c r="O673" s="284"/>
      <c r="P673" s="284"/>
      <c r="Q673" s="284"/>
      <c r="R673" s="284"/>
      <c r="S673" s="284"/>
      <c r="T673" s="284"/>
      <c r="U673" s="284"/>
      <c r="V673" s="284"/>
      <c r="W673" s="284"/>
      <c r="X673" s="284"/>
      <c r="Y673" s="284"/>
      <c r="Z673" s="284"/>
      <c r="AA673" s="284"/>
    </row>
    <row r="674">
      <c r="A674" s="284"/>
      <c r="B674" s="284"/>
      <c r="C674" s="285"/>
      <c r="D674" s="285"/>
      <c r="E674" s="285"/>
      <c r="F674" s="285"/>
      <c r="G674" s="285"/>
      <c r="H674" s="285"/>
      <c r="I674" s="286"/>
      <c r="J674" s="286"/>
      <c r="K674" s="285"/>
      <c r="L674" s="284"/>
      <c r="M674" s="287"/>
      <c r="N674" s="284"/>
      <c r="O674" s="284"/>
      <c r="P674" s="284"/>
      <c r="Q674" s="284"/>
      <c r="R674" s="284"/>
      <c r="S674" s="284"/>
      <c r="T674" s="284"/>
      <c r="U674" s="284"/>
      <c r="V674" s="284"/>
      <c r="W674" s="284"/>
      <c r="X674" s="284"/>
      <c r="Y674" s="284"/>
      <c r="Z674" s="284"/>
      <c r="AA674" s="284"/>
    </row>
    <row r="675">
      <c r="A675" s="284"/>
      <c r="B675" s="284"/>
      <c r="C675" s="285"/>
      <c r="D675" s="285"/>
      <c r="E675" s="285"/>
      <c r="F675" s="285"/>
      <c r="G675" s="285"/>
      <c r="H675" s="285"/>
      <c r="I675" s="286"/>
      <c r="J675" s="286"/>
      <c r="K675" s="285"/>
      <c r="L675" s="284"/>
      <c r="M675" s="287"/>
      <c r="N675" s="284"/>
      <c r="O675" s="284"/>
      <c r="P675" s="284"/>
      <c r="Q675" s="284"/>
      <c r="R675" s="284"/>
      <c r="S675" s="284"/>
      <c r="T675" s="284"/>
      <c r="U675" s="284"/>
      <c r="V675" s="284"/>
      <c r="W675" s="284"/>
      <c r="X675" s="284"/>
      <c r="Y675" s="284"/>
      <c r="Z675" s="284"/>
      <c r="AA675" s="284"/>
    </row>
    <row r="676">
      <c r="A676" s="284"/>
      <c r="B676" s="284"/>
      <c r="C676" s="285"/>
      <c r="D676" s="285"/>
      <c r="E676" s="285"/>
      <c r="F676" s="285"/>
      <c r="G676" s="285"/>
      <c r="H676" s="285"/>
      <c r="I676" s="286"/>
      <c r="J676" s="286"/>
      <c r="K676" s="285"/>
      <c r="L676" s="284"/>
      <c r="M676" s="287"/>
      <c r="N676" s="284"/>
      <c r="O676" s="284"/>
      <c r="P676" s="284"/>
      <c r="Q676" s="284"/>
      <c r="R676" s="284"/>
      <c r="S676" s="284"/>
      <c r="T676" s="284"/>
      <c r="U676" s="284"/>
      <c r="V676" s="284"/>
      <c r="W676" s="284"/>
      <c r="X676" s="284"/>
      <c r="Y676" s="284"/>
      <c r="Z676" s="284"/>
      <c r="AA676" s="284"/>
    </row>
    <row r="677">
      <c r="A677" s="284"/>
      <c r="B677" s="284"/>
      <c r="C677" s="285"/>
      <c r="D677" s="285"/>
      <c r="E677" s="285"/>
      <c r="F677" s="285"/>
      <c r="G677" s="285"/>
      <c r="H677" s="285"/>
      <c r="I677" s="286"/>
      <c r="J677" s="286"/>
      <c r="K677" s="285"/>
      <c r="L677" s="284"/>
      <c r="M677" s="287"/>
      <c r="N677" s="284"/>
      <c r="O677" s="284"/>
      <c r="P677" s="284"/>
      <c r="Q677" s="284"/>
      <c r="R677" s="284"/>
      <c r="S677" s="284"/>
      <c r="T677" s="284"/>
      <c r="U677" s="284"/>
      <c r="V677" s="284"/>
      <c r="W677" s="284"/>
      <c r="X677" s="284"/>
      <c r="Y677" s="284"/>
      <c r="Z677" s="284"/>
      <c r="AA677" s="284"/>
    </row>
    <row r="678">
      <c r="A678" s="284"/>
      <c r="B678" s="284"/>
      <c r="C678" s="285"/>
      <c r="D678" s="285"/>
      <c r="E678" s="285"/>
      <c r="F678" s="285"/>
      <c r="G678" s="285"/>
      <c r="H678" s="285"/>
      <c r="I678" s="286"/>
      <c r="J678" s="286"/>
      <c r="K678" s="285"/>
      <c r="L678" s="284"/>
      <c r="M678" s="287"/>
      <c r="N678" s="284"/>
      <c r="O678" s="284"/>
      <c r="P678" s="284"/>
      <c r="Q678" s="284"/>
      <c r="R678" s="284"/>
      <c r="S678" s="284"/>
      <c r="T678" s="284"/>
      <c r="U678" s="284"/>
      <c r="V678" s="284"/>
      <c r="W678" s="284"/>
      <c r="X678" s="284"/>
      <c r="Y678" s="284"/>
      <c r="Z678" s="284"/>
      <c r="AA678" s="284"/>
    </row>
    <row r="679">
      <c r="A679" s="284"/>
      <c r="B679" s="284"/>
      <c r="C679" s="285"/>
      <c r="D679" s="285"/>
      <c r="E679" s="285"/>
      <c r="F679" s="285"/>
      <c r="G679" s="285"/>
      <c r="H679" s="285"/>
      <c r="I679" s="286"/>
      <c r="J679" s="286"/>
      <c r="K679" s="285"/>
      <c r="L679" s="284"/>
      <c r="M679" s="287"/>
      <c r="N679" s="284"/>
      <c r="O679" s="284"/>
      <c r="P679" s="284"/>
      <c r="Q679" s="284"/>
      <c r="R679" s="284"/>
      <c r="S679" s="284"/>
      <c r="T679" s="284"/>
      <c r="U679" s="284"/>
      <c r="V679" s="284"/>
      <c r="W679" s="284"/>
      <c r="X679" s="284"/>
      <c r="Y679" s="284"/>
      <c r="Z679" s="284"/>
      <c r="AA679" s="284"/>
    </row>
    <row r="680">
      <c r="A680" s="284"/>
      <c r="B680" s="284"/>
      <c r="C680" s="285"/>
      <c r="D680" s="285"/>
      <c r="E680" s="285"/>
      <c r="F680" s="285"/>
      <c r="G680" s="285"/>
      <c r="H680" s="285"/>
      <c r="I680" s="286"/>
      <c r="J680" s="286"/>
      <c r="K680" s="285"/>
      <c r="L680" s="284"/>
      <c r="M680" s="287"/>
      <c r="N680" s="284"/>
      <c r="O680" s="284"/>
      <c r="P680" s="284"/>
      <c r="Q680" s="284"/>
      <c r="R680" s="284"/>
      <c r="S680" s="284"/>
      <c r="T680" s="284"/>
      <c r="U680" s="284"/>
      <c r="V680" s="284"/>
      <c r="W680" s="284"/>
      <c r="X680" s="284"/>
      <c r="Y680" s="284"/>
      <c r="Z680" s="284"/>
      <c r="AA680" s="284"/>
    </row>
    <row r="681">
      <c r="A681" s="284"/>
      <c r="B681" s="284"/>
      <c r="C681" s="285"/>
      <c r="D681" s="285"/>
      <c r="E681" s="285"/>
      <c r="F681" s="285"/>
      <c r="G681" s="285"/>
      <c r="H681" s="285"/>
      <c r="I681" s="286"/>
      <c r="J681" s="286"/>
      <c r="K681" s="285"/>
      <c r="L681" s="284"/>
      <c r="M681" s="287"/>
      <c r="N681" s="284"/>
      <c r="O681" s="284"/>
      <c r="P681" s="284"/>
      <c r="Q681" s="284"/>
      <c r="R681" s="284"/>
      <c r="S681" s="284"/>
      <c r="T681" s="284"/>
      <c r="U681" s="284"/>
      <c r="V681" s="284"/>
      <c r="W681" s="284"/>
      <c r="X681" s="284"/>
      <c r="Y681" s="284"/>
      <c r="Z681" s="284"/>
      <c r="AA681" s="284"/>
    </row>
    <row r="682">
      <c r="A682" s="284"/>
      <c r="B682" s="284"/>
      <c r="C682" s="285"/>
      <c r="D682" s="285"/>
      <c r="E682" s="285"/>
      <c r="F682" s="285"/>
      <c r="G682" s="285"/>
      <c r="H682" s="285"/>
      <c r="I682" s="286"/>
      <c r="J682" s="286"/>
      <c r="K682" s="285"/>
      <c r="L682" s="284"/>
      <c r="M682" s="287"/>
      <c r="N682" s="284"/>
      <c r="O682" s="284"/>
      <c r="P682" s="284"/>
      <c r="Q682" s="284"/>
      <c r="R682" s="284"/>
      <c r="S682" s="284"/>
      <c r="T682" s="284"/>
      <c r="U682" s="284"/>
      <c r="V682" s="284"/>
      <c r="W682" s="284"/>
      <c r="X682" s="284"/>
      <c r="Y682" s="284"/>
      <c r="Z682" s="284"/>
      <c r="AA682" s="284"/>
    </row>
    <row r="683">
      <c r="A683" s="284"/>
      <c r="B683" s="284"/>
      <c r="C683" s="285"/>
      <c r="D683" s="285"/>
      <c r="E683" s="285"/>
      <c r="F683" s="285"/>
      <c r="G683" s="285"/>
      <c r="H683" s="285"/>
      <c r="I683" s="286"/>
      <c r="J683" s="286"/>
      <c r="K683" s="285"/>
      <c r="L683" s="284"/>
      <c r="M683" s="287"/>
      <c r="N683" s="284"/>
      <c r="O683" s="284"/>
      <c r="P683" s="284"/>
      <c r="Q683" s="284"/>
      <c r="R683" s="284"/>
      <c r="S683" s="284"/>
      <c r="T683" s="284"/>
      <c r="U683" s="284"/>
      <c r="V683" s="284"/>
      <c r="W683" s="284"/>
      <c r="X683" s="284"/>
      <c r="Y683" s="284"/>
      <c r="Z683" s="284"/>
      <c r="AA683" s="284"/>
    </row>
    <row r="684">
      <c r="A684" s="284"/>
      <c r="B684" s="284"/>
      <c r="C684" s="285"/>
      <c r="D684" s="285"/>
      <c r="E684" s="285"/>
      <c r="F684" s="285"/>
      <c r="G684" s="285"/>
      <c r="H684" s="285"/>
      <c r="I684" s="286"/>
      <c r="J684" s="286"/>
      <c r="K684" s="285"/>
      <c r="L684" s="284"/>
      <c r="M684" s="287"/>
      <c r="N684" s="284"/>
      <c r="O684" s="284"/>
      <c r="P684" s="284"/>
      <c r="Q684" s="284"/>
      <c r="R684" s="284"/>
      <c r="S684" s="284"/>
      <c r="T684" s="284"/>
      <c r="U684" s="284"/>
      <c r="V684" s="284"/>
      <c r="W684" s="284"/>
      <c r="X684" s="284"/>
      <c r="Y684" s="284"/>
      <c r="Z684" s="284"/>
      <c r="AA684" s="284"/>
    </row>
    <row r="685">
      <c r="A685" s="284"/>
      <c r="B685" s="284"/>
      <c r="C685" s="285"/>
      <c r="D685" s="285"/>
      <c r="E685" s="285"/>
      <c r="F685" s="285"/>
      <c r="G685" s="285"/>
      <c r="H685" s="285"/>
      <c r="I685" s="286"/>
      <c r="J685" s="286"/>
      <c r="K685" s="285"/>
      <c r="L685" s="284"/>
      <c r="M685" s="287"/>
      <c r="N685" s="284"/>
      <c r="O685" s="284"/>
      <c r="P685" s="284"/>
      <c r="Q685" s="284"/>
      <c r="R685" s="284"/>
      <c r="S685" s="284"/>
      <c r="T685" s="284"/>
      <c r="U685" s="284"/>
      <c r="V685" s="284"/>
      <c r="W685" s="284"/>
      <c r="X685" s="284"/>
      <c r="Y685" s="284"/>
      <c r="Z685" s="284"/>
      <c r="AA685" s="284"/>
    </row>
    <row r="686">
      <c r="A686" s="284"/>
      <c r="B686" s="284"/>
      <c r="C686" s="285"/>
      <c r="D686" s="285"/>
      <c r="E686" s="285"/>
      <c r="F686" s="285"/>
      <c r="G686" s="285"/>
      <c r="H686" s="285"/>
      <c r="I686" s="286"/>
      <c r="J686" s="286"/>
      <c r="K686" s="285"/>
      <c r="L686" s="284"/>
      <c r="M686" s="287"/>
      <c r="N686" s="284"/>
      <c r="O686" s="284"/>
      <c r="P686" s="284"/>
      <c r="Q686" s="284"/>
      <c r="R686" s="284"/>
      <c r="S686" s="284"/>
      <c r="T686" s="284"/>
      <c r="U686" s="284"/>
      <c r="V686" s="284"/>
      <c r="W686" s="284"/>
      <c r="X686" s="284"/>
      <c r="Y686" s="284"/>
      <c r="Z686" s="284"/>
      <c r="AA686" s="284"/>
    </row>
    <row r="687">
      <c r="A687" s="284"/>
      <c r="B687" s="284"/>
      <c r="C687" s="285"/>
      <c r="D687" s="285"/>
      <c r="E687" s="285"/>
      <c r="F687" s="285"/>
      <c r="G687" s="285"/>
      <c r="H687" s="285"/>
      <c r="I687" s="286"/>
      <c r="J687" s="286"/>
      <c r="K687" s="285"/>
      <c r="L687" s="284"/>
      <c r="M687" s="287"/>
      <c r="N687" s="284"/>
      <c r="O687" s="284"/>
      <c r="P687" s="284"/>
      <c r="Q687" s="284"/>
      <c r="R687" s="284"/>
      <c r="S687" s="284"/>
      <c r="T687" s="284"/>
      <c r="U687" s="284"/>
      <c r="V687" s="284"/>
      <c r="W687" s="284"/>
      <c r="X687" s="284"/>
      <c r="Y687" s="284"/>
      <c r="Z687" s="284"/>
      <c r="AA687" s="284"/>
    </row>
    <row r="688">
      <c r="A688" s="284"/>
      <c r="B688" s="284"/>
      <c r="C688" s="285"/>
      <c r="D688" s="285"/>
      <c r="E688" s="285"/>
      <c r="F688" s="285"/>
      <c r="G688" s="285"/>
      <c r="H688" s="285"/>
      <c r="I688" s="286"/>
      <c r="J688" s="286"/>
      <c r="K688" s="285"/>
      <c r="L688" s="284"/>
      <c r="M688" s="287"/>
      <c r="N688" s="284"/>
      <c r="O688" s="284"/>
      <c r="P688" s="284"/>
      <c r="Q688" s="284"/>
      <c r="R688" s="284"/>
      <c r="S688" s="284"/>
      <c r="T688" s="284"/>
      <c r="U688" s="284"/>
      <c r="V688" s="284"/>
      <c r="W688" s="284"/>
      <c r="X688" s="284"/>
      <c r="Y688" s="284"/>
      <c r="Z688" s="284"/>
      <c r="AA688" s="284"/>
    </row>
    <row r="689">
      <c r="A689" s="284"/>
      <c r="B689" s="284"/>
      <c r="C689" s="285"/>
      <c r="D689" s="285"/>
      <c r="E689" s="285"/>
      <c r="F689" s="285"/>
      <c r="G689" s="285"/>
      <c r="H689" s="285"/>
      <c r="I689" s="286"/>
      <c r="J689" s="286"/>
      <c r="K689" s="285"/>
      <c r="L689" s="284"/>
      <c r="M689" s="287"/>
      <c r="N689" s="284"/>
      <c r="O689" s="284"/>
      <c r="P689" s="284"/>
      <c r="Q689" s="284"/>
      <c r="R689" s="284"/>
      <c r="S689" s="284"/>
      <c r="T689" s="284"/>
      <c r="U689" s="284"/>
      <c r="V689" s="284"/>
      <c r="W689" s="284"/>
      <c r="X689" s="284"/>
      <c r="Y689" s="284"/>
      <c r="Z689" s="284"/>
      <c r="AA689" s="284"/>
    </row>
    <row r="690">
      <c r="A690" s="284"/>
      <c r="B690" s="284"/>
      <c r="C690" s="285"/>
      <c r="D690" s="285"/>
      <c r="E690" s="285"/>
      <c r="F690" s="285"/>
      <c r="G690" s="285"/>
      <c r="H690" s="285"/>
      <c r="I690" s="286"/>
      <c r="J690" s="286"/>
      <c r="K690" s="285"/>
      <c r="L690" s="284"/>
      <c r="M690" s="287"/>
      <c r="N690" s="284"/>
      <c r="O690" s="284"/>
      <c r="P690" s="284"/>
      <c r="Q690" s="284"/>
      <c r="R690" s="284"/>
      <c r="S690" s="284"/>
      <c r="T690" s="284"/>
      <c r="U690" s="284"/>
      <c r="V690" s="284"/>
      <c r="W690" s="284"/>
      <c r="X690" s="284"/>
      <c r="Y690" s="284"/>
      <c r="Z690" s="284"/>
      <c r="AA690" s="284"/>
    </row>
    <row r="691">
      <c r="A691" s="284"/>
      <c r="B691" s="284"/>
      <c r="C691" s="285"/>
      <c r="D691" s="285"/>
      <c r="E691" s="285"/>
      <c r="F691" s="285"/>
      <c r="G691" s="285"/>
      <c r="H691" s="285"/>
      <c r="I691" s="286"/>
      <c r="J691" s="286"/>
      <c r="K691" s="285"/>
      <c r="L691" s="284"/>
      <c r="M691" s="287"/>
      <c r="N691" s="284"/>
      <c r="O691" s="284"/>
      <c r="P691" s="284"/>
      <c r="Q691" s="284"/>
      <c r="R691" s="284"/>
      <c r="S691" s="284"/>
      <c r="T691" s="284"/>
      <c r="U691" s="284"/>
      <c r="V691" s="284"/>
      <c r="W691" s="284"/>
      <c r="X691" s="284"/>
      <c r="Y691" s="284"/>
      <c r="Z691" s="284"/>
      <c r="AA691" s="284"/>
    </row>
    <row r="692">
      <c r="A692" s="284"/>
      <c r="B692" s="284"/>
      <c r="C692" s="285"/>
      <c r="D692" s="285"/>
      <c r="E692" s="285"/>
      <c r="F692" s="285"/>
      <c r="G692" s="285"/>
      <c r="H692" s="285"/>
      <c r="I692" s="286"/>
      <c r="J692" s="286"/>
      <c r="K692" s="285"/>
      <c r="L692" s="284"/>
      <c r="M692" s="287"/>
      <c r="N692" s="284"/>
      <c r="O692" s="284"/>
      <c r="P692" s="284"/>
      <c r="Q692" s="284"/>
      <c r="R692" s="284"/>
      <c r="S692" s="284"/>
      <c r="T692" s="284"/>
      <c r="U692" s="284"/>
      <c r="V692" s="284"/>
      <c r="W692" s="284"/>
      <c r="X692" s="284"/>
      <c r="Y692" s="284"/>
      <c r="Z692" s="284"/>
      <c r="AA692" s="284"/>
    </row>
    <row r="693">
      <c r="A693" s="284"/>
      <c r="B693" s="284"/>
      <c r="C693" s="285"/>
      <c r="D693" s="285"/>
      <c r="E693" s="285"/>
      <c r="F693" s="285"/>
      <c r="G693" s="285"/>
      <c r="H693" s="285"/>
      <c r="I693" s="286"/>
      <c r="J693" s="286"/>
      <c r="K693" s="285"/>
      <c r="L693" s="284"/>
      <c r="M693" s="287"/>
      <c r="N693" s="284"/>
      <c r="O693" s="284"/>
      <c r="P693" s="284"/>
      <c r="Q693" s="284"/>
      <c r="R693" s="284"/>
      <c r="S693" s="284"/>
      <c r="T693" s="284"/>
      <c r="U693" s="284"/>
      <c r="V693" s="284"/>
      <c r="W693" s="284"/>
      <c r="X693" s="284"/>
      <c r="Y693" s="284"/>
      <c r="Z693" s="284"/>
      <c r="AA693" s="284"/>
    </row>
    <row r="694">
      <c r="A694" s="284"/>
      <c r="B694" s="284"/>
      <c r="C694" s="285"/>
      <c r="D694" s="285"/>
      <c r="E694" s="285"/>
      <c r="F694" s="285"/>
      <c r="G694" s="285"/>
      <c r="H694" s="285"/>
      <c r="I694" s="286"/>
      <c r="J694" s="286"/>
      <c r="K694" s="285"/>
      <c r="L694" s="284"/>
      <c r="M694" s="287"/>
      <c r="N694" s="284"/>
      <c r="O694" s="284"/>
      <c r="P694" s="284"/>
      <c r="Q694" s="284"/>
      <c r="R694" s="284"/>
      <c r="S694" s="284"/>
      <c r="T694" s="284"/>
      <c r="U694" s="284"/>
      <c r="V694" s="284"/>
      <c r="W694" s="284"/>
      <c r="X694" s="284"/>
      <c r="Y694" s="284"/>
      <c r="Z694" s="284"/>
      <c r="AA694" s="284"/>
    </row>
    <row r="695">
      <c r="A695" s="284"/>
      <c r="B695" s="284"/>
      <c r="C695" s="285"/>
      <c r="D695" s="285"/>
      <c r="E695" s="285"/>
      <c r="F695" s="285"/>
      <c r="G695" s="285"/>
      <c r="H695" s="285"/>
      <c r="I695" s="286"/>
      <c r="J695" s="286"/>
      <c r="K695" s="285"/>
      <c r="L695" s="284"/>
      <c r="M695" s="287"/>
      <c r="N695" s="284"/>
      <c r="O695" s="284"/>
      <c r="P695" s="284"/>
      <c r="Q695" s="284"/>
      <c r="R695" s="284"/>
      <c r="S695" s="284"/>
      <c r="T695" s="284"/>
      <c r="U695" s="284"/>
      <c r="V695" s="284"/>
      <c r="W695" s="284"/>
      <c r="X695" s="284"/>
      <c r="Y695" s="284"/>
      <c r="Z695" s="284"/>
      <c r="AA695" s="284"/>
    </row>
    <row r="696">
      <c r="A696" s="284"/>
      <c r="B696" s="284"/>
      <c r="C696" s="285"/>
      <c r="D696" s="285"/>
      <c r="E696" s="285"/>
      <c r="F696" s="285"/>
      <c r="G696" s="285"/>
      <c r="H696" s="285"/>
      <c r="I696" s="286"/>
      <c r="J696" s="286"/>
      <c r="K696" s="285"/>
      <c r="L696" s="284"/>
      <c r="M696" s="287"/>
      <c r="N696" s="284"/>
      <c r="O696" s="284"/>
      <c r="P696" s="284"/>
      <c r="Q696" s="284"/>
      <c r="R696" s="284"/>
      <c r="S696" s="284"/>
      <c r="T696" s="284"/>
      <c r="U696" s="284"/>
      <c r="V696" s="284"/>
      <c r="W696" s="284"/>
      <c r="X696" s="284"/>
      <c r="Y696" s="284"/>
      <c r="Z696" s="284"/>
      <c r="AA696" s="284"/>
    </row>
    <row r="697">
      <c r="A697" s="284"/>
      <c r="B697" s="284"/>
      <c r="C697" s="285"/>
      <c r="D697" s="285"/>
      <c r="E697" s="285"/>
      <c r="F697" s="285"/>
      <c r="G697" s="285"/>
      <c r="H697" s="285"/>
      <c r="I697" s="286"/>
      <c r="J697" s="286"/>
      <c r="K697" s="285"/>
      <c r="L697" s="284"/>
      <c r="M697" s="287"/>
      <c r="N697" s="284"/>
      <c r="O697" s="284"/>
      <c r="P697" s="284"/>
      <c r="Q697" s="284"/>
      <c r="R697" s="284"/>
      <c r="S697" s="284"/>
      <c r="T697" s="284"/>
      <c r="U697" s="284"/>
      <c r="V697" s="284"/>
      <c r="W697" s="284"/>
      <c r="X697" s="284"/>
      <c r="Y697" s="284"/>
      <c r="Z697" s="284"/>
      <c r="AA697" s="284"/>
    </row>
    <row r="698">
      <c r="A698" s="284"/>
      <c r="B698" s="284"/>
      <c r="C698" s="285"/>
      <c r="D698" s="285"/>
      <c r="E698" s="285"/>
      <c r="F698" s="285"/>
      <c r="G698" s="285"/>
      <c r="H698" s="285"/>
      <c r="I698" s="286"/>
      <c r="J698" s="286"/>
      <c r="K698" s="285"/>
      <c r="L698" s="284"/>
      <c r="M698" s="287"/>
      <c r="N698" s="284"/>
      <c r="O698" s="284"/>
      <c r="P698" s="284"/>
      <c r="Q698" s="284"/>
      <c r="R698" s="284"/>
      <c r="S698" s="284"/>
      <c r="T698" s="284"/>
      <c r="U698" s="284"/>
      <c r="V698" s="284"/>
      <c r="W698" s="284"/>
      <c r="X698" s="284"/>
      <c r="Y698" s="284"/>
      <c r="Z698" s="284"/>
      <c r="AA698" s="284"/>
    </row>
    <row r="699">
      <c r="A699" s="284"/>
      <c r="B699" s="284"/>
      <c r="C699" s="285"/>
      <c r="D699" s="285"/>
      <c r="E699" s="285"/>
      <c r="F699" s="285"/>
      <c r="G699" s="285"/>
      <c r="H699" s="285"/>
      <c r="I699" s="286"/>
      <c r="J699" s="286"/>
      <c r="K699" s="285"/>
      <c r="L699" s="284"/>
      <c r="M699" s="287"/>
      <c r="N699" s="284"/>
      <c r="O699" s="284"/>
      <c r="P699" s="284"/>
      <c r="Q699" s="284"/>
      <c r="R699" s="284"/>
      <c r="S699" s="284"/>
      <c r="T699" s="284"/>
      <c r="U699" s="284"/>
      <c r="V699" s="284"/>
      <c r="W699" s="284"/>
      <c r="X699" s="284"/>
      <c r="Y699" s="284"/>
      <c r="Z699" s="284"/>
      <c r="AA699" s="284"/>
    </row>
    <row r="700">
      <c r="A700" s="284"/>
      <c r="B700" s="284"/>
      <c r="C700" s="285"/>
      <c r="D700" s="285"/>
      <c r="E700" s="285"/>
      <c r="F700" s="285"/>
      <c r="G700" s="285"/>
      <c r="H700" s="285"/>
      <c r="I700" s="286"/>
      <c r="J700" s="286"/>
      <c r="K700" s="285"/>
      <c r="L700" s="284"/>
      <c r="M700" s="287"/>
      <c r="N700" s="284"/>
      <c r="O700" s="284"/>
      <c r="P700" s="284"/>
      <c r="Q700" s="284"/>
      <c r="R700" s="284"/>
      <c r="S700" s="284"/>
      <c r="T700" s="284"/>
      <c r="U700" s="284"/>
      <c r="V700" s="284"/>
      <c r="W700" s="284"/>
      <c r="X700" s="284"/>
      <c r="Y700" s="284"/>
      <c r="Z700" s="284"/>
      <c r="AA700" s="284"/>
    </row>
    <row r="701">
      <c r="A701" s="284"/>
      <c r="B701" s="284"/>
      <c r="C701" s="285"/>
      <c r="D701" s="285"/>
      <c r="E701" s="285"/>
      <c r="F701" s="285"/>
      <c r="G701" s="285"/>
      <c r="H701" s="285"/>
      <c r="I701" s="286"/>
      <c r="J701" s="286"/>
      <c r="K701" s="285"/>
      <c r="L701" s="284"/>
      <c r="M701" s="287"/>
      <c r="N701" s="284"/>
      <c r="O701" s="284"/>
      <c r="P701" s="284"/>
      <c r="Q701" s="284"/>
      <c r="R701" s="284"/>
      <c r="S701" s="284"/>
      <c r="T701" s="284"/>
      <c r="U701" s="284"/>
      <c r="V701" s="284"/>
      <c r="W701" s="284"/>
      <c r="X701" s="284"/>
      <c r="Y701" s="284"/>
      <c r="Z701" s="284"/>
      <c r="AA701" s="284"/>
    </row>
    <row r="702">
      <c r="A702" s="284"/>
      <c r="B702" s="284"/>
      <c r="C702" s="285"/>
      <c r="D702" s="285"/>
      <c r="E702" s="285"/>
      <c r="F702" s="285"/>
      <c r="G702" s="285"/>
      <c r="H702" s="285"/>
      <c r="I702" s="286"/>
      <c r="J702" s="286"/>
      <c r="K702" s="285"/>
      <c r="L702" s="284"/>
      <c r="M702" s="287"/>
      <c r="N702" s="284"/>
      <c r="O702" s="284"/>
      <c r="P702" s="284"/>
      <c r="Q702" s="284"/>
      <c r="R702" s="284"/>
      <c r="S702" s="284"/>
      <c r="T702" s="284"/>
      <c r="U702" s="284"/>
      <c r="V702" s="284"/>
      <c r="W702" s="284"/>
      <c r="X702" s="284"/>
      <c r="Y702" s="284"/>
      <c r="Z702" s="284"/>
      <c r="AA702" s="284"/>
    </row>
    <row r="703">
      <c r="A703" s="284"/>
      <c r="B703" s="284"/>
      <c r="C703" s="285"/>
      <c r="D703" s="285"/>
      <c r="E703" s="285"/>
      <c r="F703" s="285"/>
      <c r="G703" s="285"/>
      <c r="H703" s="285"/>
      <c r="I703" s="286"/>
      <c r="J703" s="286"/>
      <c r="K703" s="285"/>
      <c r="L703" s="284"/>
      <c r="M703" s="287"/>
      <c r="N703" s="284"/>
      <c r="O703" s="284"/>
      <c r="P703" s="284"/>
      <c r="Q703" s="284"/>
      <c r="R703" s="284"/>
      <c r="S703" s="284"/>
      <c r="T703" s="284"/>
      <c r="U703" s="284"/>
      <c r="V703" s="284"/>
      <c r="W703" s="284"/>
      <c r="X703" s="284"/>
      <c r="Y703" s="284"/>
      <c r="Z703" s="284"/>
      <c r="AA703" s="284"/>
    </row>
    <row r="704">
      <c r="A704" s="284"/>
      <c r="B704" s="284"/>
      <c r="C704" s="285"/>
      <c r="D704" s="285"/>
      <c r="E704" s="285"/>
      <c r="F704" s="285"/>
      <c r="G704" s="285"/>
      <c r="H704" s="285"/>
      <c r="I704" s="286"/>
      <c r="J704" s="286"/>
      <c r="K704" s="285"/>
      <c r="L704" s="284"/>
      <c r="M704" s="287"/>
      <c r="N704" s="284"/>
      <c r="O704" s="284"/>
      <c r="P704" s="284"/>
      <c r="Q704" s="284"/>
      <c r="R704" s="284"/>
      <c r="S704" s="284"/>
      <c r="T704" s="284"/>
      <c r="U704" s="284"/>
      <c r="V704" s="284"/>
      <c r="W704" s="284"/>
      <c r="X704" s="284"/>
      <c r="Y704" s="284"/>
      <c r="Z704" s="284"/>
      <c r="AA704" s="284"/>
    </row>
    <row r="705">
      <c r="A705" s="284"/>
      <c r="B705" s="284"/>
      <c r="C705" s="285"/>
      <c r="D705" s="285"/>
      <c r="E705" s="285"/>
      <c r="F705" s="285"/>
      <c r="G705" s="285"/>
      <c r="H705" s="285"/>
      <c r="I705" s="286"/>
      <c r="J705" s="286"/>
      <c r="K705" s="285"/>
      <c r="L705" s="284"/>
      <c r="M705" s="287"/>
      <c r="N705" s="284"/>
      <c r="O705" s="284"/>
      <c r="P705" s="284"/>
      <c r="Q705" s="284"/>
      <c r="R705" s="284"/>
      <c r="S705" s="284"/>
      <c r="T705" s="284"/>
      <c r="U705" s="284"/>
      <c r="V705" s="284"/>
      <c r="W705" s="284"/>
      <c r="X705" s="284"/>
      <c r="Y705" s="284"/>
      <c r="Z705" s="284"/>
      <c r="AA705" s="284"/>
    </row>
    <row r="706">
      <c r="A706" s="284"/>
      <c r="B706" s="284"/>
      <c r="C706" s="285"/>
      <c r="D706" s="285"/>
      <c r="E706" s="285"/>
      <c r="F706" s="285"/>
      <c r="G706" s="285"/>
      <c r="H706" s="285"/>
      <c r="I706" s="286"/>
      <c r="J706" s="286"/>
      <c r="K706" s="285"/>
      <c r="L706" s="284"/>
      <c r="M706" s="287"/>
      <c r="N706" s="284"/>
      <c r="O706" s="284"/>
      <c r="P706" s="284"/>
      <c r="Q706" s="284"/>
      <c r="R706" s="284"/>
      <c r="S706" s="284"/>
      <c r="T706" s="284"/>
      <c r="U706" s="284"/>
      <c r="V706" s="284"/>
      <c r="W706" s="284"/>
      <c r="X706" s="284"/>
      <c r="Y706" s="284"/>
      <c r="Z706" s="284"/>
      <c r="AA706" s="284"/>
    </row>
    <row r="707">
      <c r="A707" s="284"/>
      <c r="B707" s="284"/>
      <c r="C707" s="285"/>
      <c r="D707" s="285"/>
      <c r="E707" s="285"/>
      <c r="F707" s="285"/>
      <c r="G707" s="285"/>
      <c r="H707" s="285"/>
      <c r="I707" s="286"/>
      <c r="J707" s="286"/>
      <c r="K707" s="285"/>
      <c r="L707" s="284"/>
      <c r="M707" s="287"/>
      <c r="N707" s="284"/>
      <c r="O707" s="284"/>
      <c r="P707" s="284"/>
      <c r="Q707" s="284"/>
      <c r="R707" s="284"/>
      <c r="S707" s="284"/>
      <c r="T707" s="284"/>
      <c r="U707" s="284"/>
      <c r="V707" s="284"/>
      <c r="W707" s="284"/>
      <c r="X707" s="284"/>
      <c r="Y707" s="284"/>
      <c r="Z707" s="284"/>
      <c r="AA707" s="284"/>
    </row>
    <row r="708">
      <c r="A708" s="284"/>
      <c r="B708" s="284"/>
      <c r="C708" s="285"/>
      <c r="D708" s="285"/>
      <c r="E708" s="285"/>
      <c r="F708" s="285"/>
      <c r="G708" s="285"/>
      <c r="H708" s="285"/>
      <c r="I708" s="286"/>
      <c r="J708" s="286"/>
      <c r="K708" s="285"/>
      <c r="L708" s="284"/>
      <c r="M708" s="287"/>
      <c r="N708" s="284"/>
      <c r="O708" s="284"/>
      <c r="P708" s="284"/>
      <c r="Q708" s="284"/>
      <c r="R708" s="284"/>
      <c r="S708" s="284"/>
      <c r="T708" s="284"/>
      <c r="U708" s="284"/>
      <c r="V708" s="284"/>
      <c r="W708" s="284"/>
      <c r="X708" s="284"/>
      <c r="Y708" s="284"/>
      <c r="Z708" s="284"/>
      <c r="AA708" s="284"/>
    </row>
    <row r="709">
      <c r="A709" s="284"/>
      <c r="B709" s="284"/>
      <c r="C709" s="285"/>
      <c r="D709" s="285"/>
      <c r="E709" s="285"/>
      <c r="F709" s="285"/>
      <c r="G709" s="285"/>
      <c r="H709" s="285"/>
      <c r="I709" s="286"/>
      <c r="J709" s="286"/>
      <c r="K709" s="285"/>
      <c r="L709" s="284"/>
      <c r="M709" s="287"/>
      <c r="N709" s="284"/>
      <c r="O709" s="284"/>
      <c r="P709" s="284"/>
      <c r="Q709" s="284"/>
      <c r="R709" s="284"/>
      <c r="S709" s="284"/>
      <c r="T709" s="284"/>
      <c r="U709" s="284"/>
      <c r="V709" s="284"/>
      <c r="W709" s="284"/>
      <c r="X709" s="284"/>
      <c r="Y709" s="284"/>
      <c r="Z709" s="284"/>
      <c r="AA709" s="284"/>
    </row>
    <row r="710">
      <c r="A710" s="284"/>
      <c r="B710" s="284"/>
      <c r="C710" s="285"/>
      <c r="D710" s="285"/>
      <c r="E710" s="285"/>
      <c r="F710" s="285"/>
      <c r="G710" s="285"/>
      <c r="H710" s="285"/>
      <c r="I710" s="286"/>
      <c r="J710" s="286"/>
      <c r="K710" s="285"/>
      <c r="L710" s="284"/>
      <c r="M710" s="287"/>
      <c r="N710" s="284"/>
      <c r="O710" s="284"/>
      <c r="P710" s="284"/>
      <c r="Q710" s="284"/>
      <c r="R710" s="284"/>
      <c r="S710" s="284"/>
      <c r="T710" s="284"/>
      <c r="U710" s="284"/>
      <c r="V710" s="284"/>
      <c r="W710" s="284"/>
      <c r="X710" s="284"/>
      <c r="Y710" s="284"/>
      <c r="Z710" s="284"/>
      <c r="AA710" s="284"/>
    </row>
    <row r="711">
      <c r="A711" s="284"/>
      <c r="B711" s="284"/>
      <c r="C711" s="285"/>
      <c r="D711" s="285"/>
      <c r="E711" s="285"/>
      <c r="F711" s="285"/>
      <c r="G711" s="285"/>
      <c r="H711" s="285"/>
      <c r="I711" s="286"/>
      <c r="J711" s="286"/>
      <c r="K711" s="285"/>
      <c r="L711" s="284"/>
      <c r="M711" s="287"/>
      <c r="N711" s="284"/>
      <c r="O711" s="284"/>
      <c r="P711" s="284"/>
      <c r="Q711" s="284"/>
      <c r="R711" s="284"/>
      <c r="S711" s="284"/>
      <c r="T711" s="284"/>
      <c r="U711" s="284"/>
      <c r="V711" s="284"/>
      <c r="W711" s="284"/>
      <c r="X711" s="284"/>
      <c r="Y711" s="284"/>
      <c r="Z711" s="284"/>
      <c r="AA711" s="284"/>
    </row>
    <row r="712">
      <c r="A712" s="284"/>
      <c r="B712" s="284"/>
      <c r="C712" s="285"/>
      <c r="D712" s="285"/>
      <c r="E712" s="285"/>
      <c r="F712" s="285"/>
      <c r="G712" s="285"/>
      <c r="H712" s="285"/>
      <c r="I712" s="286"/>
      <c r="J712" s="286"/>
      <c r="K712" s="285"/>
      <c r="L712" s="284"/>
      <c r="M712" s="287"/>
      <c r="N712" s="284"/>
      <c r="O712" s="284"/>
      <c r="P712" s="284"/>
      <c r="Q712" s="284"/>
      <c r="R712" s="284"/>
      <c r="S712" s="284"/>
      <c r="T712" s="284"/>
      <c r="U712" s="284"/>
      <c r="V712" s="284"/>
      <c r="W712" s="284"/>
      <c r="X712" s="284"/>
      <c r="Y712" s="284"/>
      <c r="Z712" s="284"/>
      <c r="AA712" s="284"/>
    </row>
    <row r="713">
      <c r="A713" s="284"/>
      <c r="B713" s="284"/>
      <c r="C713" s="285"/>
      <c r="D713" s="285"/>
      <c r="E713" s="285"/>
      <c r="F713" s="285"/>
      <c r="G713" s="285"/>
      <c r="H713" s="285"/>
      <c r="I713" s="286"/>
      <c r="J713" s="286"/>
      <c r="K713" s="285"/>
      <c r="L713" s="284"/>
      <c r="M713" s="287"/>
      <c r="N713" s="284"/>
      <c r="O713" s="284"/>
      <c r="P713" s="284"/>
      <c r="Q713" s="284"/>
      <c r="R713" s="284"/>
      <c r="S713" s="284"/>
      <c r="T713" s="284"/>
      <c r="U713" s="284"/>
      <c r="V713" s="284"/>
      <c r="W713" s="284"/>
      <c r="X713" s="284"/>
      <c r="Y713" s="284"/>
      <c r="Z713" s="284"/>
      <c r="AA713" s="284"/>
    </row>
    <row r="714">
      <c r="A714" s="284"/>
      <c r="B714" s="284"/>
      <c r="C714" s="285"/>
      <c r="D714" s="285"/>
      <c r="E714" s="285"/>
      <c r="F714" s="285"/>
      <c r="G714" s="285"/>
      <c r="H714" s="285"/>
      <c r="I714" s="286"/>
      <c r="J714" s="286"/>
      <c r="K714" s="285"/>
      <c r="L714" s="284"/>
      <c r="M714" s="287"/>
      <c r="N714" s="284"/>
      <c r="O714" s="284"/>
      <c r="P714" s="284"/>
      <c r="Q714" s="284"/>
      <c r="R714" s="284"/>
      <c r="S714" s="284"/>
      <c r="T714" s="284"/>
      <c r="U714" s="284"/>
      <c r="V714" s="284"/>
      <c r="W714" s="284"/>
      <c r="X714" s="284"/>
      <c r="Y714" s="284"/>
      <c r="Z714" s="284"/>
      <c r="AA714" s="284"/>
    </row>
    <row r="715">
      <c r="A715" s="284"/>
      <c r="B715" s="284"/>
      <c r="C715" s="285"/>
      <c r="D715" s="285"/>
      <c r="E715" s="285"/>
      <c r="F715" s="285"/>
      <c r="G715" s="285"/>
      <c r="H715" s="285"/>
      <c r="I715" s="286"/>
      <c r="J715" s="286"/>
      <c r="K715" s="285"/>
      <c r="L715" s="284"/>
      <c r="M715" s="287"/>
      <c r="N715" s="284"/>
      <c r="O715" s="284"/>
      <c r="P715" s="284"/>
      <c r="Q715" s="284"/>
      <c r="R715" s="284"/>
      <c r="S715" s="284"/>
      <c r="T715" s="284"/>
      <c r="U715" s="284"/>
      <c r="V715" s="284"/>
      <c r="W715" s="284"/>
      <c r="X715" s="284"/>
      <c r="Y715" s="284"/>
      <c r="Z715" s="284"/>
      <c r="AA715" s="284"/>
    </row>
    <row r="716">
      <c r="A716" s="284"/>
      <c r="B716" s="284"/>
      <c r="C716" s="285"/>
      <c r="D716" s="285"/>
      <c r="E716" s="285"/>
      <c r="F716" s="285"/>
      <c r="G716" s="285"/>
      <c r="H716" s="285"/>
      <c r="I716" s="286"/>
      <c r="J716" s="286"/>
      <c r="K716" s="285"/>
      <c r="L716" s="284"/>
      <c r="M716" s="287"/>
      <c r="N716" s="284"/>
      <c r="O716" s="284"/>
      <c r="P716" s="284"/>
      <c r="Q716" s="284"/>
      <c r="R716" s="284"/>
      <c r="S716" s="284"/>
      <c r="T716" s="284"/>
      <c r="U716" s="284"/>
      <c r="V716" s="284"/>
      <c r="W716" s="284"/>
      <c r="X716" s="284"/>
      <c r="Y716" s="284"/>
      <c r="Z716" s="284"/>
      <c r="AA716" s="284"/>
    </row>
    <row r="717">
      <c r="A717" s="284"/>
      <c r="B717" s="284"/>
      <c r="C717" s="285"/>
      <c r="D717" s="285"/>
      <c r="E717" s="285"/>
      <c r="F717" s="285"/>
      <c r="G717" s="285"/>
      <c r="H717" s="285"/>
      <c r="I717" s="286"/>
      <c r="J717" s="286"/>
      <c r="K717" s="285"/>
      <c r="L717" s="284"/>
      <c r="M717" s="287"/>
      <c r="N717" s="284"/>
      <c r="O717" s="284"/>
      <c r="P717" s="284"/>
      <c r="Q717" s="284"/>
      <c r="R717" s="284"/>
      <c r="S717" s="284"/>
      <c r="T717" s="284"/>
      <c r="U717" s="284"/>
      <c r="V717" s="284"/>
      <c r="W717" s="284"/>
      <c r="X717" s="284"/>
      <c r="Y717" s="284"/>
      <c r="Z717" s="284"/>
      <c r="AA717" s="284"/>
    </row>
    <row r="718">
      <c r="A718" s="284"/>
      <c r="B718" s="284"/>
      <c r="C718" s="285"/>
      <c r="D718" s="285"/>
      <c r="E718" s="285"/>
      <c r="F718" s="285"/>
      <c r="G718" s="285"/>
      <c r="H718" s="285"/>
      <c r="I718" s="286"/>
      <c r="J718" s="286"/>
      <c r="K718" s="285"/>
      <c r="L718" s="284"/>
      <c r="M718" s="287"/>
      <c r="N718" s="284"/>
      <c r="O718" s="284"/>
      <c r="P718" s="284"/>
      <c r="Q718" s="284"/>
      <c r="R718" s="284"/>
      <c r="S718" s="284"/>
      <c r="T718" s="284"/>
      <c r="U718" s="284"/>
      <c r="V718" s="284"/>
      <c r="W718" s="284"/>
      <c r="X718" s="284"/>
      <c r="Y718" s="284"/>
      <c r="Z718" s="284"/>
      <c r="AA718" s="284"/>
    </row>
    <row r="719">
      <c r="A719" s="284"/>
      <c r="B719" s="284"/>
      <c r="C719" s="285"/>
      <c r="D719" s="285"/>
      <c r="E719" s="285"/>
      <c r="F719" s="285"/>
      <c r="G719" s="285"/>
      <c r="H719" s="285"/>
      <c r="I719" s="286"/>
      <c r="J719" s="286"/>
      <c r="K719" s="285"/>
      <c r="L719" s="284"/>
      <c r="M719" s="287"/>
      <c r="N719" s="284"/>
      <c r="O719" s="284"/>
      <c r="P719" s="284"/>
      <c r="Q719" s="284"/>
      <c r="R719" s="284"/>
      <c r="S719" s="284"/>
      <c r="T719" s="284"/>
      <c r="U719" s="284"/>
      <c r="V719" s="284"/>
      <c r="W719" s="284"/>
      <c r="X719" s="284"/>
      <c r="Y719" s="284"/>
      <c r="Z719" s="284"/>
      <c r="AA719" s="284"/>
    </row>
    <row r="720">
      <c r="A720" s="284"/>
      <c r="B720" s="284"/>
      <c r="C720" s="285"/>
      <c r="D720" s="285"/>
      <c r="E720" s="285"/>
      <c r="F720" s="285"/>
      <c r="G720" s="285"/>
      <c r="H720" s="285"/>
      <c r="I720" s="286"/>
      <c r="J720" s="286"/>
      <c r="K720" s="285"/>
      <c r="L720" s="284"/>
      <c r="M720" s="287"/>
      <c r="N720" s="284"/>
      <c r="O720" s="284"/>
      <c r="P720" s="284"/>
      <c r="Q720" s="284"/>
      <c r="R720" s="284"/>
      <c r="S720" s="284"/>
      <c r="T720" s="284"/>
      <c r="U720" s="284"/>
      <c r="V720" s="284"/>
      <c r="W720" s="284"/>
      <c r="X720" s="284"/>
      <c r="Y720" s="284"/>
      <c r="Z720" s="284"/>
      <c r="AA720" s="284"/>
    </row>
    <row r="721">
      <c r="A721" s="284"/>
      <c r="B721" s="284"/>
      <c r="C721" s="285"/>
      <c r="D721" s="285"/>
      <c r="E721" s="285"/>
      <c r="F721" s="285"/>
      <c r="G721" s="285"/>
      <c r="H721" s="285"/>
      <c r="I721" s="286"/>
      <c r="J721" s="286"/>
      <c r="K721" s="285"/>
      <c r="L721" s="284"/>
      <c r="M721" s="287"/>
      <c r="N721" s="284"/>
      <c r="O721" s="284"/>
      <c r="P721" s="284"/>
      <c r="Q721" s="284"/>
      <c r="R721" s="284"/>
      <c r="S721" s="284"/>
      <c r="T721" s="284"/>
      <c r="U721" s="284"/>
      <c r="V721" s="284"/>
      <c r="W721" s="284"/>
      <c r="X721" s="284"/>
      <c r="Y721" s="284"/>
      <c r="Z721" s="284"/>
      <c r="AA721" s="284"/>
    </row>
    <row r="722">
      <c r="A722" s="284"/>
      <c r="B722" s="284"/>
      <c r="C722" s="285"/>
      <c r="D722" s="285"/>
      <c r="E722" s="285"/>
      <c r="F722" s="285"/>
      <c r="G722" s="285"/>
      <c r="H722" s="285"/>
      <c r="I722" s="286"/>
      <c r="J722" s="286"/>
      <c r="K722" s="285"/>
      <c r="L722" s="284"/>
      <c r="M722" s="287"/>
      <c r="N722" s="284"/>
      <c r="O722" s="284"/>
      <c r="P722" s="284"/>
      <c r="Q722" s="284"/>
      <c r="R722" s="284"/>
      <c r="S722" s="284"/>
      <c r="T722" s="284"/>
      <c r="U722" s="284"/>
      <c r="V722" s="284"/>
      <c r="W722" s="284"/>
      <c r="X722" s="284"/>
      <c r="Y722" s="284"/>
      <c r="Z722" s="284"/>
      <c r="AA722" s="284"/>
    </row>
    <row r="723">
      <c r="A723" s="284"/>
      <c r="B723" s="284"/>
      <c r="C723" s="285"/>
      <c r="D723" s="285"/>
      <c r="E723" s="285"/>
      <c r="F723" s="285"/>
      <c r="G723" s="285"/>
      <c r="H723" s="285"/>
      <c r="I723" s="286"/>
      <c r="J723" s="286"/>
      <c r="K723" s="285"/>
      <c r="L723" s="284"/>
      <c r="M723" s="287"/>
      <c r="N723" s="284"/>
      <c r="O723" s="284"/>
      <c r="P723" s="284"/>
      <c r="Q723" s="284"/>
      <c r="R723" s="284"/>
      <c r="S723" s="284"/>
      <c r="T723" s="284"/>
      <c r="U723" s="284"/>
      <c r="V723" s="284"/>
      <c r="W723" s="284"/>
      <c r="X723" s="284"/>
      <c r="Y723" s="284"/>
      <c r="Z723" s="284"/>
      <c r="AA723" s="284"/>
    </row>
    <row r="724">
      <c r="A724" s="284"/>
      <c r="B724" s="284"/>
      <c r="C724" s="285"/>
      <c r="D724" s="285"/>
      <c r="E724" s="285"/>
      <c r="F724" s="285"/>
      <c r="G724" s="285"/>
      <c r="H724" s="285"/>
      <c r="I724" s="286"/>
      <c r="J724" s="286"/>
      <c r="K724" s="285"/>
      <c r="L724" s="284"/>
      <c r="M724" s="287"/>
      <c r="N724" s="284"/>
      <c r="O724" s="284"/>
      <c r="P724" s="284"/>
      <c r="Q724" s="284"/>
      <c r="R724" s="284"/>
      <c r="S724" s="284"/>
      <c r="T724" s="284"/>
      <c r="U724" s="284"/>
      <c r="V724" s="284"/>
      <c r="W724" s="284"/>
      <c r="X724" s="284"/>
      <c r="Y724" s="284"/>
      <c r="Z724" s="284"/>
      <c r="AA724" s="284"/>
    </row>
    <row r="725">
      <c r="A725" s="284"/>
      <c r="B725" s="284"/>
      <c r="C725" s="285"/>
      <c r="D725" s="285"/>
      <c r="E725" s="285"/>
      <c r="F725" s="285"/>
      <c r="G725" s="285"/>
      <c r="H725" s="285"/>
      <c r="I725" s="286"/>
      <c r="J725" s="286"/>
      <c r="K725" s="285"/>
      <c r="L725" s="284"/>
      <c r="M725" s="287"/>
      <c r="N725" s="284"/>
      <c r="O725" s="284"/>
      <c r="P725" s="284"/>
      <c r="Q725" s="284"/>
      <c r="R725" s="284"/>
      <c r="S725" s="284"/>
      <c r="T725" s="284"/>
      <c r="U725" s="284"/>
      <c r="V725" s="284"/>
      <c r="W725" s="284"/>
      <c r="X725" s="284"/>
      <c r="Y725" s="284"/>
      <c r="Z725" s="284"/>
      <c r="AA725" s="284"/>
    </row>
    <row r="726">
      <c r="A726" s="284"/>
      <c r="B726" s="284"/>
      <c r="C726" s="285"/>
      <c r="D726" s="285"/>
      <c r="E726" s="285"/>
      <c r="F726" s="285"/>
      <c r="G726" s="285"/>
      <c r="H726" s="285"/>
      <c r="I726" s="286"/>
      <c r="J726" s="286"/>
      <c r="K726" s="285"/>
      <c r="L726" s="284"/>
      <c r="M726" s="287"/>
      <c r="N726" s="284"/>
      <c r="O726" s="284"/>
      <c r="P726" s="284"/>
      <c r="Q726" s="284"/>
      <c r="R726" s="284"/>
      <c r="S726" s="284"/>
      <c r="T726" s="284"/>
      <c r="U726" s="284"/>
      <c r="V726" s="284"/>
      <c r="W726" s="284"/>
      <c r="X726" s="284"/>
      <c r="Y726" s="284"/>
      <c r="Z726" s="284"/>
      <c r="AA726" s="284"/>
    </row>
    <row r="727">
      <c r="A727" s="284"/>
      <c r="B727" s="284"/>
      <c r="C727" s="285"/>
      <c r="D727" s="285"/>
      <c r="E727" s="285"/>
      <c r="F727" s="285"/>
      <c r="G727" s="285"/>
      <c r="H727" s="285"/>
      <c r="I727" s="286"/>
      <c r="J727" s="286"/>
      <c r="K727" s="285"/>
      <c r="L727" s="284"/>
      <c r="M727" s="287"/>
      <c r="N727" s="284"/>
      <c r="O727" s="284"/>
      <c r="P727" s="284"/>
      <c r="Q727" s="284"/>
      <c r="R727" s="284"/>
      <c r="S727" s="284"/>
      <c r="T727" s="284"/>
      <c r="U727" s="284"/>
      <c r="V727" s="284"/>
      <c r="W727" s="284"/>
      <c r="X727" s="284"/>
      <c r="Y727" s="284"/>
      <c r="Z727" s="284"/>
      <c r="AA727" s="284"/>
    </row>
    <row r="728">
      <c r="A728" s="284"/>
      <c r="B728" s="284"/>
      <c r="C728" s="285"/>
      <c r="D728" s="285"/>
      <c r="E728" s="285"/>
      <c r="F728" s="285"/>
      <c r="G728" s="285"/>
      <c r="H728" s="285"/>
      <c r="I728" s="286"/>
      <c r="J728" s="286"/>
      <c r="K728" s="285"/>
      <c r="L728" s="284"/>
      <c r="M728" s="287"/>
      <c r="N728" s="284"/>
      <c r="O728" s="284"/>
      <c r="P728" s="284"/>
      <c r="Q728" s="284"/>
      <c r="R728" s="284"/>
      <c r="S728" s="284"/>
      <c r="T728" s="284"/>
      <c r="U728" s="284"/>
      <c r="V728" s="284"/>
      <c r="W728" s="284"/>
      <c r="X728" s="284"/>
      <c r="Y728" s="284"/>
      <c r="Z728" s="284"/>
      <c r="AA728" s="284"/>
    </row>
    <row r="729">
      <c r="A729" s="284"/>
      <c r="B729" s="284"/>
      <c r="C729" s="285"/>
      <c r="D729" s="285"/>
      <c r="E729" s="285"/>
      <c r="F729" s="285"/>
      <c r="G729" s="285"/>
      <c r="H729" s="285"/>
      <c r="I729" s="286"/>
      <c r="J729" s="286"/>
      <c r="K729" s="285"/>
      <c r="L729" s="284"/>
      <c r="M729" s="287"/>
      <c r="N729" s="284"/>
      <c r="O729" s="284"/>
      <c r="P729" s="284"/>
      <c r="Q729" s="284"/>
      <c r="R729" s="284"/>
      <c r="S729" s="284"/>
      <c r="T729" s="284"/>
      <c r="U729" s="284"/>
      <c r="V729" s="284"/>
      <c r="W729" s="284"/>
      <c r="X729" s="284"/>
      <c r="Y729" s="284"/>
      <c r="Z729" s="284"/>
      <c r="AA729" s="284"/>
    </row>
    <row r="730">
      <c r="A730" s="284"/>
      <c r="B730" s="284"/>
      <c r="C730" s="285"/>
      <c r="D730" s="285"/>
      <c r="E730" s="285"/>
      <c r="F730" s="285"/>
      <c r="G730" s="285"/>
      <c r="H730" s="285"/>
      <c r="I730" s="286"/>
      <c r="J730" s="286"/>
      <c r="K730" s="285"/>
      <c r="L730" s="284"/>
      <c r="M730" s="287"/>
      <c r="N730" s="284"/>
      <c r="O730" s="284"/>
      <c r="P730" s="284"/>
      <c r="Q730" s="284"/>
      <c r="R730" s="284"/>
      <c r="S730" s="284"/>
      <c r="T730" s="284"/>
      <c r="U730" s="284"/>
      <c r="V730" s="284"/>
      <c r="W730" s="284"/>
      <c r="X730" s="284"/>
      <c r="Y730" s="284"/>
      <c r="Z730" s="284"/>
      <c r="AA730" s="284"/>
    </row>
    <row r="731">
      <c r="A731" s="284"/>
      <c r="B731" s="284"/>
      <c r="C731" s="285"/>
      <c r="D731" s="285"/>
      <c r="E731" s="285"/>
      <c r="F731" s="285"/>
      <c r="G731" s="285"/>
      <c r="H731" s="285"/>
      <c r="I731" s="286"/>
      <c r="J731" s="286"/>
      <c r="K731" s="285"/>
      <c r="L731" s="284"/>
      <c r="M731" s="287"/>
      <c r="N731" s="284"/>
      <c r="O731" s="284"/>
      <c r="P731" s="284"/>
      <c r="Q731" s="284"/>
      <c r="R731" s="284"/>
      <c r="S731" s="284"/>
      <c r="T731" s="284"/>
      <c r="U731" s="284"/>
      <c r="V731" s="284"/>
      <c r="W731" s="284"/>
      <c r="X731" s="284"/>
      <c r="Y731" s="284"/>
      <c r="Z731" s="284"/>
      <c r="AA731" s="284"/>
    </row>
    <row r="732">
      <c r="A732" s="284"/>
      <c r="B732" s="284"/>
      <c r="C732" s="285"/>
      <c r="D732" s="285"/>
      <c r="E732" s="285"/>
      <c r="F732" s="285"/>
      <c r="G732" s="285"/>
      <c r="H732" s="285"/>
      <c r="I732" s="286"/>
      <c r="J732" s="286"/>
      <c r="K732" s="285"/>
      <c r="L732" s="284"/>
      <c r="M732" s="287"/>
      <c r="N732" s="284"/>
      <c r="O732" s="284"/>
      <c r="P732" s="284"/>
      <c r="Q732" s="284"/>
      <c r="R732" s="284"/>
      <c r="S732" s="284"/>
      <c r="T732" s="284"/>
      <c r="U732" s="284"/>
      <c r="V732" s="284"/>
      <c r="W732" s="284"/>
      <c r="X732" s="284"/>
      <c r="Y732" s="284"/>
      <c r="Z732" s="284"/>
      <c r="AA732" s="284"/>
    </row>
    <row r="733">
      <c r="A733" s="284"/>
      <c r="B733" s="284"/>
      <c r="C733" s="285"/>
      <c r="D733" s="285"/>
      <c r="E733" s="285"/>
      <c r="F733" s="285"/>
      <c r="G733" s="285"/>
      <c r="H733" s="285"/>
      <c r="I733" s="286"/>
      <c r="J733" s="286"/>
      <c r="K733" s="285"/>
      <c r="L733" s="284"/>
      <c r="M733" s="287"/>
      <c r="N733" s="284"/>
      <c r="O733" s="284"/>
      <c r="P733" s="284"/>
      <c r="Q733" s="284"/>
      <c r="R733" s="284"/>
      <c r="S733" s="284"/>
      <c r="T733" s="284"/>
      <c r="U733" s="284"/>
      <c r="V733" s="284"/>
      <c r="W733" s="284"/>
      <c r="X733" s="284"/>
      <c r="Y733" s="284"/>
      <c r="Z733" s="284"/>
      <c r="AA733" s="284"/>
    </row>
    <row r="734">
      <c r="A734" s="284"/>
      <c r="B734" s="284"/>
      <c r="C734" s="285"/>
      <c r="D734" s="285"/>
      <c r="E734" s="285"/>
      <c r="F734" s="285"/>
      <c r="G734" s="285"/>
      <c r="H734" s="285"/>
      <c r="I734" s="286"/>
      <c r="J734" s="286"/>
      <c r="K734" s="285"/>
      <c r="L734" s="284"/>
      <c r="M734" s="287"/>
      <c r="N734" s="284"/>
      <c r="O734" s="284"/>
      <c r="P734" s="284"/>
      <c r="Q734" s="284"/>
      <c r="R734" s="284"/>
      <c r="S734" s="284"/>
      <c r="T734" s="284"/>
      <c r="U734" s="284"/>
      <c r="V734" s="284"/>
      <c r="W734" s="284"/>
      <c r="X734" s="284"/>
      <c r="Y734" s="284"/>
      <c r="Z734" s="284"/>
      <c r="AA734" s="284"/>
    </row>
    <row r="735">
      <c r="A735" s="284"/>
      <c r="B735" s="284"/>
      <c r="C735" s="285"/>
      <c r="D735" s="285"/>
      <c r="E735" s="285"/>
      <c r="F735" s="285"/>
      <c r="G735" s="285"/>
      <c r="H735" s="285"/>
      <c r="I735" s="286"/>
      <c r="J735" s="286"/>
      <c r="K735" s="285"/>
      <c r="L735" s="284"/>
      <c r="M735" s="287"/>
      <c r="N735" s="284"/>
      <c r="O735" s="284"/>
      <c r="P735" s="284"/>
      <c r="Q735" s="284"/>
      <c r="R735" s="284"/>
      <c r="S735" s="284"/>
      <c r="T735" s="284"/>
      <c r="U735" s="284"/>
      <c r="V735" s="284"/>
      <c r="W735" s="284"/>
      <c r="X735" s="284"/>
      <c r="Y735" s="284"/>
      <c r="Z735" s="284"/>
      <c r="AA735" s="284"/>
    </row>
    <row r="736">
      <c r="A736" s="284"/>
      <c r="B736" s="284"/>
      <c r="C736" s="285"/>
      <c r="D736" s="285"/>
      <c r="E736" s="285"/>
      <c r="F736" s="285"/>
      <c r="G736" s="285"/>
      <c r="H736" s="285"/>
      <c r="I736" s="286"/>
      <c r="J736" s="286"/>
      <c r="K736" s="285"/>
      <c r="L736" s="284"/>
      <c r="M736" s="287"/>
      <c r="N736" s="284"/>
      <c r="O736" s="284"/>
      <c r="P736" s="284"/>
      <c r="Q736" s="284"/>
      <c r="R736" s="284"/>
      <c r="S736" s="284"/>
      <c r="T736" s="284"/>
      <c r="U736" s="284"/>
      <c r="V736" s="284"/>
      <c r="W736" s="284"/>
      <c r="X736" s="284"/>
      <c r="Y736" s="284"/>
      <c r="Z736" s="284"/>
      <c r="AA736" s="284"/>
    </row>
    <row r="737">
      <c r="A737" s="284"/>
      <c r="B737" s="284"/>
      <c r="C737" s="285"/>
      <c r="D737" s="285"/>
      <c r="E737" s="285"/>
      <c r="F737" s="285"/>
      <c r="G737" s="285"/>
      <c r="H737" s="285"/>
      <c r="I737" s="286"/>
      <c r="J737" s="286"/>
      <c r="K737" s="285"/>
      <c r="L737" s="284"/>
      <c r="M737" s="287"/>
      <c r="N737" s="284"/>
      <c r="O737" s="284"/>
      <c r="P737" s="284"/>
      <c r="Q737" s="284"/>
      <c r="R737" s="284"/>
      <c r="S737" s="284"/>
      <c r="T737" s="284"/>
      <c r="U737" s="284"/>
      <c r="V737" s="284"/>
      <c r="W737" s="284"/>
      <c r="X737" s="284"/>
      <c r="Y737" s="284"/>
      <c r="Z737" s="284"/>
      <c r="AA737" s="284"/>
    </row>
    <row r="738">
      <c r="A738" s="284"/>
      <c r="B738" s="284"/>
      <c r="C738" s="285"/>
      <c r="D738" s="285"/>
      <c r="E738" s="285"/>
      <c r="F738" s="285"/>
      <c r="G738" s="285"/>
      <c r="H738" s="285"/>
      <c r="I738" s="286"/>
      <c r="J738" s="286"/>
      <c r="K738" s="285"/>
      <c r="L738" s="284"/>
      <c r="M738" s="287"/>
      <c r="N738" s="284"/>
      <c r="O738" s="284"/>
      <c r="P738" s="284"/>
      <c r="Q738" s="284"/>
      <c r="R738" s="284"/>
      <c r="S738" s="284"/>
      <c r="T738" s="284"/>
      <c r="U738" s="284"/>
      <c r="V738" s="284"/>
      <c r="W738" s="284"/>
      <c r="X738" s="284"/>
      <c r="Y738" s="284"/>
      <c r="Z738" s="284"/>
      <c r="AA738" s="284"/>
    </row>
    <row r="739">
      <c r="A739" s="284"/>
      <c r="B739" s="284"/>
      <c r="C739" s="285"/>
      <c r="D739" s="285"/>
      <c r="E739" s="285"/>
      <c r="F739" s="285"/>
      <c r="G739" s="285"/>
      <c r="H739" s="285"/>
      <c r="I739" s="286"/>
      <c r="J739" s="286"/>
      <c r="K739" s="285"/>
      <c r="L739" s="284"/>
      <c r="M739" s="287"/>
      <c r="N739" s="284"/>
      <c r="O739" s="284"/>
      <c r="P739" s="284"/>
      <c r="Q739" s="284"/>
      <c r="R739" s="284"/>
      <c r="S739" s="284"/>
      <c r="T739" s="284"/>
      <c r="U739" s="284"/>
      <c r="V739" s="284"/>
      <c r="W739" s="284"/>
      <c r="X739" s="284"/>
      <c r="Y739" s="284"/>
      <c r="Z739" s="284"/>
      <c r="AA739" s="284"/>
    </row>
    <row r="740">
      <c r="A740" s="284"/>
      <c r="B740" s="284"/>
      <c r="C740" s="285"/>
      <c r="D740" s="285"/>
      <c r="E740" s="285"/>
      <c r="F740" s="285"/>
      <c r="G740" s="285"/>
      <c r="H740" s="285"/>
      <c r="I740" s="286"/>
      <c r="J740" s="286"/>
      <c r="K740" s="285"/>
      <c r="L740" s="284"/>
      <c r="M740" s="287"/>
      <c r="N740" s="284"/>
      <c r="O740" s="284"/>
      <c r="P740" s="284"/>
      <c r="Q740" s="284"/>
      <c r="R740" s="284"/>
      <c r="S740" s="284"/>
      <c r="T740" s="284"/>
      <c r="U740" s="284"/>
      <c r="V740" s="284"/>
      <c r="W740" s="284"/>
      <c r="X740" s="284"/>
      <c r="Y740" s="284"/>
      <c r="Z740" s="284"/>
      <c r="AA740" s="284"/>
    </row>
    <row r="741">
      <c r="A741" s="284"/>
      <c r="B741" s="284"/>
      <c r="C741" s="285"/>
      <c r="D741" s="285"/>
      <c r="E741" s="285"/>
      <c r="F741" s="285"/>
      <c r="G741" s="285"/>
      <c r="H741" s="285"/>
      <c r="I741" s="286"/>
      <c r="J741" s="286"/>
      <c r="K741" s="285"/>
      <c r="L741" s="284"/>
      <c r="M741" s="287"/>
      <c r="N741" s="284"/>
      <c r="O741" s="284"/>
      <c r="P741" s="284"/>
      <c r="Q741" s="284"/>
      <c r="R741" s="284"/>
      <c r="S741" s="284"/>
      <c r="T741" s="284"/>
      <c r="U741" s="284"/>
      <c r="V741" s="284"/>
      <c r="W741" s="284"/>
      <c r="X741" s="284"/>
      <c r="Y741" s="284"/>
      <c r="Z741" s="284"/>
      <c r="AA741" s="284"/>
    </row>
    <row r="742">
      <c r="A742" s="284"/>
      <c r="B742" s="284"/>
      <c r="C742" s="285"/>
      <c r="D742" s="285"/>
      <c r="E742" s="285"/>
      <c r="F742" s="285"/>
      <c r="G742" s="285"/>
      <c r="H742" s="285"/>
      <c r="I742" s="286"/>
      <c r="J742" s="286"/>
      <c r="K742" s="285"/>
      <c r="L742" s="284"/>
      <c r="M742" s="287"/>
      <c r="N742" s="284"/>
      <c r="O742" s="284"/>
      <c r="P742" s="284"/>
      <c r="Q742" s="284"/>
      <c r="R742" s="284"/>
      <c r="S742" s="284"/>
      <c r="T742" s="284"/>
      <c r="U742" s="284"/>
      <c r="V742" s="284"/>
      <c r="W742" s="284"/>
      <c r="X742" s="284"/>
      <c r="Y742" s="284"/>
      <c r="Z742" s="284"/>
      <c r="AA742" s="284"/>
    </row>
    <row r="743">
      <c r="A743" s="284"/>
      <c r="B743" s="284"/>
      <c r="C743" s="285"/>
      <c r="D743" s="285"/>
      <c r="E743" s="285"/>
      <c r="F743" s="285"/>
      <c r="G743" s="285"/>
      <c r="H743" s="285"/>
      <c r="I743" s="286"/>
      <c r="J743" s="286"/>
      <c r="K743" s="285"/>
      <c r="L743" s="284"/>
      <c r="M743" s="287"/>
      <c r="N743" s="284"/>
      <c r="O743" s="284"/>
      <c r="P743" s="284"/>
      <c r="Q743" s="284"/>
      <c r="R743" s="284"/>
      <c r="S743" s="284"/>
      <c r="T743" s="284"/>
      <c r="U743" s="284"/>
      <c r="V743" s="284"/>
      <c r="W743" s="284"/>
      <c r="X743" s="284"/>
      <c r="Y743" s="284"/>
      <c r="Z743" s="284"/>
      <c r="AA743" s="284"/>
    </row>
    <row r="744">
      <c r="A744" s="284"/>
      <c r="B744" s="284"/>
      <c r="C744" s="285"/>
      <c r="D744" s="285"/>
      <c r="E744" s="285"/>
      <c r="F744" s="285"/>
      <c r="G744" s="285"/>
      <c r="H744" s="285"/>
      <c r="I744" s="286"/>
      <c r="J744" s="286"/>
      <c r="K744" s="285"/>
      <c r="L744" s="284"/>
      <c r="M744" s="287"/>
      <c r="N744" s="284"/>
      <c r="O744" s="284"/>
      <c r="P744" s="284"/>
      <c r="Q744" s="284"/>
      <c r="R744" s="284"/>
      <c r="S744" s="284"/>
      <c r="T744" s="284"/>
      <c r="U744" s="284"/>
      <c r="V744" s="284"/>
      <c r="W744" s="284"/>
      <c r="X744" s="284"/>
      <c r="Y744" s="284"/>
      <c r="Z744" s="284"/>
      <c r="AA744" s="284"/>
    </row>
    <row r="745">
      <c r="A745" s="284"/>
      <c r="B745" s="284"/>
      <c r="C745" s="285"/>
      <c r="D745" s="285"/>
      <c r="E745" s="285"/>
      <c r="F745" s="285"/>
      <c r="G745" s="285"/>
      <c r="H745" s="285"/>
      <c r="I745" s="286"/>
      <c r="J745" s="286"/>
      <c r="K745" s="285"/>
      <c r="L745" s="284"/>
      <c r="M745" s="287"/>
      <c r="N745" s="284"/>
      <c r="O745" s="284"/>
      <c r="P745" s="284"/>
      <c r="Q745" s="284"/>
      <c r="R745" s="284"/>
      <c r="S745" s="284"/>
      <c r="T745" s="284"/>
      <c r="U745" s="284"/>
      <c r="V745" s="284"/>
      <c r="W745" s="284"/>
      <c r="X745" s="284"/>
      <c r="Y745" s="284"/>
      <c r="Z745" s="284"/>
      <c r="AA745" s="284"/>
    </row>
    <row r="746">
      <c r="A746" s="284"/>
      <c r="B746" s="284"/>
      <c r="C746" s="285"/>
      <c r="D746" s="285"/>
      <c r="E746" s="285"/>
      <c r="F746" s="285"/>
      <c r="G746" s="285"/>
      <c r="H746" s="285"/>
      <c r="I746" s="286"/>
      <c r="J746" s="286"/>
      <c r="K746" s="285"/>
      <c r="L746" s="284"/>
      <c r="M746" s="287"/>
      <c r="N746" s="284"/>
      <c r="O746" s="284"/>
      <c r="P746" s="284"/>
      <c r="Q746" s="284"/>
      <c r="R746" s="284"/>
      <c r="S746" s="284"/>
      <c r="T746" s="284"/>
      <c r="U746" s="284"/>
      <c r="V746" s="284"/>
      <c r="W746" s="284"/>
      <c r="X746" s="284"/>
      <c r="Y746" s="284"/>
      <c r="Z746" s="284"/>
      <c r="AA746" s="284"/>
    </row>
    <row r="747">
      <c r="A747" s="284"/>
      <c r="B747" s="284"/>
      <c r="C747" s="285"/>
      <c r="D747" s="285"/>
      <c r="E747" s="285"/>
      <c r="F747" s="285"/>
      <c r="G747" s="285"/>
      <c r="H747" s="285"/>
      <c r="I747" s="286"/>
      <c r="J747" s="286"/>
      <c r="K747" s="285"/>
      <c r="L747" s="284"/>
      <c r="M747" s="287"/>
      <c r="N747" s="284"/>
      <c r="O747" s="284"/>
      <c r="P747" s="284"/>
      <c r="Q747" s="284"/>
      <c r="R747" s="284"/>
      <c r="S747" s="284"/>
      <c r="T747" s="284"/>
      <c r="U747" s="284"/>
      <c r="V747" s="284"/>
      <c r="W747" s="284"/>
      <c r="X747" s="284"/>
      <c r="Y747" s="284"/>
      <c r="Z747" s="284"/>
      <c r="AA747" s="284"/>
    </row>
    <row r="748">
      <c r="A748" s="284"/>
      <c r="B748" s="284"/>
      <c r="C748" s="285"/>
      <c r="D748" s="285"/>
      <c r="E748" s="285"/>
      <c r="F748" s="285"/>
      <c r="G748" s="285"/>
      <c r="H748" s="285"/>
      <c r="I748" s="286"/>
      <c r="J748" s="286"/>
      <c r="K748" s="285"/>
      <c r="L748" s="284"/>
      <c r="M748" s="287"/>
      <c r="N748" s="284"/>
      <c r="O748" s="284"/>
      <c r="P748" s="284"/>
      <c r="Q748" s="284"/>
      <c r="R748" s="284"/>
      <c r="S748" s="284"/>
      <c r="T748" s="284"/>
      <c r="U748" s="284"/>
      <c r="V748" s="284"/>
      <c r="W748" s="284"/>
      <c r="X748" s="284"/>
      <c r="Y748" s="284"/>
      <c r="Z748" s="284"/>
      <c r="AA748" s="284"/>
    </row>
    <row r="749">
      <c r="A749" s="284"/>
      <c r="B749" s="284"/>
      <c r="C749" s="285"/>
      <c r="D749" s="285"/>
      <c r="E749" s="285"/>
      <c r="F749" s="285"/>
      <c r="G749" s="285"/>
      <c r="H749" s="285"/>
      <c r="I749" s="286"/>
      <c r="J749" s="286"/>
      <c r="K749" s="285"/>
      <c r="L749" s="284"/>
      <c r="M749" s="287"/>
      <c r="N749" s="284"/>
      <c r="O749" s="284"/>
      <c r="P749" s="284"/>
      <c r="Q749" s="284"/>
      <c r="R749" s="284"/>
      <c r="S749" s="284"/>
      <c r="T749" s="284"/>
      <c r="U749" s="284"/>
      <c r="V749" s="284"/>
      <c r="W749" s="284"/>
      <c r="X749" s="284"/>
      <c r="Y749" s="284"/>
      <c r="Z749" s="284"/>
      <c r="AA749" s="284"/>
    </row>
    <row r="750">
      <c r="A750" s="284"/>
      <c r="B750" s="284"/>
      <c r="C750" s="285"/>
      <c r="D750" s="285"/>
      <c r="E750" s="285"/>
      <c r="F750" s="285"/>
      <c r="G750" s="285"/>
      <c r="H750" s="285"/>
      <c r="I750" s="286"/>
      <c r="J750" s="286"/>
      <c r="K750" s="285"/>
      <c r="L750" s="284"/>
      <c r="M750" s="287"/>
      <c r="N750" s="284"/>
      <c r="O750" s="284"/>
      <c r="P750" s="284"/>
      <c r="Q750" s="284"/>
      <c r="R750" s="284"/>
      <c r="S750" s="284"/>
      <c r="T750" s="284"/>
      <c r="U750" s="284"/>
      <c r="V750" s="284"/>
      <c r="W750" s="284"/>
      <c r="X750" s="284"/>
      <c r="Y750" s="284"/>
      <c r="Z750" s="284"/>
      <c r="AA750" s="284"/>
    </row>
    <row r="751">
      <c r="A751" s="284"/>
      <c r="B751" s="284"/>
      <c r="C751" s="285"/>
      <c r="D751" s="285"/>
      <c r="E751" s="285"/>
      <c r="F751" s="285"/>
      <c r="G751" s="285"/>
      <c r="H751" s="285"/>
      <c r="I751" s="286"/>
      <c r="J751" s="286"/>
      <c r="K751" s="285"/>
      <c r="L751" s="284"/>
      <c r="M751" s="287"/>
      <c r="N751" s="284"/>
      <c r="O751" s="284"/>
      <c r="P751" s="284"/>
      <c r="Q751" s="284"/>
      <c r="R751" s="284"/>
      <c r="S751" s="284"/>
      <c r="T751" s="284"/>
      <c r="U751" s="284"/>
      <c r="V751" s="284"/>
      <c r="W751" s="284"/>
      <c r="X751" s="284"/>
      <c r="Y751" s="284"/>
      <c r="Z751" s="284"/>
      <c r="AA751" s="284"/>
    </row>
    <row r="752">
      <c r="A752" s="284"/>
      <c r="B752" s="284"/>
      <c r="C752" s="285"/>
      <c r="D752" s="285"/>
      <c r="E752" s="285"/>
      <c r="F752" s="285"/>
      <c r="G752" s="285"/>
      <c r="H752" s="285"/>
      <c r="I752" s="286"/>
      <c r="J752" s="286"/>
      <c r="K752" s="285"/>
      <c r="L752" s="284"/>
      <c r="M752" s="287"/>
      <c r="N752" s="284"/>
      <c r="O752" s="284"/>
      <c r="P752" s="284"/>
      <c r="Q752" s="284"/>
      <c r="R752" s="284"/>
      <c r="S752" s="284"/>
      <c r="T752" s="284"/>
      <c r="U752" s="284"/>
      <c r="V752" s="284"/>
      <c r="W752" s="284"/>
      <c r="X752" s="284"/>
      <c r="Y752" s="284"/>
      <c r="Z752" s="284"/>
      <c r="AA752" s="284"/>
    </row>
    <row r="753">
      <c r="A753" s="284"/>
      <c r="B753" s="284"/>
      <c r="C753" s="285"/>
      <c r="D753" s="285"/>
      <c r="E753" s="285"/>
      <c r="F753" s="285"/>
      <c r="G753" s="285"/>
      <c r="H753" s="285"/>
      <c r="I753" s="286"/>
      <c r="J753" s="286"/>
      <c r="K753" s="285"/>
      <c r="L753" s="284"/>
      <c r="M753" s="287"/>
      <c r="N753" s="284"/>
      <c r="O753" s="284"/>
      <c r="P753" s="284"/>
      <c r="Q753" s="284"/>
      <c r="R753" s="284"/>
      <c r="S753" s="284"/>
      <c r="T753" s="284"/>
      <c r="U753" s="284"/>
      <c r="V753" s="284"/>
      <c r="W753" s="284"/>
      <c r="X753" s="284"/>
      <c r="Y753" s="284"/>
      <c r="Z753" s="284"/>
      <c r="AA753" s="284"/>
    </row>
    <row r="754">
      <c r="A754" s="284"/>
      <c r="B754" s="284"/>
      <c r="C754" s="285"/>
      <c r="D754" s="285"/>
      <c r="E754" s="285"/>
      <c r="F754" s="285"/>
      <c r="G754" s="285"/>
      <c r="H754" s="285"/>
      <c r="I754" s="286"/>
      <c r="J754" s="286"/>
      <c r="K754" s="285"/>
      <c r="L754" s="284"/>
      <c r="M754" s="287"/>
      <c r="N754" s="284"/>
      <c r="O754" s="284"/>
      <c r="P754" s="284"/>
      <c r="Q754" s="284"/>
      <c r="R754" s="284"/>
      <c r="S754" s="284"/>
      <c r="T754" s="284"/>
      <c r="U754" s="284"/>
      <c r="V754" s="284"/>
      <c r="W754" s="284"/>
      <c r="X754" s="284"/>
      <c r="Y754" s="284"/>
      <c r="Z754" s="284"/>
      <c r="AA754" s="284"/>
    </row>
    <row r="755">
      <c r="A755" s="284"/>
      <c r="B755" s="284"/>
      <c r="C755" s="285"/>
      <c r="D755" s="285"/>
      <c r="E755" s="285"/>
      <c r="F755" s="285"/>
      <c r="G755" s="285"/>
      <c r="H755" s="285"/>
      <c r="I755" s="286"/>
      <c r="J755" s="286"/>
      <c r="K755" s="285"/>
      <c r="L755" s="284"/>
      <c r="M755" s="287"/>
      <c r="N755" s="284"/>
      <c r="O755" s="284"/>
      <c r="P755" s="284"/>
      <c r="Q755" s="284"/>
      <c r="R755" s="284"/>
      <c r="S755" s="284"/>
      <c r="T755" s="284"/>
      <c r="U755" s="284"/>
      <c r="V755" s="284"/>
      <c r="W755" s="284"/>
      <c r="X755" s="284"/>
      <c r="Y755" s="284"/>
      <c r="Z755" s="284"/>
      <c r="AA755" s="284"/>
    </row>
    <row r="756">
      <c r="A756" s="284"/>
      <c r="B756" s="284"/>
      <c r="C756" s="285"/>
      <c r="D756" s="285"/>
      <c r="E756" s="285"/>
      <c r="F756" s="285"/>
      <c r="G756" s="285"/>
      <c r="H756" s="285"/>
      <c r="I756" s="286"/>
      <c r="J756" s="286"/>
      <c r="K756" s="285"/>
      <c r="L756" s="284"/>
      <c r="M756" s="287"/>
      <c r="N756" s="284"/>
      <c r="O756" s="284"/>
      <c r="P756" s="284"/>
      <c r="Q756" s="284"/>
      <c r="R756" s="284"/>
      <c r="S756" s="284"/>
      <c r="T756" s="284"/>
      <c r="U756" s="284"/>
      <c r="V756" s="284"/>
      <c r="W756" s="284"/>
      <c r="X756" s="284"/>
      <c r="Y756" s="284"/>
      <c r="Z756" s="284"/>
      <c r="AA756" s="284"/>
    </row>
    <row r="757">
      <c r="A757" s="284"/>
      <c r="B757" s="284"/>
      <c r="C757" s="285"/>
      <c r="D757" s="285"/>
      <c r="E757" s="285"/>
      <c r="F757" s="285"/>
      <c r="G757" s="285"/>
      <c r="H757" s="285"/>
      <c r="I757" s="286"/>
      <c r="J757" s="286"/>
      <c r="K757" s="285"/>
      <c r="L757" s="284"/>
      <c r="M757" s="287"/>
      <c r="N757" s="284"/>
      <c r="O757" s="284"/>
      <c r="P757" s="284"/>
      <c r="Q757" s="284"/>
      <c r="R757" s="284"/>
      <c r="S757" s="284"/>
      <c r="T757" s="284"/>
      <c r="U757" s="284"/>
      <c r="V757" s="284"/>
      <c r="W757" s="284"/>
      <c r="X757" s="284"/>
      <c r="Y757" s="284"/>
      <c r="Z757" s="284"/>
      <c r="AA757" s="284"/>
    </row>
    <row r="758">
      <c r="A758" s="284"/>
      <c r="B758" s="284"/>
      <c r="C758" s="285"/>
      <c r="D758" s="285"/>
      <c r="E758" s="285"/>
      <c r="F758" s="285"/>
      <c r="G758" s="285"/>
      <c r="H758" s="285"/>
      <c r="I758" s="286"/>
      <c r="J758" s="286"/>
      <c r="K758" s="285"/>
      <c r="L758" s="284"/>
      <c r="M758" s="287"/>
      <c r="N758" s="284"/>
      <c r="O758" s="284"/>
      <c r="P758" s="284"/>
      <c r="Q758" s="284"/>
      <c r="R758" s="284"/>
      <c r="S758" s="284"/>
      <c r="T758" s="284"/>
      <c r="U758" s="284"/>
      <c r="V758" s="284"/>
      <c r="W758" s="284"/>
      <c r="X758" s="284"/>
      <c r="Y758" s="284"/>
      <c r="Z758" s="284"/>
      <c r="AA758" s="284"/>
    </row>
    <row r="759">
      <c r="A759" s="284"/>
      <c r="B759" s="284"/>
      <c r="C759" s="285"/>
      <c r="D759" s="285"/>
      <c r="E759" s="285"/>
      <c r="F759" s="285"/>
      <c r="G759" s="285"/>
      <c r="H759" s="285"/>
      <c r="I759" s="286"/>
      <c r="J759" s="286"/>
      <c r="K759" s="285"/>
      <c r="L759" s="284"/>
      <c r="M759" s="287"/>
      <c r="N759" s="284"/>
      <c r="O759" s="284"/>
      <c r="P759" s="284"/>
      <c r="Q759" s="284"/>
      <c r="R759" s="284"/>
      <c r="S759" s="284"/>
      <c r="T759" s="284"/>
      <c r="U759" s="284"/>
      <c r="V759" s="284"/>
      <c r="W759" s="284"/>
      <c r="X759" s="284"/>
      <c r="Y759" s="284"/>
      <c r="Z759" s="284"/>
      <c r="AA759" s="284"/>
    </row>
    <row r="760">
      <c r="A760" s="284"/>
      <c r="B760" s="284"/>
      <c r="C760" s="285"/>
      <c r="D760" s="285"/>
      <c r="E760" s="285"/>
      <c r="F760" s="285"/>
      <c r="G760" s="285"/>
      <c r="H760" s="285"/>
      <c r="I760" s="286"/>
      <c r="J760" s="286"/>
      <c r="K760" s="285"/>
      <c r="L760" s="284"/>
      <c r="M760" s="287"/>
      <c r="N760" s="284"/>
      <c r="O760" s="284"/>
      <c r="P760" s="284"/>
      <c r="Q760" s="284"/>
      <c r="R760" s="284"/>
      <c r="S760" s="284"/>
      <c r="T760" s="284"/>
      <c r="U760" s="284"/>
      <c r="V760" s="284"/>
      <c r="W760" s="284"/>
      <c r="X760" s="284"/>
      <c r="Y760" s="284"/>
      <c r="Z760" s="284"/>
      <c r="AA760" s="284"/>
    </row>
    <row r="761">
      <c r="A761" s="284"/>
      <c r="B761" s="284"/>
      <c r="C761" s="285"/>
      <c r="D761" s="285"/>
      <c r="E761" s="285"/>
      <c r="F761" s="285"/>
      <c r="G761" s="285"/>
      <c r="H761" s="285"/>
      <c r="I761" s="286"/>
      <c r="J761" s="286"/>
      <c r="K761" s="285"/>
      <c r="L761" s="284"/>
      <c r="M761" s="287"/>
      <c r="N761" s="284"/>
      <c r="O761" s="284"/>
      <c r="P761" s="284"/>
      <c r="Q761" s="284"/>
      <c r="R761" s="284"/>
      <c r="S761" s="284"/>
      <c r="T761" s="284"/>
      <c r="U761" s="284"/>
      <c r="V761" s="284"/>
      <c r="W761" s="284"/>
      <c r="X761" s="284"/>
      <c r="Y761" s="284"/>
      <c r="Z761" s="284"/>
      <c r="AA761" s="284"/>
    </row>
    <row r="762">
      <c r="A762" s="284"/>
      <c r="B762" s="284"/>
      <c r="C762" s="285"/>
      <c r="D762" s="285"/>
      <c r="E762" s="285"/>
      <c r="F762" s="285"/>
      <c r="G762" s="285"/>
      <c r="H762" s="285"/>
      <c r="I762" s="286"/>
      <c r="J762" s="286"/>
      <c r="K762" s="285"/>
      <c r="L762" s="284"/>
      <c r="M762" s="287"/>
      <c r="N762" s="284"/>
      <c r="O762" s="284"/>
      <c r="P762" s="284"/>
      <c r="Q762" s="284"/>
      <c r="R762" s="284"/>
      <c r="S762" s="284"/>
      <c r="T762" s="284"/>
      <c r="U762" s="284"/>
      <c r="V762" s="284"/>
      <c r="W762" s="284"/>
      <c r="X762" s="284"/>
      <c r="Y762" s="284"/>
      <c r="Z762" s="284"/>
      <c r="AA762" s="284"/>
    </row>
    <row r="763">
      <c r="A763" s="284"/>
      <c r="B763" s="284"/>
      <c r="C763" s="285"/>
      <c r="D763" s="285"/>
      <c r="E763" s="285"/>
      <c r="F763" s="285"/>
      <c r="G763" s="285"/>
      <c r="H763" s="285"/>
      <c r="I763" s="286"/>
      <c r="J763" s="286"/>
      <c r="K763" s="285"/>
      <c r="L763" s="284"/>
      <c r="M763" s="287"/>
      <c r="N763" s="284"/>
      <c r="O763" s="284"/>
      <c r="P763" s="284"/>
      <c r="Q763" s="284"/>
      <c r="R763" s="284"/>
      <c r="S763" s="284"/>
      <c r="T763" s="284"/>
      <c r="U763" s="284"/>
      <c r="V763" s="284"/>
      <c r="W763" s="284"/>
      <c r="X763" s="284"/>
      <c r="Y763" s="284"/>
      <c r="Z763" s="284"/>
      <c r="AA763" s="284"/>
    </row>
    <row r="764">
      <c r="A764" s="284"/>
      <c r="B764" s="284"/>
      <c r="C764" s="285"/>
      <c r="D764" s="285"/>
      <c r="E764" s="285"/>
      <c r="F764" s="285"/>
      <c r="G764" s="285"/>
      <c r="H764" s="285"/>
      <c r="I764" s="286"/>
      <c r="J764" s="286"/>
      <c r="K764" s="285"/>
      <c r="L764" s="284"/>
      <c r="M764" s="287"/>
      <c r="N764" s="284"/>
      <c r="O764" s="284"/>
      <c r="P764" s="284"/>
      <c r="Q764" s="284"/>
      <c r="R764" s="284"/>
      <c r="S764" s="284"/>
      <c r="T764" s="284"/>
      <c r="U764" s="284"/>
      <c r="V764" s="284"/>
      <c r="W764" s="284"/>
      <c r="X764" s="284"/>
      <c r="Y764" s="284"/>
      <c r="Z764" s="284"/>
      <c r="AA764" s="284"/>
    </row>
    <row r="765">
      <c r="A765" s="284"/>
      <c r="B765" s="284"/>
      <c r="C765" s="285"/>
      <c r="D765" s="285"/>
      <c r="E765" s="285"/>
      <c r="F765" s="285"/>
      <c r="G765" s="285"/>
      <c r="H765" s="285"/>
      <c r="I765" s="286"/>
      <c r="J765" s="286"/>
      <c r="K765" s="285"/>
      <c r="L765" s="284"/>
      <c r="M765" s="287"/>
      <c r="N765" s="284"/>
      <c r="O765" s="284"/>
      <c r="P765" s="284"/>
      <c r="Q765" s="284"/>
      <c r="R765" s="284"/>
      <c r="S765" s="284"/>
      <c r="T765" s="284"/>
      <c r="U765" s="284"/>
      <c r="V765" s="284"/>
      <c r="W765" s="284"/>
      <c r="X765" s="284"/>
      <c r="Y765" s="284"/>
      <c r="Z765" s="284"/>
      <c r="AA765" s="284"/>
    </row>
    <row r="766">
      <c r="A766" s="284"/>
      <c r="B766" s="284"/>
      <c r="C766" s="285"/>
      <c r="D766" s="285"/>
      <c r="E766" s="285"/>
      <c r="F766" s="285"/>
      <c r="G766" s="285"/>
      <c r="H766" s="285"/>
      <c r="I766" s="286"/>
      <c r="J766" s="286"/>
      <c r="K766" s="285"/>
      <c r="L766" s="284"/>
      <c r="M766" s="287"/>
      <c r="N766" s="284"/>
      <c r="O766" s="284"/>
      <c r="P766" s="284"/>
      <c r="Q766" s="284"/>
      <c r="R766" s="284"/>
      <c r="S766" s="284"/>
      <c r="T766" s="284"/>
      <c r="U766" s="284"/>
      <c r="V766" s="284"/>
      <c r="W766" s="284"/>
      <c r="X766" s="284"/>
      <c r="Y766" s="284"/>
      <c r="Z766" s="284"/>
      <c r="AA766" s="284"/>
    </row>
    <row r="767">
      <c r="A767" s="284"/>
      <c r="B767" s="284"/>
      <c r="C767" s="285"/>
      <c r="D767" s="285"/>
      <c r="E767" s="285"/>
      <c r="F767" s="285"/>
      <c r="G767" s="285"/>
      <c r="H767" s="285"/>
      <c r="I767" s="286"/>
      <c r="J767" s="286"/>
      <c r="K767" s="285"/>
      <c r="L767" s="284"/>
      <c r="M767" s="287"/>
      <c r="N767" s="284"/>
      <c r="O767" s="284"/>
      <c r="P767" s="284"/>
      <c r="Q767" s="284"/>
      <c r="R767" s="284"/>
      <c r="S767" s="284"/>
      <c r="T767" s="284"/>
      <c r="U767" s="284"/>
      <c r="V767" s="284"/>
      <c r="W767" s="284"/>
      <c r="X767" s="284"/>
      <c r="Y767" s="284"/>
      <c r="Z767" s="284"/>
      <c r="AA767" s="284"/>
    </row>
    <row r="768">
      <c r="A768" s="284"/>
      <c r="B768" s="284"/>
      <c r="C768" s="285"/>
      <c r="D768" s="285"/>
      <c r="E768" s="285"/>
      <c r="F768" s="285"/>
      <c r="G768" s="285"/>
      <c r="H768" s="285"/>
      <c r="I768" s="286"/>
      <c r="J768" s="286"/>
      <c r="K768" s="285"/>
      <c r="L768" s="284"/>
      <c r="M768" s="287"/>
      <c r="N768" s="284"/>
      <c r="O768" s="284"/>
      <c r="P768" s="284"/>
      <c r="Q768" s="284"/>
      <c r="R768" s="284"/>
      <c r="S768" s="284"/>
      <c r="T768" s="284"/>
      <c r="U768" s="284"/>
      <c r="V768" s="284"/>
      <c r="W768" s="284"/>
      <c r="X768" s="284"/>
      <c r="Y768" s="284"/>
      <c r="Z768" s="284"/>
      <c r="AA768" s="284"/>
    </row>
    <row r="769">
      <c r="A769" s="284"/>
      <c r="B769" s="284"/>
      <c r="C769" s="285"/>
      <c r="D769" s="285"/>
      <c r="E769" s="285"/>
      <c r="F769" s="285"/>
      <c r="G769" s="285"/>
      <c r="H769" s="285"/>
      <c r="I769" s="286"/>
      <c r="J769" s="286"/>
      <c r="K769" s="285"/>
      <c r="L769" s="284"/>
      <c r="M769" s="287"/>
      <c r="N769" s="284"/>
      <c r="O769" s="284"/>
      <c r="P769" s="284"/>
      <c r="Q769" s="284"/>
      <c r="R769" s="284"/>
      <c r="S769" s="284"/>
      <c r="T769" s="284"/>
      <c r="U769" s="284"/>
      <c r="V769" s="284"/>
      <c r="W769" s="284"/>
      <c r="X769" s="284"/>
      <c r="Y769" s="284"/>
      <c r="Z769" s="284"/>
      <c r="AA769" s="284"/>
    </row>
    <row r="770">
      <c r="A770" s="284"/>
      <c r="B770" s="284"/>
      <c r="C770" s="285"/>
      <c r="D770" s="285"/>
      <c r="E770" s="285"/>
      <c r="F770" s="285"/>
      <c r="G770" s="285"/>
      <c r="H770" s="285"/>
      <c r="I770" s="286"/>
      <c r="J770" s="286"/>
      <c r="K770" s="285"/>
      <c r="L770" s="284"/>
      <c r="M770" s="287"/>
      <c r="N770" s="284"/>
      <c r="O770" s="284"/>
      <c r="P770" s="284"/>
      <c r="Q770" s="284"/>
      <c r="R770" s="284"/>
      <c r="S770" s="284"/>
      <c r="T770" s="284"/>
      <c r="U770" s="284"/>
      <c r="V770" s="284"/>
      <c r="W770" s="284"/>
      <c r="X770" s="284"/>
      <c r="Y770" s="284"/>
      <c r="Z770" s="284"/>
      <c r="AA770" s="284"/>
    </row>
    <row r="771">
      <c r="A771" s="284"/>
      <c r="B771" s="284"/>
      <c r="C771" s="285"/>
      <c r="D771" s="285"/>
      <c r="E771" s="285"/>
      <c r="F771" s="285"/>
      <c r="G771" s="285"/>
      <c r="H771" s="285"/>
      <c r="I771" s="286"/>
      <c r="J771" s="286"/>
      <c r="K771" s="285"/>
      <c r="L771" s="284"/>
      <c r="M771" s="287"/>
      <c r="N771" s="284"/>
      <c r="O771" s="284"/>
      <c r="P771" s="284"/>
      <c r="Q771" s="284"/>
      <c r="R771" s="284"/>
      <c r="S771" s="284"/>
      <c r="T771" s="284"/>
      <c r="U771" s="284"/>
      <c r="V771" s="284"/>
      <c r="W771" s="284"/>
      <c r="X771" s="284"/>
      <c r="Y771" s="284"/>
      <c r="Z771" s="284"/>
      <c r="AA771" s="284"/>
    </row>
    <row r="772">
      <c r="A772" s="284"/>
      <c r="B772" s="284"/>
      <c r="C772" s="285"/>
      <c r="D772" s="285"/>
      <c r="E772" s="285"/>
      <c r="F772" s="285"/>
      <c r="G772" s="285"/>
      <c r="H772" s="285"/>
      <c r="I772" s="286"/>
      <c r="J772" s="286"/>
      <c r="K772" s="285"/>
      <c r="L772" s="284"/>
      <c r="M772" s="287"/>
      <c r="N772" s="284"/>
      <c r="O772" s="284"/>
      <c r="P772" s="284"/>
      <c r="Q772" s="284"/>
      <c r="R772" s="284"/>
      <c r="S772" s="284"/>
      <c r="T772" s="284"/>
      <c r="U772" s="284"/>
      <c r="V772" s="284"/>
      <c r="W772" s="284"/>
      <c r="X772" s="284"/>
      <c r="Y772" s="284"/>
      <c r="Z772" s="284"/>
      <c r="AA772" s="284"/>
    </row>
    <row r="773">
      <c r="A773" s="284"/>
      <c r="B773" s="284"/>
      <c r="C773" s="285"/>
      <c r="D773" s="285"/>
      <c r="E773" s="285"/>
      <c r="F773" s="285"/>
      <c r="G773" s="285"/>
      <c r="H773" s="285"/>
      <c r="I773" s="286"/>
      <c r="J773" s="286"/>
      <c r="K773" s="285"/>
      <c r="L773" s="284"/>
      <c r="M773" s="287"/>
      <c r="N773" s="284"/>
      <c r="O773" s="284"/>
      <c r="P773" s="284"/>
      <c r="Q773" s="284"/>
      <c r="R773" s="284"/>
      <c r="S773" s="284"/>
      <c r="T773" s="284"/>
      <c r="U773" s="284"/>
      <c r="V773" s="284"/>
      <c r="W773" s="284"/>
      <c r="X773" s="284"/>
      <c r="Y773" s="284"/>
      <c r="Z773" s="284"/>
      <c r="AA773" s="284"/>
    </row>
    <row r="774">
      <c r="A774" s="284"/>
      <c r="B774" s="284"/>
      <c r="C774" s="285"/>
      <c r="D774" s="285"/>
      <c r="E774" s="285"/>
      <c r="F774" s="285"/>
      <c r="G774" s="285"/>
      <c r="H774" s="285"/>
      <c r="I774" s="286"/>
      <c r="J774" s="286"/>
      <c r="K774" s="285"/>
      <c r="L774" s="284"/>
      <c r="M774" s="287"/>
      <c r="N774" s="284"/>
      <c r="O774" s="284"/>
      <c r="P774" s="284"/>
      <c r="Q774" s="284"/>
      <c r="R774" s="284"/>
      <c r="S774" s="284"/>
      <c r="T774" s="284"/>
      <c r="U774" s="284"/>
      <c r="V774" s="284"/>
      <c r="W774" s="284"/>
      <c r="X774" s="284"/>
      <c r="Y774" s="284"/>
      <c r="Z774" s="284"/>
      <c r="AA774" s="284"/>
    </row>
    <row r="775">
      <c r="A775" s="284"/>
      <c r="B775" s="284"/>
      <c r="C775" s="285"/>
      <c r="D775" s="285"/>
      <c r="E775" s="285"/>
      <c r="F775" s="285"/>
      <c r="G775" s="285"/>
      <c r="H775" s="285"/>
      <c r="I775" s="286"/>
      <c r="J775" s="286"/>
      <c r="K775" s="285"/>
      <c r="L775" s="284"/>
      <c r="M775" s="287"/>
      <c r="N775" s="284"/>
      <c r="O775" s="284"/>
      <c r="P775" s="284"/>
      <c r="Q775" s="284"/>
      <c r="R775" s="284"/>
      <c r="S775" s="284"/>
      <c r="T775" s="284"/>
      <c r="U775" s="284"/>
      <c r="V775" s="284"/>
      <c r="W775" s="284"/>
      <c r="X775" s="284"/>
      <c r="Y775" s="284"/>
      <c r="Z775" s="284"/>
      <c r="AA775" s="284"/>
    </row>
    <row r="776">
      <c r="A776" s="284"/>
      <c r="B776" s="284"/>
      <c r="C776" s="285"/>
      <c r="D776" s="285"/>
      <c r="E776" s="285"/>
      <c r="F776" s="285"/>
      <c r="G776" s="285"/>
      <c r="H776" s="285"/>
      <c r="I776" s="286"/>
      <c r="J776" s="286"/>
      <c r="K776" s="285"/>
      <c r="L776" s="284"/>
      <c r="M776" s="287"/>
      <c r="N776" s="284"/>
      <c r="O776" s="284"/>
      <c r="P776" s="284"/>
      <c r="Q776" s="284"/>
      <c r="R776" s="284"/>
      <c r="S776" s="284"/>
      <c r="T776" s="284"/>
      <c r="U776" s="284"/>
      <c r="V776" s="284"/>
      <c r="W776" s="284"/>
      <c r="X776" s="284"/>
      <c r="Y776" s="284"/>
      <c r="Z776" s="284"/>
      <c r="AA776" s="284"/>
    </row>
    <row r="777">
      <c r="A777" s="284"/>
      <c r="B777" s="284"/>
      <c r="C777" s="285"/>
      <c r="D777" s="285"/>
      <c r="E777" s="285"/>
      <c r="F777" s="285"/>
      <c r="G777" s="285"/>
      <c r="H777" s="285"/>
      <c r="I777" s="286"/>
      <c r="J777" s="286"/>
      <c r="K777" s="285"/>
      <c r="L777" s="284"/>
      <c r="M777" s="287"/>
      <c r="N777" s="284"/>
      <c r="O777" s="284"/>
      <c r="P777" s="284"/>
      <c r="Q777" s="284"/>
      <c r="R777" s="284"/>
      <c r="S777" s="284"/>
      <c r="T777" s="284"/>
      <c r="U777" s="284"/>
      <c r="V777" s="284"/>
      <c r="W777" s="284"/>
      <c r="X777" s="284"/>
      <c r="Y777" s="284"/>
      <c r="Z777" s="284"/>
      <c r="AA777" s="284"/>
    </row>
    <row r="778">
      <c r="A778" s="284"/>
      <c r="B778" s="284"/>
      <c r="C778" s="285"/>
      <c r="D778" s="285"/>
      <c r="E778" s="285"/>
      <c r="F778" s="285"/>
      <c r="G778" s="285"/>
      <c r="H778" s="285"/>
      <c r="I778" s="286"/>
      <c r="J778" s="286"/>
      <c r="K778" s="285"/>
      <c r="L778" s="284"/>
      <c r="M778" s="287"/>
      <c r="N778" s="284"/>
      <c r="O778" s="284"/>
      <c r="P778" s="284"/>
      <c r="Q778" s="284"/>
      <c r="R778" s="284"/>
      <c r="S778" s="284"/>
      <c r="T778" s="284"/>
      <c r="U778" s="284"/>
      <c r="V778" s="284"/>
      <c r="W778" s="284"/>
      <c r="X778" s="284"/>
      <c r="Y778" s="284"/>
      <c r="Z778" s="284"/>
      <c r="AA778" s="284"/>
    </row>
    <row r="779">
      <c r="A779" s="284"/>
      <c r="B779" s="284"/>
      <c r="C779" s="285"/>
      <c r="D779" s="285"/>
      <c r="E779" s="285"/>
      <c r="F779" s="285"/>
      <c r="G779" s="285"/>
      <c r="H779" s="285"/>
      <c r="I779" s="286"/>
      <c r="J779" s="286"/>
      <c r="K779" s="285"/>
      <c r="L779" s="284"/>
      <c r="M779" s="287"/>
      <c r="N779" s="284"/>
      <c r="O779" s="284"/>
      <c r="P779" s="284"/>
      <c r="Q779" s="284"/>
      <c r="R779" s="284"/>
      <c r="S779" s="284"/>
      <c r="T779" s="284"/>
      <c r="U779" s="284"/>
      <c r="V779" s="284"/>
      <c r="W779" s="284"/>
      <c r="X779" s="284"/>
      <c r="Y779" s="284"/>
      <c r="Z779" s="284"/>
      <c r="AA779" s="284"/>
    </row>
    <row r="780">
      <c r="A780" s="284"/>
      <c r="B780" s="284"/>
      <c r="C780" s="285"/>
      <c r="D780" s="285"/>
      <c r="E780" s="285"/>
      <c r="F780" s="285"/>
      <c r="G780" s="285"/>
      <c r="H780" s="285"/>
      <c r="I780" s="286"/>
      <c r="J780" s="286"/>
      <c r="K780" s="285"/>
      <c r="L780" s="284"/>
      <c r="M780" s="287"/>
      <c r="N780" s="284"/>
      <c r="O780" s="284"/>
      <c r="P780" s="284"/>
      <c r="Q780" s="284"/>
      <c r="R780" s="284"/>
      <c r="S780" s="284"/>
      <c r="T780" s="284"/>
      <c r="U780" s="284"/>
      <c r="V780" s="284"/>
      <c r="W780" s="284"/>
      <c r="X780" s="284"/>
      <c r="Y780" s="284"/>
      <c r="Z780" s="284"/>
      <c r="AA780" s="284"/>
    </row>
    <row r="781">
      <c r="A781" s="284"/>
      <c r="B781" s="284"/>
      <c r="C781" s="285"/>
      <c r="D781" s="285"/>
      <c r="E781" s="285"/>
      <c r="F781" s="285"/>
      <c r="G781" s="285"/>
      <c r="H781" s="285"/>
      <c r="I781" s="286"/>
      <c r="J781" s="286"/>
      <c r="K781" s="285"/>
      <c r="L781" s="284"/>
      <c r="M781" s="287"/>
      <c r="N781" s="284"/>
      <c r="O781" s="284"/>
      <c r="P781" s="284"/>
      <c r="Q781" s="284"/>
      <c r="R781" s="284"/>
      <c r="S781" s="284"/>
      <c r="T781" s="284"/>
      <c r="U781" s="284"/>
      <c r="V781" s="284"/>
      <c r="W781" s="284"/>
      <c r="X781" s="284"/>
      <c r="Y781" s="284"/>
      <c r="Z781" s="284"/>
      <c r="AA781" s="284"/>
    </row>
    <row r="782">
      <c r="A782" s="284"/>
      <c r="B782" s="284"/>
      <c r="C782" s="285"/>
      <c r="D782" s="285"/>
      <c r="E782" s="285"/>
      <c r="F782" s="285"/>
      <c r="G782" s="285"/>
      <c r="H782" s="285"/>
      <c r="I782" s="286"/>
      <c r="J782" s="286"/>
      <c r="K782" s="285"/>
      <c r="L782" s="284"/>
      <c r="M782" s="287"/>
      <c r="N782" s="284"/>
      <c r="O782" s="284"/>
      <c r="P782" s="284"/>
      <c r="Q782" s="284"/>
      <c r="R782" s="284"/>
      <c r="S782" s="284"/>
      <c r="T782" s="284"/>
      <c r="U782" s="284"/>
      <c r="V782" s="284"/>
      <c r="W782" s="284"/>
      <c r="X782" s="284"/>
      <c r="Y782" s="284"/>
      <c r="Z782" s="284"/>
      <c r="AA782" s="284"/>
    </row>
    <row r="783">
      <c r="A783" s="284"/>
      <c r="B783" s="284"/>
      <c r="C783" s="285"/>
      <c r="D783" s="285"/>
      <c r="E783" s="285"/>
      <c r="F783" s="285"/>
      <c r="G783" s="285"/>
      <c r="H783" s="285"/>
      <c r="I783" s="286"/>
      <c r="J783" s="286"/>
      <c r="K783" s="285"/>
      <c r="L783" s="284"/>
      <c r="M783" s="287"/>
      <c r="N783" s="284"/>
      <c r="O783" s="284"/>
      <c r="P783" s="284"/>
      <c r="Q783" s="284"/>
      <c r="R783" s="284"/>
      <c r="S783" s="284"/>
      <c r="T783" s="284"/>
      <c r="U783" s="284"/>
      <c r="V783" s="284"/>
      <c r="W783" s="284"/>
      <c r="X783" s="284"/>
      <c r="Y783" s="284"/>
      <c r="Z783" s="284"/>
      <c r="AA783" s="284"/>
    </row>
    <row r="784">
      <c r="A784" s="284"/>
      <c r="B784" s="284"/>
      <c r="C784" s="285"/>
      <c r="D784" s="285"/>
      <c r="E784" s="285"/>
      <c r="F784" s="285"/>
      <c r="G784" s="285"/>
      <c r="H784" s="285"/>
      <c r="I784" s="286"/>
      <c r="J784" s="286"/>
      <c r="K784" s="285"/>
      <c r="L784" s="284"/>
      <c r="M784" s="287"/>
      <c r="N784" s="284"/>
      <c r="O784" s="284"/>
      <c r="P784" s="284"/>
      <c r="Q784" s="284"/>
      <c r="R784" s="284"/>
      <c r="S784" s="284"/>
      <c r="T784" s="284"/>
      <c r="U784" s="284"/>
      <c r="V784" s="284"/>
      <c r="W784" s="284"/>
      <c r="X784" s="284"/>
      <c r="Y784" s="284"/>
      <c r="Z784" s="284"/>
      <c r="AA784" s="284"/>
    </row>
    <row r="785">
      <c r="A785" s="284"/>
      <c r="B785" s="284"/>
      <c r="C785" s="285"/>
      <c r="D785" s="285"/>
      <c r="E785" s="285"/>
      <c r="F785" s="285"/>
      <c r="G785" s="285"/>
      <c r="H785" s="285"/>
      <c r="I785" s="286"/>
      <c r="J785" s="286"/>
      <c r="K785" s="285"/>
      <c r="L785" s="284"/>
      <c r="M785" s="287"/>
      <c r="N785" s="284"/>
      <c r="O785" s="284"/>
      <c r="P785" s="284"/>
      <c r="Q785" s="284"/>
      <c r="R785" s="284"/>
      <c r="S785" s="284"/>
      <c r="T785" s="284"/>
      <c r="U785" s="284"/>
      <c r="V785" s="284"/>
      <c r="W785" s="284"/>
      <c r="X785" s="284"/>
      <c r="Y785" s="284"/>
      <c r="Z785" s="284"/>
      <c r="AA785" s="284"/>
    </row>
    <row r="786">
      <c r="A786" s="284"/>
      <c r="B786" s="284"/>
      <c r="C786" s="285"/>
      <c r="D786" s="285"/>
      <c r="E786" s="285"/>
      <c r="F786" s="285"/>
      <c r="G786" s="285"/>
      <c r="H786" s="285"/>
      <c r="I786" s="286"/>
      <c r="J786" s="286"/>
      <c r="K786" s="285"/>
      <c r="L786" s="284"/>
      <c r="M786" s="287"/>
      <c r="N786" s="284"/>
      <c r="O786" s="284"/>
      <c r="P786" s="284"/>
      <c r="Q786" s="284"/>
      <c r="R786" s="284"/>
      <c r="S786" s="284"/>
      <c r="T786" s="284"/>
      <c r="U786" s="284"/>
      <c r="V786" s="284"/>
      <c r="W786" s="284"/>
      <c r="X786" s="284"/>
      <c r="Y786" s="284"/>
      <c r="Z786" s="284"/>
      <c r="AA786" s="284"/>
    </row>
    <row r="787">
      <c r="A787" s="284"/>
      <c r="B787" s="284"/>
      <c r="C787" s="285"/>
      <c r="D787" s="285"/>
      <c r="E787" s="285"/>
      <c r="F787" s="285"/>
      <c r="G787" s="285"/>
      <c r="H787" s="285"/>
      <c r="I787" s="286"/>
      <c r="J787" s="286"/>
      <c r="K787" s="285"/>
      <c r="L787" s="284"/>
      <c r="M787" s="287"/>
      <c r="N787" s="284"/>
      <c r="O787" s="284"/>
      <c r="P787" s="284"/>
      <c r="Q787" s="284"/>
      <c r="R787" s="284"/>
      <c r="S787" s="284"/>
      <c r="T787" s="284"/>
      <c r="U787" s="284"/>
      <c r="V787" s="284"/>
      <c r="W787" s="284"/>
      <c r="X787" s="284"/>
      <c r="Y787" s="284"/>
      <c r="Z787" s="284"/>
      <c r="AA787" s="284"/>
    </row>
    <row r="788">
      <c r="A788" s="284"/>
      <c r="B788" s="284"/>
      <c r="C788" s="285"/>
      <c r="D788" s="285"/>
      <c r="E788" s="285"/>
      <c r="F788" s="285"/>
      <c r="G788" s="285"/>
      <c r="H788" s="285"/>
      <c r="I788" s="286"/>
      <c r="J788" s="286"/>
      <c r="K788" s="285"/>
      <c r="L788" s="284"/>
      <c r="M788" s="287"/>
      <c r="N788" s="284"/>
      <c r="O788" s="284"/>
      <c r="P788" s="284"/>
      <c r="Q788" s="284"/>
      <c r="R788" s="284"/>
      <c r="S788" s="284"/>
      <c r="T788" s="284"/>
      <c r="U788" s="284"/>
      <c r="V788" s="284"/>
      <c r="W788" s="284"/>
      <c r="X788" s="284"/>
      <c r="Y788" s="284"/>
      <c r="Z788" s="284"/>
      <c r="AA788" s="284"/>
    </row>
    <row r="789">
      <c r="A789" s="284"/>
      <c r="B789" s="284"/>
      <c r="C789" s="285"/>
      <c r="D789" s="285"/>
      <c r="E789" s="285"/>
      <c r="F789" s="285"/>
      <c r="G789" s="285"/>
      <c r="H789" s="285"/>
      <c r="I789" s="286"/>
      <c r="J789" s="286"/>
      <c r="K789" s="285"/>
      <c r="L789" s="284"/>
      <c r="M789" s="287"/>
      <c r="N789" s="284"/>
      <c r="O789" s="284"/>
      <c r="P789" s="284"/>
      <c r="Q789" s="284"/>
      <c r="R789" s="284"/>
      <c r="S789" s="284"/>
      <c r="T789" s="284"/>
      <c r="U789" s="284"/>
      <c r="V789" s="284"/>
      <c r="W789" s="284"/>
      <c r="X789" s="284"/>
      <c r="Y789" s="284"/>
      <c r="Z789" s="284"/>
      <c r="AA789" s="284"/>
    </row>
    <row r="790">
      <c r="A790" s="284"/>
      <c r="B790" s="284"/>
      <c r="C790" s="285"/>
      <c r="D790" s="285"/>
      <c r="E790" s="285"/>
      <c r="F790" s="285"/>
      <c r="G790" s="285"/>
      <c r="H790" s="285"/>
      <c r="I790" s="286"/>
      <c r="J790" s="286"/>
      <c r="K790" s="285"/>
      <c r="L790" s="284"/>
      <c r="M790" s="287"/>
      <c r="N790" s="284"/>
      <c r="O790" s="284"/>
      <c r="P790" s="284"/>
      <c r="Q790" s="284"/>
      <c r="R790" s="284"/>
      <c r="S790" s="284"/>
      <c r="T790" s="284"/>
      <c r="U790" s="284"/>
      <c r="V790" s="284"/>
      <c r="W790" s="284"/>
      <c r="X790" s="284"/>
      <c r="Y790" s="284"/>
      <c r="Z790" s="284"/>
      <c r="AA790" s="284"/>
    </row>
    <row r="791">
      <c r="A791" s="284"/>
      <c r="B791" s="284"/>
      <c r="C791" s="285"/>
      <c r="D791" s="285"/>
      <c r="E791" s="285"/>
      <c r="F791" s="285"/>
      <c r="G791" s="285"/>
      <c r="H791" s="285"/>
      <c r="I791" s="286"/>
      <c r="J791" s="286"/>
      <c r="K791" s="285"/>
      <c r="L791" s="284"/>
      <c r="M791" s="287"/>
      <c r="N791" s="284"/>
      <c r="O791" s="284"/>
      <c r="P791" s="284"/>
      <c r="Q791" s="284"/>
      <c r="R791" s="284"/>
      <c r="S791" s="284"/>
      <c r="T791" s="284"/>
      <c r="U791" s="284"/>
      <c r="V791" s="284"/>
      <c r="W791" s="284"/>
      <c r="X791" s="284"/>
      <c r="Y791" s="284"/>
      <c r="Z791" s="284"/>
      <c r="AA791" s="284"/>
    </row>
    <row r="792">
      <c r="A792" s="284"/>
      <c r="B792" s="284"/>
      <c r="C792" s="285"/>
      <c r="D792" s="285"/>
      <c r="E792" s="285"/>
      <c r="F792" s="285"/>
      <c r="G792" s="285"/>
      <c r="H792" s="285"/>
      <c r="I792" s="286"/>
      <c r="J792" s="286"/>
      <c r="K792" s="285"/>
      <c r="L792" s="284"/>
      <c r="M792" s="287"/>
      <c r="N792" s="284"/>
      <c r="O792" s="284"/>
      <c r="P792" s="284"/>
      <c r="Q792" s="284"/>
      <c r="R792" s="284"/>
      <c r="S792" s="284"/>
      <c r="T792" s="284"/>
      <c r="U792" s="284"/>
      <c r="V792" s="284"/>
      <c r="W792" s="284"/>
      <c r="X792" s="284"/>
      <c r="Y792" s="284"/>
      <c r="Z792" s="284"/>
      <c r="AA792" s="284"/>
    </row>
    <row r="793">
      <c r="A793" s="284"/>
      <c r="B793" s="284"/>
      <c r="C793" s="285"/>
      <c r="D793" s="285"/>
      <c r="E793" s="285"/>
      <c r="F793" s="285"/>
      <c r="G793" s="285"/>
      <c r="H793" s="285"/>
      <c r="I793" s="286"/>
      <c r="J793" s="286"/>
      <c r="K793" s="285"/>
      <c r="L793" s="284"/>
      <c r="M793" s="287"/>
      <c r="N793" s="284"/>
      <c r="O793" s="284"/>
      <c r="P793" s="284"/>
      <c r="Q793" s="284"/>
      <c r="R793" s="284"/>
      <c r="S793" s="284"/>
      <c r="T793" s="284"/>
      <c r="U793" s="284"/>
      <c r="V793" s="284"/>
      <c r="W793" s="284"/>
      <c r="X793" s="284"/>
      <c r="Y793" s="284"/>
      <c r="Z793" s="284"/>
      <c r="AA793" s="284"/>
    </row>
    <row r="794">
      <c r="A794" s="284"/>
      <c r="B794" s="284"/>
      <c r="C794" s="285"/>
      <c r="D794" s="285"/>
      <c r="E794" s="285"/>
      <c r="F794" s="285"/>
      <c r="G794" s="285"/>
      <c r="H794" s="285"/>
      <c r="I794" s="286"/>
      <c r="J794" s="286"/>
      <c r="K794" s="285"/>
      <c r="L794" s="284"/>
      <c r="M794" s="287"/>
      <c r="N794" s="284"/>
      <c r="O794" s="284"/>
      <c r="P794" s="284"/>
      <c r="Q794" s="284"/>
      <c r="R794" s="284"/>
      <c r="S794" s="284"/>
      <c r="T794" s="284"/>
      <c r="U794" s="284"/>
      <c r="V794" s="284"/>
      <c r="W794" s="284"/>
      <c r="X794" s="284"/>
      <c r="Y794" s="284"/>
      <c r="Z794" s="284"/>
      <c r="AA794" s="284"/>
    </row>
    <row r="795">
      <c r="A795" s="284"/>
      <c r="B795" s="284"/>
      <c r="C795" s="285"/>
      <c r="D795" s="285"/>
      <c r="E795" s="285"/>
      <c r="F795" s="285"/>
      <c r="G795" s="285"/>
      <c r="H795" s="285"/>
      <c r="I795" s="286"/>
      <c r="J795" s="286"/>
      <c r="K795" s="285"/>
      <c r="L795" s="284"/>
      <c r="M795" s="287"/>
      <c r="N795" s="284"/>
      <c r="O795" s="284"/>
      <c r="P795" s="284"/>
      <c r="Q795" s="284"/>
      <c r="R795" s="284"/>
      <c r="S795" s="284"/>
      <c r="T795" s="284"/>
      <c r="U795" s="284"/>
      <c r="V795" s="284"/>
      <c r="W795" s="284"/>
      <c r="X795" s="284"/>
      <c r="Y795" s="284"/>
      <c r="Z795" s="284"/>
      <c r="AA795" s="284"/>
    </row>
    <row r="796">
      <c r="A796" s="284"/>
      <c r="B796" s="284"/>
      <c r="C796" s="285"/>
      <c r="D796" s="285"/>
      <c r="E796" s="285"/>
      <c r="F796" s="285"/>
      <c r="G796" s="285"/>
      <c r="H796" s="285"/>
      <c r="I796" s="286"/>
      <c r="J796" s="286"/>
      <c r="K796" s="285"/>
      <c r="L796" s="284"/>
      <c r="M796" s="287"/>
      <c r="N796" s="284"/>
      <c r="O796" s="284"/>
      <c r="P796" s="284"/>
      <c r="Q796" s="284"/>
      <c r="R796" s="284"/>
      <c r="S796" s="284"/>
      <c r="T796" s="284"/>
      <c r="U796" s="284"/>
      <c r="V796" s="284"/>
      <c r="W796" s="284"/>
      <c r="X796" s="284"/>
      <c r="Y796" s="284"/>
      <c r="Z796" s="284"/>
      <c r="AA796" s="284"/>
    </row>
    <row r="797">
      <c r="A797" s="284"/>
      <c r="B797" s="284"/>
      <c r="C797" s="285"/>
      <c r="D797" s="285"/>
      <c r="E797" s="285"/>
      <c r="F797" s="285"/>
      <c r="G797" s="285"/>
      <c r="H797" s="285"/>
      <c r="I797" s="286"/>
      <c r="J797" s="286"/>
      <c r="K797" s="285"/>
      <c r="L797" s="284"/>
      <c r="M797" s="287"/>
      <c r="N797" s="284"/>
      <c r="O797" s="284"/>
      <c r="P797" s="284"/>
      <c r="Q797" s="284"/>
      <c r="R797" s="284"/>
      <c r="S797" s="284"/>
      <c r="T797" s="284"/>
      <c r="U797" s="284"/>
      <c r="V797" s="284"/>
      <c r="W797" s="284"/>
      <c r="X797" s="284"/>
      <c r="Y797" s="284"/>
      <c r="Z797" s="284"/>
      <c r="AA797" s="284"/>
    </row>
    <row r="798">
      <c r="A798" s="284"/>
      <c r="B798" s="284"/>
      <c r="C798" s="285"/>
      <c r="D798" s="285"/>
      <c r="E798" s="285"/>
      <c r="F798" s="285"/>
      <c r="G798" s="285"/>
      <c r="H798" s="285"/>
      <c r="I798" s="286"/>
      <c r="J798" s="286"/>
      <c r="K798" s="285"/>
      <c r="L798" s="284"/>
      <c r="M798" s="287"/>
      <c r="N798" s="284"/>
      <c r="O798" s="284"/>
      <c r="P798" s="284"/>
      <c r="Q798" s="284"/>
      <c r="R798" s="284"/>
      <c r="S798" s="284"/>
      <c r="T798" s="284"/>
      <c r="U798" s="284"/>
      <c r="V798" s="284"/>
      <c r="W798" s="284"/>
      <c r="X798" s="284"/>
      <c r="Y798" s="284"/>
      <c r="Z798" s="284"/>
      <c r="AA798" s="284"/>
    </row>
    <row r="799">
      <c r="A799" s="284"/>
      <c r="B799" s="284"/>
      <c r="C799" s="285"/>
      <c r="D799" s="285"/>
      <c r="E799" s="285"/>
      <c r="F799" s="285"/>
      <c r="G799" s="285"/>
      <c r="H799" s="285"/>
      <c r="I799" s="286"/>
      <c r="J799" s="286"/>
      <c r="K799" s="285"/>
      <c r="L799" s="284"/>
      <c r="M799" s="287"/>
      <c r="N799" s="284"/>
      <c r="O799" s="284"/>
      <c r="P799" s="284"/>
      <c r="Q799" s="284"/>
      <c r="R799" s="284"/>
      <c r="S799" s="284"/>
      <c r="T799" s="284"/>
      <c r="U799" s="284"/>
      <c r="V799" s="284"/>
      <c r="W799" s="284"/>
      <c r="X799" s="284"/>
      <c r="Y799" s="284"/>
      <c r="Z799" s="284"/>
      <c r="AA799" s="284"/>
    </row>
    <row r="800">
      <c r="A800" s="284"/>
      <c r="B800" s="284"/>
      <c r="C800" s="285"/>
      <c r="D800" s="285"/>
      <c r="E800" s="285"/>
      <c r="F800" s="285"/>
      <c r="G800" s="285"/>
      <c r="H800" s="285"/>
      <c r="I800" s="286"/>
      <c r="J800" s="286"/>
      <c r="K800" s="285"/>
      <c r="L800" s="284"/>
      <c r="M800" s="287"/>
      <c r="N800" s="284"/>
      <c r="O800" s="284"/>
      <c r="P800" s="284"/>
      <c r="Q800" s="284"/>
      <c r="R800" s="284"/>
      <c r="S800" s="284"/>
      <c r="T800" s="284"/>
      <c r="U800" s="284"/>
      <c r="V800" s="284"/>
      <c r="W800" s="284"/>
      <c r="X800" s="284"/>
      <c r="Y800" s="284"/>
      <c r="Z800" s="284"/>
      <c r="AA800" s="284"/>
    </row>
    <row r="801">
      <c r="A801" s="284"/>
      <c r="B801" s="284"/>
      <c r="C801" s="285"/>
      <c r="D801" s="285"/>
      <c r="E801" s="285"/>
      <c r="F801" s="285"/>
      <c r="G801" s="285"/>
      <c r="H801" s="285"/>
      <c r="I801" s="286"/>
      <c r="J801" s="286"/>
      <c r="K801" s="285"/>
      <c r="L801" s="284"/>
      <c r="M801" s="287"/>
      <c r="N801" s="284"/>
      <c r="O801" s="284"/>
      <c r="P801" s="284"/>
      <c r="Q801" s="284"/>
      <c r="R801" s="284"/>
      <c r="S801" s="284"/>
      <c r="T801" s="284"/>
      <c r="U801" s="284"/>
      <c r="V801" s="284"/>
      <c r="W801" s="284"/>
      <c r="X801" s="284"/>
      <c r="Y801" s="284"/>
      <c r="Z801" s="284"/>
      <c r="AA801" s="284"/>
    </row>
    <row r="802">
      <c r="A802" s="284"/>
      <c r="B802" s="284"/>
      <c r="C802" s="285"/>
      <c r="D802" s="285"/>
      <c r="E802" s="285"/>
      <c r="F802" s="285"/>
      <c r="G802" s="285"/>
      <c r="H802" s="285"/>
      <c r="I802" s="286"/>
      <c r="J802" s="286"/>
      <c r="K802" s="285"/>
      <c r="L802" s="284"/>
      <c r="M802" s="287"/>
      <c r="N802" s="284"/>
      <c r="O802" s="284"/>
      <c r="P802" s="284"/>
      <c r="Q802" s="284"/>
      <c r="R802" s="284"/>
      <c r="S802" s="284"/>
      <c r="T802" s="284"/>
      <c r="U802" s="284"/>
      <c r="V802" s="284"/>
      <c r="W802" s="284"/>
      <c r="X802" s="284"/>
      <c r="Y802" s="284"/>
      <c r="Z802" s="284"/>
      <c r="AA802" s="284"/>
    </row>
    <row r="803">
      <c r="A803" s="284"/>
      <c r="B803" s="284"/>
      <c r="C803" s="285"/>
      <c r="D803" s="285"/>
      <c r="E803" s="285"/>
      <c r="F803" s="285"/>
      <c r="G803" s="285"/>
      <c r="H803" s="285"/>
      <c r="I803" s="286"/>
      <c r="J803" s="286"/>
      <c r="K803" s="285"/>
      <c r="L803" s="284"/>
      <c r="M803" s="287"/>
      <c r="N803" s="284"/>
      <c r="O803" s="284"/>
      <c r="P803" s="284"/>
      <c r="Q803" s="284"/>
      <c r="R803" s="284"/>
      <c r="S803" s="284"/>
      <c r="T803" s="284"/>
      <c r="U803" s="284"/>
      <c r="V803" s="284"/>
      <c r="W803" s="284"/>
      <c r="X803" s="284"/>
      <c r="Y803" s="284"/>
      <c r="Z803" s="284"/>
      <c r="AA803" s="284"/>
    </row>
    <row r="804">
      <c r="A804" s="284"/>
      <c r="B804" s="284"/>
      <c r="C804" s="285"/>
      <c r="D804" s="285"/>
      <c r="E804" s="285"/>
      <c r="F804" s="285"/>
      <c r="G804" s="285"/>
      <c r="H804" s="285"/>
      <c r="I804" s="286"/>
      <c r="J804" s="286"/>
      <c r="K804" s="285"/>
      <c r="L804" s="284"/>
      <c r="M804" s="287"/>
      <c r="N804" s="284"/>
      <c r="O804" s="284"/>
      <c r="P804" s="284"/>
      <c r="Q804" s="284"/>
      <c r="R804" s="284"/>
      <c r="S804" s="284"/>
      <c r="T804" s="284"/>
      <c r="U804" s="284"/>
      <c r="V804" s="284"/>
      <c r="W804" s="284"/>
      <c r="X804" s="284"/>
      <c r="Y804" s="284"/>
      <c r="Z804" s="284"/>
      <c r="AA804" s="284"/>
    </row>
    <row r="805">
      <c r="A805" s="284"/>
      <c r="B805" s="284"/>
      <c r="C805" s="285"/>
      <c r="D805" s="285"/>
      <c r="E805" s="285"/>
      <c r="F805" s="285"/>
      <c r="G805" s="285"/>
      <c r="H805" s="285"/>
      <c r="I805" s="286"/>
      <c r="J805" s="286"/>
      <c r="K805" s="285"/>
      <c r="L805" s="284"/>
      <c r="M805" s="287"/>
      <c r="N805" s="284"/>
      <c r="O805" s="284"/>
      <c r="P805" s="284"/>
      <c r="Q805" s="284"/>
      <c r="R805" s="284"/>
      <c r="S805" s="284"/>
      <c r="T805" s="284"/>
      <c r="U805" s="284"/>
      <c r="V805" s="284"/>
      <c r="W805" s="284"/>
      <c r="X805" s="284"/>
      <c r="Y805" s="284"/>
      <c r="Z805" s="284"/>
      <c r="AA805" s="284"/>
    </row>
    <row r="806">
      <c r="A806" s="284"/>
      <c r="B806" s="284"/>
      <c r="C806" s="285"/>
      <c r="D806" s="285"/>
      <c r="E806" s="285"/>
      <c r="F806" s="285"/>
      <c r="G806" s="285"/>
      <c r="H806" s="285"/>
      <c r="I806" s="286"/>
      <c r="J806" s="286"/>
      <c r="K806" s="285"/>
      <c r="L806" s="284"/>
      <c r="M806" s="287"/>
      <c r="N806" s="284"/>
      <c r="O806" s="284"/>
      <c r="P806" s="284"/>
      <c r="Q806" s="284"/>
      <c r="R806" s="284"/>
      <c r="S806" s="284"/>
      <c r="T806" s="284"/>
      <c r="U806" s="284"/>
      <c r="V806" s="284"/>
      <c r="W806" s="284"/>
      <c r="X806" s="284"/>
      <c r="Y806" s="284"/>
      <c r="Z806" s="284"/>
      <c r="AA806" s="284"/>
    </row>
    <row r="807">
      <c r="A807" s="284"/>
      <c r="B807" s="284"/>
      <c r="C807" s="285"/>
      <c r="D807" s="285"/>
      <c r="E807" s="285"/>
      <c r="F807" s="285"/>
      <c r="G807" s="285"/>
      <c r="H807" s="285"/>
      <c r="I807" s="286"/>
      <c r="J807" s="286"/>
      <c r="K807" s="285"/>
      <c r="L807" s="284"/>
      <c r="M807" s="287"/>
      <c r="N807" s="284"/>
      <c r="O807" s="284"/>
      <c r="P807" s="284"/>
      <c r="Q807" s="284"/>
      <c r="R807" s="284"/>
      <c r="S807" s="284"/>
      <c r="T807" s="284"/>
      <c r="U807" s="284"/>
      <c r="V807" s="284"/>
      <c r="W807" s="284"/>
      <c r="X807" s="284"/>
      <c r="Y807" s="284"/>
      <c r="Z807" s="284"/>
      <c r="AA807" s="284"/>
    </row>
    <row r="808">
      <c r="A808" s="284"/>
      <c r="B808" s="284"/>
      <c r="C808" s="285"/>
      <c r="D808" s="285"/>
      <c r="E808" s="285"/>
      <c r="F808" s="285"/>
      <c r="G808" s="285"/>
      <c r="H808" s="285"/>
      <c r="I808" s="286"/>
      <c r="J808" s="286"/>
      <c r="K808" s="285"/>
      <c r="L808" s="284"/>
      <c r="M808" s="287"/>
      <c r="N808" s="284"/>
      <c r="O808" s="284"/>
      <c r="P808" s="284"/>
      <c r="Q808" s="284"/>
      <c r="R808" s="284"/>
      <c r="S808" s="284"/>
      <c r="T808" s="284"/>
      <c r="U808" s="284"/>
      <c r="V808" s="284"/>
      <c r="W808" s="284"/>
      <c r="X808" s="284"/>
      <c r="Y808" s="284"/>
      <c r="Z808" s="284"/>
      <c r="AA808" s="284"/>
    </row>
    <row r="809">
      <c r="A809" s="284"/>
      <c r="B809" s="284"/>
      <c r="C809" s="285"/>
      <c r="D809" s="285"/>
      <c r="E809" s="285"/>
      <c r="F809" s="285"/>
      <c r="G809" s="285"/>
      <c r="H809" s="285"/>
      <c r="I809" s="286"/>
      <c r="J809" s="286"/>
      <c r="K809" s="285"/>
      <c r="L809" s="284"/>
      <c r="M809" s="287"/>
      <c r="N809" s="284"/>
      <c r="O809" s="284"/>
      <c r="P809" s="284"/>
      <c r="Q809" s="284"/>
      <c r="R809" s="284"/>
      <c r="S809" s="284"/>
      <c r="T809" s="284"/>
      <c r="U809" s="284"/>
      <c r="V809" s="284"/>
      <c r="W809" s="284"/>
      <c r="X809" s="284"/>
      <c r="Y809" s="284"/>
      <c r="Z809" s="284"/>
      <c r="AA809" s="284"/>
    </row>
    <row r="810">
      <c r="A810" s="284"/>
      <c r="B810" s="284"/>
      <c r="C810" s="285"/>
      <c r="D810" s="285"/>
      <c r="E810" s="285"/>
      <c r="F810" s="285"/>
      <c r="G810" s="285"/>
      <c r="H810" s="285"/>
      <c r="I810" s="286"/>
      <c r="J810" s="286"/>
      <c r="K810" s="285"/>
      <c r="L810" s="284"/>
      <c r="M810" s="287"/>
      <c r="N810" s="284"/>
      <c r="O810" s="284"/>
      <c r="P810" s="284"/>
      <c r="Q810" s="284"/>
      <c r="R810" s="284"/>
      <c r="S810" s="284"/>
      <c r="T810" s="284"/>
      <c r="U810" s="284"/>
      <c r="V810" s="284"/>
      <c r="W810" s="284"/>
      <c r="X810" s="284"/>
      <c r="Y810" s="284"/>
      <c r="Z810" s="284"/>
      <c r="AA810" s="284"/>
    </row>
    <row r="811">
      <c r="A811" s="284"/>
      <c r="B811" s="284"/>
      <c r="C811" s="285"/>
      <c r="D811" s="285"/>
      <c r="E811" s="285"/>
      <c r="F811" s="285"/>
      <c r="G811" s="285"/>
      <c r="H811" s="285"/>
      <c r="I811" s="286"/>
      <c r="J811" s="286"/>
      <c r="K811" s="285"/>
      <c r="L811" s="284"/>
      <c r="M811" s="287"/>
      <c r="N811" s="284"/>
      <c r="O811" s="284"/>
      <c r="P811" s="284"/>
      <c r="Q811" s="284"/>
      <c r="R811" s="284"/>
      <c r="S811" s="284"/>
      <c r="T811" s="284"/>
      <c r="U811" s="284"/>
      <c r="V811" s="284"/>
      <c r="W811" s="284"/>
      <c r="X811" s="284"/>
      <c r="Y811" s="284"/>
      <c r="Z811" s="284"/>
      <c r="AA811" s="284"/>
    </row>
    <row r="812">
      <c r="A812" s="284"/>
      <c r="B812" s="284"/>
      <c r="C812" s="285"/>
      <c r="D812" s="285"/>
      <c r="E812" s="285"/>
      <c r="F812" s="285"/>
      <c r="G812" s="285"/>
      <c r="H812" s="285"/>
      <c r="I812" s="286"/>
      <c r="J812" s="286"/>
      <c r="K812" s="285"/>
      <c r="L812" s="284"/>
      <c r="M812" s="287"/>
      <c r="N812" s="284"/>
      <c r="O812" s="284"/>
      <c r="P812" s="284"/>
      <c r="Q812" s="284"/>
      <c r="R812" s="284"/>
      <c r="S812" s="284"/>
      <c r="T812" s="284"/>
      <c r="U812" s="284"/>
      <c r="V812" s="284"/>
      <c r="W812" s="284"/>
      <c r="X812" s="284"/>
      <c r="Y812" s="284"/>
      <c r="Z812" s="284"/>
      <c r="AA812" s="284"/>
    </row>
    <row r="813">
      <c r="A813" s="284"/>
      <c r="B813" s="284"/>
      <c r="C813" s="285"/>
      <c r="D813" s="285"/>
      <c r="E813" s="285"/>
      <c r="F813" s="285"/>
      <c r="G813" s="285"/>
      <c r="H813" s="285"/>
      <c r="I813" s="286"/>
      <c r="J813" s="286"/>
      <c r="K813" s="285"/>
      <c r="L813" s="284"/>
      <c r="M813" s="287"/>
      <c r="N813" s="284"/>
      <c r="O813" s="284"/>
      <c r="P813" s="284"/>
      <c r="Q813" s="284"/>
      <c r="R813" s="284"/>
      <c r="S813" s="284"/>
      <c r="T813" s="284"/>
      <c r="U813" s="284"/>
      <c r="V813" s="284"/>
      <c r="W813" s="284"/>
      <c r="X813" s="284"/>
      <c r="Y813" s="284"/>
      <c r="Z813" s="284"/>
      <c r="AA813" s="284"/>
    </row>
    <row r="814">
      <c r="A814" s="284"/>
      <c r="B814" s="284"/>
      <c r="C814" s="285"/>
      <c r="D814" s="285"/>
      <c r="E814" s="285"/>
      <c r="F814" s="285"/>
      <c r="G814" s="285"/>
      <c r="H814" s="285"/>
      <c r="I814" s="286"/>
      <c r="J814" s="286"/>
      <c r="K814" s="285"/>
      <c r="L814" s="284"/>
      <c r="M814" s="287"/>
      <c r="N814" s="284"/>
      <c r="O814" s="284"/>
      <c r="P814" s="284"/>
      <c r="Q814" s="284"/>
      <c r="R814" s="284"/>
      <c r="S814" s="284"/>
      <c r="T814" s="284"/>
      <c r="U814" s="284"/>
      <c r="V814" s="284"/>
      <c r="W814" s="284"/>
      <c r="X814" s="284"/>
      <c r="Y814" s="284"/>
      <c r="Z814" s="284"/>
      <c r="AA814" s="284"/>
    </row>
    <row r="815">
      <c r="A815" s="284"/>
      <c r="B815" s="284"/>
      <c r="C815" s="285"/>
      <c r="D815" s="285"/>
      <c r="E815" s="285"/>
      <c r="F815" s="285"/>
      <c r="G815" s="285"/>
      <c r="H815" s="285"/>
      <c r="I815" s="286"/>
      <c r="J815" s="286"/>
      <c r="K815" s="285"/>
      <c r="L815" s="284"/>
      <c r="M815" s="287"/>
      <c r="N815" s="284"/>
      <c r="O815" s="284"/>
      <c r="P815" s="284"/>
      <c r="Q815" s="284"/>
      <c r="R815" s="284"/>
      <c r="S815" s="284"/>
      <c r="T815" s="284"/>
      <c r="U815" s="284"/>
      <c r="V815" s="284"/>
      <c r="W815" s="284"/>
      <c r="X815" s="284"/>
      <c r="Y815" s="284"/>
      <c r="Z815" s="284"/>
      <c r="AA815" s="284"/>
    </row>
    <row r="816">
      <c r="A816" s="284"/>
      <c r="B816" s="284"/>
      <c r="C816" s="285"/>
      <c r="D816" s="285"/>
      <c r="E816" s="285"/>
      <c r="F816" s="285"/>
      <c r="G816" s="285"/>
      <c r="H816" s="285"/>
      <c r="I816" s="286"/>
      <c r="J816" s="286"/>
      <c r="K816" s="285"/>
      <c r="L816" s="284"/>
      <c r="M816" s="287"/>
      <c r="N816" s="284"/>
      <c r="O816" s="284"/>
      <c r="P816" s="284"/>
      <c r="Q816" s="284"/>
      <c r="R816" s="284"/>
      <c r="S816" s="284"/>
      <c r="T816" s="284"/>
      <c r="U816" s="284"/>
      <c r="V816" s="284"/>
      <c r="W816" s="284"/>
      <c r="X816" s="284"/>
      <c r="Y816" s="284"/>
      <c r="Z816" s="284"/>
      <c r="AA816" s="284"/>
    </row>
    <row r="817">
      <c r="A817" s="284"/>
      <c r="B817" s="284"/>
      <c r="C817" s="285"/>
      <c r="D817" s="285"/>
      <c r="E817" s="285"/>
      <c r="F817" s="285"/>
      <c r="G817" s="285"/>
      <c r="H817" s="285"/>
      <c r="I817" s="286"/>
      <c r="J817" s="286"/>
      <c r="K817" s="285"/>
      <c r="L817" s="284"/>
      <c r="M817" s="287"/>
      <c r="N817" s="284"/>
      <c r="O817" s="284"/>
      <c r="P817" s="284"/>
      <c r="Q817" s="284"/>
      <c r="R817" s="284"/>
      <c r="S817" s="284"/>
      <c r="T817" s="284"/>
      <c r="U817" s="284"/>
      <c r="V817" s="284"/>
      <c r="W817" s="284"/>
      <c r="X817" s="284"/>
      <c r="Y817" s="284"/>
      <c r="Z817" s="284"/>
      <c r="AA817" s="284"/>
    </row>
    <row r="818">
      <c r="A818" s="284"/>
      <c r="B818" s="284"/>
      <c r="C818" s="285"/>
      <c r="D818" s="285"/>
      <c r="E818" s="285"/>
      <c r="F818" s="285"/>
      <c r="G818" s="285"/>
      <c r="H818" s="285"/>
      <c r="I818" s="286"/>
      <c r="J818" s="286"/>
      <c r="K818" s="285"/>
      <c r="L818" s="284"/>
      <c r="M818" s="287"/>
      <c r="N818" s="284"/>
      <c r="O818" s="284"/>
      <c r="P818" s="284"/>
      <c r="Q818" s="284"/>
      <c r="R818" s="284"/>
      <c r="S818" s="284"/>
      <c r="T818" s="284"/>
      <c r="U818" s="284"/>
      <c r="V818" s="284"/>
      <c r="W818" s="284"/>
      <c r="X818" s="284"/>
      <c r="Y818" s="284"/>
      <c r="Z818" s="284"/>
      <c r="AA818" s="284"/>
    </row>
    <row r="819">
      <c r="A819" s="284"/>
      <c r="B819" s="284"/>
      <c r="C819" s="285"/>
      <c r="D819" s="285"/>
      <c r="E819" s="285"/>
      <c r="F819" s="285"/>
      <c r="G819" s="285"/>
      <c r="H819" s="285"/>
      <c r="I819" s="286"/>
      <c r="J819" s="286"/>
      <c r="K819" s="285"/>
      <c r="L819" s="284"/>
      <c r="M819" s="287"/>
      <c r="N819" s="284"/>
      <c r="O819" s="284"/>
      <c r="P819" s="284"/>
      <c r="Q819" s="284"/>
      <c r="R819" s="284"/>
      <c r="S819" s="284"/>
      <c r="T819" s="284"/>
      <c r="U819" s="284"/>
      <c r="V819" s="284"/>
      <c r="W819" s="284"/>
      <c r="X819" s="284"/>
      <c r="Y819" s="284"/>
      <c r="Z819" s="284"/>
      <c r="AA819" s="284"/>
    </row>
    <row r="820">
      <c r="A820" s="284"/>
      <c r="B820" s="284"/>
      <c r="C820" s="285"/>
      <c r="D820" s="285"/>
      <c r="E820" s="285"/>
      <c r="F820" s="285"/>
      <c r="G820" s="285"/>
      <c r="H820" s="285"/>
      <c r="I820" s="286"/>
      <c r="J820" s="286"/>
      <c r="K820" s="285"/>
      <c r="L820" s="284"/>
      <c r="M820" s="287"/>
      <c r="N820" s="284"/>
      <c r="O820" s="284"/>
      <c r="P820" s="284"/>
      <c r="Q820" s="284"/>
      <c r="R820" s="284"/>
      <c r="S820" s="284"/>
      <c r="T820" s="284"/>
      <c r="U820" s="284"/>
      <c r="V820" s="284"/>
      <c r="W820" s="284"/>
      <c r="X820" s="284"/>
      <c r="Y820" s="284"/>
      <c r="Z820" s="284"/>
      <c r="AA820" s="284"/>
    </row>
    <row r="821">
      <c r="A821" s="284"/>
      <c r="B821" s="284"/>
      <c r="C821" s="285"/>
      <c r="D821" s="285"/>
      <c r="E821" s="285"/>
      <c r="F821" s="285"/>
      <c r="G821" s="285"/>
      <c r="H821" s="285"/>
      <c r="I821" s="286"/>
      <c r="J821" s="286"/>
      <c r="K821" s="285"/>
      <c r="L821" s="284"/>
      <c r="M821" s="287"/>
      <c r="N821" s="284"/>
      <c r="O821" s="284"/>
      <c r="P821" s="284"/>
      <c r="Q821" s="284"/>
      <c r="R821" s="284"/>
      <c r="S821" s="284"/>
      <c r="T821" s="284"/>
      <c r="U821" s="284"/>
      <c r="V821" s="284"/>
      <c r="W821" s="284"/>
      <c r="X821" s="284"/>
      <c r="Y821" s="284"/>
      <c r="Z821" s="284"/>
      <c r="AA821" s="284"/>
    </row>
    <row r="822">
      <c r="A822" s="284"/>
      <c r="B822" s="284"/>
      <c r="C822" s="285"/>
      <c r="D822" s="285"/>
      <c r="E822" s="285"/>
      <c r="F822" s="285"/>
      <c r="G822" s="285"/>
      <c r="H822" s="285"/>
      <c r="I822" s="286"/>
      <c r="J822" s="286"/>
      <c r="K822" s="285"/>
      <c r="L822" s="284"/>
      <c r="M822" s="287"/>
      <c r="N822" s="284"/>
      <c r="O822" s="284"/>
      <c r="P822" s="284"/>
      <c r="Q822" s="284"/>
      <c r="R822" s="284"/>
      <c r="S822" s="284"/>
      <c r="T822" s="284"/>
      <c r="U822" s="284"/>
      <c r="V822" s="284"/>
      <c r="W822" s="284"/>
      <c r="X822" s="284"/>
      <c r="Y822" s="284"/>
      <c r="Z822" s="284"/>
      <c r="AA822" s="284"/>
    </row>
    <row r="823">
      <c r="A823" s="284"/>
      <c r="B823" s="284"/>
      <c r="C823" s="285"/>
      <c r="D823" s="285"/>
      <c r="E823" s="285"/>
      <c r="F823" s="285"/>
      <c r="G823" s="285"/>
      <c r="H823" s="285"/>
      <c r="I823" s="286"/>
      <c r="J823" s="286"/>
      <c r="K823" s="285"/>
      <c r="L823" s="284"/>
      <c r="M823" s="287"/>
      <c r="N823" s="284"/>
      <c r="O823" s="284"/>
      <c r="P823" s="284"/>
      <c r="Q823" s="284"/>
      <c r="R823" s="284"/>
      <c r="S823" s="284"/>
      <c r="T823" s="284"/>
      <c r="U823" s="284"/>
      <c r="V823" s="284"/>
      <c r="W823" s="284"/>
      <c r="X823" s="284"/>
      <c r="Y823" s="284"/>
      <c r="Z823" s="284"/>
      <c r="AA823" s="284"/>
    </row>
    <row r="824">
      <c r="A824" s="284"/>
      <c r="B824" s="284"/>
      <c r="C824" s="285"/>
      <c r="D824" s="285"/>
      <c r="E824" s="285"/>
      <c r="F824" s="285"/>
      <c r="G824" s="285"/>
      <c r="H824" s="285"/>
      <c r="I824" s="286"/>
      <c r="J824" s="286"/>
      <c r="K824" s="285"/>
      <c r="L824" s="284"/>
      <c r="M824" s="287"/>
      <c r="N824" s="284"/>
      <c r="O824" s="284"/>
      <c r="P824" s="284"/>
      <c r="Q824" s="284"/>
      <c r="R824" s="284"/>
      <c r="S824" s="284"/>
      <c r="T824" s="284"/>
      <c r="U824" s="284"/>
      <c r="V824" s="284"/>
      <c r="W824" s="284"/>
      <c r="X824" s="284"/>
      <c r="Y824" s="284"/>
      <c r="Z824" s="284"/>
      <c r="AA824" s="284"/>
    </row>
    <row r="825">
      <c r="A825" s="284"/>
      <c r="B825" s="284"/>
      <c r="C825" s="285"/>
      <c r="D825" s="285"/>
      <c r="E825" s="285"/>
      <c r="F825" s="285"/>
      <c r="G825" s="285"/>
      <c r="H825" s="285"/>
      <c r="I825" s="286"/>
      <c r="J825" s="286"/>
      <c r="K825" s="285"/>
      <c r="L825" s="284"/>
      <c r="M825" s="287"/>
      <c r="N825" s="284"/>
      <c r="O825" s="284"/>
      <c r="P825" s="284"/>
      <c r="Q825" s="284"/>
      <c r="R825" s="284"/>
      <c r="S825" s="284"/>
      <c r="T825" s="284"/>
      <c r="U825" s="284"/>
      <c r="V825" s="284"/>
      <c r="W825" s="284"/>
      <c r="X825" s="284"/>
      <c r="Y825" s="284"/>
      <c r="Z825" s="284"/>
      <c r="AA825" s="284"/>
    </row>
    <row r="826">
      <c r="A826" s="284"/>
      <c r="B826" s="284"/>
      <c r="C826" s="285"/>
      <c r="D826" s="285"/>
      <c r="E826" s="285"/>
      <c r="F826" s="285"/>
      <c r="G826" s="285"/>
      <c r="H826" s="285"/>
      <c r="I826" s="286"/>
      <c r="J826" s="286"/>
      <c r="K826" s="285"/>
      <c r="L826" s="284"/>
      <c r="M826" s="287"/>
      <c r="N826" s="284"/>
      <c r="O826" s="284"/>
      <c r="P826" s="284"/>
      <c r="Q826" s="284"/>
      <c r="R826" s="284"/>
      <c r="S826" s="284"/>
      <c r="T826" s="284"/>
      <c r="U826" s="284"/>
      <c r="V826" s="284"/>
      <c r="W826" s="284"/>
      <c r="X826" s="284"/>
      <c r="Y826" s="284"/>
      <c r="Z826" s="284"/>
      <c r="AA826" s="284"/>
    </row>
    <row r="827">
      <c r="A827" s="284"/>
      <c r="B827" s="284"/>
      <c r="C827" s="285"/>
      <c r="D827" s="285"/>
      <c r="E827" s="285"/>
      <c r="F827" s="285"/>
      <c r="G827" s="285"/>
      <c r="H827" s="285"/>
      <c r="I827" s="286"/>
      <c r="J827" s="286"/>
      <c r="K827" s="285"/>
      <c r="L827" s="284"/>
      <c r="M827" s="287"/>
      <c r="N827" s="284"/>
      <c r="O827" s="284"/>
      <c r="P827" s="284"/>
      <c r="Q827" s="284"/>
      <c r="R827" s="284"/>
      <c r="S827" s="284"/>
      <c r="T827" s="284"/>
      <c r="U827" s="284"/>
      <c r="V827" s="284"/>
      <c r="W827" s="284"/>
      <c r="X827" s="284"/>
      <c r="Y827" s="284"/>
      <c r="Z827" s="284"/>
      <c r="AA827" s="284"/>
    </row>
    <row r="828">
      <c r="A828" s="284"/>
      <c r="B828" s="284"/>
      <c r="C828" s="285"/>
      <c r="D828" s="285"/>
      <c r="E828" s="285"/>
      <c r="F828" s="285"/>
      <c r="G828" s="285"/>
      <c r="H828" s="285"/>
      <c r="I828" s="286"/>
      <c r="J828" s="286"/>
      <c r="K828" s="285"/>
      <c r="L828" s="284"/>
      <c r="M828" s="287"/>
      <c r="N828" s="284"/>
      <c r="O828" s="284"/>
      <c r="P828" s="284"/>
      <c r="Q828" s="284"/>
      <c r="R828" s="284"/>
      <c r="S828" s="284"/>
      <c r="T828" s="284"/>
      <c r="U828" s="284"/>
      <c r="V828" s="284"/>
      <c r="W828" s="284"/>
      <c r="X828" s="284"/>
      <c r="Y828" s="284"/>
      <c r="Z828" s="284"/>
      <c r="AA828" s="284"/>
    </row>
    <row r="829">
      <c r="A829" s="284"/>
      <c r="B829" s="284"/>
      <c r="C829" s="285"/>
      <c r="D829" s="285"/>
      <c r="E829" s="285"/>
      <c r="F829" s="285"/>
      <c r="G829" s="285"/>
      <c r="H829" s="285"/>
      <c r="I829" s="286"/>
      <c r="J829" s="286"/>
      <c r="K829" s="285"/>
      <c r="L829" s="284"/>
      <c r="M829" s="287"/>
      <c r="N829" s="284"/>
      <c r="O829" s="284"/>
      <c r="P829" s="284"/>
      <c r="Q829" s="284"/>
      <c r="R829" s="284"/>
      <c r="S829" s="284"/>
      <c r="T829" s="284"/>
      <c r="U829" s="284"/>
      <c r="V829" s="284"/>
      <c r="W829" s="284"/>
      <c r="X829" s="284"/>
      <c r="Y829" s="284"/>
      <c r="Z829" s="284"/>
      <c r="AA829" s="284"/>
    </row>
    <row r="830">
      <c r="A830" s="284"/>
      <c r="B830" s="284"/>
      <c r="C830" s="285"/>
      <c r="D830" s="285"/>
      <c r="E830" s="285"/>
      <c r="F830" s="285"/>
      <c r="G830" s="285"/>
      <c r="H830" s="285"/>
      <c r="I830" s="286"/>
      <c r="J830" s="286"/>
      <c r="K830" s="285"/>
      <c r="L830" s="284"/>
      <c r="M830" s="287"/>
      <c r="N830" s="284"/>
      <c r="O830" s="284"/>
      <c r="P830" s="284"/>
      <c r="Q830" s="284"/>
      <c r="R830" s="284"/>
      <c r="S830" s="284"/>
      <c r="T830" s="284"/>
      <c r="U830" s="284"/>
      <c r="V830" s="284"/>
      <c r="W830" s="284"/>
      <c r="X830" s="284"/>
      <c r="Y830" s="284"/>
      <c r="Z830" s="284"/>
      <c r="AA830" s="284"/>
    </row>
    <row r="831">
      <c r="A831" s="284"/>
      <c r="B831" s="284"/>
      <c r="C831" s="285"/>
      <c r="D831" s="285"/>
      <c r="E831" s="285"/>
      <c r="F831" s="285"/>
      <c r="G831" s="285"/>
      <c r="H831" s="285"/>
      <c r="I831" s="286"/>
      <c r="J831" s="286"/>
      <c r="K831" s="285"/>
      <c r="L831" s="284"/>
      <c r="M831" s="287"/>
      <c r="N831" s="284"/>
      <c r="O831" s="284"/>
      <c r="P831" s="284"/>
      <c r="Q831" s="284"/>
      <c r="R831" s="284"/>
      <c r="S831" s="284"/>
      <c r="T831" s="284"/>
      <c r="U831" s="284"/>
      <c r="V831" s="284"/>
      <c r="W831" s="284"/>
      <c r="X831" s="284"/>
      <c r="Y831" s="284"/>
      <c r="Z831" s="284"/>
      <c r="AA831" s="284"/>
    </row>
    <row r="832">
      <c r="A832" s="284"/>
      <c r="B832" s="284"/>
      <c r="C832" s="285"/>
      <c r="D832" s="285"/>
      <c r="E832" s="285"/>
      <c r="F832" s="285"/>
      <c r="G832" s="285"/>
      <c r="H832" s="285"/>
      <c r="I832" s="286"/>
      <c r="J832" s="286"/>
      <c r="K832" s="285"/>
      <c r="L832" s="284"/>
      <c r="M832" s="287"/>
      <c r="N832" s="284"/>
      <c r="O832" s="284"/>
      <c r="P832" s="284"/>
      <c r="Q832" s="284"/>
      <c r="R832" s="284"/>
      <c r="S832" s="284"/>
      <c r="T832" s="284"/>
      <c r="U832" s="284"/>
      <c r="V832" s="284"/>
      <c r="W832" s="284"/>
      <c r="X832" s="284"/>
      <c r="Y832" s="284"/>
      <c r="Z832" s="284"/>
      <c r="AA832" s="284"/>
    </row>
    <row r="833">
      <c r="A833" s="284"/>
      <c r="B833" s="284"/>
      <c r="C833" s="285"/>
      <c r="D833" s="285"/>
      <c r="E833" s="285"/>
      <c r="F833" s="285"/>
      <c r="G833" s="285"/>
      <c r="H833" s="285"/>
      <c r="I833" s="286"/>
      <c r="J833" s="286"/>
      <c r="K833" s="285"/>
      <c r="L833" s="284"/>
      <c r="M833" s="287"/>
      <c r="N833" s="284"/>
      <c r="O833" s="284"/>
      <c r="P833" s="284"/>
      <c r="Q833" s="284"/>
      <c r="R833" s="284"/>
      <c r="S833" s="284"/>
      <c r="T833" s="284"/>
      <c r="U833" s="284"/>
      <c r="V833" s="284"/>
      <c r="W833" s="284"/>
      <c r="X833" s="284"/>
      <c r="Y833" s="284"/>
      <c r="Z833" s="284"/>
      <c r="AA833" s="284"/>
    </row>
    <row r="834">
      <c r="A834" s="284"/>
      <c r="B834" s="284"/>
      <c r="C834" s="285"/>
      <c r="D834" s="285"/>
      <c r="E834" s="285"/>
      <c r="F834" s="285"/>
      <c r="G834" s="285"/>
      <c r="H834" s="285"/>
      <c r="I834" s="286"/>
      <c r="J834" s="286"/>
      <c r="K834" s="285"/>
      <c r="L834" s="284"/>
      <c r="M834" s="287"/>
      <c r="N834" s="284"/>
      <c r="O834" s="284"/>
      <c r="P834" s="284"/>
      <c r="Q834" s="284"/>
      <c r="R834" s="284"/>
      <c r="S834" s="284"/>
      <c r="T834" s="284"/>
      <c r="U834" s="284"/>
      <c r="V834" s="284"/>
      <c r="W834" s="284"/>
      <c r="X834" s="284"/>
      <c r="Y834" s="284"/>
      <c r="Z834" s="284"/>
      <c r="AA834" s="284"/>
    </row>
    <row r="835">
      <c r="A835" s="284"/>
      <c r="B835" s="284"/>
      <c r="C835" s="285"/>
      <c r="D835" s="285"/>
      <c r="E835" s="285"/>
      <c r="F835" s="285"/>
      <c r="G835" s="285"/>
      <c r="H835" s="285"/>
      <c r="I835" s="286"/>
      <c r="J835" s="286"/>
      <c r="K835" s="285"/>
      <c r="L835" s="284"/>
      <c r="M835" s="287"/>
      <c r="N835" s="284"/>
      <c r="O835" s="284"/>
      <c r="P835" s="284"/>
      <c r="Q835" s="284"/>
      <c r="R835" s="284"/>
      <c r="S835" s="284"/>
      <c r="T835" s="284"/>
      <c r="U835" s="284"/>
      <c r="V835" s="284"/>
      <c r="W835" s="284"/>
      <c r="X835" s="284"/>
      <c r="Y835" s="284"/>
      <c r="Z835" s="284"/>
      <c r="AA835" s="284"/>
    </row>
    <row r="836">
      <c r="A836" s="284"/>
      <c r="B836" s="284"/>
      <c r="C836" s="285"/>
      <c r="D836" s="285"/>
      <c r="E836" s="285"/>
      <c r="F836" s="285"/>
      <c r="G836" s="285"/>
      <c r="H836" s="285"/>
      <c r="I836" s="286"/>
      <c r="J836" s="286"/>
      <c r="K836" s="285"/>
      <c r="L836" s="284"/>
      <c r="M836" s="287"/>
      <c r="N836" s="284"/>
      <c r="O836" s="284"/>
      <c r="P836" s="284"/>
      <c r="Q836" s="284"/>
      <c r="R836" s="284"/>
      <c r="S836" s="284"/>
      <c r="T836" s="284"/>
      <c r="U836" s="284"/>
      <c r="V836" s="284"/>
      <c r="W836" s="284"/>
      <c r="X836" s="284"/>
      <c r="Y836" s="284"/>
      <c r="Z836" s="284"/>
      <c r="AA836" s="284"/>
    </row>
    <row r="837">
      <c r="A837" s="284"/>
      <c r="B837" s="284"/>
      <c r="C837" s="285"/>
      <c r="D837" s="285"/>
      <c r="E837" s="285"/>
      <c r="F837" s="285"/>
      <c r="G837" s="285"/>
      <c r="H837" s="285"/>
      <c r="I837" s="286"/>
      <c r="J837" s="286"/>
      <c r="K837" s="285"/>
      <c r="L837" s="284"/>
      <c r="M837" s="287"/>
      <c r="N837" s="284"/>
      <c r="O837" s="284"/>
      <c r="P837" s="284"/>
      <c r="Q837" s="284"/>
      <c r="R837" s="284"/>
      <c r="S837" s="284"/>
      <c r="T837" s="284"/>
      <c r="U837" s="284"/>
      <c r="V837" s="284"/>
      <c r="W837" s="284"/>
      <c r="X837" s="284"/>
      <c r="Y837" s="284"/>
      <c r="Z837" s="284"/>
      <c r="AA837" s="284"/>
    </row>
    <row r="838">
      <c r="A838" s="284"/>
      <c r="B838" s="284"/>
      <c r="C838" s="285"/>
      <c r="D838" s="285"/>
      <c r="E838" s="285"/>
      <c r="F838" s="285"/>
      <c r="G838" s="285"/>
      <c r="H838" s="285"/>
      <c r="I838" s="286"/>
      <c r="J838" s="286"/>
      <c r="K838" s="285"/>
      <c r="L838" s="284"/>
      <c r="M838" s="287"/>
      <c r="N838" s="284"/>
      <c r="O838" s="284"/>
      <c r="P838" s="284"/>
      <c r="Q838" s="284"/>
      <c r="R838" s="284"/>
      <c r="S838" s="284"/>
      <c r="T838" s="284"/>
      <c r="U838" s="284"/>
      <c r="V838" s="284"/>
      <c r="W838" s="284"/>
      <c r="X838" s="284"/>
      <c r="Y838" s="284"/>
      <c r="Z838" s="284"/>
      <c r="AA838" s="284"/>
    </row>
    <row r="839">
      <c r="A839" s="284"/>
      <c r="B839" s="284"/>
      <c r="C839" s="285"/>
      <c r="D839" s="285"/>
      <c r="E839" s="285"/>
      <c r="F839" s="285"/>
      <c r="G839" s="285"/>
      <c r="H839" s="285"/>
      <c r="I839" s="286"/>
      <c r="J839" s="286"/>
      <c r="K839" s="285"/>
      <c r="L839" s="284"/>
      <c r="M839" s="287"/>
      <c r="N839" s="284"/>
      <c r="O839" s="284"/>
      <c r="P839" s="284"/>
      <c r="Q839" s="284"/>
      <c r="R839" s="284"/>
      <c r="S839" s="284"/>
      <c r="T839" s="284"/>
      <c r="U839" s="284"/>
      <c r="V839" s="284"/>
      <c r="W839" s="284"/>
      <c r="X839" s="284"/>
      <c r="Y839" s="284"/>
      <c r="Z839" s="284"/>
      <c r="AA839" s="284"/>
    </row>
    <row r="840">
      <c r="A840" s="284"/>
      <c r="B840" s="284"/>
      <c r="C840" s="285"/>
      <c r="D840" s="285"/>
      <c r="E840" s="285"/>
      <c r="F840" s="285"/>
      <c r="G840" s="285"/>
      <c r="H840" s="285"/>
      <c r="I840" s="286"/>
      <c r="J840" s="286"/>
      <c r="K840" s="285"/>
      <c r="L840" s="284"/>
      <c r="M840" s="287"/>
      <c r="N840" s="284"/>
      <c r="O840" s="284"/>
      <c r="P840" s="284"/>
      <c r="Q840" s="284"/>
      <c r="R840" s="284"/>
      <c r="S840" s="284"/>
      <c r="T840" s="284"/>
      <c r="U840" s="284"/>
      <c r="V840" s="284"/>
      <c r="W840" s="284"/>
      <c r="X840" s="284"/>
      <c r="Y840" s="284"/>
      <c r="Z840" s="284"/>
      <c r="AA840" s="284"/>
    </row>
    <row r="841">
      <c r="A841" s="284"/>
      <c r="B841" s="284"/>
      <c r="C841" s="285"/>
      <c r="D841" s="285"/>
      <c r="E841" s="285"/>
      <c r="F841" s="285"/>
      <c r="G841" s="285"/>
      <c r="H841" s="285"/>
      <c r="I841" s="286"/>
      <c r="J841" s="286"/>
      <c r="K841" s="285"/>
      <c r="L841" s="284"/>
      <c r="M841" s="287"/>
      <c r="N841" s="284"/>
      <c r="O841" s="284"/>
      <c r="P841" s="284"/>
      <c r="Q841" s="284"/>
      <c r="R841" s="284"/>
      <c r="S841" s="284"/>
      <c r="T841" s="284"/>
      <c r="U841" s="284"/>
      <c r="V841" s="284"/>
      <c r="W841" s="284"/>
      <c r="X841" s="284"/>
      <c r="Y841" s="284"/>
      <c r="Z841" s="284"/>
      <c r="AA841" s="284"/>
    </row>
    <row r="842">
      <c r="A842" s="284"/>
      <c r="B842" s="284"/>
      <c r="C842" s="285"/>
      <c r="D842" s="285"/>
      <c r="E842" s="285"/>
      <c r="F842" s="285"/>
      <c r="G842" s="285"/>
      <c r="H842" s="285"/>
      <c r="I842" s="286"/>
      <c r="J842" s="286"/>
      <c r="K842" s="285"/>
      <c r="L842" s="284"/>
      <c r="M842" s="287"/>
      <c r="N842" s="284"/>
      <c r="O842" s="284"/>
      <c r="P842" s="284"/>
      <c r="Q842" s="284"/>
      <c r="R842" s="284"/>
      <c r="S842" s="284"/>
      <c r="T842" s="284"/>
      <c r="U842" s="284"/>
      <c r="V842" s="284"/>
      <c r="W842" s="284"/>
      <c r="X842" s="284"/>
      <c r="Y842" s="284"/>
      <c r="Z842" s="284"/>
      <c r="AA842" s="284"/>
    </row>
    <row r="843">
      <c r="A843" s="284"/>
      <c r="B843" s="284"/>
      <c r="C843" s="285"/>
      <c r="D843" s="285"/>
      <c r="E843" s="285"/>
      <c r="F843" s="285"/>
      <c r="G843" s="285"/>
      <c r="H843" s="285"/>
      <c r="I843" s="286"/>
      <c r="J843" s="286"/>
      <c r="K843" s="285"/>
      <c r="L843" s="284"/>
      <c r="M843" s="287"/>
      <c r="N843" s="284"/>
      <c r="O843" s="284"/>
      <c r="P843" s="284"/>
      <c r="Q843" s="284"/>
      <c r="R843" s="284"/>
      <c r="S843" s="284"/>
      <c r="T843" s="284"/>
      <c r="U843" s="284"/>
      <c r="V843" s="284"/>
      <c r="W843" s="284"/>
      <c r="X843" s="284"/>
      <c r="Y843" s="284"/>
      <c r="Z843" s="284"/>
      <c r="AA843" s="284"/>
    </row>
    <row r="844">
      <c r="A844" s="284"/>
      <c r="B844" s="284"/>
      <c r="C844" s="285"/>
      <c r="D844" s="285"/>
      <c r="E844" s="285"/>
      <c r="F844" s="285"/>
      <c r="G844" s="285"/>
      <c r="H844" s="285"/>
      <c r="I844" s="286"/>
      <c r="J844" s="286"/>
      <c r="K844" s="285"/>
      <c r="L844" s="284"/>
      <c r="M844" s="287"/>
      <c r="N844" s="284"/>
      <c r="O844" s="284"/>
      <c r="P844" s="284"/>
      <c r="Q844" s="284"/>
      <c r="R844" s="284"/>
      <c r="S844" s="284"/>
      <c r="T844" s="284"/>
      <c r="U844" s="284"/>
      <c r="V844" s="284"/>
      <c r="W844" s="284"/>
      <c r="X844" s="284"/>
      <c r="Y844" s="284"/>
      <c r="Z844" s="284"/>
      <c r="AA844" s="284"/>
    </row>
    <row r="845">
      <c r="A845" s="284"/>
      <c r="B845" s="284"/>
      <c r="C845" s="285"/>
      <c r="D845" s="285"/>
      <c r="E845" s="285"/>
      <c r="F845" s="285"/>
      <c r="G845" s="285"/>
      <c r="H845" s="285"/>
      <c r="I845" s="286"/>
      <c r="J845" s="286"/>
      <c r="K845" s="285"/>
      <c r="L845" s="284"/>
      <c r="M845" s="287"/>
      <c r="N845" s="284"/>
      <c r="O845" s="284"/>
      <c r="P845" s="284"/>
      <c r="Q845" s="284"/>
      <c r="R845" s="284"/>
      <c r="S845" s="284"/>
      <c r="T845" s="284"/>
      <c r="U845" s="284"/>
      <c r="V845" s="284"/>
      <c r="W845" s="284"/>
      <c r="X845" s="284"/>
      <c r="Y845" s="284"/>
      <c r="Z845" s="284"/>
      <c r="AA845" s="284"/>
    </row>
    <row r="846">
      <c r="A846" s="284"/>
      <c r="B846" s="284"/>
      <c r="C846" s="285"/>
      <c r="D846" s="285"/>
      <c r="E846" s="285"/>
      <c r="F846" s="285"/>
      <c r="G846" s="285"/>
      <c r="H846" s="285"/>
      <c r="I846" s="286"/>
      <c r="J846" s="286"/>
      <c r="K846" s="285"/>
      <c r="L846" s="284"/>
      <c r="M846" s="287"/>
      <c r="N846" s="284"/>
      <c r="O846" s="284"/>
      <c r="P846" s="284"/>
      <c r="Q846" s="284"/>
      <c r="R846" s="284"/>
      <c r="S846" s="284"/>
      <c r="T846" s="284"/>
      <c r="U846" s="284"/>
      <c r="V846" s="284"/>
      <c r="W846" s="284"/>
      <c r="X846" s="284"/>
      <c r="Y846" s="284"/>
      <c r="Z846" s="284"/>
      <c r="AA846" s="284"/>
    </row>
    <row r="847">
      <c r="A847" s="284"/>
      <c r="B847" s="284"/>
      <c r="C847" s="285"/>
      <c r="D847" s="285"/>
      <c r="E847" s="285"/>
      <c r="F847" s="285"/>
      <c r="G847" s="285"/>
      <c r="H847" s="285"/>
      <c r="I847" s="286"/>
      <c r="J847" s="286"/>
      <c r="K847" s="285"/>
      <c r="L847" s="284"/>
      <c r="M847" s="287"/>
      <c r="N847" s="284"/>
      <c r="O847" s="284"/>
      <c r="P847" s="284"/>
      <c r="Q847" s="284"/>
      <c r="R847" s="284"/>
      <c r="S847" s="284"/>
      <c r="T847" s="284"/>
      <c r="U847" s="284"/>
      <c r="V847" s="284"/>
      <c r="W847" s="284"/>
      <c r="X847" s="284"/>
      <c r="Y847" s="284"/>
      <c r="Z847" s="284"/>
      <c r="AA847" s="284"/>
    </row>
    <row r="848">
      <c r="A848" s="284"/>
      <c r="B848" s="284"/>
      <c r="C848" s="285"/>
      <c r="D848" s="285"/>
      <c r="E848" s="285"/>
      <c r="F848" s="285"/>
      <c r="G848" s="285"/>
      <c r="H848" s="285"/>
      <c r="I848" s="286"/>
      <c r="J848" s="286"/>
      <c r="K848" s="285"/>
      <c r="L848" s="284"/>
      <c r="M848" s="287"/>
      <c r="N848" s="284"/>
      <c r="O848" s="284"/>
      <c r="P848" s="284"/>
      <c r="Q848" s="284"/>
      <c r="R848" s="284"/>
      <c r="S848" s="284"/>
      <c r="T848" s="284"/>
      <c r="U848" s="284"/>
      <c r="V848" s="284"/>
      <c r="W848" s="284"/>
      <c r="X848" s="284"/>
      <c r="Y848" s="284"/>
      <c r="Z848" s="284"/>
      <c r="AA848" s="284"/>
    </row>
    <row r="849">
      <c r="A849" s="284"/>
      <c r="B849" s="284"/>
      <c r="C849" s="285"/>
      <c r="D849" s="285"/>
      <c r="E849" s="285"/>
      <c r="F849" s="285"/>
      <c r="G849" s="285"/>
      <c r="H849" s="285"/>
      <c r="I849" s="286"/>
      <c r="J849" s="286"/>
      <c r="K849" s="285"/>
      <c r="L849" s="284"/>
      <c r="M849" s="287"/>
      <c r="N849" s="284"/>
      <c r="O849" s="284"/>
      <c r="P849" s="284"/>
      <c r="Q849" s="284"/>
      <c r="R849" s="284"/>
      <c r="S849" s="284"/>
      <c r="T849" s="284"/>
      <c r="U849" s="284"/>
      <c r="V849" s="284"/>
      <c r="W849" s="284"/>
      <c r="X849" s="284"/>
      <c r="Y849" s="284"/>
      <c r="Z849" s="284"/>
      <c r="AA849" s="284"/>
    </row>
    <row r="850">
      <c r="A850" s="284"/>
      <c r="B850" s="284"/>
      <c r="C850" s="285"/>
      <c r="D850" s="285"/>
      <c r="E850" s="285"/>
      <c r="F850" s="285"/>
      <c r="G850" s="285"/>
      <c r="H850" s="285"/>
      <c r="I850" s="286"/>
      <c r="J850" s="286"/>
      <c r="K850" s="285"/>
      <c r="L850" s="284"/>
      <c r="M850" s="287"/>
      <c r="N850" s="284"/>
      <c r="O850" s="284"/>
      <c r="P850" s="284"/>
      <c r="Q850" s="284"/>
      <c r="R850" s="284"/>
      <c r="S850" s="284"/>
      <c r="T850" s="284"/>
      <c r="U850" s="284"/>
      <c r="V850" s="284"/>
      <c r="W850" s="284"/>
      <c r="X850" s="284"/>
      <c r="Y850" s="284"/>
      <c r="Z850" s="284"/>
      <c r="AA850" s="284"/>
    </row>
    <row r="851">
      <c r="A851" s="284"/>
      <c r="B851" s="284"/>
      <c r="C851" s="285"/>
      <c r="D851" s="285"/>
      <c r="E851" s="285"/>
      <c r="F851" s="285"/>
      <c r="G851" s="285"/>
      <c r="H851" s="285"/>
      <c r="I851" s="286"/>
      <c r="J851" s="286"/>
      <c r="K851" s="285"/>
      <c r="L851" s="284"/>
      <c r="M851" s="287"/>
      <c r="N851" s="284"/>
      <c r="O851" s="284"/>
      <c r="P851" s="284"/>
      <c r="Q851" s="284"/>
      <c r="R851" s="284"/>
      <c r="S851" s="284"/>
      <c r="T851" s="284"/>
      <c r="U851" s="284"/>
      <c r="V851" s="284"/>
      <c r="W851" s="284"/>
      <c r="X851" s="284"/>
      <c r="Y851" s="284"/>
      <c r="Z851" s="284"/>
      <c r="AA851" s="284"/>
    </row>
    <row r="852">
      <c r="A852" s="284"/>
      <c r="B852" s="284"/>
      <c r="C852" s="285"/>
      <c r="D852" s="285"/>
      <c r="E852" s="285"/>
      <c r="F852" s="285"/>
      <c r="G852" s="285"/>
      <c r="H852" s="285"/>
      <c r="I852" s="286"/>
      <c r="J852" s="286"/>
      <c r="K852" s="285"/>
      <c r="L852" s="284"/>
      <c r="M852" s="287"/>
      <c r="N852" s="284"/>
      <c r="O852" s="284"/>
      <c r="P852" s="284"/>
      <c r="Q852" s="284"/>
      <c r="R852" s="284"/>
      <c r="S852" s="284"/>
      <c r="T852" s="284"/>
      <c r="U852" s="284"/>
      <c r="V852" s="284"/>
      <c r="W852" s="284"/>
      <c r="X852" s="284"/>
      <c r="Y852" s="284"/>
      <c r="Z852" s="284"/>
      <c r="AA852" s="284"/>
    </row>
    <row r="853">
      <c r="A853" s="284"/>
      <c r="B853" s="284"/>
      <c r="C853" s="285"/>
      <c r="D853" s="285"/>
      <c r="E853" s="285"/>
      <c r="F853" s="285"/>
      <c r="G853" s="285"/>
      <c r="H853" s="285"/>
      <c r="I853" s="286"/>
      <c r="J853" s="286"/>
      <c r="K853" s="285"/>
      <c r="L853" s="284"/>
      <c r="M853" s="287"/>
      <c r="N853" s="284"/>
      <c r="O853" s="284"/>
      <c r="P853" s="284"/>
      <c r="Q853" s="284"/>
      <c r="R853" s="284"/>
      <c r="S853" s="284"/>
      <c r="T853" s="284"/>
      <c r="U853" s="284"/>
      <c r="V853" s="284"/>
      <c r="W853" s="284"/>
      <c r="X853" s="284"/>
      <c r="Y853" s="284"/>
      <c r="Z853" s="284"/>
      <c r="AA853" s="284"/>
    </row>
    <row r="854">
      <c r="A854" s="284"/>
      <c r="B854" s="284"/>
      <c r="C854" s="285"/>
      <c r="D854" s="285"/>
      <c r="E854" s="285"/>
      <c r="F854" s="285"/>
      <c r="G854" s="285"/>
      <c r="H854" s="285"/>
      <c r="I854" s="286"/>
      <c r="J854" s="286"/>
      <c r="K854" s="285"/>
      <c r="L854" s="284"/>
      <c r="M854" s="287"/>
      <c r="N854" s="284"/>
      <c r="O854" s="284"/>
      <c r="P854" s="284"/>
      <c r="Q854" s="284"/>
      <c r="R854" s="284"/>
      <c r="S854" s="284"/>
      <c r="T854" s="284"/>
      <c r="U854" s="284"/>
      <c r="V854" s="284"/>
      <c r="W854" s="284"/>
      <c r="X854" s="284"/>
      <c r="Y854" s="284"/>
      <c r="Z854" s="284"/>
      <c r="AA854" s="284"/>
    </row>
    <row r="855">
      <c r="A855" s="284"/>
      <c r="B855" s="284"/>
      <c r="C855" s="285"/>
      <c r="D855" s="285"/>
      <c r="E855" s="285"/>
      <c r="F855" s="285"/>
      <c r="G855" s="285"/>
      <c r="H855" s="285"/>
      <c r="I855" s="286"/>
      <c r="J855" s="286"/>
      <c r="K855" s="285"/>
      <c r="L855" s="284"/>
      <c r="M855" s="287"/>
      <c r="N855" s="284"/>
      <c r="O855" s="284"/>
      <c r="P855" s="284"/>
      <c r="Q855" s="284"/>
      <c r="R855" s="284"/>
      <c r="S855" s="284"/>
      <c r="T855" s="284"/>
      <c r="U855" s="284"/>
      <c r="V855" s="284"/>
      <c r="W855" s="284"/>
      <c r="X855" s="284"/>
      <c r="Y855" s="284"/>
      <c r="Z855" s="284"/>
      <c r="AA855" s="284"/>
    </row>
    <row r="856">
      <c r="A856" s="284"/>
      <c r="B856" s="284"/>
      <c r="C856" s="285"/>
      <c r="D856" s="285"/>
      <c r="E856" s="285"/>
      <c r="F856" s="285"/>
      <c r="G856" s="285"/>
      <c r="H856" s="285"/>
      <c r="I856" s="286"/>
      <c r="J856" s="286"/>
      <c r="K856" s="285"/>
      <c r="L856" s="284"/>
      <c r="M856" s="287"/>
      <c r="N856" s="284"/>
      <c r="O856" s="284"/>
      <c r="P856" s="284"/>
      <c r="Q856" s="284"/>
      <c r="R856" s="284"/>
      <c r="S856" s="284"/>
      <c r="T856" s="284"/>
      <c r="U856" s="284"/>
      <c r="V856" s="284"/>
      <c r="W856" s="284"/>
      <c r="X856" s="284"/>
      <c r="Y856" s="284"/>
      <c r="Z856" s="284"/>
      <c r="AA856" s="284"/>
    </row>
    <row r="857">
      <c r="A857" s="284"/>
      <c r="B857" s="284"/>
      <c r="C857" s="285"/>
      <c r="D857" s="285"/>
      <c r="E857" s="285"/>
      <c r="F857" s="285"/>
      <c r="G857" s="285"/>
      <c r="H857" s="285"/>
      <c r="I857" s="286"/>
      <c r="J857" s="286"/>
      <c r="K857" s="285"/>
      <c r="L857" s="284"/>
      <c r="M857" s="287"/>
      <c r="N857" s="284"/>
      <c r="O857" s="284"/>
      <c r="P857" s="284"/>
      <c r="Q857" s="284"/>
      <c r="R857" s="284"/>
      <c r="S857" s="284"/>
      <c r="T857" s="284"/>
      <c r="U857" s="284"/>
      <c r="V857" s="284"/>
      <c r="W857" s="284"/>
      <c r="X857" s="284"/>
      <c r="Y857" s="284"/>
      <c r="Z857" s="284"/>
      <c r="AA857" s="284"/>
    </row>
    <row r="858">
      <c r="A858" s="284"/>
      <c r="B858" s="284"/>
      <c r="C858" s="285"/>
      <c r="D858" s="285"/>
      <c r="E858" s="285"/>
      <c r="F858" s="285"/>
      <c r="G858" s="285"/>
      <c r="H858" s="285"/>
      <c r="I858" s="286"/>
      <c r="J858" s="286"/>
      <c r="K858" s="285"/>
      <c r="L858" s="284"/>
      <c r="M858" s="287"/>
      <c r="N858" s="284"/>
      <c r="O858" s="284"/>
      <c r="P858" s="284"/>
      <c r="Q858" s="284"/>
      <c r="R858" s="284"/>
      <c r="S858" s="284"/>
      <c r="T858" s="284"/>
      <c r="U858" s="284"/>
      <c r="V858" s="284"/>
      <c r="W858" s="284"/>
      <c r="X858" s="284"/>
      <c r="Y858" s="284"/>
      <c r="Z858" s="284"/>
      <c r="AA858" s="284"/>
    </row>
    <row r="859">
      <c r="A859" s="284"/>
      <c r="B859" s="284"/>
      <c r="C859" s="285"/>
      <c r="D859" s="285"/>
      <c r="E859" s="285"/>
      <c r="F859" s="285"/>
      <c r="G859" s="285"/>
      <c r="H859" s="285"/>
      <c r="I859" s="286"/>
      <c r="J859" s="286"/>
      <c r="K859" s="285"/>
      <c r="L859" s="284"/>
      <c r="M859" s="287"/>
      <c r="N859" s="284"/>
      <c r="O859" s="284"/>
      <c r="P859" s="284"/>
      <c r="Q859" s="284"/>
      <c r="R859" s="284"/>
      <c r="S859" s="284"/>
      <c r="T859" s="284"/>
      <c r="U859" s="284"/>
      <c r="V859" s="284"/>
      <c r="W859" s="284"/>
      <c r="X859" s="284"/>
      <c r="Y859" s="284"/>
      <c r="Z859" s="284"/>
      <c r="AA859" s="284"/>
    </row>
    <row r="860">
      <c r="A860" s="284"/>
      <c r="B860" s="284"/>
      <c r="C860" s="285"/>
      <c r="D860" s="285"/>
      <c r="E860" s="285"/>
      <c r="F860" s="285"/>
      <c r="G860" s="285"/>
      <c r="H860" s="285"/>
      <c r="I860" s="286"/>
      <c r="J860" s="286"/>
      <c r="K860" s="285"/>
      <c r="L860" s="284"/>
      <c r="M860" s="287"/>
      <c r="N860" s="284"/>
      <c r="O860" s="284"/>
      <c r="P860" s="284"/>
      <c r="Q860" s="284"/>
      <c r="R860" s="284"/>
      <c r="S860" s="284"/>
      <c r="T860" s="284"/>
      <c r="U860" s="284"/>
      <c r="V860" s="284"/>
      <c r="W860" s="284"/>
      <c r="X860" s="284"/>
      <c r="Y860" s="284"/>
      <c r="Z860" s="284"/>
      <c r="AA860" s="284"/>
    </row>
    <row r="861">
      <c r="A861" s="284"/>
      <c r="B861" s="284"/>
      <c r="C861" s="285"/>
      <c r="D861" s="285"/>
      <c r="E861" s="285"/>
      <c r="F861" s="285"/>
      <c r="G861" s="285"/>
      <c r="H861" s="285"/>
      <c r="I861" s="286"/>
      <c r="J861" s="286"/>
      <c r="K861" s="285"/>
      <c r="L861" s="284"/>
      <c r="M861" s="287"/>
      <c r="N861" s="284"/>
      <c r="O861" s="284"/>
      <c r="P861" s="284"/>
      <c r="Q861" s="284"/>
      <c r="R861" s="284"/>
      <c r="S861" s="284"/>
      <c r="T861" s="284"/>
      <c r="U861" s="284"/>
      <c r="V861" s="284"/>
      <c r="W861" s="284"/>
      <c r="X861" s="284"/>
      <c r="Y861" s="284"/>
      <c r="Z861" s="284"/>
      <c r="AA861" s="284"/>
    </row>
    <row r="862">
      <c r="A862" s="284"/>
      <c r="B862" s="284"/>
      <c r="C862" s="285"/>
      <c r="D862" s="285"/>
      <c r="E862" s="285"/>
      <c r="F862" s="285"/>
      <c r="G862" s="285"/>
      <c r="H862" s="285"/>
      <c r="I862" s="286"/>
      <c r="J862" s="286"/>
      <c r="K862" s="285"/>
      <c r="L862" s="284"/>
      <c r="M862" s="287"/>
      <c r="N862" s="284"/>
      <c r="O862" s="284"/>
      <c r="P862" s="284"/>
      <c r="Q862" s="284"/>
      <c r="R862" s="284"/>
      <c r="S862" s="284"/>
      <c r="T862" s="284"/>
      <c r="U862" s="284"/>
      <c r="V862" s="284"/>
      <c r="W862" s="284"/>
      <c r="X862" s="284"/>
      <c r="Y862" s="284"/>
      <c r="Z862" s="284"/>
      <c r="AA862" s="284"/>
    </row>
    <row r="863">
      <c r="A863" s="284"/>
      <c r="B863" s="284"/>
      <c r="C863" s="285"/>
      <c r="D863" s="285"/>
      <c r="E863" s="285"/>
      <c r="F863" s="285"/>
      <c r="G863" s="285"/>
      <c r="H863" s="285"/>
      <c r="I863" s="286"/>
      <c r="J863" s="286"/>
      <c r="K863" s="285"/>
      <c r="L863" s="284"/>
      <c r="M863" s="287"/>
      <c r="N863" s="284"/>
      <c r="O863" s="284"/>
      <c r="P863" s="284"/>
      <c r="Q863" s="284"/>
      <c r="R863" s="284"/>
      <c r="S863" s="284"/>
      <c r="T863" s="284"/>
      <c r="U863" s="284"/>
      <c r="V863" s="284"/>
      <c r="W863" s="284"/>
      <c r="X863" s="284"/>
      <c r="Y863" s="284"/>
      <c r="Z863" s="284"/>
      <c r="AA863" s="284"/>
    </row>
    <row r="864">
      <c r="A864" s="284"/>
      <c r="B864" s="284"/>
      <c r="C864" s="285"/>
      <c r="D864" s="285"/>
      <c r="E864" s="285"/>
      <c r="F864" s="285"/>
      <c r="G864" s="285"/>
      <c r="H864" s="285"/>
      <c r="I864" s="286"/>
      <c r="J864" s="286"/>
      <c r="K864" s="285"/>
      <c r="L864" s="284"/>
      <c r="M864" s="287"/>
      <c r="N864" s="284"/>
      <c r="O864" s="284"/>
      <c r="P864" s="284"/>
      <c r="Q864" s="284"/>
      <c r="R864" s="284"/>
      <c r="S864" s="284"/>
      <c r="T864" s="284"/>
      <c r="U864" s="284"/>
      <c r="V864" s="284"/>
      <c r="W864" s="284"/>
      <c r="X864" s="284"/>
      <c r="Y864" s="284"/>
      <c r="Z864" s="284"/>
      <c r="AA864" s="284"/>
    </row>
    <row r="865">
      <c r="A865" s="284"/>
      <c r="B865" s="284"/>
      <c r="C865" s="285"/>
      <c r="D865" s="285"/>
      <c r="E865" s="285"/>
      <c r="F865" s="285"/>
      <c r="G865" s="285"/>
      <c r="H865" s="285"/>
      <c r="I865" s="286"/>
      <c r="J865" s="286"/>
      <c r="K865" s="285"/>
      <c r="L865" s="284"/>
      <c r="M865" s="287"/>
      <c r="N865" s="284"/>
      <c r="O865" s="284"/>
      <c r="P865" s="284"/>
      <c r="Q865" s="284"/>
      <c r="R865" s="284"/>
      <c r="S865" s="284"/>
      <c r="T865" s="284"/>
      <c r="U865" s="284"/>
      <c r="V865" s="284"/>
      <c r="W865" s="284"/>
      <c r="X865" s="284"/>
      <c r="Y865" s="284"/>
      <c r="Z865" s="284"/>
      <c r="AA865" s="284"/>
    </row>
    <row r="866">
      <c r="A866" s="284"/>
      <c r="B866" s="284"/>
      <c r="C866" s="285"/>
      <c r="D866" s="285"/>
      <c r="E866" s="285"/>
      <c r="F866" s="285"/>
      <c r="G866" s="285"/>
      <c r="H866" s="285"/>
      <c r="I866" s="286"/>
      <c r="J866" s="286"/>
      <c r="K866" s="285"/>
      <c r="L866" s="284"/>
      <c r="M866" s="287"/>
      <c r="N866" s="284"/>
      <c r="O866" s="284"/>
      <c r="P866" s="284"/>
      <c r="Q866" s="284"/>
      <c r="R866" s="284"/>
      <c r="S866" s="284"/>
      <c r="T866" s="284"/>
      <c r="U866" s="284"/>
      <c r="V866" s="284"/>
      <c r="W866" s="284"/>
      <c r="X866" s="284"/>
      <c r="Y866" s="284"/>
      <c r="Z866" s="284"/>
      <c r="AA866" s="284"/>
    </row>
    <row r="867">
      <c r="A867" s="284"/>
      <c r="B867" s="284"/>
      <c r="C867" s="285"/>
      <c r="D867" s="285"/>
      <c r="E867" s="285"/>
      <c r="F867" s="285"/>
      <c r="G867" s="285"/>
      <c r="H867" s="285"/>
      <c r="I867" s="286"/>
      <c r="J867" s="286"/>
      <c r="K867" s="285"/>
      <c r="L867" s="284"/>
      <c r="M867" s="287"/>
      <c r="N867" s="284"/>
      <c r="O867" s="284"/>
      <c r="P867" s="284"/>
      <c r="Q867" s="284"/>
      <c r="R867" s="284"/>
      <c r="S867" s="284"/>
      <c r="T867" s="284"/>
      <c r="U867" s="284"/>
      <c r="V867" s="284"/>
      <c r="W867" s="284"/>
      <c r="X867" s="284"/>
      <c r="Y867" s="284"/>
      <c r="Z867" s="284"/>
      <c r="AA867" s="284"/>
    </row>
    <row r="868">
      <c r="A868" s="284"/>
      <c r="B868" s="284"/>
      <c r="C868" s="285"/>
      <c r="D868" s="285"/>
      <c r="E868" s="285"/>
      <c r="F868" s="285"/>
      <c r="G868" s="285"/>
      <c r="H868" s="285"/>
      <c r="I868" s="286"/>
      <c r="J868" s="286"/>
      <c r="K868" s="285"/>
      <c r="L868" s="284"/>
      <c r="M868" s="287"/>
      <c r="N868" s="284"/>
      <c r="O868" s="284"/>
      <c r="P868" s="284"/>
      <c r="Q868" s="284"/>
      <c r="R868" s="284"/>
      <c r="S868" s="284"/>
      <c r="T868" s="284"/>
      <c r="U868" s="284"/>
      <c r="V868" s="284"/>
      <c r="W868" s="284"/>
      <c r="X868" s="284"/>
      <c r="Y868" s="284"/>
      <c r="Z868" s="284"/>
      <c r="AA868" s="284"/>
    </row>
    <row r="869">
      <c r="A869" s="284"/>
      <c r="B869" s="284"/>
      <c r="C869" s="285"/>
      <c r="D869" s="285"/>
      <c r="E869" s="285"/>
      <c r="F869" s="285"/>
      <c r="G869" s="285"/>
      <c r="H869" s="285"/>
      <c r="I869" s="286"/>
      <c r="J869" s="286"/>
      <c r="K869" s="285"/>
      <c r="L869" s="284"/>
      <c r="M869" s="287"/>
      <c r="N869" s="284"/>
      <c r="O869" s="284"/>
      <c r="P869" s="284"/>
      <c r="Q869" s="284"/>
      <c r="R869" s="284"/>
      <c r="S869" s="284"/>
      <c r="T869" s="284"/>
      <c r="U869" s="284"/>
      <c r="V869" s="284"/>
      <c r="W869" s="284"/>
      <c r="X869" s="284"/>
      <c r="Y869" s="284"/>
      <c r="Z869" s="284"/>
      <c r="AA869" s="284"/>
    </row>
    <row r="870">
      <c r="A870" s="284"/>
      <c r="B870" s="284"/>
      <c r="C870" s="285"/>
      <c r="D870" s="285"/>
      <c r="E870" s="285"/>
      <c r="F870" s="285"/>
      <c r="G870" s="285"/>
      <c r="H870" s="285"/>
      <c r="I870" s="286"/>
      <c r="J870" s="286"/>
      <c r="K870" s="285"/>
      <c r="L870" s="284"/>
      <c r="M870" s="287"/>
      <c r="N870" s="284"/>
      <c r="O870" s="284"/>
      <c r="P870" s="284"/>
      <c r="Q870" s="284"/>
      <c r="R870" s="284"/>
      <c r="S870" s="284"/>
      <c r="T870" s="284"/>
      <c r="U870" s="284"/>
      <c r="V870" s="284"/>
      <c r="W870" s="284"/>
      <c r="X870" s="284"/>
      <c r="Y870" s="284"/>
      <c r="Z870" s="284"/>
      <c r="AA870" s="284"/>
    </row>
    <row r="871">
      <c r="A871" s="284"/>
      <c r="B871" s="284"/>
      <c r="C871" s="285"/>
      <c r="D871" s="285"/>
      <c r="E871" s="285"/>
      <c r="F871" s="285"/>
      <c r="G871" s="285"/>
      <c r="H871" s="285"/>
      <c r="I871" s="286"/>
      <c r="J871" s="286"/>
      <c r="K871" s="285"/>
      <c r="L871" s="284"/>
      <c r="M871" s="287"/>
      <c r="N871" s="284"/>
      <c r="O871" s="284"/>
      <c r="P871" s="284"/>
      <c r="Q871" s="284"/>
      <c r="R871" s="284"/>
      <c r="S871" s="284"/>
      <c r="T871" s="284"/>
      <c r="U871" s="284"/>
      <c r="V871" s="284"/>
      <c r="W871" s="284"/>
      <c r="X871" s="284"/>
      <c r="Y871" s="284"/>
      <c r="Z871" s="284"/>
      <c r="AA871" s="284"/>
    </row>
    <row r="872">
      <c r="A872" s="284"/>
      <c r="B872" s="284"/>
      <c r="C872" s="285"/>
      <c r="D872" s="285"/>
      <c r="E872" s="285"/>
      <c r="F872" s="285"/>
      <c r="G872" s="285"/>
      <c r="H872" s="285"/>
      <c r="I872" s="286"/>
      <c r="J872" s="286"/>
      <c r="K872" s="285"/>
      <c r="L872" s="284"/>
      <c r="M872" s="287"/>
      <c r="N872" s="284"/>
      <c r="O872" s="284"/>
      <c r="P872" s="284"/>
      <c r="Q872" s="284"/>
      <c r="R872" s="284"/>
      <c r="S872" s="284"/>
      <c r="T872" s="284"/>
      <c r="U872" s="284"/>
      <c r="V872" s="284"/>
      <c r="W872" s="284"/>
      <c r="X872" s="284"/>
      <c r="Y872" s="284"/>
      <c r="Z872" s="284"/>
      <c r="AA872" s="284"/>
    </row>
    <row r="873">
      <c r="A873" s="284"/>
      <c r="B873" s="284"/>
      <c r="C873" s="285"/>
      <c r="D873" s="285"/>
      <c r="E873" s="285"/>
      <c r="F873" s="285"/>
      <c r="G873" s="285"/>
      <c r="H873" s="285"/>
      <c r="I873" s="286"/>
      <c r="J873" s="286"/>
      <c r="K873" s="285"/>
      <c r="L873" s="284"/>
      <c r="M873" s="287"/>
      <c r="N873" s="284"/>
      <c r="O873" s="284"/>
      <c r="P873" s="284"/>
      <c r="Q873" s="284"/>
      <c r="R873" s="284"/>
      <c r="S873" s="284"/>
      <c r="T873" s="284"/>
      <c r="U873" s="284"/>
      <c r="V873" s="284"/>
      <c r="W873" s="284"/>
      <c r="X873" s="284"/>
      <c r="Y873" s="284"/>
      <c r="Z873" s="284"/>
      <c r="AA873" s="284"/>
    </row>
    <row r="874">
      <c r="A874" s="284"/>
      <c r="B874" s="284"/>
      <c r="C874" s="285"/>
      <c r="D874" s="285"/>
      <c r="E874" s="285"/>
      <c r="F874" s="285"/>
      <c r="G874" s="285"/>
      <c r="H874" s="285"/>
      <c r="I874" s="286"/>
      <c r="J874" s="286"/>
      <c r="K874" s="285"/>
      <c r="L874" s="284"/>
      <c r="M874" s="287"/>
      <c r="N874" s="284"/>
      <c r="O874" s="284"/>
      <c r="P874" s="284"/>
      <c r="Q874" s="284"/>
      <c r="R874" s="284"/>
      <c r="S874" s="284"/>
      <c r="T874" s="284"/>
      <c r="U874" s="284"/>
      <c r="V874" s="284"/>
      <c r="W874" s="284"/>
      <c r="X874" s="284"/>
      <c r="Y874" s="284"/>
      <c r="Z874" s="284"/>
      <c r="AA874" s="284"/>
    </row>
    <row r="875">
      <c r="A875" s="284"/>
      <c r="B875" s="284"/>
      <c r="C875" s="285"/>
      <c r="D875" s="285"/>
      <c r="E875" s="285"/>
      <c r="F875" s="285"/>
      <c r="G875" s="285"/>
      <c r="H875" s="285"/>
      <c r="I875" s="286"/>
      <c r="J875" s="286"/>
      <c r="K875" s="285"/>
      <c r="L875" s="284"/>
      <c r="M875" s="287"/>
      <c r="N875" s="284"/>
      <c r="O875" s="284"/>
      <c r="P875" s="284"/>
      <c r="Q875" s="284"/>
      <c r="R875" s="284"/>
      <c r="S875" s="284"/>
      <c r="T875" s="284"/>
      <c r="U875" s="284"/>
      <c r="V875" s="284"/>
      <c r="W875" s="284"/>
      <c r="X875" s="284"/>
      <c r="Y875" s="284"/>
      <c r="Z875" s="284"/>
      <c r="AA875" s="284"/>
    </row>
    <row r="876">
      <c r="A876" s="284"/>
      <c r="B876" s="284"/>
      <c r="C876" s="285"/>
      <c r="D876" s="285"/>
      <c r="E876" s="285"/>
      <c r="F876" s="285"/>
      <c r="G876" s="285"/>
      <c r="H876" s="285"/>
      <c r="I876" s="286"/>
      <c r="J876" s="286"/>
      <c r="K876" s="285"/>
      <c r="L876" s="284"/>
      <c r="M876" s="287"/>
      <c r="N876" s="284"/>
      <c r="O876" s="284"/>
      <c r="P876" s="284"/>
      <c r="Q876" s="284"/>
      <c r="R876" s="284"/>
      <c r="S876" s="284"/>
      <c r="T876" s="284"/>
      <c r="U876" s="284"/>
      <c r="V876" s="284"/>
      <c r="W876" s="284"/>
      <c r="X876" s="284"/>
      <c r="Y876" s="284"/>
      <c r="Z876" s="284"/>
      <c r="AA876" s="284"/>
    </row>
    <row r="877">
      <c r="A877" s="284"/>
      <c r="B877" s="284"/>
      <c r="C877" s="285"/>
      <c r="D877" s="285"/>
      <c r="E877" s="285"/>
      <c r="F877" s="285"/>
      <c r="G877" s="285"/>
      <c r="H877" s="285"/>
      <c r="I877" s="286"/>
      <c r="J877" s="286"/>
      <c r="K877" s="285"/>
      <c r="L877" s="284"/>
      <c r="M877" s="287"/>
      <c r="N877" s="284"/>
      <c r="O877" s="284"/>
      <c r="P877" s="284"/>
      <c r="Q877" s="284"/>
      <c r="R877" s="284"/>
      <c r="S877" s="284"/>
      <c r="T877" s="284"/>
      <c r="U877" s="284"/>
      <c r="V877" s="284"/>
      <c r="W877" s="284"/>
      <c r="X877" s="284"/>
      <c r="Y877" s="284"/>
      <c r="Z877" s="284"/>
      <c r="AA877" s="284"/>
    </row>
    <row r="878">
      <c r="A878" s="284"/>
      <c r="B878" s="284"/>
      <c r="C878" s="285"/>
      <c r="D878" s="285"/>
      <c r="E878" s="285"/>
      <c r="F878" s="285"/>
      <c r="G878" s="285"/>
      <c r="H878" s="285"/>
      <c r="I878" s="286"/>
      <c r="J878" s="286"/>
      <c r="K878" s="285"/>
      <c r="L878" s="284"/>
      <c r="M878" s="287"/>
      <c r="N878" s="284"/>
      <c r="O878" s="284"/>
      <c r="P878" s="284"/>
      <c r="Q878" s="284"/>
      <c r="R878" s="284"/>
      <c r="S878" s="284"/>
      <c r="T878" s="284"/>
      <c r="U878" s="284"/>
      <c r="V878" s="284"/>
      <c r="W878" s="284"/>
      <c r="X878" s="284"/>
      <c r="Y878" s="284"/>
      <c r="Z878" s="284"/>
      <c r="AA878" s="284"/>
    </row>
    <row r="879">
      <c r="A879" s="284"/>
      <c r="B879" s="284"/>
      <c r="C879" s="285"/>
      <c r="D879" s="285"/>
      <c r="E879" s="285"/>
      <c r="F879" s="285"/>
      <c r="G879" s="285"/>
      <c r="H879" s="285"/>
      <c r="I879" s="286"/>
      <c r="J879" s="286"/>
      <c r="K879" s="285"/>
      <c r="L879" s="284"/>
      <c r="M879" s="287"/>
      <c r="N879" s="284"/>
      <c r="O879" s="284"/>
      <c r="P879" s="284"/>
      <c r="Q879" s="284"/>
      <c r="R879" s="284"/>
      <c r="S879" s="284"/>
      <c r="T879" s="284"/>
      <c r="U879" s="284"/>
      <c r="V879" s="284"/>
      <c r="W879" s="284"/>
      <c r="X879" s="284"/>
      <c r="Y879" s="284"/>
      <c r="Z879" s="284"/>
      <c r="AA879" s="284"/>
    </row>
    <row r="880">
      <c r="A880" s="284"/>
      <c r="B880" s="284"/>
      <c r="C880" s="285"/>
      <c r="D880" s="285"/>
      <c r="E880" s="285"/>
      <c r="F880" s="285"/>
      <c r="G880" s="285"/>
      <c r="H880" s="285"/>
      <c r="I880" s="286"/>
      <c r="J880" s="286"/>
      <c r="K880" s="285"/>
      <c r="L880" s="284"/>
      <c r="M880" s="287"/>
      <c r="N880" s="284"/>
      <c r="O880" s="284"/>
      <c r="P880" s="284"/>
      <c r="Q880" s="284"/>
      <c r="R880" s="284"/>
      <c r="S880" s="284"/>
      <c r="T880" s="284"/>
      <c r="U880" s="284"/>
      <c r="V880" s="284"/>
      <c r="W880" s="284"/>
      <c r="X880" s="284"/>
      <c r="Y880" s="284"/>
      <c r="Z880" s="284"/>
      <c r="AA880" s="284"/>
    </row>
    <row r="881">
      <c r="A881" s="284"/>
      <c r="B881" s="284"/>
      <c r="C881" s="285"/>
      <c r="D881" s="285"/>
      <c r="E881" s="285"/>
      <c r="F881" s="285"/>
      <c r="G881" s="285"/>
      <c r="H881" s="285"/>
      <c r="I881" s="286"/>
      <c r="J881" s="286"/>
      <c r="K881" s="285"/>
      <c r="L881" s="284"/>
      <c r="M881" s="287"/>
      <c r="N881" s="284"/>
      <c r="O881" s="284"/>
      <c r="P881" s="284"/>
      <c r="Q881" s="284"/>
      <c r="R881" s="284"/>
      <c r="S881" s="284"/>
      <c r="T881" s="284"/>
      <c r="U881" s="284"/>
      <c r="V881" s="284"/>
      <c r="W881" s="284"/>
      <c r="X881" s="284"/>
      <c r="Y881" s="284"/>
      <c r="Z881" s="284"/>
      <c r="AA881" s="284"/>
    </row>
    <row r="882">
      <c r="A882" s="284"/>
      <c r="B882" s="284"/>
      <c r="C882" s="285"/>
      <c r="D882" s="285"/>
      <c r="E882" s="285"/>
      <c r="F882" s="285"/>
      <c r="G882" s="285"/>
      <c r="H882" s="285"/>
      <c r="I882" s="286"/>
      <c r="J882" s="286"/>
      <c r="K882" s="285"/>
      <c r="L882" s="284"/>
      <c r="M882" s="287"/>
      <c r="N882" s="284"/>
      <c r="O882" s="284"/>
      <c r="P882" s="284"/>
      <c r="Q882" s="284"/>
      <c r="R882" s="284"/>
      <c r="S882" s="284"/>
      <c r="T882" s="284"/>
      <c r="U882" s="284"/>
      <c r="V882" s="284"/>
      <c r="W882" s="284"/>
      <c r="X882" s="284"/>
      <c r="Y882" s="284"/>
      <c r="Z882" s="284"/>
      <c r="AA882" s="284"/>
    </row>
    <row r="883">
      <c r="A883" s="284"/>
      <c r="B883" s="284"/>
      <c r="C883" s="285"/>
      <c r="D883" s="285"/>
      <c r="E883" s="285"/>
      <c r="F883" s="285"/>
      <c r="G883" s="285"/>
      <c r="H883" s="285"/>
      <c r="I883" s="286"/>
      <c r="J883" s="286"/>
      <c r="K883" s="285"/>
      <c r="L883" s="284"/>
      <c r="M883" s="287"/>
      <c r="N883" s="284"/>
      <c r="O883" s="284"/>
      <c r="P883" s="284"/>
      <c r="Q883" s="284"/>
      <c r="R883" s="284"/>
      <c r="S883" s="284"/>
      <c r="T883" s="284"/>
      <c r="U883" s="284"/>
      <c r="V883" s="284"/>
      <c r="W883" s="284"/>
      <c r="X883" s="284"/>
      <c r="Y883" s="284"/>
      <c r="Z883" s="284"/>
      <c r="AA883" s="284"/>
    </row>
    <row r="884">
      <c r="A884" s="284"/>
      <c r="B884" s="284"/>
      <c r="C884" s="285"/>
      <c r="D884" s="285"/>
      <c r="E884" s="285"/>
      <c r="F884" s="285"/>
      <c r="G884" s="285"/>
      <c r="H884" s="285"/>
      <c r="I884" s="286"/>
      <c r="J884" s="286"/>
      <c r="K884" s="285"/>
      <c r="L884" s="284"/>
      <c r="M884" s="287"/>
      <c r="N884" s="284"/>
      <c r="O884" s="284"/>
      <c r="P884" s="284"/>
      <c r="Q884" s="284"/>
      <c r="R884" s="284"/>
      <c r="S884" s="284"/>
      <c r="T884" s="284"/>
      <c r="U884" s="284"/>
      <c r="V884" s="284"/>
      <c r="W884" s="284"/>
      <c r="X884" s="284"/>
      <c r="Y884" s="284"/>
      <c r="Z884" s="284"/>
      <c r="AA884" s="284"/>
    </row>
    <row r="885">
      <c r="A885" s="284"/>
      <c r="B885" s="284"/>
      <c r="C885" s="285"/>
      <c r="D885" s="285"/>
      <c r="E885" s="285"/>
      <c r="F885" s="285"/>
      <c r="G885" s="285"/>
      <c r="H885" s="285"/>
      <c r="I885" s="286"/>
      <c r="J885" s="286"/>
      <c r="K885" s="285"/>
      <c r="L885" s="284"/>
      <c r="M885" s="287"/>
      <c r="N885" s="284"/>
      <c r="O885" s="284"/>
      <c r="P885" s="284"/>
      <c r="Q885" s="284"/>
      <c r="R885" s="284"/>
      <c r="S885" s="284"/>
      <c r="T885" s="284"/>
      <c r="U885" s="284"/>
      <c r="V885" s="284"/>
      <c r="W885" s="284"/>
      <c r="X885" s="284"/>
      <c r="Y885" s="284"/>
      <c r="Z885" s="284"/>
      <c r="AA885" s="284"/>
    </row>
    <row r="886">
      <c r="A886" s="284"/>
      <c r="B886" s="284"/>
      <c r="C886" s="285"/>
      <c r="D886" s="285"/>
      <c r="E886" s="285"/>
      <c r="F886" s="285"/>
      <c r="G886" s="285"/>
      <c r="H886" s="285"/>
      <c r="I886" s="286"/>
      <c r="J886" s="286"/>
      <c r="K886" s="285"/>
      <c r="L886" s="284"/>
      <c r="M886" s="287"/>
      <c r="N886" s="284"/>
      <c r="O886" s="284"/>
      <c r="P886" s="284"/>
      <c r="Q886" s="284"/>
      <c r="R886" s="284"/>
      <c r="S886" s="284"/>
      <c r="T886" s="284"/>
      <c r="U886" s="284"/>
      <c r="V886" s="284"/>
      <c r="W886" s="284"/>
      <c r="X886" s="284"/>
      <c r="Y886" s="284"/>
      <c r="Z886" s="284"/>
      <c r="AA886" s="284"/>
    </row>
    <row r="887">
      <c r="A887" s="284"/>
      <c r="B887" s="284"/>
      <c r="C887" s="285"/>
      <c r="D887" s="285"/>
      <c r="E887" s="285"/>
      <c r="F887" s="285"/>
      <c r="G887" s="285"/>
      <c r="H887" s="285"/>
      <c r="I887" s="286"/>
      <c r="J887" s="286"/>
      <c r="K887" s="285"/>
      <c r="L887" s="284"/>
      <c r="M887" s="287"/>
      <c r="N887" s="284"/>
      <c r="O887" s="284"/>
      <c r="P887" s="284"/>
      <c r="Q887" s="284"/>
      <c r="R887" s="284"/>
      <c r="S887" s="284"/>
      <c r="T887" s="284"/>
      <c r="U887" s="284"/>
      <c r="V887" s="284"/>
      <c r="W887" s="284"/>
      <c r="X887" s="284"/>
      <c r="Y887" s="284"/>
      <c r="Z887" s="284"/>
      <c r="AA887" s="284"/>
    </row>
    <row r="888">
      <c r="A888" s="284"/>
      <c r="B888" s="284"/>
      <c r="C888" s="285"/>
      <c r="D888" s="285"/>
      <c r="E888" s="285"/>
      <c r="F888" s="285"/>
      <c r="G888" s="285"/>
      <c r="H888" s="285"/>
      <c r="I888" s="286"/>
      <c r="J888" s="286"/>
      <c r="K888" s="285"/>
      <c r="L888" s="284"/>
      <c r="M888" s="287"/>
      <c r="N888" s="284"/>
      <c r="O888" s="284"/>
      <c r="P888" s="284"/>
      <c r="Q888" s="284"/>
      <c r="R888" s="284"/>
      <c r="S888" s="284"/>
      <c r="T888" s="284"/>
      <c r="U888" s="284"/>
      <c r="V888" s="284"/>
      <c r="W888" s="284"/>
      <c r="X888" s="284"/>
      <c r="Y888" s="284"/>
      <c r="Z888" s="284"/>
      <c r="AA888" s="284"/>
    </row>
    <row r="889">
      <c r="A889" s="284"/>
      <c r="B889" s="284"/>
      <c r="C889" s="285"/>
      <c r="D889" s="285"/>
      <c r="E889" s="285"/>
      <c r="F889" s="285"/>
      <c r="G889" s="285"/>
      <c r="H889" s="285"/>
      <c r="I889" s="286"/>
      <c r="J889" s="286"/>
      <c r="K889" s="285"/>
      <c r="L889" s="284"/>
      <c r="M889" s="287"/>
      <c r="N889" s="284"/>
      <c r="O889" s="284"/>
      <c r="P889" s="284"/>
      <c r="Q889" s="284"/>
      <c r="R889" s="284"/>
      <c r="S889" s="284"/>
      <c r="T889" s="284"/>
      <c r="U889" s="284"/>
      <c r="V889" s="284"/>
      <c r="W889" s="284"/>
      <c r="X889" s="284"/>
      <c r="Y889" s="284"/>
      <c r="Z889" s="284"/>
      <c r="AA889" s="284"/>
    </row>
    <row r="890">
      <c r="A890" s="284"/>
      <c r="B890" s="284"/>
      <c r="C890" s="285"/>
      <c r="D890" s="285"/>
      <c r="E890" s="285"/>
      <c r="F890" s="285"/>
      <c r="G890" s="285"/>
      <c r="H890" s="285"/>
      <c r="I890" s="286"/>
      <c r="J890" s="286"/>
      <c r="K890" s="285"/>
      <c r="L890" s="284"/>
      <c r="M890" s="287"/>
      <c r="N890" s="284"/>
      <c r="O890" s="284"/>
      <c r="P890" s="284"/>
      <c r="Q890" s="284"/>
      <c r="R890" s="284"/>
      <c r="S890" s="284"/>
      <c r="T890" s="284"/>
      <c r="U890" s="284"/>
      <c r="V890" s="284"/>
      <c r="W890" s="284"/>
      <c r="X890" s="284"/>
      <c r="Y890" s="284"/>
      <c r="Z890" s="284"/>
      <c r="AA890" s="284"/>
    </row>
    <row r="891">
      <c r="A891" s="284"/>
      <c r="B891" s="284"/>
      <c r="C891" s="285"/>
      <c r="D891" s="285"/>
      <c r="E891" s="285"/>
      <c r="F891" s="285"/>
      <c r="G891" s="285"/>
      <c r="H891" s="285"/>
      <c r="I891" s="286"/>
      <c r="J891" s="286"/>
      <c r="K891" s="285"/>
      <c r="L891" s="284"/>
      <c r="M891" s="287"/>
      <c r="N891" s="284"/>
      <c r="O891" s="284"/>
      <c r="P891" s="284"/>
      <c r="Q891" s="284"/>
      <c r="R891" s="284"/>
      <c r="S891" s="284"/>
      <c r="T891" s="284"/>
      <c r="U891" s="284"/>
      <c r="V891" s="284"/>
      <c r="W891" s="284"/>
      <c r="X891" s="284"/>
      <c r="Y891" s="284"/>
      <c r="Z891" s="284"/>
      <c r="AA891" s="284"/>
    </row>
    <row r="892">
      <c r="A892" s="284"/>
      <c r="B892" s="284"/>
      <c r="C892" s="285"/>
      <c r="D892" s="285"/>
      <c r="E892" s="285"/>
      <c r="F892" s="285"/>
      <c r="G892" s="285"/>
      <c r="H892" s="285"/>
      <c r="I892" s="286"/>
      <c r="J892" s="286"/>
      <c r="K892" s="285"/>
      <c r="L892" s="284"/>
      <c r="M892" s="287"/>
      <c r="N892" s="284"/>
      <c r="O892" s="284"/>
      <c r="P892" s="284"/>
      <c r="Q892" s="284"/>
      <c r="R892" s="284"/>
      <c r="S892" s="284"/>
      <c r="T892" s="284"/>
      <c r="U892" s="284"/>
      <c r="V892" s="284"/>
      <c r="W892" s="284"/>
      <c r="X892" s="284"/>
      <c r="Y892" s="284"/>
      <c r="Z892" s="284"/>
      <c r="AA892" s="284"/>
    </row>
    <row r="893">
      <c r="A893" s="284"/>
      <c r="B893" s="284"/>
      <c r="C893" s="285"/>
      <c r="D893" s="285"/>
      <c r="E893" s="285"/>
      <c r="F893" s="285"/>
      <c r="G893" s="285"/>
      <c r="H893" s="285"/>
      <c r="I893" s="286"/>
      <c r="J893" s="286"/>
      <c r="K893" s="285"/>
      <c r="L893" s="284"/>
      <c r="M893" s="287"/>
      <c r="N893" s="284"/>
      <c r="O893" s="284"/>
      <c r="P893" s="284"/>
      <c r="Q893" s="284"/>
      <c r="R893" s="284"/>
      <c r="S893" s="284"/>
      <c r="T893" s="284"/>
      <c r="U893" s="284"/>
      <c r="V893" s="284"/>
      <c r="W893" s="284"/>
      <c r="X893" s="284"/>
      <c r="Y893" s="284"/>
      <c r="Z893" s="284"/>
      <c r="AA893" s="284"/>
    </row>
    <row r="894">
      <c r="A894" s="284"/>
      <c r="B894" s="284"/>
      <c r="C894" s="285"/>
      <c r="D894" s="285"/>
      <c r="E894" s="285"/>
      <c r="F894" s="285"/>
      <c r="G894" s="285"/>
      <c r="H894" s="285"/>
      <c r="I894" s="286"/>
      <c r="J894" s="286"/>
      <c r="K894" s="285"/>
      <c r="L894" s="284"/>
      <c r="M894" s="287"/>
      <c r="N894" s="284"/>
      <c r="O894" s="284"/>
      <c r="P894" s="284"/>
      <c r="Q894" s="284"/>
      <c r="R894" s="284"/>
      <c r="S894" s="284"/>
      <c r="T894" s="284"/>
      <c r="U894" s="284"/>
      <c r="V894" s="284"/>
      <c r="W894" s="284"/>
      <c r="X894" s="284"/>
      <c r="Y894" s="284"/>
      <c r="Z894" s="284"/>
      <c r="AA894" s="284"/>
    </row>
    <row r="895">
      <c r="A895" s="284"/>
      <c r="B895" s="284"/>
      <c r="C895" s="285"/>
      <c r="D895" s="285"/>
      <c r="E895" s="285"/>
      <c r="F895" s="285"/>
      <c r="G895" s="285"/>
      <c r="H895" s="285"/>
      <c r="I895" s="286"/>
      <c r="J895" s="286"/>
      <c r="K895" s="285"/>
      <c r="L895" s="284"/>
      <c r="M895" s="287"/>
      <c r="N895" s="284"/>
      <c r="O895" s="284"/>
      <c r="P895" s="284"/>
      <c r="Q895" s="284"/>
      <c r="R895" s="284"/>
      <c r="S895" s="284"/>
      <c r="T895" s="284"/>
      <c r="U895" s="284"/>
      <c r="V895" s="284"/>
      <c r="W895" s="284"/>
      <c r="X895" s="284"/>
      <c r="Y895" s="284"/>
      <c r="Z895" s="284"/>
      <c r="AA895" s="284"/>
    </row>
    <row r="896">
      <c r="A896" s="284"/>
      <c r="B896" s="284"/>
      <c r="C896" s="285"/>
      <c r="D896" s="285"/>
      <c r="E896" s="285"/>
      <c r="F896" s="285"/>
      <c r="G896" s="285"/>
      <c r="H896" s="285"/>
      <c r="I896" s="286"/>
      <c r="J896" s="286"/>
      <c r="K896" s="285"/>
      <c r="L896" s="284"/>
      <c r="M896" s="287"/>
      <c r="N896" s="284"/>
      <c r="O896" s="284"/>
      <c r="P896" s="284"/>
      <c r="Q896" s="284"/>
      <c r="R896" s="284"/>
      <c r="S896" s="284"/>
      <c r="T896" s="284"/>
      <c r="U896" s="284"/>
      <c r="V896" s="284"/>
      <c r="W896" s="284"/>
      <c r="X896" s="284"/>
      <c r="Y896" s="284"/>
      <c r="Z896" s="284"/>
      <c r="AA896" s="284"/>
    </row>
    <row r="897">
      <c r="A897" s="284"/>
      <c r="B897" s="284"/>
      <c r="C897" s="285"/>
      <c r="D897" s="285"/>
      <c r="E897" s="285"/>
      <c r="F897" s="285"/>
      <c r="G897" s="285"/>
      <c r="H897" s="285"/>
      <c r="I897" s="286"/>
      <c r="J897" s="286"/>
      <c r="K897" s="285"/>
      <c r="L897" s="284"/>
      <c r="M897" s="287"/>
      <c r="N897" s="284"/>
      <c r="O897" s="284"/>
      <c r="P897" s="284"/>
      <c r="Q897" s="284"/>
      <c r="R897" s="284"/>
      <c r="S897" s="284"/>
      <c r="T897" s="284"/>
      <c r="U897" s="284"/>
      <c r="V897" s="284"/>
      <c r="W897" s="284"/>
      <c r="X897" s="284"/>
      <c r="Y897" s="284"/>
      <c r="Z897" s="284"/>
      <c r="AA897" s="284"/>
    </row>
    <row r="898">
      <c r="A898" s="284"/>
      <c r="B898" s="284"/>
      <c r="C898" s="285"/>
      <c r="D898" s="285"/>
      <c r="E898" s="285"/>
      <c r="F898" s="285"/>
      <c r="G898" s="285"/>
      <c r="H898" s="285"/>
      <c r="I898" s="286"/>
      <c r="J898" s="286"/>
      <c r="K898" s="285"/>
      <c r="L898" s="284"/>
      <c r="M898" s="287"/>
      <c r="N898" s="284"/>
      <c r="O898" s="284"/>
      <c r="P898" s="284"/>
      <c r="Q898" s="284"/>
      <c r="R898" s="284"/>
      <c r="S898" s="284"/>
      <c r="T898" s="284"/>
      <c r="U898" s="284"/>
      <c r="V898" s="284"/>
      <c r="W898" s="284"/>
      <c r="X898" s="284"/>
      <c r="Y898" s="284"/>
      <c r="Z898" s="284"/>
      <c r="AA898" s="284"/>
    </row>
    <row r="899">
      <c r="A899" s="284"/>
      <c r="B899" s="284"/>
      <c r="C899" s="285"/>
      <c r="D899" s="285"/>
      <c r="E899" s="285"/>
      <c r="F899" s="285"/>
      <c r="G899" s="285"/>
      <c r="H899" s="285"/>
      <c r="I899" s="286"/>
      <c r="J899" s="286"/>
      <c r="K899" s="285"/>
      <c r="L899" s="284"/>
      <c r="M899" s="287"/>
      <c r="N899" s="284"/>
      <c r="O899" s="284"/>
      <c r="P899" s="284"/>
      <c r="Q899" s="284"/>
      <c r="R899" s="284"/>
      <c r="S899" s="284"/>
      <c r="T899" s="284"/>
      <c r="U899" s="284"/>
      <c r="V899" s="284"/>
      <c r="W899" s="284"/>
      <c r="X899" s="284"/>
      <c r="Y899" s="284"/>
      <c r="Z899" s="284"/>
      <c r="AA899" s="284"/>
    </row>
    <row r="900">
      <c r="A900" s="284"/>
      <c r="B900" s="284"/>
      <c r="C900" s="285"/>
      <c r="D900" s="285"/>
      <c r="E900" s="285"/>
      <c r="F900" s="285"/>
      <c r="G900" s="285"/>
      <c r="H900" s="285"/>
      <c r="I900" s="286"/>
      <c r="J900" s="286"/>
      <c r="K900" s="285"/>
      <c r="L900" s="284"/>
      <c r="M900" s="287"/>
      <c r="N900" s="284"/>
      <c r="O900" s="284"/>
      <c r="P900" s="284"/>
      <c r="Q900" s="284"/>
      <c r="R900" s="284"/>
      <c r="S900" s="284"/>
      <c r="T900" s="284"/>
      <c r="U900" s="284"/>
      <c r="V900" s="284"/>
      <c r="W900" s="284"/>
      <c r="X900" s="284"/>
      <c r="Y900" s="284"/>
      <c r="Z900" s="284"/>
      <c r="AA900" s="284"/>
    </row>
    <row r="901">
      <c r="A901" s="284"/>
      <c r="B901" s="284"/>
      <c r="C901" s="285"/>
      <c r="D901" s="285"/>
      <c r="E901" s="285"/>
      <c r="F901" s="285"/>
      <c r="G901" s="285"/>
      <c r="H901" s="285"/>
      <c r="I901" s="286"/>
      <c r="J901" s="286"/>
      <c r="K901" s="285"/>
      <c r="L901" s="284"/>
      <c r="M901" s="287"/>
      <c r="N901" s="284"/>
      <c r="O901" s="284"/>
      <c r="P901" s="284"/>
      <c r="Q901" s="284"/>
      <c r="R901" s="284"/>
      <c r="S901" s="284"/>
      <c r="T901" s="284"/>
      <c r="U901" s="284"/>
      <c r="V901" s="284"/>
      <c r="W901" s="284"/>
      <c r="X901" s="284"/>
      <c r="Y901" s="284"/>
      <c r="Z901" s="284"/>
      <c r="AA901" s="284"/>
    </row>
    <row r="902">
      <c r="A902" s="284"/>
      <c r="B902" s="284"/>
      <c r="C902" s="285"/>
      <c r="D902" s="285"/>
      <c r="E902" s="285"/>
      <c r="F902" s="285"/>
      <c r="G902" s="285"/>
      <c r="H902" s="285"/>
      <c r="I902" s="286"/>
      <c r="J902" s="286"/>
      <c r="K902" s="285"/>
      <c r="L902" s="284"/>
      <c r="M902" s="287"/>
      <c r="N902" s="284"/>
      <c r="O902" s="284"/>
      <c r="P902" s="284"/>
      <c r="Q902" s="284"/>
      <c r="R902" s="284"/>
      <c r="S902" s="284"/>
      <c r="T902" s="284"/>
      <c r="U902" s="284"/>
      <c r="V902" s="284"/>
      <c r="W902" s="284"/>
      <c r="X902" s="284"/>
      <c r="Y902" s="284"/>
      <c r="Z902" s="284"/>
      <c r="AA902" s="284"/>
    </row>
    <row r="903">
      <c r="A903" s="284"/>
      <c r="B903" s="284"/>
      <c r="C903" s="285"/>
      <c r="D903" s="285"/>
      <c r="E903" s="285"/>
      <c r="F903" s="285"/>
      <c r="G903" s="285"/>
      <c r="H903" s="285"/>
      <c r="I903" s="286"/>
      <c r="J903" s="286"/>
      <c r="K903" s="285"/>
      <c r="L903" s="284"/>
      <c r="M903" s="287"/>
      <c r="N903" s="284"/>
      <c r="O903" s="284"/>
      <c r="P903" s="284"/>
      <c r="Q903" s="284"/>
      <c r="R903" s="284"/>
      <c r="S903" s="284"/>
      <c r="T903" s="284"/>
      <c r="U903" s="284"/>
      <c r="V903" s="284"/>
      <c r="W903" s="284"/>
      <c r="X903" s="284"/>
      <c r="Y903" s="284"/>
      <c r="Z903" s="284"/>
      <c r="AA903" s="284"/>
    </row>
    <row r="904">
      <c r="A904" s="284"/>
      <c r="B904" s="284"/>
      <c r="C904" s="285"/>
      <c r="D904" s="285"/>
      <c r="E904" s="285"/>
      <c r="F904" s="285"/>
      <c r="G904" s="285"/>
      <c r="H904" s="285"/>
      <c r="I904" s="286"/>
      <c r="J904" s="286"/>
      <c r="K904" s="285"/>
      <c r="L904" s="284"/>
      <c r="M904" s="287"/>
      <c r="N904" s="284"/>
      <c r="O904" s="284"/>
      <c r="P904" s="284"/>
      <c r="Q904" s="284"/>
      <c r="R904" s="284"/>
      <c r="S904" s="284"/>
      <c r="T904" s="284"/>
      <c r="U904" s="284"/>
      <c r="V904" s="284"/>
      <c r="W904" s="284"/>
      <c r="X904" s="284"/>
      <c r="Y904" s="284"/>
      <c r="Z904" s="284"/>
      <c r="AA904" s="284"/>
    </row>
    <row r="905">
      <c r="A905" s="284"/>
      <c r="B905" s="284"/>
      <c r="C905" s="285"/>
      <c r="D905" s="285"/>
      <c r="E905" s="285"/>
      <c r="F905" s="285"/>
      <c r="G905" s="285"/>
      <c r="H905" s="285"/>
      <c r="I905" s="286"/>
      <c r="J905" s="286"/>
      <c r="K905" s="285"/>
      <c r="L905" s="284"/>
      <c r="M905" s="287"/>
      <c r="N905" s="284"/>
      <c r="O905" s="284"/>
      <c r="P905" s="284"/>
      <c r="Q905" s="284"/>
      <c r="R905" s="284"/>
      <c r="S905" s="284"/>
      <c r="T905" s="284"/>
      <c r="U905" s="284"/>
      <c r="V905" s="284"/>
      <c r="W905" s="284"/>
      <c r="X905" s="284"/>
      <c r="Y905" s="284"/>
      <c r="Z905" s="284"/>
      <c r="AA905" s="284"/>
    </row>
    <row r="906">
      <c r="A906" s="284"/>
      <c r="B906" s="284"/>
      <c r="C906" s="285"/>
      <c r="D906" s="285"/>
      <c r="E906" s="285"/>
      <c r="F906" s="285"/>
      <c r="G906" s="285"/>
      <c r="H906" s="285"/>
      <c r="I906" s="286"/>
      <c r="J906" s="286"/>
      <c r="K906" s="285"/>
      <c r="L906" s="284"/>
      <c r="M906" s="287"/>
      <c r="N906" s="284"/>
      <c r="O906" s="284"/>
      <c r="P906" s="284"/>
      <c r="Q906" s="284"/>
      <c r="R906" s="284"/>
      <c r="S906" s="284"/>
      <c r="T906" s="284"/>
      <c r="U906" s="284"/>
      <c r="V906" s="284"/>
      <c r="W906" s="284"/>
      <c r="X906" s="284"/>
      <c r="Y906" s="284"/>
      <c r="Z906" s="284"/>
      <c r="AA906" s="284"/>
    </row>
    <row r="907">
      <c r="A907" s="284"/>
      <c r="B907" s="284"/>
      <c r="C907" s="285"/>
      <c r="D907" s="285"/>
      <c r="E907" s="285"/>
      <c r="F907" s="285"/>
      <c r="G907" s="285"/>
      <c r="H907" s="285"/>
      <c r="I907" s="286"/>
      <c r="J907" s="286"/>
      <c r="K907" s="285"/>
      <c r="L907" s="284"/>
      <c r="M907" s="287"/>
      <c r="N907" s="284"/>
      <c r="O907" s="284"/>
      <c r="P907" s="284"/>
      <c r="Q907" s="284"/>
      <c r="R907" s="284"/>
      <c r="S907" s="284"/>
      <c r="T907" s="284"/>
      <c r="U907" s="284"/>
      <c r="V907" s="284"/>
      <c r="W907" s="284"/>
      <c r="X907" s="284"/>
      <c r="Y907" s="284"/>
      <c r="Z907" s="284"/>
      <c r="AA907" s="284"/>
    </row>
    <row r="908">
      <c r="A908" s="284"/>
      <c r="B908" s="284"/>
      <c r="C908" s="285"/>
      <c r="D908" s="285"/>
      <c r="E908" s="285"/>
      <c r="F908" s="285"/>
      <c r="G908" s="285"/>
      <c r="H908" s="285"/>
      <c r="I908" s="286"/>
      <c r="J908" s="286"/>
      <c r="K908" s="285"/>
      <c r="L908" s="284"/>
      <c r="M908" s="287"/>
      <c r="N908" s="284"/>
      <c r="O908" s="284"/>
      <c r="P908" s="284"/>
      <c r="Q908" s="284"/>
      <c r="R908" s="284"/>
      <c r="S908" s="284"/>
      <c r="T908" s="284"/>
      <c r="U908" s="284"/>
      <c r="V908" s="284"/>
      <c r="W908" s="284"/>
      <c r="X908" s="284"/>
      <c r="Y908" s="284"/>
      <c r="Z908" s="284"/>
      <c r="AA908" s="284"/>
    </row>
    <row r="909">
      <c r="A909" s="284"/>
      <c r="B909" s="284"/>
      <c r="C909" s="285"/>
      <c r="D909" s="285"/>
      <c r="E909" s="285"/>
      <c r="F909" s="285"/>
      <c r="G909" s="285"/>
      <c r="H909" s="285"/>
      <c r="I909" s="286"/>
      <c r="J909" s="286"/>
      <c r="K909" s="285"/>
      <c r="L909" s="284"/>
      <c r="M909" s="287"/>
      <c r="N909" s="284"/>
      <c r="O909" s="284"/>
      <c r="P909" s="284"/>
      <c r="Q909" s="284"/>
      <c r="R909" s="284"/>
      <c r="S909" s="284"/>
      <c r="T909" s="284"/>
      <c r="U909" s="284"/>
      <c r="V909" s="284"/>
      <c r="W909" s="284"/>
      <c r="X909" s="284"/>
      <c r="Y909" s="284"/>
      <c r="Z909" s="284"/>
      <c r="AA909" s="284"/>
    </row>
    <row r="910">
      <c r="A910" s="284"/>
      <c r="B910" s="284"/>
      <c r="C910" s="285"/>
      <c r="D910" s="285"/>
      <c r="E910" s="285"/>
      <c r="F910" s="285"/>
      <c r="G910" s="285"/>
      <c r="H910" s="285"/>
      <c r="I910" s="286"/>
      <c r="J910" s="286"/>
      <c r="K910" s="285"/>
      <c r="L910" s="284"/>
      <c r="M910" s="287"/>
      <c r="N910" s="284"/>
      <c r="O910" s="284"/>
      <c r="P910" s="284"/>
      <c r="Q910" s="284"/>
      <c r="R910" s="284"/>
      <c r="S910" s="284"/>
      <c r="T910" s="284"/>
      <c r="U910" s="284"/>
      <c r="V910" s="284"/>
      <c r="W910" s="284"/>
      <c r="X910" s="284"/>
      <c r="Y910" s="284"/>
      <c r="Z910" s="284"/>
      <c r="AA910" s="284"/>
    </row>
    <row r="911">
      <c r="A911" s="284"/>
      <c r="B911" s="284"/>
      <c r="C911" s="285"/>
      <c r="D911" s="285"/>
      <c r="E911" s="285"/>
      <c r="F911" s="285"/>
      <c r="G911" s="285"/>
      <c r="H911" s="285"/>
      <c r="I911" s="286"/>
      <c r="J911" s="286"/>
      <c r="K911" s="285"/>
      <c r="L911" s="284"/>
      <c r="M911" s="287"/>
      <c r="N911" s="284"/>
      <c r="O911" s="284"/>
      <c r="P911" s="284"/>
      <c r="Q911" s="284"/>
      <c r="R911" s="284"/>
      <c r="S911" s="284"/>
      <c r="T911" s="284"/>
      <c r="U911" s="284"/>
      <c r="V911" s="284"/>
      <c r="W911" s="284"/>
      <c r="X911" s="284"/>
      <c r="Y911" s="284"/>
      <c r="Z911" s="284"/>
      <c r="AA911" s="284"/>
    </row>
    <row r="912">
      <c r="A912" s="284"/>
      <c r="B912" s="284"/>
      <c r="C912" s="285"/>
      <c r="D912" s="285"/>
      <c r="E912" s="285"/>
      <c r="F912" s="285"/>
      <c r="G912" s="285"/>
      <c r="H912" s="285"/>
      <c r="I912" s="286"/>
      <c r="J912" s="286"/>
      <c r="K912" s="285"/>
      <c r="L912" s="284"/>
      <c r="M912" s="287"/>
      <c r="N912" s="284"/>
      <c r="O912" s="284"/>
      <c r="P912" s="284"/>
      <c r="Q912" s="284"/>
      <c r="R912" s="284"/>
      <c r="S912" s="284"/>
      <c r="T912" s="284"/>
      <c r="U912" s="284"/>
      <c r="V912" s="284"/>
      <c r="W912" s="284"/>
      <c r="X912" s="284"/>
      <c r="Y912" s="284"/>
      <c r="Z912" s="284"/>
      <c r="AA912" s="284"/>
    </row>
    <row r="913">
      <c r="A913" s="284"/>
      <c r="B913" s="284"/>
      <c r="C913" s="285"/>
      <c r="D913" s="285"/>
      <c r="E913" s="285"/>
      <c r="F913" s="285"/>
      <c r="G913" s="285"/>
      <c r="H913" s="285"/>
      <c r="I913" s="286"/>
      <c r="J913" s="286"/>
      <c r="K913" s="285"/>
      <c r="L913" s="284"/>
      <c r="M913" s="287"/>
      <c r="N913" s="284"/>
      <c r="O913" s="284"/>
      <c r="P913" s="284"/>
      <c r="Q913" s="284"/>
      <c r="R913" s="284"/>
      <c r="S913" s="284"/>
      <c r="T913" s="284"/>
      <c r="U913" s="284"/>
      <c r="V913" s="284"/>
      <c r="W913" s="284"/>
      <c r="X913" s="284"/>
      <c r="Y913" s="284"/>
      <c r="Z913" s="284"/>
      <c r="AA913" s="284"/>
    </row>
    <row r="914">
      <c r="A914" s="284"/>
      <c r="B914" s="284"/>
      <c r="C914" s="285"/>
      <c r="D914" s="285"/>
      <c r="E914" s="285"/>
      <c r="F914" s="285"/>
      <c r="G914" s="285"/>
      <c r="H914" s="285"/>
      <c r="I914" s="286"/>
      <c r="J914" s="286"/>
      <c r="K914" s="285"/>
      <c r="L914" s="284"/>
      <c r="M914" s="287"/>
      <c r="N914" s="284"/>
      <c r="O914" s="284"/>
      <c r="P914" s="284"/>
      <c r="Q914" s="284"/>
      <c r="R914" s="284"/>
      <c r="S914" s="284"/>
      <c r="T914" s="284"/>
      <c r="U914" s="284"/>
      <c r="V914" s="284"/>
      <c r="W914" s="284"/>
      <c r="X914" s="284"/>
      <c r="Y914" s="284"/>
      <c r="Z914" s="284"/>
      <c r="AA914" s="284"/>
    </row>
    <row r="915">
      <c r="A915" s="284"/>
      <c r="B915" s="284"/>
      <c r="C915" s="285"/>
      <c r="D915" s="285"/>
      <c r="E915" s="285"/>
      <c r="F915" s="285"/>
      <c r="G915" s="285"/>
      <c r="H915" s="285"/>
      <c r="I915" s="286"/>
      <c r="J915" s="286"/>
      <c r="K915" s="285"/>
      <c r="L915" s="284"/>
      <c r="M915" s="287"/>
      <c r="N915" s="284"/>
      <c r="O915" s="284"/>
      <c r="P915" s="284"/>
      <c r="Q915" s="284"/>
      <c r="R915" s="284"/>
      <c r="S915" s="284"/>
      <c r="T915" s="284"/>
      <c r="U915" s="284"/>
      <c r="V915" s="284"/>
      <c r="W915" s="284"/>
      <c r="X915" s="284"/>
      <c r="Y915" s="284"/>
      <c r="Z915" s="284"/>
      <c r="AA915" s="284"/>
    </row>
    <row r="916">
      <c r="A916" s="284"/>
      <c r="B916" s="284"/>
      <c r="C916" s="285"/>
      <c r="D916" s="285"/>
      <c r="E916" s="285"/>
      <c r="F916" s="285"/>
      <c r="G916" s="285"/>
      <c r="H916" s="285"/>
      <c r="I916" s="286"/>
      <c r="J916" s="286"/>
      <c r="K916" s="285"/>
      <c r="L916" s="284"/>
      <c r="M916" s="287"/>
      <c r="N916" s="284"/>
      <c r="O916" s="284"/>
      <c r="P916" s="284"/>
      <c r="Q916" s="284"/>
      <c r="R916" s="284"/>
      <c r="S916" s="284"/>
      <c r="T916" s="284"/>
      <c r="U916" s="284"/>
      <c r="V916" s="284"/>
      <c r="W916" s="284"/>
      <c r="X916" s="284"/>
      <c r="Y916" s="284"/>
      <c r="Z916" s="284"/>
      <c r="AA916" s="284"/>
    </row>
    <row r="917">
      <c r="A917" s="284"/>
      <c r="B917" s="284"/>
      <c r="C917" s="285"/>
      <c r="D917" s="285"/>
      <c r="E917" s="285"/>
      <c r="F917" s="285"/>
      <c r="G917" s="285"/>
      <c r="H917" s="285"/>
      <c r="I917" s="286"/>
      <c r="J917" s="286"/>
      <c r="K917" s="285"/>
      <c r="L917" s="284"/>
      <c r="M917" s="287"/>
      <c r="N917" s="284"/>
      <c r="O917" s="284"/>
      <c r="P917" s="284"/>
      <c r="Q917" s="284"/>
      <c r="R917" s="284"/>
      <c r="S917" s="284"/>
      <c r="T917" s="284"/>
      <c r="U917" s="284"/>
      <c r="V917" s="284"/>
      <c r="W917" s="284"/>
      <c r="X917" s="284"/>
      <c r="Y917" s="284"/>
      <c r="Z917" s="284"/>
      <c r="AA917" s="284"/>
    </row>
    <row r="918">
      <c r="A918" s="284"/>
      <c r="B918" s="284"/>
      <c r="C918" s="285"/>
      <c r="D918" s="285"/>
      <c r="E918" s="285"/>
      <c r="F918" s="285"/>
      <c r="G918" s="285"/>
      <c r="H918" s="285"/>
      <c r="I918" s="286"/>
      <c r="J918" s="286"/>
      <c r="K918" s="285"/>
      <c r="L918" s="284"/>
      <c r="M918" s="287"/>
      <c r="N918" s="284"/>
      <c r="O918" s="284"/>
      <c r="P918" s="284"/>
      <c r="Q918" s="284"/>
      <c r="R918" s="284"/>
      <c r="S918" s="284"/>
      <c r="T918" s="284"/>
      <c r="U918" s="284"/>
      <c r="V918" s="284"/>
      <c r="W918" s="284"/>
      <c r="X918" s="284"/>
      <c r="Y918" s="284"/>
      <c r="Z918" s="284"/>
      <c r="AA918" s="284"/>
    </row>
    <row r="919">
      <c r="A919" s="284"/>
      <c r="B919" s="284"/>
      <c r="C919" s="285"/>
      <c r="D919" s="285"/>
      <c r="E919" s="285"/>
      <c r="F919" s="285"/>
      <c r="G919" s="285"/>
      <c r="H919" s="285"/>
      <c r="I919" s="286"/>
      <c r="J919" s="286"/>
      <c r="K919" s="285"/>
      <c r="L919" s="284"/>
      <c r="M919" s="287"/>
      <c r="N919" s="284"/>
      <c r="O919" s="284"/>
      <c r="P919" s="284"/>
      <c r="Q919" s="284"/>
      <c r="R919" s="284"/>
      <c r="S919" s="284"/>
      <c r="T919" s="284"/>
      <c r="U919" s="284"/>
      <c r="V919" s="284"/>
      <c r="W919" s="284"/>
      <c r="X919" s="284"/>
      <c r="Y919" s="284"/>
      <c r="Z919" s="284"/>
      <c r="AA919" s="284"/>
    </row>
    <row r="920">
      <c r="A920" s="284"/>
      <c r="B920" s="284"/>
      <c r="C920" s="285"/>
      <c r="D920" s="285"/>
      <c r="E920" s="285"/>
      <c r="F920" s="285"/>
      <c r="G920" s="285"/>
      <c r="H920" s="285"/>
      <c r="I920" s="286"/>
      <c r="J920" s="286"/>
      <c r="K920" s="285"/>
      <c r="L920" s="284"/>
      <c r="M920" s="287"/>
      <c r="N920" s="284"/>
      <c r="O920" s="284"/>
      <c r="P920" s="284"/>
      <c r="Q920" s="284"/>
      <c r="R920" s="284"/>
      <c r="S920" s="284"/>
      <c r="T920" s="284"/>
      <c r="U920" s="284"/>
      <c r="V920" s="284"/>
      <c r="W920" s="284"/>
      <c r="X920" s="284"/>
      <c r="Y920" s="284"/>
      <c r="Z920" s="284"/>
      <c r="AA920" s="284"/>
    </row>
    <row r="921">
      <c r="A921" s="284"/>
      <c r="B921" s="284"/>
      <c r="C921" s="285"/>
      <c r="D921" s="285"/>
      <c r="E921" s="285"/>
      <c r="F921" s="285"/>
      <c r="G921" s="285"/>
      <c r="H921" s="285"/>
      <c r="I921" s="286"/>
      <c r="J921" s="286"/>
      <c r="K921" s="285"/>
      <c r="L921" s="284"/>
      <c r="M921" s="287"/>
      <c r="N921" s="284"/>
      <c r="O921" s="284"/>
      <c r="P921" s="284"/>
      <c r="Q921" s="284"/>
      <c r="R921" s="284"/>
      <c r="S921" s="284"/>
      <c r="T921" s="284"/>
      <c r="U921" s="284"/>
      <c r="V921" s="284"/>
      <c r="W921" s="284"/>
      <c r="X921" s="284"/>
      <c r="Y921" s="284"/>
      <c r="Z921" s="284"/>
      <c r="AA921" s="284"/>
    </row>
    <row r="922">
      <c r="A922" s="284"/>
      <c r="B922" s="284"/>
      <c r="C922" s="285"/>
      <c r="D922" s="285"/>
      <c r="E922" s="285"/>
      <c r="F922" s="285"/>
      <c r="G922" s="285"/>
      <c r="H922" s="285"/>
      <c r="I922" s="286"/>
      <c r="J922" s="286"/>
      <c r="K922" s="285"/>
      <c r="L922" s="284"/>
      <c r="M922" s="287"/>
      <c r="N922" s="284"/>
      <c r="O922" s="284"/>
      <c r="P922" s="284"/>
      <c r="Q922" s="284"/>
      <c r="R922" s="284"/>
      <c r="S922" s="284"/>
      <c r="T922" s="284"/>
      <c r="U922" s="284"/>
      <c r="V922" s="284"/>
      <c r="W922" s="284"/>
      <c r="X922" s="284"/>
      <c r="Y922" s="284"/>
      <c r="Z922" s="284"/>
      <c r="AA922" s="284"/>
    </row>
    <row r="923">
      <c r="A923" s="284"/>
      <c r="B923" s="284"/>
      <c r="C923" s="285"/>
      <c r="D923" s="285"/>
      <c r="E923" s="285"/>
      <c r="F923" s="285"/>
      <c r="G923" s="285"/>
      <c r="H923" s="285"/>
      <c r="I923" s="286"/>
      <c r="J923" s="286"/>
      <c r="K923" s="285"/>
      <c r="L923" s="284"/>
      <c r="M923" s="287"/>
      <c r="N923" s="284"/>
      <c r="O923" s="284"/>
      <c r="P923" s="284"/>
      <c r="Q923" s="284"/>
      <c r="R923" s="284"/>
      <c r="S923" s="284"/>
      <c r="T923" s="284"/>
      <c r="U923" s="284"/>
      <c r="V923" s="284"/>
      <c r="W923" s="284"/>
      <c r="X923" s="284"/>
      <c r="Y923" s="284"/>
      <c r="Z923" s="284"/>
      <c r="AA923" s="284"/>
    </row>
    <row r="924">
      <c r="A924" s="284"/>
      <c r="B924" s="284"/>
      <c r="C924" s="285"/>
      <c r="D924" s="285"/>
      <c r="E924" s="285"/>
      <c r="F924" s="285"/>
      <c r="G924" s="285"/>
      <c r="H924" s="285"/>
      <c r="I924" s="286"/>
      <c r="J924" s="286"/>
      <c r="K924" s="285"/>
      <c r="L924" s="284"/>
      <c r="M924" s="287"/>
      <c r="N924" s="284"/>
      <c r="O924" s="284"/>
      <c r="P924" s="284"/>
      <c r="Q924" s="284"/>
      <c r="R924" s="284"/>
      <c r="S924" s="284"/>
      <c r="T924" s="284"/>
      <c r="U924" s="284"/>
      <c r="V924" s="284"/>
      <c r="W924" s="284"/>
      <c r="X924" s="284"/>
      <c r="Y924" s="284"/>
      <c r="Z924" s="284"/>
      <c r="AA924" s="284"/>
    </row>
    <row r="925">
      <c r="A925" s="284"/>
      <c r="B925" s="284"/>
      <c r="C925" s="285"/>
      <c r="D925" s="285"/>
      <c r="E925" s="285"/>
      <c r="F925" s="285"/>
      <c r="G925" s="285"/>
      <c r="H925" s="285"/>
      <c r="I925" s="286"/>
      <c r="J925" s="286"/>
      <c r="K925" s="285"/>
      <c r="L925" s="284"/>
      <c r="M925" s="287"/>
      <c r="N925" s="284"/>
      <c r="O925" s="284"/>
      <c r="P925" s="284"/>
      <c r="Q925" s="284"/>
      <c r="R925" s="284"/>
      <c r="S925" s="284"/>
      <c r="T925" s="284"/>
      <c r="U925" s="284"/>
      <c r="V925" s="284"/>
      <c r="W925" s="284"/>
      <c r="X925" s="284"/>
      <c r="Y925" s="284"/>
      <c r="Z925" s="284"/>
      <c r="AA925" s="284"/>
    </row>
    <row r="926">
      <c r="A926" s="284"/>
      <c r="B926" s="284"/>
      <c r="C926" s="285"/>
      <c r="D926" s="285"/>
      <c r="E926" s="285"/>
      <c r="F926" s="285"/>
      <c r="G926" s="285"/>
      <c r="H926" s="285"/>
      <c r="I926" s="286"/>
      <c r="J926" s="286"/>
      <c r="K926" s="285"/>
      <c r="L926" s="284"/>
      <c r="M926" s="287"/>
      <c r="N926" s="284"/>
      <c r="O926" s="284"/>
      <c r="P926" s="284"/>
      <c r="Q926" s="284"/>
      <c r="R926" s="284"/>
      <c r="S926" s="284"/>
      <c r="T926" s="284"/>
      <c r="U926" s="284"/>
      <c r="V926" s="284"/>
      <c r="W926" s="284"/>
      <c r="X926" s="284"/>
      <c r="Y926" s="284"/>
      <c r="Z926" s="284"/>
      <c r="AA926" s="284"/>
    </row>
    <row r="927">
      <c r="A927" s="284"/>
      <c r="B927" s="284"/>
      <c r="C927" s="285"/>
      <c r="D927" s="285"/>
      <c r="E927" s="285"/>
      <c r="F927" s="285"/>
      <c r="G927" s="285"/>
      <c r="H927" s="285"/>
      <c r="I927" s="286"/>
      <c r="J927" s="286"/>
      <c r="K927" s="285"/>
      <c r="L927" s="284"/>
      <c r="M927" s="287"/>
      <c r="N927" s="284"/>
      <c r="O927" s="284"/>
      <c r="P927" s="284"/>
      <c r="Q927" s="284"/>
      <c r="R927" s="284"/>
      <c r="S927" s="284"/>
      <c r="T927" s="284"/>
      <c r="U927" s="284"/>
      <c r="V927" s="284"/>
      <c r="W927" s="284"/>
      <c r="X927" s="284"/>
      <c r="Y927" s="284"/>
      <c r="Z927" s="284"/>
      <c r="AA927" s="284"/>
    </row>
    <row r="928">
      <c r="A928" s="284"/>
      <c r="B928" s="284"/>
      <c r="C928" s="285"/>
      <c r="D928" s="285"/>
      <c r="E928" s="285"/>
      <c r="F928" s="285"/>
      <c r="G928" s="285"/>
      <c r="H928" s="285"/>
      <c r="I928" s="286"/>
      <c r="J928" s="286"/>
      <c r="K928" s="285"/>
      <c r="L928" s="284"/>
      <c r="M928" s="287"/>
      <c r="N928" s="284"/>
      <c r="O928" s="284"/>
      <c r="P928" s="284"/>
      <c r="Q928" s="284"/>
      <c r="R928" s="284"/>
      <c r="S928" s="284"/>
      <c r="T928" s="284"/>
      <c r="U928" s="284"/>
      <c r="V928" s="284"/>
      <c r="W928" s="284"/>
      <c r="X928" s="284"/>
      <c r="Y928" s="284"/>
      <c r="Z928" s="284"/>
      <c r="AA928" s="284"/>
    </row>
    <row r="929">
      <c r="A929" s="284"/>
      <c r="B929" s="284"/>
      <c r="C929" s="285"/>
      <c r="D929" s="285"/>
      <c r="E929" s="285"/>
      <c r="F929" s="285"/>
      <c r="G929" s="285"/>
      <c r="H929" s="285"/>
      <c r="I929" s="286"/>
      <c r="J929" s="286"/>
      <c r="K929" s="285"/>
      <c r="L929" s="284"/>
      <c r="M929" s="287"/>
      <c r="N929" s="284"/>
      <c r="O929" s="284"/>
      <c r="P929" s="284"/>
      <c r="Q929" s="284"/>
      <c r="R929" s="284"/>
      <c r="S929" s="284"/>
      <c r="T929" s="284"/>
      <c r="U929" s="284"/>
      <c r="V929" s="284"/>
      <c r="W929" s="284"/>
      <c r="X929" s="284"/>
      <c r="Y929" s="284"/>
      <c r="Z929" s="284"/>
      <c r="AA929" s="284"/>
    </row>
    <row r="930">
      <c r="A930" s="284"/>
      <c r="B930" s="284"/>
      <c r="C930" s="285"/>
      <c r="D930" s="285"/>
      <c r="E930" s="285"/>
      <c r="F930" s="285"/>
      <c r="G930" s="285"/>
      <c r="H930" s="285"/>
      <c r="I930" s="286"/>
      <c r="J930" s="286"/>
      <c r="K930" s="285"/>
      <c r="L930" s="284"/>
      <c r="M930" s="287"/>
      <c r="N930" s="284"/>
      <c r="O930" s="284"/>
      <c r="P930" s="284"/>
      <c r="Q930" s="284"/>
      <c r="R930" s="284"/>
      <c r="S930" s="284"/>
      <c r="T930" s="284"/>
      <c r="U930" s="284"/>
      <c r="V930" s="284"/>
      <c r="W930" s="284"/>
      <c r="X930" s="284"/>
      <c r="Y930" s="284"/>
      <c r="Z930" s="284"/>
      <c r="AA930" s="284"/>
    </row>
    <row r="931">
      <c r="A931" s="284"/>
      <c r="B931" s="284"/>
      <c r="C931" s="285"/>
      <c r="D931" s="285"/>
      <c r="E931" s="285"/>
      <c r="F931" s="285"/>
      <c r="G931" s="285"/>
      <c r="H931" s="285"/>
      <c r="I931" s="286"/>
      <c r="J931" s="286"/>
      <c r="K931" s="285"/>
      <c r="L931" s="284"/>
      <c r="M931" s="287"/>
      <c r="N931" s="284"/>
      <c r="O931" s="284"/>
      <c r="P931" s="284"/>
      <c r="Q931" s="284"/>
      <c r="R931" s="284"/>
      <c r="S931" s="284"/>
      <c r="T931" s="284"/>
      <c r="U931" s="284"/>
      <c r="V931" s="284"/>
      <c r="W931" s="284"/>
      <c r="X931" s="284"/>
      <c r="Y931" s="284"/>
      <c r="Z931" s="284"/>
      <c r="AA931" s="284"/>
    </row>
    <row r="932">
      <c r="A932" s="284"/>
      <c r="B932" s="284"/>
      <c r="C932" s="285"/>
      <c r="D932" s="285"/>
      <c r="E932" s="285"/>
      <c r="F932" s="285"/>
      <c r="G932" s="285"/>
      <c r="H932" s="285"/>
      <c r="I932" s="286"/>
      <c r="J932" s="286"/>
      <c r="K932" s="285"/>
      <c r="L932" s="284"/>
      <c r="M932" s="287"/>
      <c r="N932" s="284"/>
      <c r="O932" s="284"/>
      <c r="P932" s="284"/>
      <c r="Q932" s="284"/>
      <c r="R932" s="284"/>
      <c r="S932" s="284"/>
      <c r="T932" s="284"/>
      <c r="U932" s="284"/>
      <c r="V932" s="284"/>
      <c r="W932" s="284"/>
      <c r="X932" s="284"/>
      <c r="Y932" s="284"/>
      <c r="Z932" s="284"/>
      <c r="AA932" s="284"/>
    </row>
    <row r="933">
      <c r="A933" s="284"/>
      <c r="B933" s="284"/>
      <c r="C933" s="285"/>
      <c r="D933" s="285"/>
      <c r="E933" s="285"/>
      <c r="F933" s="285"/>
      <c r="G933" s="285"/>
      <c r="H933" s="285"/>
      <c r="I933" s="286"/>
      <c r="J933" s="286"/>
      <c r="K933" s="285"/>
      <c r="L933" s="284"/>
      <c r="M933" s="287"/>
      <c r="N933" s="284"/>
      <c r="O933" s="284"/>
      <c r="P933" s="284"/>
      <c r="Q933" s="284"/>
      <c r="R933" s="284"/>
      <c r="S933" s="284"/>
      <c r="T933" s="284"/>
      <c r="U933" s="284"/>
      <c r="V933" s="284"/>
      <c r="W933" s="284"/>
      <c r="X933" s="284"/>
      <c r="Y933" s="284"/>
      <c r="Z933" s="284"/>
      <c r="AA933" s="284"/>
    </row>
    <row r="934">
      <c r="A934" s="284"/>
      <c r="B934" s="284"/>
      <c r="C934" s="285"/>
      <c r="D934" s="285"/>
      <c r="E934" s="285"/>
      <c r="F934" s="285"/>
      <c r="G934" s="285"/>
      <c r="H934" s="285"/>
      <c r="I934" s="286"/>
      <c r="J934" s="286"/>
      <c r="K934" s="285"/>
      <c r="L934" s="284"/>
      <c r="M934" s="287"/>
      <c r="N934" s="284"/>
      <c r="O934" s="284"/>
      <c r="P934" s="284"/>
      <c r="Q934" s="284"/>
      <c r="R934" s="284"/>
      <c r="S934" s="284"/>
      <c r="T934" s="284"/>
      <c r="U934" s="284"/>
      <c r="V934" s="284"/>
      <c r="W934" s="284"/>
      <c r="X934" s="284"/>
      <c r="Y934" s="284"/>
      <c r="Z934" s="284"/>
      <c r="AA934" s="284"/>
    </row>
    <row r="935">
      <c r="A935" s="284"/>
      <c r="B935" s="284"/>
      <c r="C935" s="285"/>
      <c r="D935" s="285"/>
      <c r="E935" s="285"/>
      <c r="F935" s="285"/>
      <c r="G935" s="285"/>
      <c r="H935" s="285"/>
      <c r="I935" s="286"/>
      <c r="J935" s="286"/>
      <c r="K935" s="285"/>
      <c r="L935" s="284"/>
      <c r="M935" s="287"/>
      <c r="N935" s="284"/>
      <c r="O935" s="284"/>
      <c r="P935" s="284"/>
      <c r="Q935" s="284"/>
      <c r="R935" s="284"/>
      <c r="S935" s="284"/>
      <c r="T935" s="284"/>
      <c r="U935" s="284"/>
      <c r="V935" s="284"/>
      <c r="W935" s="284"/>
      <c r="X935" s="284"/>
      <c r="Y935" s="284"/>
      <c r="Z935" s="284"/>
      <c r="AA935" s="284"/>
    </row>
    <row r="936">
      <c r="A936" s="284"/>
      <c r="B936" s="284"/>
      <c r="C936" s="285"/>
      <c r="D936" s="285"/>
      <c r="E936" s="285"/>
      <c r="F936" s="285"/>
      <c r="G936" s="285"/>
      <c r="H936" s="285"/>
      <c r="I936" s="286"/>
      <c r="J936" s="286"/>
      <c r="K936" s="285"/>
      <c r="L936" s="284"/>
      <c r="M936" s="287"/>
      <c r="N936" s="284"/>
      <c r="O936" s="284"/>
      <c r="P936" s="284"/>
      <c r="Q936" s="284"/>
      <c r="R936" s="284"/>
      <c r="S936" s="284"/>
      <c r="T936" s="284"/>
      <c r="U936" s="284"/>
      <c r="V936" s="284"/>
      <c r="W936" s="284"/>
      <c r="X936" s="284"/>
      <c r="Y936" s="284"/>
      <c r="Z936" s="284"/>
      <c r="AA936" s="284"/>
    </row>
    <row r="937">
      <c r="A937" s="284"/>
      <c r="B937" s="284"/>
      <c r="C937" s="285"/>
      <c r="D937" s="285"/>
      <c r="E937" s="285"/>
      <c r="F937" s="285"/>
      <c r="G937" s="285"/>
      <c r="H937" s="285"/>
      <c r="I937" s="286"/>
      <c r="J937" s="286"/>
      <c r="K937" s="285"/>
      <c r="L937" s="284"/>
      <c r="M937" s="287"/>
      <c r="N937" s="284"/>
      <c r="O937" s="284"/>
      <c r="P937" s="284"/>
      <c r="Q937" s="284"/>
      <c r="R937" s="284"/>
      <c r="S937" s="284"/>
      <c r="T937" s="284"/>
      <c r="U937" s="284"/>
      <c r="V937" s="284"/>
      <c r="W937" s="284"/>
      <c r="X937" s="284"/>
      <c r="Y937" s="284"/>
      <c r="Z937" s="284"/>
      <c r="AA937" s="284"/>
    </row>
    <row r="938">
      <c r="A938" s="284"/>
      <c r="B938" s="284"/>
      <c r="C938" s="285"/>
      <c r="D938" s="285"/>
      <c r="E938" s="285"/>
      <c r="F938" s="285"/>
      <c r="G938" s="285"/>
      <c r="H938" s="285"/>
      <c r="I938" s="286"/>
      <c r="J938" s="286"/>
      <c r="K938" s="285"/>
      <c r="L938" s="284"/>
      <c r="M938" s="287"/>
      <c r="N938" s="284"/>
      <c r="O938" s="284"/>
      <c r="P938" s="284"/>
      <c r="Q938" s="284"/>
      <c r="R938" s="284"/>
      <c r="S938" s="284"/>
      <c r="T938" s="284"/>
      <c r="U938" s="284"/>
      <c r="V938" s="284"/>
      <c r="W938" s="284"/>
      <c r="X938" s="284"/>
      <c r="Y938" s="284"/>
      <c r="Z938" s="284"/>
      <c r="AA938" s="284"/>
    </row>
    <row r="939">
      <c r="A939" s="284"/>
      <c r="B939" s="284"/>
      <c r="C939" s="285"/>
      <c r="D939" s="285"/>
      <c r="E939" s="285"/>
      <c r="F939" s="285"/>
      <c r="G939" s="285"/>
      <c r="H939" s="285"/>
      <c r="I939" s="286"/>
      <c r="J939" s="286"/>
      <c r="K939" s="285"/>
      <c r="L939" s="284"/>
      <c r="M939" s="287"/>
      <c r="N939" s="284"/>
      <c r="O939" s="284"/>
      <c r="P939" s="284"/>
      <c r="Q939" s="284"/>
      <c r="R939" s="284"/>
      <c r="S939" s="284"/>
      <c r="T939" s="284"/>
      <c r="U939" s="284"/>
      <c r="V939" s="284"/>
      <c r="W939" s="284"/>
      <c r="X939" s="284"/>
      <c r="Y939" s="284"/>
      <c r="Z939" s="284"/>
      <c r="AA939" s="284"/>
    </row>
    <row r="940">
      <c r="A940" s="284"/>
      <c r="B940" s="284"/>
      <c r="C940" s="285"/>
      <c r="D940" s="285"/>
      <c r="E940" s="285"/>
      <c r="F940" s="285"/>
      <c r="G940" s="285"/>
      <c r="H940" s="285"/>
      <c r="I940" s="286"/>
      <c r="J940" s="286"/>
      <c r="K940" s="285"/>
      <c r="L940" s="284"/>
      <c r="M940" s="287"/>
      <c r="N940" s="284"/>
      <c r="O940" s="284"/>
      <c r="P940" s="284"/>
      <c r="Q940" s="284"/>
      <c r="R940" s="284"/>
      <c r="S940" s="284"/>
      <c r="T940" s="284"/>
      <c r="U940" s="284"/>
      <c r="V940" s="284"/>
      <c r="W940" s="284"/>
      <c r="X940" s="284"/>
      <c r="Y940" s="284"/>
      <c r="Z940" s="284"/>
      <c r="AA940" s="284"/>
    </row>
    <row r="941">
      <c r="A941" s="284"/>
      <c r="B941" s="284"/>
      <c r="C941" s="285"/>
      <c r="D941" s="285"/>
      <c r="E941" s="285"/>
      <c r="F941" s="285"/>
      <c r="G941" s="285"/>
      <c r="H941" s="285"/>
      <c r="I941" s="286"/>
      <c r="J941" s="286"/>
      <c r="K941" s="285"/>
      <c r="L941" s="284"/>
      <c r="M941" s="287"/>
      <c r="N941" s="284"/>
      <c r="O941" s="284"/>
      <c r="P941" s="284"/>
      <c r="Q941" s="284"/>
      <c r="R941" s="284"/>
      <c r="S941" s="284"/>
      <c r="T941" s="284"/>
      <c r="U941" s="284"/>
      <c r="V941" s="284"/>
      <c r="W941" s="284"/>
      <c r="X941" s="284"/>
      <c r="Y941" s="284"/>
      <c r="Z941" s="284"/>
      <c r="AA941" s="284"/>
    </row>
    <row r="942">
      <c r="A942" s="284"/>
      <c r="B942" s="284"/>
      <c r="C942" s="285"/>
      <c r="D942" s="285"/>
      <c r="E942" s="285"/>
      <c r="F942" s="285"/>
      <c r="G942" s="285"/>
      <c r="H942" s="285"/>
      <c r="I942" s="286"/>
      <c r="J942" s="286"/>
      <c r="K942" s="285"/>
      <c r="L942" s="284"/>
      <c r="M942" s="287"/>
      <c r="N942" s="284"/>
      <c r="O942" s="284"/>
      <c r="P942" s="284"/>
      <c r="Q942" s="284"/>
      <c r="R942" s="284"/>
      <c r="S942" s="284"/>
      <c r="T942" s="284"/>
      <c r="U942" s="284"/>
      <c r="V942" s="284"/>
      <c r="W942" s="284"/>
      <c r="X942" s="284"/>
      <c r="Y942" s="284"/>
      <c r="Z942" s="284"/>
      <c r="AA942" s="284"/>
    </row>
    <row r="943">
      <c r="A943" s="284"/>
      <c r="B943" s="284"/>
      <c r="C943" s="285"/>
      <c r="D943" s="285"/>
      <c r="E943" s="285"/>
      <c r="F943" s="285"/>
      <c r="G943" s="285"/>
      <c r="H943" s="285"/>
      <c r="I943" s="286"/>
      <c r="J943" s="286"/>
      <c r="K943" s="285"/>
      <c r="L943" s="284"/>
      <c r="M943" s="287"/>
      <c r="N943" s="284"/>
      <c r="O943" s="284"/>
      <c r="P943" s="284"/>
      <c r="Q943" s="284"/>
      <c r="R943" s="284"/>
      <c r="S943" s="284"/>
      <c r="T943" s="284"/>
      <c r="U943" s="284"/>
      <c r="V943" s="284"/>
      <c r="W943" s="284"/>
      <c r="X943" s="284"/>
      <c r="Y943" s="284"/>
      <c r="Z943" s="284"/>
      <c r="AA943" s="284"/>
    </row>
    <row r="944">
      <c r="A944" s="284"/>
      <c r="B944" s="284"/>
      <c r="C944" s="285"/>
      <c r="D944" s="285"/>
      <c r="E944" s="285"/>
      <c r="F944" s="285"/>
      <c r="G944" s="285"/>
      <c r="H944" s="285"/>
      <c r="I944" s="286"/>
      <c r="J944" s="286"/>
      <c r="K944" s="285"/>
      <c r="L944" s="284"/>
      <c r="M944" s="287"/>
      <c r="N944" s="284"/>
      <c r="O944" s="284"/>
      <c r="P944" s="284"/>
      <c r="Q944" s="284"/>
      <c r="R944" s="284"/>
      <c r="S944" s="284"/>
      <c r="T944" s="284"/>
      <c r="U944" s="284"/>
      <c r="V944" s="284"/>
      <c r="W944" s="284"/>
      <c r="X944" s="284"/>
      <c r="Y944" s="284"/>
      <c r="Z944" s="284"/>
      <c r="AA944" s="284"/>
    </row>
    <row r="945">
      <c r="A945" s="284"/>
      <c r="B945" s="284"/>
      <c r="C945" s="285"/>
      <c r="D945" s="285"/>
      <c r="E945" s="285"/>
      <c r="F945" s="285"/>
      <c r="G945" s="285"/>
      <c r="H945" s="285"/>
      <c r="I945" s="286"/>
      <c r="J945" s="286"/>
      <c r="K945" s="285"/>
      <c r="L945" s="284"/>
      <c r="M945" s="287"/>
      <c r="N945" s="284"/>
      <c r="O945" s="284"/>
      <c r="P945" s="284"/>
      <c r="Q945" s="284"/>
      <c r="R945" s="284"/>
      <c r="S945" s="284"/>
      <c r="T945" s="284"/>
      <c r="U945" s="284"/>
      <c r="V945" s="284"/>
      <c r="W945" s="284"/>
      <c r="X945" s="284"/>
      <c r="Y945" s="284"/>
      <c r="Z945" s="284"/>
      <c r="AA945" s="284"/>
    </row>
    <row r="946">
      <c r="A946" s="284"/>
      <c r="B946" s="284"/>
      <c r="C946" s="285"/>
      <c r="D946" s="285"/>
      <c r="E946" s="285"/>
      <c r="F946" s="285"/>
      <c r="G946" s="285"/>
      <c r="H946" s="285"/>
      <c r="I946" s="286"/>
      <c r="J946" s="286"/>
      <c r="K946" s="285"/>
      <c r="L946" s="284"/>
      <c r="M946" s="287"/>
      <c r="N946" s="284"/>
      <c r="O946" s="284"/>
      <c r="P946" s="284"/>
      <c r="Q946" s="284"/>
      <c r="R946" s="284"/>
      <c r="S946" s="284"/>
      <c r="T946" s="284"/>
      <c r="U946" s="284"/>
      <c r="V946" s="284"/>
      <c r="W946" s="284"/>
      <c r="X946" s="284"/>
      <c r="Y946" s="284"/>
      <c r="Z946" s="284"/>
      <c r="AA946" s="284"/>
    </row>
    <row r="947">
      <c r="A947" s="284"/>
      <c r="B947" s="284"/>
      <c r="C947" s="285"/>
      <c r="D947" s="285"/>
      <c r="E947" s="285"/>
      <c r="F947" s="285"/>
      <c r="G947" s="285"/>
      <c r="H947" s="285"/>
      <c r="I947" s="286"/>
      <c r="J947" s="286"/>
      <c r="K947" s="285"/>
      <c r="L947" s="284"/>
      <c r="M947" s="287"/>
      <c r="N947" s="284"/>
      <c r="O947" s="284"/>
      <c r="P947" s="284"/>
      <c r="Q947" s="284"/>
      <c r="R947" s="284"/>
      <c r="S947" s="284"/>
      <c r="T947" s="284"/>
      <c r="U947" s="284"/>
      <c r="V947" s="284"/>
      <c r="W947" s="284"/>
      <c r="X947" s="284"/>
      <c r="Y947" s="284"/>
      <c r="Z947" s="284"/>
      <c r="AA947" s="284"/>
    </row>
    <row r="948">
      <c r="A948" s="284"/>
      <c r="B948" s="284"/>
      <c r="C948" s="285"/>
      <c r="D948" s="285"/>
      <c r="E948" s="285"/>
      <c r="F948" s="285"/>
      <c r="G948" s="285"/>
      <c r="H948" s="285"/>
      <c r="I948" s="286"/>
      <c r="J948" s="286"/>
      <c r="K948" s="285"/>
      <c r="L948" s="284"/>
      <c r="M948" s="287"/>
      <c r="N948" s="284"/>
      <c r="O948" s="284"/>
      <c r="P948" s="284"/>
      <c r="Q948" s="284"/>
      <c r="R948" s="284"/>
      <c r="S948" s="284"/>
      <c r="T948" s="284"/>
      <c r="U948" s="284"/>
      <c r="V948" s="284"/>
      <c r="W948" s="284"/>
      <c r="X948" s="284"/>
      <c r="Y948" s="284"/>
      <c r="Z948" s="284"/>
      <c r="AA948" s="284"/>
    </row>
    <row r="949">
      <c r="A949" s="284"/>
      <c r="B949" s="284"/>
      <c r="C949" s="285"/>
      <c r="D949" s="285"/>
      <c r="E949" s="285"/>
      <c r="F949" s="285"/>
      <c r="G949" s="285"/>
      <c r="H949" s="285"/>
      <c r="I949" s="286"/>
      <c r="J949" s="286"/>
      <c r="K949" s="285"/>
      <c r="L949" s="284"/>
      <c r="M949" s="287"/>
      <c r="N949" s="284"/>
      <c r="O949" s="284"/>
      <c r="P949" s="284"/>
      <c r="Q949" s="284"/>
      <c r="R949" s="284"/>
      <c r="S949" s="284"/>
      <c r="T949" s="284"/>
      <c r="U949" s="284"/>
      <c r="V949" s="284"/>
      <c r="W949" s="284"/>
      <c r="X949" s="284"/>
      <c r="Y949" s="284"/>
      <c r="Z949" s="284"/>
      <c r="AA949" s="284"/>
    </row>
    <row r="950">
      <c r="A950" s="284"/>
      <c r="B950" s="284"/>
      <c r="C950" s="285"/>
      <c r="D950" s="285"/>
      <c r="E950" s="285"/>
      <c r="F950" s="285"/>
      <c r="G950" s="285"/>
      <c r="H950" s="285"/>
      <c r="I950" s="286"/>
      <c r="J950" s="286"/>
      <c r="K950" s="285"/>
      <c r="L950" s="284"/>
      <c r="M950" s="287"/>
      <c r="N950" s="284"/>
      <c r="O950" s="284"/>
      <c r="P950" s="284"/>
      <c r="Q950" s="284"/>
      <c r="R950" s="284"/>
      <c r="S950" s="284"/>
      <c r="T950" s="284"/>
      <c r="U950" s="284"/>
      <c r="V950" s="284"/>
      <c r="W950" s="284"/>
      <c r="X950" s="284"/>
      <c r="Y950" s="284"/>
      <c r="Z950" s="284"/>
      <c r="AA950" s="284"/>
    </row>
    <row r="951">
      <c r="A951" s="284"/>
      <c r="B951" s="284"/>
      <c r="C951" s="285"/>
      <c r="D951" s="285"/>
      <c r="E951" s="285"/>
      <c r="F951" s="285"/>
      <c r="G951" s="285"/>
      <c r="H951" s="285"/>
      <c r="I951" s="286"/>
      <c r="J951" s="286"/>
      <c r="K951" s="285"/>
      <c r="L951" s="284"/>
      <c r="M951" s="287"/>
      <c r="N951" s="284"/>
      <c r="O951" s="284"/>
      <c r="P951" s="284"/>
      <c r="Q951" s="284"/>
      <c r="R951" s="284"/>
      <c r="S951" s="284"/>
      <c r="T951" s="284"/>
      <c r="U951" s="284"/>
      <c r="V951" s="284"/>
      <c r="W951" s="284"/>
      <c r="X951" s="284"/>
      <c r="Y951" s="284"/>
      <c r="Z951" s="284"/>
      <c r="AA951" s="284"/>
    </row>
    <row r="952">
      <c r="A952" s="284"/>
      <c r="B952" s="284"/>
      <c r="C952" s="285"/>
      <c r="D952" s="285"/>
      <c r="E952" s="285"/>
      <c r="F952" s="285"/>
      <c r="G952" s="285"/>
      <c r="H952" s="285"/>
      <c r="I952" s="286"/>
      <c r="J952" s="286"/>
      <c r="K952" s="285"/>
      <c r="L952" s="284"/>
      <c r="M952" s="287"/>
      <c r="N952" s="284"/>
      <c r="O952" s="284"/>
      <c r="P952" s="284"/>
      <c r="Q952" s="284"/>
      <c r="R952" s="284"/>
      <c r="S952" s="284"/>
      <c r="T952" s="284"/>
      <c r="U952" s="284"/>
      <c r="V952" s="284"/>
      <c r="W952" s="284"/>
      <c r="X952" s="284"/>
      <c r="Y952" s="284"/>
      <c r="Z952" s="284"/>
      <c r="AA952" s="284"/>
    </row>
    <row r="953">
      <c r="A953" s="284"/>
      <c r="B953" s="284"/>
      <c r="C953" s="285"/>
      <c r="D953" s="285"/>
      <c r="E953" s="285"/>
      <c r="F953" s="285"/>
      <c r="G953" s="285"/>
      <c r="H953" s="285"/>
      <c r="I953" s="286"/>
      <c r="J953" s="286"/>
      <c r="K953" s="285"/>
      <c r="L953" s="284"/>
      <c r="M953" s="287"/>
      <c r="N953" s="284"/>
      <c r="O953" s="284"/>
      <c r="P953" s="284"/>
      <c r="Q953" s="284"/>
      <c r="R953" s="284"/>
      <c r="S953" s="284"/>
      <c r="T953" s="284"/>
      <c r="U953" s="284"/>
      <c r="V953" s="284"/>
      <c r="W953" s="284"/>
      <c r="X953" s="284"/>
      <c r="Y953" s="284"/>
      <c r="Z953" s="284"/>
      <c r="AA953" s="284"/>
    </row>
    <row r="954">
      <c r="A954" s="284"/>
      <c r="B954" s="284"/>
      <c r="C954" s="285"/>
      <c r="D954" s="285"/>
      <c r="E954" s="285"/>
      <c r="F954" s="285"/>
      <c r="G954" s="285"/>
      <c r="H954" s="285"/>
      <c r="I954" s="286"/>
      <c r="J954" s="286"/>
      <c r="K954" s="285"/>
      <c r="L954" s="284"/>
      <c r="M954" s="287"/>
      <c r="N954" s="284"/>
      <c r="O954" s="284"/>
      <c r="P954" s="284"/>
      <c r="Q954" s="284"/>
      <c r="R954" s="284"/>
      <c r="S954" s="284"/>
      <c r="T954" s="284"/>
      <c r="U954" s="284"/>
      <c r="V954" s="284"/>
      <c r="W954" s="284"/>
      <c r="X954" s="284"/>
      <c r="Y954" s="284"/>
      <c r="Z954" s="284"/>
      <c r="AA954" s="284"/>
    </row>
    <row r="955">
      <c r="A955" s="284"/>
      <c r="B955" s="284"/>
      <c r="C955" s="285"/>
      <c r="D955" s="285"/>
      <c r="E955" s="285"/>
      <c r="F955" s="285"/>
      <c r="G955" s="285"/>
      <c r="H955" s="285"/>
      <c r="I955" s="286"/>
      <c r="J955" s="286"/>
      <c r="K955" s="285"/>
      <c r="L955" s="284"/>
      <c r="M955" s="287"/>
      <c r="N955" s="284"/>
      <c r="O955" s="284"/>
      <c r="P955" s="284"/>
      <c r="Q955" s="284"/>
      <c r="R955" s="284"/>
      <c r="S955" s="284"/>
      <c r="T955" s="284"/>
      <c r="U955" s="284"/>
      <c r="V955" s="284"/>
      <c r="W955" s="284"/>
      <c r="X955" s="284"/>
      <c r="Y955" s="284"/>
      <c r="Z955" s="284"/>
      <c r="AA955" s="284"/>
    </row>
    <row r="956">
      <c r="A956" s="284"/>
      <c r="B956" s="284"/>
      <c r="C956" s="285"/>
      <c r="D956" s="285"/>
      <c r="E956" s="285"/>
      <c r="F956" s="285"/>
      <c r="G956" s="285"/>
      <c r="H956" s="285"/>
      <c r="I956" s="286"/>
      <c r="J956" s="286"/>
      <c r="K956" s="285"/>
      <c r="L956" s="284"/>
      <c r="M956" s="287"/>
      <c r="N956" s="284"/>
      <c r="O956" s="284"/>
      <c r="P956" s="284"/>
      <c r="Q956" s="284"/>
      <c r="R956" s="284"/>
      <c r="S956" s="284"/>
      <c r="T956" s="284"/>
      <c r="U956" s="284"/>
      <c r="V956" s="284"/>
      <c r="W956" s="284"/>
      <c r="X956" s="284"/>
      <c r="Y956" s="284"/>
      <c r="Z956" s="284"/>
      <c r="AA956" s="284"/>
    </row>
    <row r="957">
      <c r="A957" s="284"/>
      <c r="B957" s="284"/>
      <c r="C957" s="285"/>
      <c r="D957" s="285"/>
      <c r="E957" s="285"/>
      <c r="F957" s="285"/>
      <c r="G957" s="285"/>
      <c r="H957" s="285"/>
      <c r="I957" s="286"/>
      <c r="J957" s="286"/>
      <c r="K957" s="285"/>
      <c r="L957" s="284"/>
      <c r="M957" s="287"/>
      <c r="N957" s="284"/>
      <c r="O957" s="284"/>
      <c r="P957" s="284"/>
      <c r="Q957" s="284"/>
      <c r="R957" s="284"/>
      <c r="S957" s="284"/>
      <c r="T957" s="284"/>
      <c r="U957" s="284"/>
      <c r="V957" s="284"/>
      <c r="W957" s="284"/>
      <c r="X957" s="284"/>
      <c r="Y957" s="284"/>
      <c r="Z957" s="284"/>
      <c r="AA957" s="284"/>
    </row>
    <row r="958">
      <c r="A958" s="284"/>
      <c r="B958" s="284"/>
      <c r="C958" s="285"/>
      <c r="D958" s="285"/>
      <c r="E958" s="285"/>
      <c r="F958" s="285"/>
      <c r="G958" s="285"/>
      <c r="H958" s="285"/>
      <c r="I958" s="286"/>
      <c r="J958" s="286"/>
      <c r="K958" s="285"/>
      <c r="L958" s="284"/>
      <c r="M958" s="287"/>
      <c r="N958" s="284"/>
      <c r="O958" s="284"/>
      <c r="P958" s="284"/>
      <c r="Q958" s="284"/>
      <c r="R958" s="284"/>
      <c r="S958" s="284"/>
      <c r="T958" s="284"/>
      <c r="U958" s="284"/>
      <c r="V958" s="284"/>
      <c r="W958" s="284"/>
      <c r="X958" s="284"/>
      <c r="Y958" s="284"/>
      <c r="Z958" s="284"/>
      <c r="AA958" s="284"/>
    </row>
    <row r="959">
      <c r="A959" s="284"/>
      <c r="B959" s="284"/>
      <c r="C959" s="285"/>
      <c r="D959" s="285"/>
      <c r="E959" s="285"/>
      <c r="F959" s="285"/>
      <c r="G959" s="285"/>
      <c r="H959" s="285"/>
      <c r="I959" s="286"/>
      <c r="J959" s="286"/>
      <c r="K959" s="285"/>
      <c r="L959" s="284"/>
      <c r="M959" s="287"/>
      <c r="N959" s="284"/>
      <c r="O959" s="284"/>
      <c r="P959" s="284"/>
      <c r="Q959" s="284"/>
      <c r="R959" s="284"/>
      <c r="S959" s="284"/>
      <c r="T959" s="284"/>
      <c r="U959" s="284"/>
      <c r="V959" s="284"/>
      <c r="W959" s="284"/>
      <c r="X959" s="284"/>
      <c r="Y959" s="284"/>
      <c r="Z959" s="284"/>
      <c r="AA959" s="284"/>
    </row>
    <row r="960">
      <c r="A960" s="284"/>
      <c r="B960" s="284"/>
      <c r="C960" s="285"/>
      <c r="D960" s="285"/>
      <c r="E960" s="285"/>
      <c r="F960" s="285"/>
      <c r="G960" s="285"/>
      <c r="H960" s="285"/>
      <c r="I960" s="286"/>
      <c r="J960" s="286"/>
      <c r="K960" s="285"/>
      <c r="L960" s="284"/>
      <c r="M960" s="287"/>
      <c r="N960" s="284"/>
      <c r="O960" s="284"/>
      <c r="P960" s="284"/>
      <c r="Q960" s="284"/>
      <c r="R960" s="284"/>
      <c r="S960" s="284"/>
      <c r="T960" s="284"/>
      <c r="U960" s="284"/>
      <c r="V960" s="284"/>
      <c r="W960" s="284"/>
      <c r="X960" s="284"/>
      <c r="Y960" s="284"/>
      <c r="Z960" s="284"/>
      <c r="AA960" s="284"/>
    </row>
    <row r="961">
      <c r="A961" s="284"/>
      <c r="B961" s="284"/>
      <c r="C961" s="285"/>
      <c r="D961" s="285"/>
      <c r="E961" s="285"/>
      <c r="F961" s="285"/>
      <c r="G961" s="285"/>
      <c r="H961" s="285"/>
      <c r="I961" s="286"/>
      <c r="J961" s="286"/>
      <c r="K961" s="285"/>
      <c r="L961" s="284"/>
      <c r="M961" s="287"/>
      <c r="N961" s="284"/>
      <c r="O961" s="284"/>
      <c r="P961" s="284"/>
      <c r="Q961" s="284"/>
      <c r="R961" s="284"/>
      <c r="S961" s="284"/>
      <c r="T961" s="284"/>
      <c r="U961" s="284"/>
      <c r="V961" s="284"/>
      <c r="W961" s="284"/>
      <c r="X961" s="284"/>
      <c r="Y961" s="284"/>
      <c r="Z961" s="284"/>
      <c r="AA961" s="284"/>
    </row>
    <row r="962">
      <c r="A962" s="284"/>
      <c r="B962" s="284"/>
      <c r="C962" s="285"/>
      <c r="D962" s="285"/>
      <c r="E962" s="285"/>
      <c r="F962" s="285"/>
      <c r="G962" s="285"/>
      <c r="H962" s="285"/>
      <c r="I962" s="286"/>
      <c r="J962" s="286"/>
      <c r="K962" s="285"/>
      <c r="L962" s="284"/>
      <c r="M962" s="287"/>
      <c r="N962" s="284"/>
      <c r="O962" s="284"/>
      <c r="P962" s="284"/>
      <c r="Q962" s="284"/>
      <c r="R962" s="284"/>
      <c r="S962" s="284"/>
      <c r="T962" s="284"/>
      <c r="U962" s="284"/>
      <c r="V962" s="284"/>
      <c r="W962" s="284"/>
      <c r="X962" s="284"/>
      <c r="Y962" s="284"/>
      <c r="Z962" s="284"/>
      <c r="AA962" s="284"/>
    </row>
    <row r="963">
      <c r="A963" s="284"/>
      <c r="B963" s="284"/>
      <c r="C963" s="285"/>
      <c r="D963" s="285"/>
      <c r="E963" s="285"/>
      <c r="F963" s="285"/>
      <c r="G963" s="285"/>
      <c r="H963" s="285"/>
      <c r="I963" s="286"/>
      <c r="J963" s="286"/>
      <c r="K963" s="285"/>
      <c r="L963" s="284"/>
      <c r="M963" s="287"/>
      <c r="N963" s="284"/>
      <c r="O963" s="284"/>
      <c r="P963" s="284"/>
      <c r="Q963" s="284"/>
      <c r="R963" s="284"/>
      <c r="S963" s="284"/>
      <c r="T963" s="284"/>
      <c r="U963" s="284"/>
      <c r="V963" s="284"/>
      <c r="W963" s="284"/>
      <c r="X963" s="284"/>
      <c r="Y963" s="284"/>
      <c r="Z963" s="284"/>
      <c r="AA963" s="284"/>
    </row>
    <row r="964">
      <c r="A964" s="284"/>
      <c r="B964" s="284"/>
      <c r="C964" s="285"/>
      <c r="D964" s="285"/>
      <c r="E964" s="285"/>
      <c r="F964" s="285"/>
      <c r="G964" s="285"/>
      <c r="H964" s="285"/>
      <c r="I964" s="286"/>
      <c r="J964" s="286"/>
      <c r="K964" s="285"/>
      <c r="L964" s="284"/>
      <c r="M964" s="287"/>
      <c r="N964" s="284"/>
      <c r="O964" s="284"/>
      <c r="P964" s="284"/>
      <c r="Q964" s="284"/>
      <c r="R964" s="284"/>
      <c r="S964" s="284"/>
      <c r="T964" s="284"/>
      <c r="U964" s="284"/>
      <c r="V964" s="284"/>
      <c r="W964" s="284"/>
      <c r="X964" s="284"/>
      <c r="Y964" s="284"/>
      <c r="Z964" s="284"/>
      <c r="AA964" s="284"/>
    </row>
    <row r="965">
      <c r="A965" s="284"/>
      <c r="B965" s="284"/>
      <c r="C965" s="285"/>
      <c r="D965" s="285"/>
      <c r="E965" s="285"/>
      <c r="F965" s="285"/>
      <c r="G965" s="285"/>
      <c r="H965" s="285"/>
      <c r="I965" s="286"/>
      <c r="J965" s="286"/>
      <c r="K965" s="285"/>
      <c r="L965" s="284"/>
      <c r="M965" s="287"/>
      <c r="N965" s="284"/>
      <c r="O965" s="284"/>
      <c r="P965" s="284"/>
      <c r="Q965" s="284"/>
      <c r="R965" s="284"/>
      <c r="S965" s="284"/>
      <c r="T965" s="284"/>
      <c r="U965" s="284"/>
      <c r="V965" s="284"/>
      <c r="W965" s="284"/>
      <c r="X965" s="284"/>
      <c r="Y965" s="284"/>
      <c r="Z965" s="284"/>
      <c r="AA965" s="284"/>
    </row>
    <row r="966">
      <c r="A966" s="284"/>
      <c r="B966" s="284"/>
      <c r="C966" s="285"/>
      <c r="D966" s="285"/>
      <c r="E966" s="285"/>
      <c r="F966" s="285"/>
      <c r="G966" s="285"/>
      <c r="H966" s="285"/>
      <c r="I966" s="286"/>
      <c r="J966" s="286"/>
      <c r="K966" s="285"/>
      <c r="L966" s="284"/>
      <c r="M966" s="287"/>
      <c r="N966" s="284"/>
      <c r="O966" s="284"/>
      <c r="P966" s="284"/>
      <c r="Q966" s="284"/>
      <c r="R966" s="284"/>
      <c r="S966" s="284"/>
      <c r="T966" s="284"/>
      <c r="U966" s="284"/>
      <c r="V966" s="284"/>
      <c r="W966" s="284"/>
      <c r="X966" s="284"/>
      <c r="Y966" s="284"/>
      <c r="Z966" s="284"/>
      <c r="AA966" s="284"/>
    </row>
    <row r="967">
      <c r="A967" s="284"/>
      <c r="B967" s="284"/>
      <c r="C967" s="285"/>
      <c r="D967" s="285"/>
      <c r="E967" s="285"/>
      <c r="F967" s="285"/>
      <c r="G967" s="285"/>
      <c r="H967" s="285"/>
      <c r="I967" s="286"/>
      <c r="J967" s="286"/>
      <c r="K967" s="285"/>
      <c r="L967" s="284"/>
      <c r="M967" s="287"/>
      <c r="N967" s="284"/>
      <c r="O967" s="284"/>
      <c r="P967" s="284"/>
      <c r="Q967" s="284"/>
      <c r="R967" s="284"/>
      <c r="S967" s="284"/>
      <c r="T967" s="284"/>
      <c r="U967" s="284"/>
      <c r="V967" s="284"/>
      <c r="W967" s="284"/>
      <c r="X967" s="284"/>
      <c r="Y967" s="284"/>
      <c r="Z967" s="284"/>
      <c r="AA967" s="284"/>
    </row>
    <row r="968">
      <c r="A968" s="284"/>
      <c r="B968" s="284"/>
      <c r="C968" s="285"/>
      <c r="D968" s="285"/>
      <c r="E968" s="285"/>
      <c r="F968" s="285"/>
      <c r="G968" s="285"/>
      <c r="H968" s="285"/>
      <c r="I968" s="286"/>
      <c r="J968" s="286"/>
      <c r="K968" s="285"/>
      <c r="L968" s="284"/>
      <c r="M968" s="287"/>
      <c r="N968" s="284"/>
      <c r="O968" s="284"/>
      <c r="P968" s="284"/>
      <c r="Q968" s="284"/>
      <c r="R968" s="284"/>
      <c r="S968" s="284"/>
      <c r="T968" s="284"/>
      <c r="U968" s="284"/>
      <c r="V968" s="284"/>
      <c r="W968" s="284"/>
      <c r="X968" s="284"/>
      <c r="Y968" s="284"/>
      <c r="Z968" s="284"/>
      <c r="AA968" s="284"/>
    </row>
    <row r="969">
      <c r="A969" s="284"/>
      <c r="B969" s="284"/>
      <c r="C969" s="285"/>
      <c r="D969" s="285"/>
      <c r="E969" s="285"/>
      <c r="F969" s="285"/>
      <c r="G969" s="285"/>
      <c r="H969" s="285"/>
      <c r="I969" s="286"/>
      <c r="J969" s="286"/>
      <c r="K969" s="285"/>
      <c r="L969" s="284"/>
      <c r="M969" s="287"/>
      <c r="N969" s="284"/>
      <c r="O969" s="284"/>
      <c r="P969" s="284"/>
      <c r="Q969" s="284"/>
      <c r="R969" s="284"/>
      <c r="S969" s="284"/>
      <c r="T969" s="284"/>
      <c r="U969" s="284"/>
      <c r="V969" s="284"/>
      <c r="W969" s="284"/>
      <c r="X969" s="284"/>
      <c r="Y969" s="284"/>
      <c r="Z969" s="284"/>
      <c r="AA969" s="284"/>
    </row>
    <row r="970">
      <c r="A970" s="284"/>
      <c r="B970" s="284"/>
      <c r="C970" s="285"/>
      <c r="D970" s="285"/>
      <c r="E970" s="285"/>
      <c r="F970" s="285"/>
      <c r="G970" s="285"/>
      <c r="H970" s="285"/>
      <c r="I970" s="286"/>
      <c r="J970" s="286"/>
      <c r="K970" s="285"/>
      <c r="L970" s="284"/>
      <c r="M970" s="287"/>
      <c r="N970" s="284"/>
      <c r="O970" s="284"/>
      <c r="P970" s="284"/>
      <c r="Q970" s="284"/>
      <c r="R970" s="284"/>
      <c r="S970" s="284"/>
      <c r="T970" s="284"/>
      <c r="U970" s="284"/>
      <c r="V970" s="284"/>
      <c r="W970" s="284"/>
      <c r="X970" s="284"/>
      <c r="Y970" s="284"/>
      <c r="Z970" s="284"/>
      <c r="AA970" s="284"/>
    </row>
    <row r="971">
      <c r="A971" s="284"/>
      <c r="B971" s="284"/>
      <c r="C971" s="285"/>
      <c r="D971" s="285"/>
      <c r="E971" s="285"/>
      <c r="F971" s="285"/>
      <c r="G971" s="285"/>
      <c r="H971" s="285"/>
      <c r="I971" s="286"/>
      <c r="J971" s="286"/>
      <c r="K971" s="285"/>
      <c r="L971" s="284"/>
      <c r="M971" s="287"/>
      <c r="N971" s="284"/>
      <c r="O971" s="284"/>
      <c r="P971" s="284"/>
      <c r="Q971" s="284"/>
      <c r="R971" s="284"/>
      <c r="S971" s="284"/>
      <c r="T971" s="284"/>
      <c r="U971" s="284"/>
      <c r="V971" s="284"/>
      <c r="W971" s="284"/>
      <c r="X971" s="284"/>
      <c r="Y971" s="284"/>
      <c r="Z971" s="284"/>
      <c r="AA971" s="284"/>
    </row>
    <row r="972">
      <c r="A972" s="284"/>
      <c r="B972" s="284"/>
      <c r="C972" s="285"/>
      <c r="D972" s="285"/>
      <c r="E972" s="285"/>
      <c r="F972" s="285"/>
      <c r="G972" s="285"/>
      <c r="H972" s="285"/>
      <c r="I972" s="286"/>
      <c r="J972" s="286"/>
      <c r="K972" s="285"/>
      <c r="L972" s="284"/>
      <c r="M972" s="287"/>
      <c r="N972" s="284"/>
      <c r="O972" s="284"/>
      <c r="P972" s="284"/>
      <c r="Q972" s="284"/>
      <c r="R972" s="284"/>
      <c r="S972" s="284"/>
      <c r="T972" s="284"/>
      <c r="U972" s="284"/>
      <c r="V972" s="284"/>
      <c r="W972" s="284"/>
      <c r="X972" s="284"/>
      <c r="Y972" s="284"/>
      <c r="Z972" s="284"/>
      <c r="AA972" s="284"/>
    </row>
    <row r="973">
      <c r="A973" s="284"/>
      <c r="B973" s="284"/>
      <c r="C973" s="285"/>
      <c r="D973" s="285"/>
      <c r="E973" s="285"/>
      <c r="F973" s="285"/>
      <c r="G973" s="285"/>
      <c r="H973" s="285"/>
      <c r="I973" s="286"/>
      <c r="J973" s="286"/>
      <c r="K973" s="285"/>
      <c r="L973" s="284"/>
      <c r="M973" s="287"/>
      <c r="N973" s="284"/>
      <c r="O973" s="284"/>
      <c r="P973" s="284"/>
      <c r="Q973" s="284"/>
      <c r="R973" s="284"/>
      <c r="S973" s="284"/>
      <c r="T973" s="284"/>
      <c r="U973" s="284"/>
      <c r="V973" s="284"/>
      <c r="W973" s="284"/>
      <c r="X973" s="284"/>
      <c r="Y973" s="284"/>
      <c r="Z973" s="284"/>
      <c r="AA973" s="284"/>
    </row>
    <row r="974">
      <c r="A974" s="284"/>
      <c r="B974" s="284"/>
      <c r="C974" s="285"/>
      <c r="D974" s="285"/>
      <c r="E974" s="285"/>
      <c r="F974" s="285"/>
      <c r="G974" s="285"/>
      <c r="H974" s="285"/>
      <c r="I974" s="286"/>
      <c r="J974" s="286"/>
      <c r="K974" s="285"/>
      <c r="L974" s="284"/>
      <c r="M974" s="287"/>
      <c r="N974" s="284"/>
      <c r="O974" s="284"/>
      <c r="P974" s="284"/>
      <c r="Q974" s="284"/>
      <c r="R974" s="284"/>
      <c r="S974" s="284"/>
      <c r="T974" s="284"/>
      <c r="U974" s="284"/>
      <c r="V974" s="284"/>
      <c r="W974" s="284"/>
      <c r="X974" s="284"/>
      <c r="Y974" s="284"/>
      <c r="Z974" s="284"/>
      <c r="AA974" s="284"/>
    </row>
    <row r="975">
      <c r="A975" s="284"/>
      <c r="B975" s="284"/>
      <c r="C975" s="285"/>
      <c r="D975" s="285"/>
      <c r="E975" s="285"/>
      <c r="F975" s="285"/>
      <c r="G975" s="285"/>
      <c r="H975" s="285"/>
      <c r="I975" s="286"/>
      <c r="J975" s="286"/>
      <c r="K975" s="285"/>
      <c r="L975" s="284"/>
      <c r="M975" s="287"/>
      <c r="N975" s="284"/>
      <c r="O975" s="284"/>
      <c r="P975" s="284"/>
      <c r="Q975" s="284"/>
      <c r="R975" s="284"/>
      <c r="S975" s="284"/>
      <c r="T975" s="284"/>
      <c r="U975" s="284"/>
      <c r="V975" s="284"/>
      <c r="W975" s="284"/>
      <c r="X975" s="284"/>
      <c r="Y975" s="284"/>
      <c r="Z975" s="284"/>
      <c r="AA975" s="284"/>
    </row>
    <row r="976">
      <c r="A976" s="284"/>
      <c r="B976" s="284"/>
      <c r="C976" s="285"/>
      <c r="D976" s="285"/>
      <c r="E976" s="285"/>
      <c r="F976" s="285"/>
      <c r="G976" s="285"/>
      <c r="H976" s="285"/>
      <c r="I976" s="286"/>
      <c r="J976" s="286"/>
      <c r="K976" s="285"/>
      <c r="L976" s="284"/>
      <c r="M976" s="287"/>
      <c r="N976" s="284"/>
      <c r="O976" s="284"/>
      <c r="P976" s="284"/>
      <c r="Q976" s="284"/>
      <c r="R976" s="284"/>
      <c r="S976" s="284"/>
      <c r="T976" s="284"/>
      <c r="U976" s="284"/>
      <c r="V976" s="284"/>
      <c r="W976" s="284"/>
      <c r="X976" s="284"/>
      <c r="Y976" s="284"/>
      <c r="Z976" s="284"/>
      <c r="AA976" s="284"/>
    </row>
    <row r="977">
      <c r="A977" s="284"/>
      <c r="B977" s="284"/>
      <c r="C977" s="285"/>
      <c r="D977" s="285"/>
      <c r="E977" s="285"/>
      <c r="F977" s="285"/>
      <c r="G977" s="285"/>
      <c r="H977" s="285"/>
      <c r="I977" s="286"/>
      <c r="J977" s="286"/>
      <c r="K977" s="285"/>
      <c r="L977" s="284"/>
      <c r="M977" s="287"/>
      <c r="N977" s="284"/>
      <c r="O977" s="284"/>
      <c r="P977" s="284"/>
      <c r="Q977" s="284"/>
      <c r="R977" s="284"/>
      <c r="S977" s="284"/>
      <c r="T977" s="284"/>
      <c r="U977" s="284"/>
      <c r="V977" s="284"/>
      <c r="W977" s="284"/>
      <c r="X977" s="284"/>
      <c r="Y977" s="284"/>
      <c r="Z977" s="284"/>
      <c r="AA977" s="284"/>
    </row>
    <row r="978">
      <c r="A978" s="284"/>
      <c r="B978" s="284"/>
      <c r="C978" s="285"/>
      <c r="D978" s="285"/>
      <c r="E978" s="285"/>
      <c r="F978" s="285"/>
      <c r="G978" s="285"/>
      <c r="H978" s="285"/>
      <c r="I978" s="286"/>
      <c r="J978" s="286"/>
      <c r="K978" s="285"/>
      <c r="L978" s="284"/>
      <c r="M978" s="287"/>
      <c r="N978" s="284"/>
      <c r="O978" s="284"/>
      <c r="P978" s="284"/>
      <c r="Q978" s="284"/>
      <c r="R978" s="284"/>
      <c r="S978" s="284"/>
      <c r="T978" s="284"/>
      <c r="U978" s="284"/>
      <c r="V978" s="284"/>
      <c r="W978" s="284"/>
      <c r="X978" s="284"/>
      <c r="Y978" s="284"/>
      <c r="Z978" s="284"/>
      <c r="AA978" s="284"/>
    </row>
    <row r="979">
      <c r="A979" s="284"/>
      <c r="B979" s="284"/>
      <c r="C979" s="285"/>
      <c r="D979" s="285"/>
      <c r="E979" s="285"/>
      <c r="F979" s="285"/>
      <c r="G979" s="285"/>
      <c r="H979" s="285"/>
      <c r="I979" s="286"/>
      <c r="J979" s="286"/>
      <c r="K979" s="285"/>
      <c r="L979" s="284"/>
      <c r="M979" s="287"/>
      <c r="N979" s="284"/>
      <c r="O979" s="284"/>
      <c r="P979" s="284"/>
      <c r="Q979" s="284"/>
      <c r="R979" s="284"/>
      <c r="S979" s="284"/>
      <c r="T979" s="284"/>
      <c r="U979" s="284"/>
      <c r="V979" s="284"/>
      <c r="W979" s="284"/>
      <c r="X979" s="284"/>
      <c r="Y979" s="284"/>
      <c r="Z979" s="284"/>
      <c r="AA979" s="284"/>
    </row>
    <row r="980">
      <c r="A980" s="284"/>
      <c r="B980" s="284"/>
      <c r="C980" s="285"/>
      <c r="D980" s="285"/>
      <c r="E980" s="285"/>
      <c r="F980" s="285"/>
      <c r="G980" s="285"/>
      <c r="H980" s="285"/>
      <c r="I980" s="286"/>
      <c r="J980" s="286"/>
      <c r="K980" s="285"/>
      <c r="L980" s="284"/>
      <c r="M980" s="287"/>
      <c r="N980" s="284"/>
      <c r="O980" s="284"/>
      <c r="P980" s="284"/>
      <c r="Q980" s="284"/>
      <c r="R980" s="284"/>
      <c r="S980" s="284"/>
      <c r="T980" s="284"/>
      <c r="U980" s="284"/>
      <c r="V980" s="284"/>
      <c r="W980" s="284"/>
      <c r="X980" s="284"/>
      <c r="Y980" s="284"/>
      <c r="Z980" s="284"/>
      <c r="AA980" s="284"/>
    </row>
    <row r="981">
      <c r="A981" s="284"/>
      <c r="B981" s="284"/>
      <c r="C981" s="285"/>
      <c r="D981" s="285"/>
      <c r="E981" s="285"/>
      <c r="F981" s="285"/>
      <c r="G981" s="285"/>
      <c r="H981" s="285"/>
      <c r="I981" s="286"/>
      <c r="J981" s="286"/>
      <c r="K981" s="285"/>
      <c r="L981" s="284"/>
      <c r="M981" s="287"/>
      <c r="N981" s="284"/>
      <c r="O981" s="284"/>
      <c r="P981" s="284"/>
      <c r="Q981" s="284"/>
      <c r="R981" s="284"/>
      <c r="S981" s="284"/>
      <c r="T981" s="284"/>
      <c r="U981" s="284"/>
      <c r="V981" s="284"/>
      <c r="W981" s="284"/>
      <c r="X981" s="284"/>
      <c r="Y981" s="284"/>
      <c r="Z981" s="284"/>
      <c r="AA981" s="284"/>
    </row>
    <row r="982">
      <c r="A982" s="284"/>
      <c r="B982" s="284"/>
      <c r="C982" s="285"/>
      <c r="D982" s="285"/>
      <c r="E982" s="285"/>
      <c r="F982" s="285"/>
      <c r="G982" s="285"/>
      <c r="H982" s="285"/>
      <c r="I982" s="286"/>
      <c r="J982" s="286"/>
      <c r="K982" s="285"/>
      <c r="L982" s="284"/>
      <c r="M982" s="287"/>
      <c r="N982" s="284"/>
      <c r="O982" s="284"/>
      <c r="P982" s="284"/>
      <c r="Q982" s="284"/>
      <c r="R982" s="284"/>
      <c r="S982" s="284"/>
      <c r="T982" s="284"/>
      <c r="U982" s="284"/>
      <c r="V982" s="284"/>
      <c r="W982" s="284"/>
      <c r="X982" s="284"/>
      <c r="Y982" s="284"/>
      <c r="Z982" s="284"/>
      <c r="AA982" s="284"/>
    </row>
    <row r="983">
      <c r="A983" s="284"/>
      <c r="B983" s="284"/>
      <c r="C983" s="285"/>
      <c r="D983" s="285"/>
      <c r="E983" s="285"/>
      <c r="F983" s="285"/>
      <c r="G983" s="285"/>
      <c r="H983" s="285"/>
      <c r="I983" s="286"/>
      <c r="J983" s="286"/>
      <c r="K983" s="285"/>
      <c r="L983" s="284"/>
      <c r="M983" s="287"/>
      <c r="N983" s="284"/>
      <c r="O983" s="284"/>
      <c r="P983" s="284"/>
      <c r="Q983" s="284"/>
      <c r="R983" s="284"/>
      <c r="S983" s="284"/>
      <c r="T983" s="284"/>
      <c r="U983" s="284"/>
      <c r="V983" s="284"/>
      <c r="W983" s="284"/>
      <c r="X983" s="284"/>
      <c r="Y983" s="284"/>
      <c r="Z983" s="284"/>
      <c r="AA983" s="284"/>
    </row>
    <row r="984">
      <c r="A984" s="284"/>
      <c r="B984" s="284"/>
      <c r="C984" s="285"/>
      <c r="D984" s="285"/>
      <c r="E984" s="285"/>
      <c r="F984" s="285"/>
      <c r="G984" s="285"/>
      <c r="H984" s="285"/>
      <c r="I984" s="286"/>
      <c r="J984" s="286"/>
      <c r="K984" s="285"/>
      <c r="L984" s="284"/>
      <c r="M984" s="287"/>
      <c r="N984" s="284"/>
      <c r="O984" s="284"/>
      <c r="P984" s="284"/>
      <c r="Q984" s="284"/>
      <c r="R984" s="284"/>
      <c r="S984" s="284"/>
      <c r="T984" s="284"/>
      <c r="U984" s="284"/>
      <c r="V984" s="284"/>
      <c r="W984" s="284"/>
      <c r="X984" s="284"/>
      <c r="Y984" s="284"/>
      <c r="Z984" s="284"/>
      <c r="AA984" s="284"/>
    </row>
    <row r="985">
      <c r="A985" s="284"/>
      <c r="B985" s="284"/>
      <c r="C985" s="285"/>
      <c r="D985" s="285"/>
      <c r="E985" s="285"/>
      <c r="F985" s="285"/>
      <c r="G985" s="285"/>
      <c r="H985" s="285"/>
      <c r="I985" s="286"/>
      <c r="J985" s="286"/>
      <c r="K985" s="285"/>
      <c r="L985" s="284"/>
      <c r="M985" s="287"/>
      <c r="N985" s="284"/>
      <c r="O985" s="284"/>
      <c r="P985" s="284"/>
      <c r="Q985" s="284"/>
      <c r="R985" s="284"/>
      <c r="S985" s="284"/>
      <c r="T985" s="284"/>
      <c r="U985" s="284"/>
      <c r="V985" s="284"/>
      <c r="W985" s="284"/>
      <c r="X985" s="284"/>
      <c r="Y985" s="284"/>
      <c r="Z985" s="284"/>
      <c r="AA985" s="284"/>
    </row>
    <row r="986">
      <c r="A986" s="284"/>
      <c r="B986" s="284"/>
      <c r="C986" s="285"/>
      <c r="D986" s="285"/>
      <c r="E986" s="285"/>
      <c r="F986" s="285"/>
      <c r="G986" s="285"/>
      <c r="H986" s="285"/>
      <c r="I986" s="286"/>
      <c r="J986" s="286"/>
      <c r="K986" s="285"/>
      <c r="L986" s="284"/>
      <c r="M986" s="287"/>
      <c r="N986" s="284"/>
      <c r="O986" s="284"/>
      <c r="P986" s="284"/>
      <c r="Q986" s="284"/>
      <c r="R986" s="284"/>
      <c r="S986" s="284"/>
      <c r="T986" s="284"/>
      <c r="U986" s="284"/>
      <c r="V986" s="284"/>
      <c r="W986" s="284"/>
      <c r="X986" s="284"/>
      <c r="Y986" s="284"/>
      <c r="Z986" s="284"/>
      <c r="AA986" s="284"/>
    </row>
    <row r="987">
      <c r="A987" s="284"/>
      <c r="B987" s="284"/>
      <c r="C987" s="285"/>
      <c r="D987" s="285"/>
      <c r="E987" s="285"/>
      <c r="F987" s="285"/>
      <c r="G987" s="285"/>
      <c r="H987" s="285"/>
      <c r="I987" s="286"/>
      <c r="J987" s="286"/>
      <c r="K987" s="285"/>
      <c r="L987" s="284"/>
      <c r="M987" s="287"/>
      <c r="N987" s="284"/>
      <c r="O987" s="284"/>
      <c r="P987" s="284"/>
      <c r="Q987" s="284"/>
      <c r="R987" s="284"/>
      <c r="S987" s="284"/>
      <c r="T987" s="284"/>
      <c r="U987" s="284"/>
      <c r="V987" s="284"/>
      <c r="W987" s="284"/>
      <c r="X987" s="284"/>
      <c r="Y987" s="284"/>
      <c r="Z987" s="284"/>
      <c r="AA987" s="284"/>
    </row>
    <row r="988">
      <c r="A988" s="284"/>
      <c r="B988" s="284"/>
      <c r="C988" s="285"/>
      <c r="D988" s="285"/>
      <c r="E988" s="285"/>
      <c r="F988" s="285"/>
      <c r="G988" s="285"/>
      <c r="H988" s="285"/>
      <c r="I988" s="286"/>
      <c r="J988" s="286"/>
      <c r="K988" s="285"/>
      <c r="L988" s="284"/>
      <c r="M988" s="287"/>
      <c r="N988" s="284"/>
      <c r="O988" s="284"/>
      <c r="P988" s="284"/>
      <c r="Q988" s="284"/>
      <c r="R988" s="284"/>
      <c r="S988" s="284"/>
      <c r="T988" s="284"/>
      <c r="U988" s="284"/>
      <c r="V988" s="284"/>
      <c r="W988" s="284"/>
      <c r="X988" s="284"/>
      <c r="Y988" s="284"/>
      <c r="Z988" s="284"/>
      <c r="AA988" s="284"/>
    </row>
    <row r="989">
      <c r="A989" s="284"/>
      <c r="B989" s="284"/>
      <c r="C989" s="285"/>
      <c r="D989" s="285"/>
      <c r="E989" s="285"/>
      <c r="F989" s="285"/>
      <c r="G989" s="285"/>
      <c r="H989" s="285"/>
      <c r="I989" s="286"/>
      <c r="J989" s="286"/>
      <c r="K989" s="285"/>
      <c r="L989" s="284"/>
      <c r="M989" s="287"/>
      <c r="N989" s="284"/>
      <c r="O989" s="284"/>
      <c r="P989" s="284"/>
      <c r="Q989" s="284"/>
      <c r="R989" s="284"/>
      <c r="S989" s="284"/>
      <c r="T989" s="284"/>
      <c r="U989" s="284"/>
      <c r="V989" s="284"/>
      <c r="W989" s="284"/>
      <c r="X989" s="284"/>
      <c r="Y989" s="284"/>
      <c r="Z989" s="284"/>
      <c r="AA989" s="284"/>
    </row>
    <row r="990">
      <c r="A990" s="284"/>
      <c r="B990" s="284"/>
      <c r="C990" s="285"/>
      <c r="D990" s="285"/>
      <c r="E990" s="285"/>
      <c r="F990" s="285"/>
      <c r="G990" s="285"/>
      <c r="H990" s="285"/>
      <c r="I990" s="286"/>
      <c r="J990" s="286"/>
      <c r="K990" s="285"/>
      <c r="L990" s="284"/>
      <c r="M990" s="287"/>
      <c r="N990" s="284"/>
      <c r="O990" s="284"/>
      <c r="P990" s="284"/>
      <c r="Q990" s="284"/>
      <c r="R990" s="284"/>
      <c r="S990" s="284"/>
      <c r="T990" s="284"/>
      <c r="U990" s="284"/>
      <c r="V990" s="284"/>
      <c r="W990" s="284"/>
      <c r="X990" s="284"/>
      <c r="Y990" s="284"/>
      <c r="Z990" s="284"/>
      <c r="AA990" s="284"/>
    </row>
    <row r="991">
      <c r="A991" s="284"/>
      <c r="B991" s="284"/>
      <c r="C991" s="285"/>
      <c r="D991" s="285"/>
      <c r="E991" s="285"/>
      <c r="F991" s="285"/>
      <c r="G991" s="285"/>
      <c r="H991" s="285"/>
      <c r="I991" s="286"/>
      <c r="J991" s="286"/>
      <c r="K991" s="285"/>
      <c r="L991" s="284"/>
      <c r="M991" s="287"/>
      <c r="N991" s="284"/>
      <c r="O991" s="284"/>
      <c r="P991" s="284"/>
      <c r="Q991" s="284"/>
      <c r="R991" s="284"/>
      <c r="S991" s="284"/>
      <c r="T991" s="284"/>
      <c r="U991" s="284"/>
      <c r="V991" s="284"/>
      <c r="W991" s="284"/>
      <c r="X991" s="284"/>
      <c r="Y991" s="284"/>
      <c r="Z991" s="284"/>
      <c r="AA991" s="284"/>
    </row>
    <row r="992">
      <c r="A992" s="284"/>
      <c r="B992" s="284"/>
      <c r="C992" s="285"/>
      <c r="D992" s="285"/>
      <c r="E992" s="285"/>
      <c r="F992" s="285"/>
      <c r="G992" s="285"/>
      <c r="H992" s="285"/>
      <c r="I992" s="286"/>
      <c r="J992" s="286"/>
      <c r="K992" s="285"/>
      <c r="L992" s="284"/>
      <c r="M992" s="287"/>
      <c r="N992" s="284"/>
      <c r="O992" s="284"/>
      <c r="P992" s="284"/>
      <c r="Q992" s="284"/>
      <c r="R992" s="284"/>
      <c r="S992" s="284"/>
      <c r="T992" s="284"/>
      <c r="U992" s="284"/>
      <c r="V992" s="284"/>
      <c r="W992" s="284"/>
      <c r="X992" s="284"/>
      <c r="Y992" s="284"/>
      <c r="Z992" s="284"/>
      <c r="AA992" s="284"/>
    </row>
    <row r="993">
      <c r="A993" s="284"/>
      <c r="B993" s="284"/>
      <c r="C993" s="285"/>
      <c r="D993" s="285"/>
      <c r="E993" s="285"/>
      <c r="F993" s="285"/>
      <c r="G993" s="285"/>
      <c r="H993" s="285"/>
      <c r="I993" s="286"/>
      <c r="J993" s="286"/>
      <c r="K993" s="285"/>
      <c r="L993" s="284"/>
      <c r="M993" s="287"/>
      <c r="N993" s="284"/>
      <c r="O993" s="284"/>
      <c r="P993" s="284"/>
      <c r="Q993" s="284"/>
      <c r="R993" s="284"/>
      <c r="S993" s="284"/>
      <c r="T993" s="284"/>
      <c r="U993" s="284"/>
      <c r="V993" s="284"/>
      <c r="W993" s="284"/>
      <c r="X993" s="284"/>
      <c r="Y993" s="284"/>
      <c r="Z993" s="284"/>
      <c r="AA993" s="284"/>
    </row>
    <row r="994">
      <c r="A994" s="284"/>
      <c r="B994" s="284"/>
      <c r="C994" s="285"/>
      <c r="D994" s="285"/>
      <c r="E994" s="285"/>
      <c r="F994" s="285"/>
      <c r="G994" s="285"/>
      <c r="H994" s="285"/>
      <c r="I994" s="286"/>
      <c r="J994" s="286"/>
      <c r="K994" s="285"/>
      <c r="L994" s="284"/>
      <c r="M994" s="287"/>
      <c r="N994" s="284"/>
      <c r="O994" s="284"/>
      <c r="P994" s="284"/>
      <c r="Q994" s="284"/>
      <c r="R994" s="284"/>
      <c r="S994" s="284"/>
      <c r="T994" s="284"/>
      <c r="U994" s="284"/>
      <c r="V994" s="284"/>
      <c r="W994" s="284"/>
      <c r="X994" s="284"/>
      <c r="Y994" s="284"/>
      <c r="Z994" s="284"/>
      <c r="AA994" s="284"/>
    </row>
    <row r="995">
      <c r="A995" s="284"/>
      <c r="B995" s="284"/>
      <c r="C995" s="285"/>
      <c r="D995" s="285"/>
      <c r="E995" s="285"/>
      <c r="F995" s="285"/>
      <c r="G995" s="285"/>
      <c r="H995" s="285"/>
      <c r="I995" s="286"/>
      <c r="J995" s="286"/>
      <c r="K995" s="285"/>
      <c r="L995" s="284"/>
      <c r="M995" s="287"/>
      <c r="N995" s="284"/>
      <c r="O995" s="284"/>
      <c r="P995" s="284"/>
      <c r="Q995" s="284"/>
      <c r="R995" s="284"/>
      <c r="S995" s="284"/>
      <c r="T995" s="284"/>
      <c r="U995" s="284"/>
      <c r="V995" s="284"/>
      <c r="W995" s="284"/>
      <c r="X995" s="284"/>
      <c r="Y995" s="284"/>
      <c r="Z995" s="284"/>
      <c r="AA995" s="284"/>
    </row>
    <row r="996">
      <c r="A996" s="284"/>
      <c r="B996" s="284"/>
      <c r="C996" s="285"/>
      <c r="D996" s="285"/>
      <c r="E996" s="285"/>
      <c r="F996" s="285"/>
      <c r="G996" s="285"/>
      <c r="H996" s="285"/>
      <c r="I996" s="286"/>
      <c r="J996" s="286"/>
      <c r="K996" s="285"/>
      <c r="L996" s="284"/>
      <c r="M996" s="287"/>
      <c r="N996" s="284"/>
      <c r="O996" s="284"/>
      <c r="P996" s="284"/>
      <c r="Q996" s="284"/>
      <c r="R996" s="284"/>
      <c r="S996" s="284"/>
      <c r="T996" s="284"/>
      <c r="U996" s="284"/>
      <c r="V996" s="284"/>
      <c r="W996" s="284"/>
      <c r="X996" s="284"/>
      <c r="Y996" s="284"/>
      <c r="Z996" s="284"/>
      <c r="AA996" s="284"/>
    </row>
    <row r="997">
      <c r="A997" s="284"/>
      <c r="B997" s="284"/>
      <c r="C997" s="285"/>
      <c r="D997" s="285"/>
      <c r="E997" s="285"/>
      <c r="F997" s="285"/>
      <c r="G997" s="285"/>
      <c r="H997" s="285"/>
      <c r="I997" s="286"/>
      <c r="J997" s="286"/>
      <c r="K997" s="285"/>
      <c r="L997" s="284"/>
      <c r="M997" s="287"/>
      <c r="N997" s="284"/>
      <c r="O997" s="284"/>
      <c r="P997" s="284"/>
      <c r="Q997" s="284"/>
      <c r="R997" s="284"/>
      <c r="S997" s="284"/>
      <c r="T997" s="284"/>
      <c r="U997" s="284"/>
      <c r="V997" s="284"/>
      <c r="W997" s="284"/>
      <c r="X997" s="284"/>
      <c r="Y997" s="284"/>
      <c r="Z997" s="284"/>
      <c r="AA997" s="284"/>
    </row>
    <row r="998">
      <c r="A998" s="284"/>
      <c r="B998" s="284"/>
      <c r="C998" s="285"/>
      <c r="D998" s="285"/>
      <c r="E998" s="285"/>
      <c r="F998" s="285"/>
      <c r="G998" s="285"/>
      <c r="H998" s="285"/>
      <c r="I998" s="286"/>
      <c r="J998" s="286"/>
      <c r="K998" s="285"/>
      <c r="L998" s="284"/>
      <c r="M998" s="287"/>
      <c r="N998" s="284"/>
      <c r="O998" s="284"/>
      <c r="P998" s="284"/>
      <c r="Q998" s="284"/>
      <c r="R998" s="284"/>
      <c r="S998" s="284"/>
      <c r="T998" s="284"/>
      <c r="U998" s="284"/>
      <c r="V998" s="284"/>
      <c r="W998" s="284"/>
      <c r="X998" s="284"/>
      <c r="Y998" s="284"/>
      <c r="Z998" s="284"/>
      <c r="AA998" s="284"/>
    </row>
    <row r="999">
      <c r="A999" s="284"/>
      <c r="B999" s="284"/>
      <c r="C999" s="285"/>
      <c r="D999" s="285"/>
      <c r="E999" s="285"/>
      <c r="F999" s="285"/>
      <c r="G999" s="285"/>
      <c r="H999" s="285"/>
      <c r="I999" s="286"/>
      <c r="J999" s="286"/>
      <c r="K999" s="285"/>
      <c r="L999" s="284"/>
      <c r="M999" s="287"/>
      <c r="N999" s="284"/>
      <c r="O999" s="284"/>
      <c r="P999" s="284"/>
      <c r="Q999" s="284"/>
      <c r="R999" s="284"/>
      <c r="S999" s="284"/>
      <c r="T999" s="284"/>
      <c r="U999" s="284"/>
      <c r="V999" s="284"/>
      <c r="W999" s="284"/>
      <c r="X999" s="284"/>
      <c r="Y999" s="284"/>
      <c r="Z999" s="284"/>
      <c r="AA999" s="284"/>
    </row>
    <row r="1000">
      <c r="A1000" s="284"/>
      <c r="B1000" s="284"/>
      <c r="C1000" s="285"/>
      <c r="D1000" s="285"/>
      <c r="E1000" s="285"/>
      <c r="F1000" s="285"/>
      <c r="G1000" s="285"/>
      <c r="H1000" s="285"/>
      <c r="I1000" s="286"/>
      <c r="J1000" s="286"/>
      <c r="K1000" s="285"/>
      <c r="L1000" s="284"/>
      <c r="M1000" s="287"/>
      <c r="N1000" s="284"/>
      <c r="O1000" s="284"/>
      <c r="P1000" s="284"/>
      <c r="Q1000" s="284"/>
      <c r="R1000" s="284"/>
      <c r="S1000" s="284"/>
      <c r="T1000" s="284"/>
      <c r="U1000" s="284"/>
      <c r="V1000" s="284"/>
      <c r="W1000" s="284"/>
      <c r="X1000" s="284"/>
      <c r="Y1000" s="284"/>
      <c r="Z1000" s="284"/>
      <c r="AA1000" s="284"/>
    </row>
    <row r="1001">
      <c r="A1001" s="284"/>
      <c r="B1001" s="284"/>
      <c r="C1001" s="285"/>
      <c r="D1001" s="285"/>
      <c r="E1001" s="285"/>
      <c r="F1001" s="285"/>
      <c r="G1001" s="285"/>
      <c r="H1001" s="285"/>
      <c r="I1001" s="286"/>
      <c r="J1001" s="286"/>
      <c r="K1001" s="285"/>
      <c r="L1001" s="284"/>
      <c r="M1001" s="287"/>
      <c r="N1001" s="284"/>
      <c r="O1001" s="284"/>
      <c r="P1001" s="284"/>
      <c r="Q1001" s="284"/>
      <c r="R1001" s="284"/>
      <c r="S1001" s="284"/>
      <c r="T1001" s="284"/>
      <c r="U1001" s="284"/>
      <c r="V1001" s="284"/>
      <c r="W1001" s="284"/>
      <c r="X1001" s="284"/>
      <c r="Y1001" s="284"/>
      <c r="Z1001" s="284"/>
      <c r="AA1001" s="284"/>
    </row>
    <row r="1002">
      <c r="A1002" s="284"/>
      <c r="B1002" s="284"/>
      <c r="C1002" s="285"/>
      <c r="D1002" s="285"/>
      <c r="E1002" s="285"/>
      <c r="F1002" s="285"/>
      <c r="G1002" s="285"/>
      <c r="H1002" s="285"/>
      <c r="I1002" s="286"/>
      <c r="J1002" s="286"/>
      <c r="K1002" s="285"/>
      <c r="L1002" s="284"/>
      <c r="M1002" s="287"/>
      <c r="N1002" s="284"/>
      <c r="O1002" s="284"/>
      <c r="P1002" s="284"/>
      <c r="Q1002" s="284"/>
      <c r="R1002" s="284"/>
      <c r="S1002" s="284"/>
      <c r="T1002" s="284"/>
      <c r="U1002" s="284"/>
      <c r="V1002" s="284"/>
      <c r="W1002" s="284"/>
      <c r="X1002" s="284"/>
      <c r="Y1002" s="284"/>
      <c r="Z1002" s="284"/>
      <c r="AA1002" s="284"/>
    </row>
    <row r="1003">
      <c r="A1003" s="284"/>
      <c r="B1003" s="284"/>
      <c r="C1003" s="285"/>
      <c r="D1003" s="285"/>
      <c r="E1003" s="285"/>
      <c r="F1003" s="285"/>
      <c r="G1003" s="285"/>
      <c r="H1003" s="285"/>
      <c r="I1003" s="286"/>
      <c r="J1003" s="286"/>
      <c r="K1003" s="285"/>
      <c r="L1003" s="284"/>
      <c r="M1003" s="287"/>
      <c r="N1003" s="284"/>
      <c r="O1003" s="284"/>
      <c r="P1003" s="284"/>
      <c r="Q1003" s="284"/>
      <c r="R1003" s="284"/>
      <c r="S1003" s="284"/>
      <c r="T1003" s="284"/>
      <c r="U1003" s="284"/>
      <c r="V1003" s="284"/>
      <c r="W1003" s="284"/>
      <c r="X1003" s="284"/>
      <c r="Y1003" s="284"/>
      <c r="Z1003" s="284"/>
      <c r="AA1003" s="284"/>
    </row>
    <row r="1004">
      <c r="A1004" s="284"/>
      <c r="B1004" s="284"/>
      <c r="C1004" s="285"/>
      <c r="D1004" s="285"/>
      <c r="E1004" s="285"/>
      <c r="F1004" s="285"/>
      <c r="G1004" s="285"/>
      <c r="H1004" s="285"/>
      <c r="I1004" s="286"/>
      <c r="J1004" s="286"/>
      <c r="K1004" s="285"/>
      <c r="L1004" s="284"/>
      <c r="M1004" s="287"/>
      <c r="N1004" s="284"/>
      <c r="O1004" s="284"/>
      <c r="P1004" s="284"/>
      <c r="Q1004" s="284"/>
      <c r="R1004" s="284"/>
      <c r="S1004" s="284"/>
      <c r="T1004" s="284"/>
      <c r="U1004" s="284"/>
      <c r="V1004" s="284"/>
      <c r="W1004" s="284"/>
      <c r="X1004" s="284"/>
      <c r="Y1004" s="284"/>
      <c r="Z1004" s="284"/>
      <c r="AA1004" s="284"/>
    </row>
    <row r="1005">
      <c r="A1005" s="284"/>
      <c r="B1005" s="284"/>
      <c r="C1005" s="285"/>
      <c r="D1005" s="285"/>
      <c r="E1005" s="285"/>
      <c r="F1005" s="285"/>
      <c r="G1005" s="285"/>
      <c r="H1005" s="285"/>
      <c r="I1005" s="286"/>
      <c r="J1005" s="286"/>
      <c r="K1005" s="285"/>
      <c r="L1005" s="284"/>
      <c r="M1005" s="287"/>
      <c r="N1005" s="284"/>
      <c r="O1005" s="284"/>
      <c r="P1005" s="284"/>
      <c r="Q1005" s="284"/>
      <c r="R1005" s="284"/>
      <c r="S1005" s="284"/>
      <c r="T1005" s="284"/>
      <c r="U1005" s="284"/>
      <c r="V1005" s="284"/>
      <c r="W1005" s="284"/>
      <c r="X1005" s="284"/>
      <c r="Y1005" s="284"/>
      <c r="Z1005" s="284"/>
      <c r="AA1005" s="284"/>
    </row>
    <row r="1006">
      <c r="A1006" s="284"/>
      <c r="B1006" s="284"/>
      <c r="C1006" s="285"/>
      <c r="D1006" s="285"/>
      <c r="E1006" s="285"/>
      <c r="F1006" s="285"/>
      <c r="G1006" s="285"/>
      <c r="H1006" s="285"/>
      <c r="I1006" s="286"/>
      <c r="J1006" s="286"/>
      <c r="K1006" s="285"/>
      <c r="L1006" s="284"/>
      <c r="M1006" s="287"/>
      <c r="N1006" s="284"/>
      <c r="O1006" s="284"/>
      <c r="P1006" s="284"/>
      <c r="Q1006" s="284"/>
      <c r="R1006" s="284"/>
      <c r="S1006" s="284"/>
      <c r="T1006" s="284"/>
      <c r="U1006" s="284"/>
      <c r="V1006" s="284"/>
      <c r="W1006" s="284"/>
      <c r="X1006" s="284"/>
      <c r="Y1006" s="284"/>
      <c r="Z1006" s="284"/>
      <c r="AA1006" s="284"/>
    </row>
    <row r="1007">
      <c r="A1007" s="284"/>
      <c r="B1007" s="284"/>
      <c r="C1007" s="285"/>
      <c r="D1007" s="285"/>
      <c r="E1007" s="285"/>
      <c r="F1007" s="285"/>
      <c r="G1007" s="285"/>
      <c r="H1007" s="285"/>
      <c r="I1007" s="286"/>
      <c r="J1007" s="286"/>
      <c r="K1007" s="285"/>
      <c r="L1007" s="284"/>
      <c r="M1007" s="287"/>
      <c r="N1007" s="284"/>
      <c r="O1007" s="284"/>
      <c r="P1007" s="284"/>
      <c r="Q1007" s="284"/>
      <c r="R1007" s="284"/>
      <c r="S1007" s="284"/>
      <c r="T1007" s="284"/>
      <c r="U1007" s="284"/>
      <c r="V1007" s="284"/>
      <c r="W1007" s="284"/>
      <c r="X1007" s="284"/>
      <c r="Y1007" s="284"/>
      <c r="Z1007" s="284"/>
      <c r="AA1007" s="284"/>
    </row>
    <row r="1008">
      <c r="A1008" s="284"/>
      <c r="B1008" s="284"/>
      <c r="C1008" s="285"/>
      <c r="D1008" s="285"/>
      <c r="E1008" s="285"/>
      <c r="F1008" s="285"/>
      <c r="G1008" s="285"/>
      <c r="H1008" s="285"/>
      <c r="I1008" s="286"/>
      <c r="J1008" s="286"/>
      <c r="K1008" s="285"/>
      <c r="L1008" s="284"/>
      <c r="M1008" s="287"/>
      <c r="N1008" s="284"/>
      <c r="O1008" s="284"/>
      <c r="P1008" s="284"/>
      <c r="Q1008" s="284"/>
      <c r="R1008" s="284"/>
      <c r="S1008" s="284"/>
      <c r="T1008" s="284"/>
      <c r="U1008" s="284"/>
      <c r="V1008" s="284"/>
      <c r="W1008" s="284"/>
      <c r="X1008" s="284"/>
      <c r="Y1008" s="284"/>
      <c r="Z1008" s="284"/>
      <c r="AA1008" s="284"/>
    </row>
    <row r="1009">
      <c r="A1009" s="284"/>
      <c r="B1009" s="284"/>
      <c r="C1009" s="285"/>
      <c r="D1009" s="285"/>
      <c r="E1009" s="285"/>
      <c r="F1009" s="285"/>
      <c r="G1009" s="285"/>
      <c r="H1009" s="285"/>
      <c r="I1009" s="286"/>
      <c r="J1009" s="286"/>
      <c r="K1009" s="285"/>
      <c r="L1009" s="284"/>
      <c r="M1009" s="287"/>
      <c r="N1009" s="284"/>
      <c r="O1009" s="284"/>
      <c r="P1009" s="284"/>
      <c r="Q1009" s="284"/>
      <c r="R1009" s="284"/>
      <c r="S1009" s="284"/>
      <c r="T1009" s="284"/>
      <c r="U1009" s="284"/>
      <c r="V1009" s="284"/>
      <c r="W1009" s="284"/>
      <c r="X1009" s="284"/>
      <c r="Y1009" s="284"/>
      <c r="Z1009" s="284"/>
      <c r="AA1009" s="284"/>
    </row>
    <row r="1010">
      <c r="A1010" s="284"/>
      <c r="B1010" s="284"/>
      <c r="C1010" s="285"/>
      <c r="D1010" s="285"/>
      <c r="E1010" s="285"/>
      <c r="F1010" s="285"/>
      <c r="G1010" s="285"/>
      <c r="H1010" s="285"/>
      <c r="I1010" s="286"/>
      <c r="J1010" s="286"/>
      <c r="K1010" s="285"/>
      <c r="L1010" s="284"/>
      <c r="M1010" s="287"/>
      <c r="N1010" s="284"/>
      <c r="O1010" s="284"/>
      <c r="P1010" s="284"/>
      <c r="Q1010" s="284"/>
      <c r="R1010" s="284"/>
      <c r="S1010" s="284"/>
      <c r="T1010" s="284"/>
      <c r="U1010" s="284"/>
      <c r="V1010" s="284"/>
      <c r="W1010" s="284"/>
      <c r="X1010" s="284"/>
      <c r="Y1010" s="284"/>
      <c r="Z1010" s="284"/>
      <c r="AA1010" s="284"/>
    </row>
    <row r="1011">
      <c r="A1011" s="284"/>
      <c r="B1011" s="284"/>
      <c r="C1011" s="285"/>
      <c r="D1011" s="285"/>
      <c r="E1011" s="285"/>
      <c r="F1011" s="285"/>
      <c r="G1011" s="285"/>
      <c r="H1011" s="285"/>
      <c r="I1011" s="286"/>
      <c r="J1011" s="286"/>
      <c r="K1011" s="285"/>
      <c r="L1011" s="284"/>
      <c r="M1011" s="287"/>
      <c r="N1011" s="284"/>
      <c r="O1011" s="284"/>
      <c r="P1011" s="284"/>
      <c r="Q1011" s="284"/>
      <c r="R1011" s="284"/>
      <c r="S1011" s="284"/>
      <c r="T1011" s="284"/>
      <c r="U1011" s="284"/>
      <c r="V1011" s="284"/>
      <c r="W1011" s="284"/>
      <c r="X1011" s="284"/>
      <c r="Y1011" s="284"/>
      <c r="Z1011" s="284"/>
      <c r="AA1011" s="284"/>
    </row>
    <row r="1012">
      <c r="A1012" s="284"/>
      <c r="B1012" s="284"/>
      <c r="C1012" s="285"/>
      <c r="D1012" s="285"/>
      <c r="E1012" s="285"/>
      <c r="F1012" s="285"/>
      <c r="G1012" s="285"/>
      <c r="H1012" s="285"/>
      <c r="I1012" s="286"/>
      <c r="J1012" s="286"/>
      <c r="K1012" s="285"/>
      <c r="L1012" s="284"/>
      <c r="M1012" s="287"/>
      <c r="N1012" s="284"/>
      <c r="O1012" s="284"/>
      <c r="P1012" s="284"/>
      <c r="Q1012" s="284"/>
      <c r="R1012" s="284"/>
      <c r="S1012" s="284"/>
      <c r="T1012" s="284"/>
      <c r="U1012" s="284"/>
      <c r="V1012" s="284"/>
      <c r="W1012" s="284"/>
      <c r="X1012" s="284"/>
      <c r="Y1012" s="284"/>
      <c r="Z1012" s="284"/>
      <c r="AA1012" s="284"/>
    </row>
    <row r="1013">
      <c r="A1013" s="284"/>
      <c r="B1013" s="284"/>
      <c r="C1013" s="285"/>
      <c r="D1013" s="285"/>
      <c r="E1013" s="285"/>
      <c r="F1013" s="285"/>
      <c r="G1013" s="285"/>
      <c r="H1013" s="285"/>
      <c r="I1013" s="286"/>
      <c r="J1013" s="286"/>
      <c r="K1013" s="285"/>
      <c r="L1013" s="284"/>
      <c r="M1013" s="287"/>
      <c r="N1013" s="284"/>
      <c r="O1013" s="284"/>
      <c r="P1013" s="284"/>
      <c r="Q1013" s="284"/>
      <c r="R1013" s="284"/>
      <c r="S1013" s="284"/>
      <c r="T1013" s="284"/>
      <c r="U1013" s="284"/>
      <c r="V1013" s="284"/>
      <c r="W1013" s="284"/>
      <c r="X1013" s="284"/>
      <c r="Y1013" s="284"/>
      <c r="Z1013" s="284"/>
      <c r="AA1013" s="284"/>
    </row>
    <row r="1014">
      <c r="A1014" s="284"/>
      <c r="B1014" s="284"/>
      <c r="C1014" s="285"/>
      <c r="D1014" s="285"/>
      <c r="E1014" s="285"/>
      <c r="F1014" s="285"/>
      <c r="G1014" s="285"/>
      <c r="H1014" s="285"/>
      <c r="I1014" s="286"/>
      <c r="J1014" s="286"/>
      <c r="K1014" s="285"/>
      <c r="L1014" s="284"/>
      <c r="M1014" s="287"/>
      <c r="N1014" s="284"/>
      <c r="O1014" s="284"/>
      <c r="P1014" s="284"/>
      <c r="Q1014" s="284"/>
      <c r="R1014" s="284"/>
      <c r="S1014" s="284"/>
      <c r="T1014" s="284"/>
      <c r="U1014" s="284"/>
      <c r="V1014" s="284"/>
      <c r="W1014" s="284"/>
      <c r="X1014" s="284"/>
      <c r="Y1014" s="284"/>
      <c r="Z1014" s="284"/>
      <c r="AA1014" s="284"/>
    </row>
    <row r="1015">
      <c r="A1015" s="284"/>
      <c r="B1015" s="284"/>
      <c r="C1015" s="285"/>
      <c r="D1015" s="285"/>
      <c r="E1015" s="285"/>
      <c r="F1015" s="285"/>
      <c r="G1015" s="285"/>
      <c r="H1015" s="285"/>
      <c r="I1015" s="286"/>
      <c r="J1015" s="286"/>
      <c r="K1015" s="285"/>
      <c r="L1015" s="284"/>
      <c r="M1015" s="287"/>
      <c r="N1015" s="284"/>
      <c r="O1015" s="284"/>
      <c r="P1015" s="284"/>
      <c r="Q1015" s="284"/>
      <c r="R1015" s="284"/>
      <c r="S1015" s="284"/>
      <c r="T1015" s="284"/>
      <c r="U1015" s="284"/>
      <c r="V1015" s="284"/>
      <c r="W1015" s="284"/>
      <c r="X1015" s="284"/>
      <c r="Y1015" s="284"/>
      <c r="Z1015" s="284"/>
      <c r="AA1015" s="284"/>
    </row>
    <row r="1016">
      <c r="A1016" s="284"/>
      <c r="B1016" s="284"/>
      <c r="C1016" s="285"/>
      <c r="D1016" s="285"/>
      <c r="E1016" s="285"/>
      <c r="F1016" s="285"/>
      <c r="G1016" s="285"/>
      <c r="H1016" s="285"/>
      <c r="I1016" s="286"/>
      <c r="J1016" s="286"/>
      <c r="K1016" s="285"/>
      <c r="L1016" s="284"/>
      <c r="M1016" s="287"/>
      <c r="N1016" s="284"/>
      <c r="O1016" s="284"/>
      <c r="P1016" s="284"/>
      <c r="Q1016" s="284"/>
      <c r="R1016" s="284"/>
      <c r="S1016" s="284"/>
      <c r="T1016" s="284"/>
      <c r="U1016" s="284"/>
      <c r="V1016" s="284"/>
      <c r="W1016" s="284"/>
      <c r="X1016" s="284"/>
      <c r="Y1016" s="284"/>
      <c r="Z1016" s="284"/>
      <c r="AA1016" s="284"/>
    </row>
    <row r="1017">
      <c r="A1017" s="284"/>
      <c r="B1017" s="284"/>
      <c r="C1017" s="285"/>
      <c r="D1017" s="285"/>
      <c r="E1017" s="285"/>
      <c r="F1017" s="285"/>
      <c r="G1017" s="285"/>
      <c r="H1017" s="285"/>
      <c r="I1017" s="286"/>
      <c r="J1017" s="286"/>
      <c r="K1017" s="285"/>
      <c r="L1017" s="284"/>
      <c r="M1017" s="287"/>
      <c r="N1017" s="284"/>
      <c r="O1017" s="284"/>
      <c r="P1017" s="284"/>
      <c r="Q1017" s="284"/>
      <c r="R1017" s="284"/>
      <c r="S1017" s="284"/>
      <c r="T1017" s="284"/>
      <c r="U1017" s="284"/>
      <c r="V1017" s="284"/>
      <c r="W1017" s="284"/>
      <c r="X1017" s="284"/>
      <c r="Y1017" s="284"/>
      <c r="Z1017" s="284"/>
      <c r="AA1017" s="284"/>
    </row>
    <row r="1018">
      <c r="A1018" s="284"/>
      <c r="B1018" s="284"/>
      <c r="C1018" s="285"/>
      <c r="D1018" s="285"/>
      <c r="E1018" s="285"/>
      <c r="F1018" s="285"/>
      <c r="G1018" s="285"/>
      <c r="H1018" s="285"/>
      <c r="I1018" s="286"/>
      <c r="J1018" s="286"/>
      <c r="K1018" s="285"/>
      <c r="L1018" s="284"/>
      <c r="M1018" s="287"/>
      <c r="N1018" s="284"/>
      <c r="O1018" s="284"/>
      <c r="P1018" s="284"/>
      <c r="Q1018" s="284"/>
      <c r="R1018" s="284"/>
      <c r="S1018" s="284"/>
      <c r="T1018" s="284"/>
      <c r="U1018" s="284"/>
      <c r="V1018" s="284"/>
      <c r="W1018" s="284"/>
      <c r="X1018" s="284"/>
      <c r="Y1018" s="284"/>
      <c r="Z1018" s="284"/>
      <c r="AA1018" s="284"/>
    </row>
    <row r="1019">
      <c r="A1019" s="284"/>
      <c r="B1019" s="284"/>
      <c r="C1019" s="285"/>
      <c r="D1019" s="285"/>
      <c r="E1019" s="285"/>
      <c r="F1019" s="285"/>
      <c r="G1019" s="285"/>
      <c r="H1019" s="285"/>
      <c r="I1019" s="286"/>
      <c r="J1019" s="286"/>
      <c r="K1019" s="285"/>
      <c r="L1019" s="284"/>
      <c r="M1019" s="287"/>
      <c r="N1019" s="284"/>
      <c r="O1019" s="284"/>
      <c r="P1019" s="284"/>
      <c r="Q1019" s="284"/>
      <c r="R1019" s="284"/>
      <c r="S1019" s="284"/>
      <c r="T1019" s="284"/>
      <c r="U1019" s="284"/>
      <c r="V1019" s="284"/>
      <c r="W1019" s="284"/>
      <c r="X1019" s="284"/>
      <c r="Y1019" s="284"/>
      <c r="Z1019" s="284"/>
      <c r="AA1019" s="284"/>
    </row>
    <row r="1020">
      <c r="A1020" s="284"/>
      <c r="B1020" s="284"/>
      <c r="C1020" s="285"/>
      <c r="D1020" s="285"/>
      <c r="E1020" s="285"/>
      <c r="F1020" s="285"/>
      <c r="G1020" s="285"/>
      <c r="H1020" s="285"/>
      <c r="I1020" s="286"/>
      <c r="J1020" s="286"/>
      <c r="K1020" s="285"/>
      <c r="L1020" s="284"/>
      <c r="M1020" s="287"/>
      <c r="N1020" s="284"/>
      <c r="O1020" s="284"/>
      <c r="P1020" s="284"/>
      <c r="Q1020" s="284"/>
      <c r="R1020" s="284"/>
      <c r="S1020" s="284"/>
      <c r="T1020" s="284"/>
      <c r="U1020" s="284"/>
      <c r="V1020" s="284"/>
      <c r="W1020" s="284"/>
      <c r="X1020" s="284"/>
      <c r="Y1020" s="284"/>
      <c r="Z1020" s="284"/>
      <c r="AA1020" s="284"/>
    </row>
    <row r="1021">
      <c r="A1021" s="284"/>
      <c r="B1021" s="284"/>
      <c r="C1021" s="285"/>
      <c r="D1021" s="285"/>
      <c r="E1021" s="285"/>
      <c r="F1021" s="285"/>
      <c r="G1021" s="285"/>
      <c r="H1021" s="285"/>
      <c r="I1021" s="286"/>
      <c r="J1021" s="286"/>
      <c r="K1021" s="285"/>
      <c r="L1021" s="284"/>
      <c r="M1021" s="287"/>
      <c r="N1021" s="284"/>
      <c r="O1021" s="284"/>
      <c r="P1021" s="284"/>
      <c r="Q1021" s="284"/>
      <c r="R1021" s="284"/>
      <c r="S1021" s="284"/>
      <c r="T1021" s="284"/>
      <c r="U1021" s="284"/>
      <c r="V1021" s="284"/>
      <c r="W1021" s="284"/>
      <c r="X1021" s="284"/>
      <c r="Y1021" s="284"/>
      <c r="Z1021" s="284"/>
      <c r="AA1021" s="284"/>
    </row>
    <row r="1022">
      <c r="A1022" s="284"/>
      <c r="B1022" s="284"/>
      <c r="C1022" s="285"/>
      <c r="D1022" s="285"/>
      <c r="E1022" s="285"/>
      <c r="F1022" s="285"/>
      <c r="G1022" s="285"/>
      <c r="H1022" s="285"/>
      <c r="I1022" s="286"/>
      <c r="J1022" s="286"/>
      <c r="K1022" s="285"/>
      <c r="L1022" s="284"/>
      <c r="M1022" s="287"/>
      <c r="N1022" s="284"/>
      <c r="O1022" s="284"/>
      <c r="P1022" s="284"/>
      <c r="Q1022" s="284"/>
      <c r="R1022" s="284"/>
      <c r="S1022" s="284"/>
      <c r="T1022" s="284"/>
      <c r="U1022" s="284"/>
      <c r="V1022" s="284"/>
      <c r="W1022" s="284"/>
      <c r="X1022" s="284"/>
      <c r="Y1022" s="284"/>
      <c r="Z1022" s="284"/>
      <c r="AA1022" s="284"/>
    </row>
    <row r="1023">
      <c r="A1023" s="284"/>
      <c r="B1023" s="284"/>
      <c r="C1023" s="285"/>
      <c r="D1023" s="285"/>
      <c r="E1023" s="285"/>
      <c r="F1023" s="285"/>
      <c r="G1023" s="285"/>
      <c r="H1023" s="285"/>
      <c r="I1023" s="286"/>
      <c r="J1023" s="286"/>
      <c r="K1023" s="285"/>
      <c r="L1023" s="284"/>
      <c r="M1023" s="287"/>
      <c r="N1023" s="284"/>
      <c r="O1023" s="284"/>
      <c r="P1023" s="284"/>
      <c r="Q1023" s="284"/>
      <c r="R1023" s="284"/>
      <c r="S1023" s="284"/>
      <c r="T1023" s="284"/>
      <c r="U1023" s="284"/>
      <c r="V1023" s="284"/>
      <c r="W1023" s="284"/>
      <c r="X1023" s="284"/>
      <c r="Y1023" s="284"/>
      <c r="Z1023" s="284"/>
      <c r="AA1023" s="284"/>
    </row>
    <row r="1024">
      <c r="A1024" s="284"/>
      <c r="B1024" s="284"/>
      <c r="C1024" s="285"/>
      <c r="D1024" s="285"/>
      <c r="E1024" s="285"/>
      <c r="F1024" s="285"/>
      <c r="G1024" s="285"/>
      <c r="H1024" s="285"/>
      <c r="I1024" s="286"/>
      <c r="J1024" s="286"/>
      <c r="K1024" s="285"/>
      <c r="L1024" s="284"/>
      <c r="M1024" s="287"/>
      <c r="N1024" s="284"/>
      <c r="O1024" s="284"/>
      <c r="P1024" s="284"/>
      <c r="Q1024" s="284"/>
      <c r="R1024" s="284"/>
      <c r="S1024" s="284"/>
      <c r="T1024" s="284"/>
      <c r="U1024" s="284"/>
      <c r="V1024" s="284"/>
      <c r="W1024" s="284"/>
      <c r="X1024" s="284"/>
      <c r="Y1024" s="284"/>
      <c r="Z1024" s="284"/>
      <c r="AA1024" s="284"/>
    </row>
    <row r="1025">
      <c r="A1025" s="284"/>
      <c r="B1025" s="284"/>
      <c r="C1025" s="285"/>
      <c r="D1025" s="285"/>
      <c r="E1025" s="285"/>
      <c r="F1025" s="285"/>
      <c r="G1025" s="285"/>
      <c r="H1025" s="285"/>
      <c r="I1025" s="286"/>
      <c r="J1025" s="286"/>
      <c r="K1025" s="285"/>
      <c r="L1025" s="284"/>
      <c r="M1025" s="287"/>
      <c r="N1025" s="284"/>
      <c r="O1025" s="284"/>
      <c r="P1025" s="284"/>
      <c r="Q1025" s="284"/>
      <c r="R1025" s="284"/>
      <c r="S1025" s="284"/>
      <c r="T1025" s="284"/>
      <c r="U1025" s="284"/>
      <c r="V1025" s="284"/>
      <c r="W1025" s="284"/>
      <c r="X1025" s="284"/>
      <c r="Y1025" s="284"/>
      <c r="Z1025" s="284"/>
      <c r="AA1025" s="284"/>
    </row>
    <row r="1026">
      <c r="A1026" s="284"/>
      <c r="B1026" s="284"/>
      <c r="C1026" s="285"/>
      <c r="D1026" s="285"/>
      <c r="E1026" s="285"/>
      <c r="F1026" s="285"/>
      <c r="G1026" s="285"/>
      <c r="H1026" s="285"/>
      <c r="I1026" s="286"/>
      <c r="J1026" s="286"/>
      <c r="K1026" s="285"/>
      <c r="L1026" s="284"/>
      <c r="M1026" s="287"/>
      <c r="N1026" s="284"/>
      <c r="O1026" s="284"/>
      <c r="P1026" s="284"/>
      <c r="Q1026" s="284"/>
      <c r="R1026" s="284"/>
      <c r="S1026" s="284"/>
      <c r="T1026" s="284"/>
      <c r="U1026" s="284"/>
      <c r="V1026" s="284"/>
      <c r="W1026" s="284"/>
      <c r="X1026" s="284"/>
      <c r="Y1026" s="284"/>
      <c r="Z1026" s="284"/>
      <c r="AA1026" s="284"/>
    </row>
    <row r="1027">
      <c r="A1027" s="284"/>
      <c r="B1027" s="284"/>
      <c r="C1027" s="285"/>
      <c r="D1027" s="285"/>
      <c r="E1027" s="285"/>
      <c r="F1027" s="285"/>
      <c r="G1027" s="285"/>
      <c r="H1027" s="285"/>
      <c r="I1027" s="286"/>
      <c r="J1027" s="286"/>
      <c r="K1027" s="285"/>
      <c r="L1027" s="284"/>
      <c r="M1027" s="287"/>
      <c r="N1027" s="284"/>
      <c r="O1027" s="284"/>
      <c r="P1027" s="284"/>
      <c r="Q1027" s="284"/>
      <c r="R1027" s="284"/>
      <c r="S1027" s="284"/>
      <c r="T1027" s="284"/>
      <c r="U1027" s="284"/>
      <c r="V1027" s="284"/>
      <c r="W1027" s="284"/>
      <c r="X1027" s="284"/>
      <c r="Y1027" s="284"/>
      <c r="Z1027" s="284"/>
      <c r="AA1027" s="284"/>
    </row>
    <row r="1028">
      <c r="A1028" s="284"/>
      <c r="B1028" s="284"/>
      <c r="C1028" s="285"/>
      <c r="D1028" s="285"/>
      <c r="E1028" s="285"/>
      <c r="F1028" s="285"/>
      <c r="G1028" s="285"/>
      <c r="H1028" s="285"/>
      <c r="I1028" s="286"/>
      <c r="J1028" s="286"/>
      <c r="K1028" s="285"/>
      <c r="L1028" s="284"/>
      <c r="M1028" s="287"/>
      <c r="N1028" s="284"/>
      <c r="O1028" s="284"/>
      <c r="P1028" s="284"/>
      <c r="Q1028" s="284"/>
      <c r="R1028" s="284"/>
      <c r="S1028" s="284"/>
      <c r="T1028" s="284"/>
      <c r="U1028" s="284"/>
      <c r="V1028" s="284"/>
      <c r="W1028" s="284"/>
      <c r="X1028" s="284"/>
      <c r="Y1028" s="284"/>
      <c r="Z1028" s="284"/>
      <c r="AA1028" s="284"/>
    </row>
    <row r="1029">
      <c r="A1029" s="284"/>
      <c r="B1029" s="284"/>
      <c r="C1029" s="285"/>
      <c r="D1029" s="285"/>
      <c r="E1029" s="285"/>
      <c r="F1029" s="285"/>
      <c r="G1029" s="285"/>
      <c r="H1029" s="285"/>
      <c r="I1029" s="286"/>
      <c r="J1029" s="286"/>
      <c r="K1029" s="285"/>
      <c r="L1029" s="284"/>
      <c r="M1029" s="287"/>
      <c r="N1029" s="284"/>
      <c r="O1029" s="284"/>
      <c r="P1029" s="284"/>
      <c r="Q1029" s="284"/>
      <c r="R1029" s="284"/>
      <c r="S1029" s="284"/>
      <c r="T1029" s="284"/>
      <c r="U1029" s="284"/>
      <c r="V1029" s="284"/>
      <c r="W1029" s="284"/>
      <c r="X1029" s="284"/>
      <c r="Y1029" s="284"/>
      <c r="Z1029" s="284"/>
      <c r="AA1029" s="284"/>
    </row>
    <row r="1030">
      <c r="A1030" s="284"/>
      <c r="B1030" s="284"/>
      <c r="C1030" s="285"/>
      <c r="D1030" s="285"/>
      <c r="E1030" s="285"/>
      <c r="F1030" s="285"/>
      <c r="G1030" s="285"/>
      <c r="H1030" s="285"/>
      <c r="I1030" s="286"/>
      <c r="J1030" s="286"/>
      <c r="K1030" s="285"/>
      <c r="L1030" s="284"/>
      <c r="M1030" s="287"/>
      <c r="N1030" s="284"/>
      <c r="O1030" s="284"/>
      <c r="P1030" s="284"/>
      <c r="Q1030" s="284"/>
      <c r="R1030" s="284"/>
      <c r="S1030" s="284"/>
      <c r="T1030" s="284"/>
      <c r="U1030" s="284"/>
      <c r="V1030" s="284"/>
      <c r="W1030" s="284"/>
      <c r="X1030" s="284"/>
      <c r="Y1030" s="284"/>
      <c r="Z1030" s="284"/>
      <c r="AA1030" s="284"/>
    </row>
    <row r="1031">
      <c r="A1031" s="284"/>
      <c r="B1031" s="284"/>
      <c r="C1031" s="285"/>
      <c r="D1031" s="285"/>
      <c r="E1031" s="285"/>
      <c r="F1031" s="285"/>
      <c r="G1031" s="285"/>
      <c r="H1031" s="285"/>
      <c r="I1031" s="286"/>
      <c r="J1031" s="286"/>
      <c r="K1031" s="285"/>
      <c r="L1031" s="284"/>
      <c r="M1031" s="287"/>
      <c r="N1031" s="284"/>
      <c r="O1031" s="284"/>
      <c r="P1031" s="284"/>
      <c r="Q1031" s="284"/>
      <c r="R1031" s="284"/>
      <c r="S1031" s="284"/>
      <c r="T1031" s="284"/>
      <c r="U1031" s="284"/>
      <c r="V1031" s="284"/>
      <c r="W1031" s="284"/>
      <c r="X1031" s="284"/>
      <c r="Y1031" s="284"/>
      <c r="Z1031" s="284"/>
      <c r="AA1031" s="284"/>
    </row>
    <row r="1032">
      <c r="A1032" s="284"/>
      <c r="B1032" s="284"/>
      <c r="C1032" s="285"/>
      <c r="D1032" s="285"/>
      <c r="E1032" s="285"/>
      <c r="F1032" s="285"/>
      <c r="G1032" s="285"/>
      <c r="H1032" s="285"/>
      <c r="I1032" s="286"/>
      <c r="J1032" s="286"/>
      <c r="K1032" s="285"/>
      <c r="L1032" s="284"/>
      <c r="M1032" s="287"/>
      <c r="N1032" s="284"/>
      <c r="O1032" s="284"/>
      <c r="P1032" s="284"/>
      <c r="Q1032" s="284"/>
      <c r="R1032" s="284"/>
      <c r="S1032" s="284"/>
      <c r="T1032" s="284"/>
      <c r="U1032" s="284"/>
      <c r="V1032" s="284"/>
      <c r="W1032" s="284"/>
      <c r="X1032" s="284"/>
      <c r="Y1032" s="284"/>
      <c r="Z1032" s="284"/>
      <c r="AA1032" s="284"/>
    </row>
    <row r="1033">
      <c r="A1033" s="284"/>
      <c r="B1033" s="284"/>
      <c r="C1033" s="285"/>
      <c r="D1033" s="285"/>
      <c r="E1033" s="285"/>
      <c r="F1033" s="285"/>
      <c r="G1033" s="285"/>
      <c r="H1033" s="285"/>
      <c r="I1033" s="286"/>
      <c r="J1033" s="286"/>
      <c r="K1033" s="284"/>
      <c r="L1033" s="284"/>
      <c r="M1033" s="287"/>
      <c r="N1033" s="284"/>
      <c r="O1033" s="284"/>
      <c r="P1033" s="284"/>
      <c r="Q1033" s="284"/>
      <c r="R1033" s="284"/>
      <c r="S1033" s="284"/>
      <c r="T1033" s="284"/>
      <c r="U1033" s="284"/>
      <c r="V1033" s="284"/>
      <c r="W1033" s="284"/>
      <c r="X1033" s="284"/>
      <c r="Y1033" s="284"/>
      <c r="Z1033" s="284"/>
      <c r="AA1033" s="284"/>
    </row>
    <row r="1034">
      <c r="A1034" s="284"/>
      <c r="B1034" s="284"/>
      <c r="C1034" s="285"/>
      <c r="D1034" s="285"/>
      <c r="E1034" s="285"/>
      <c r="F1034" s="285"/>
      <c r="G1034" s="285"/>
      <c r="H1034" s="285"/>
      <c r="I1034" s="286"/>
      <c r="J1034" s="286"/>
      <c r="K1034" s="284"/>
      <c r="L1034" s="284"/>
      <c r="M1034" s="287"/>
      <c r="N1034" s="284"/>
      <c r="O1034" s="284"/>
      <c r="P1034" s="284"/>
      <c r="Q1034" s="284"/>
      <c r="R1034" s="284"/>
      <c r="S1034" s="284"/>
      <c r="T1034" s="284"/>
      <c r="U1034" s="284"/>
      <c r="V1034" s="284"/>
      <c r="W1034" s="284"/>
      <c r="X1034" s="284"/>
      <c r="Y1034" s="284"/>
      <c r="Z1034" s="284"/>
      <c r="AA1034" s="284"/>
    </row>
    <row r="1035">
      <c r="A1035" s="284"/>
      <c r="B1035" s="284"/>
      <c r="C1035" s="285"/>
      <c r="D1035" s="285"/>
      <c r="E1035" s="285"/>
      <c r="F1035" s="285"/>
      <c r="G1035" s="285"/>
      <c r="H1035" s="285"/>
      <c r="I1035" s="286"/>
      <c r="J1035" s="286"/>
      <c r="K1035" s="284"/>
      <c r="L1035" s="284"/>
      <c r="M1035" s="287"/>
      <c r="N1035" s="284"/>
      <c r="O1035" s="284"/>
      <c r="P1035" s="284"/>
      <c r="Q1035" s="284"/>
      <c r="R1035" s="284"/>
      <c r="S1035" s="284"/>
      <c r="T1035" s="284"/>
      <c r="U1035" s="284"/>
      <c r="V1035" s="284"/>
      <c r="W1035" s="284"/>
      <c r="X1035" s="284"/>
      <c r="Y1035" s="284"/>
      <c r="Z1035" s="284"/>
      <c r="AA1035" s="284"/>
    </row>
    <row r="1036">
      <c r="A1036" s="284"/>
      <c r="B1036" s="284"/>
      <c r="C1036" s="285"/>
      <c r="D1036" s="285"/>
      <c r="E1036" s="285"/>
      <c r="F1036" s="285"/>
      <c r="G1036" s="285"/>
      <c r="H1036" s="285"/>
      <c r="I1036" s="286"/>
      <c r="J1036" s="286"/>
      <c r="K1036" s="284"/>
      <c r="L1036" s="284"/>
      <c r="M1036" s="287"/>
      <c r="N1036" s="284"/>
      <c r="O1036" s="284"/>
      <c r="P1036" s="284"/>
      <c r="Q1036" s="284"/>
      <c r="R1036" s="284"/>
      <c r="S1036" s="284"/>
      <c r="T1036" s="284"/>
      <c r="U1036" s="284"/>
      <c r="V1036" s="284"/>
      <c r="W1036" s="284"/>
      <c r="X1036" s="284"/>
      <c r="Y1036" s="284"/>
      <c r="Z1036" s="284"/>
      <c r="AA1036" s="284"/>
    </row>
    <row r="1037">
      <c r="A1037" s="284"/>
      <c r="B1037" s="284"/>
      <c r="C1037" s="285"/>
      <c r="D1037" s="285"/>
      <c r="E1037" s="285"/>
      <c r="F1037" s="285"/>
      <c r="G1037" s="285"/>
      <c r="H1037" s="285"/>
      <c r="I1037" s="286"/>
      <c r="J1037" s="286"/>
      <c r="K1037" s="284"/>
      <c r="L1037" s="284"/>
      <c r="M1037" s="287"/>
      <c r="N1037" s="284"/>
      <c r="O1037" s="284"/>
      <c r="P1037" s="284"/>
      <c r="Q1037" s="284"/>
      <c r="R1037" s="284"/>
      <c r="S1037" s="284"/>
      <c r="T1037" s="284"/>
      <c r="U1037" s="284"/>
      <c r="V1037" s="284"/>
      <c r="W1037" s="284"/>
      <c r="X1037" s="284"/>
      <c r="Y1037" s="284"/>
      <c r="Z1037" s="284"/>
      <c r="AA1037" s="284"/>
    </row>
    <row r="1038">
      <c r="A1038" s="284"/>
      <c r="B1038" s="284"/>
      <c r="C1038" s="285"/>
      <c r="D1038" s="285"/>
      <c r="E1038" s="285"/>
      <c r="F1038" s="285"/>
      <c r="G1038" s="285"/>
      <c r="H1038" s="285"/>
      <c r="I1038" s="286"/>
      <c r="J1038" s="286"/>
      <c r="K1038" s="284"/>
      <c r="L1038" s="284"/>
      <c r="M1038" s="287"/>
      <c r="N1038" s="284"/>
      <c r="O1038" s="284"/>
      <c r="P1038" s="284"/>
      <c r="Q1038" s="284"/>
      <c r="R1038" s="284"/>
      <c r="S1038" s="284"/>
      <c r="T1038" s="284"/>
      <c r="U1038" s="284"/>
      <c r="V1038" s="284"/>
      <c r="W1038" s="284"/>
      <c r="X1038" s="284"/>
      <c r="Y1038" s="284"/>
      <c r="Z1038" s="284"/>
      <c r="AA1038" s="284"/>
    </row>
    <row r="1039">
      <c r="A1039" s="284"/>
      <c r="B1039" s="284"/>
      <c r="C1039" s="285"/>
      <c r="D1039" s="285"/>
      <c r="E1039" s="285"/>
      <c r="F1039" s="285"/>
      <c r="G1039" s="285"/>
      <c r="H1039" s="285"/>
      <c r="I1039" s="286"/>
      <c r="J1039" s="286"/>
      <c r="K1039" s="284"/>
      <c r="L1039" s="284"/>
      <c r="M1039" s="287"/>
      <c r="N1039" s="284"/>
      <c r="O1039" s="284"/>
      <c r="P1039" s="284"/>
      <c r="Q1039" s="284"/>
      <c r="R1039" s="284"/>
      <c r="S1039" s="284"/>
      <c r="T1039" s="284"/>
      <c r="U1039" s="284"/>
      <c r="V1039" s="284"/>
      <c r="W1039" s="284"/>
      <c r="X1039" s="284"/>
      <c r="Y1039" s="284"/>
      <c r="Z1039" s="284"/>
      <c r="AA1039" s="284"/>
    </row>
    <row r="1040">
      <c r="A1040" s="284"/>
      <c r="B1040" s="284"/>
      <c r="C1040" s="285"/>
      <c r="D1040" s="285"/>
      <c r="E1040" s="285"/>
      <c r="F1040" s="285"/>
      <c r="G1040" s="285"/>
      <c r="H1040" s="285"/>
      <c r="I1040" s="286"/>
      <c r="J1040" s="286"/>
      <c r="K1040" s="284"/>
      <c r="L1040" s="284"/>
      <c r="M1040" s="287"/>
      <c r="N1040" s="284"/>
      <c r="O1040" s="284"/>
      <c r="P1040" s="284"/>
      <c r="Q1040" s="284"/>
      <c r="R1040" s="284"/>
      <c r="S1040" s="284"/>
      <c r="T1040" s="284"/>
      <c r="U1040" s="284"/>
      <c r="V1040" s="284"/>
      <c r="W1040" s="284"/>
      <c r="X1040" s="284"/>
      <c r="Y1040" s="284"/>
      <c r="Z1040" s="284"/>
      <c r="AA1040" s="284"/>
    </row>
    <row r="1041">
      <c r="A1041" s="284"/>
      <c r="B1041" s="284"/>
      <c r="C1041" s="285"/>
      <c r="D1041" s="285"/>
      <c r="E1041" s="285"/>
      <c r="F1041" s="285"/>
      <c r="G1041" s="285"/>
      <c r="H1041" s="285"/>
      <c r="I1041" s="286"/>
      <c r="J1041" s="286"/>
      <c r="K1041" s="284"/>
      <c r="L1041" s="284"/>
      <c r="M1041" s="287"/>
      <c r="N1041" s="284"/>
      <c r="O1041" s="284"/>
      <c r="P1041" s="284"/>
      <c r="Q1041" s="284"/>
      <c r="R1041" s="284"/>
      <c r="S1041" s="284"/>
      <c r="T1041" s="284"/>
      <c r="U1041" s="284"/>
      <c r="V1041" s="284"/>
      <c r="W1041" s="284"/>
      <c r="X1041" s="284"/>
      <c r="Y1041" s="284"/>
      <c r="Z1041" s="284"/>
      <c r="AA1041" s="284"/>
    </row>
    <row r="1042">
      <c r="A1042" s="284"/>
      <c r="B1042" s="284"/>
      <c r="C1042" s="285"/>
      <c r="D1042" s="285"/>
      <c r="E1042" s="285"/>
      <c r="F1042" s="285"/>
      <c r="G1042" s="285"/>
      <c r="H1042" s="285"/>
      <c r="I1042" s="286"/>
      <c r="J1042" s="286"/>
      <c r="K1042" s="284"/>
      <c r="L1042" s="284"/>
      <c r="M1042" s="287"/>
      <c r="N1042" s="284"/>
      <c r="O1042" s="284"/>
      <c r="P1042" s="284"/>
      <c r="Q1042" s="284"/>
      <c r="R1042" s="284"/>
      <c r="S1042" s="284"/>
      <c r="T1042" s="284"/>
      <c r="U1042" s="284"/>
      <c r="V1042" s="284"/>
      <c r="W1042" s="284"/>
      <c r="X1042" s="284"/>
      <c r="Y1042" s="284"/>
      <c r="Z1042" s="284"/>
      <c r="AA1042" s="284"/>
    </row>
    <row r="1043">
      <c r="A1043" s="284"/>
      <c r="B1043" s="284"/>
      <c r="C1043" s="285"/>
      <c r="D1043" s="285"/>
      <c r="E1043" s="285"/>
      <c r="F1043" s="285"/>
      <c r="G1043" s="285"/>
      <c r="H1043" s="285"/>
      <c r="I1043" s="286"/>
      <c r="J1043" s="286"/>
      <c r="K1043" s="284"/>
      <c r="L1043" s="284"/>
      <c r="M1043" s="287"/>
      <c r="N1043" s="284"/>
      <c r="O1043" s="284"/>
      <c r="P1043" s="284"/>
      <c r="Q1043" s="284"/>
      <c r="R1043" s="284"/>
      <c r="S1043" s="284"/>
      <c r="T1043" s="284"/>
      <c r="U1043" s="284"/>
      <c r="V1043" s="284"/>
      <c r="W1043" s="284"/>
      <c r="X1043" s="284"/>
      <c r="Y1043" s="284"/>
      <c r="Z1043" s="284"/>
      <c r="AA1043" s="284"/>
    </row>
    <row r="1044">
      <c r="A1044" s="284"/>
      <c r="B1044" s="284"/>
      <c r="C1044" s="285"/>
      <c r="D1044" s="285"/>
      <c r="E1044" s="285"/>
      <c r="F1044" s="285"/>
      <c r="G1044" s="285"/>
      <c r="H1044" s="285"/>
      <c r="I1044" s="286"/>
      <c r="J1044" s="286"/>
      <c r="K1044" s="284"/>
      <c r="L1044" s="284"/>
      <c r="M1044" s="287"/>
      <c r="N1044" s="284"/>
      <c r="O1044" s="284"/>
      <c r="P1044" s="284"/>
      <c r="Q1044" s="284"/>
      <c r="R1044" s="284"/>
      <c r="S1044" s="284"/>
      <c r="T1044" s="284"/>
      <c r="U1044" s="284"/>
      <c r="V1044" s="284"/>
      <c r="W1044" s="284"/>
      <c r="X1044" s="284"/>
      <c r="Y1044" s="284"/>
      <c r="Z1044" s="284"/>
      <c r="AA1044" s="284"/>
    </row>
    <row r="1045">
      <c r="A1045" s="284"/>
      <c r="B1045" s="284"/>
      <c r="C1045" s="285"/>
      <c r="D1045" s="285"/>
      <c r="E1045" s="285"/>
      <c r="F1045" s="285"/>
      <c r="G1045" s="285"/>
      <c r="H1045" s="285"/>
      <c r="I1045" s="286"/>
      <c r="J1045" s="286"/>
      <c r="K1045" s="284"/>
      <c r="L1045" s="284"/>
      <c r="M1045" s="287"/>
      <c r="N1045" s="284"/>
      <c r="O1045" s="284"/>
      <c r="P1045" s="284"/>
      <c r="Q1045" s="284"/>
      <c r="R1045" s="284"/>
      <c r="S1045" s="284"/>
      <c r="T1045" s="284"/>
      <c r="U1045" s="284"/>
      <c r="V1045" s="284"/>
      <c r="W1045" s="284"/>
      <c r="X1045" s="284"/>
      <c r="Y1045" s="284"/>
      <c r="Z1045" s="284"/>
      <c r="AA1045" s="284"/>
    </row>
    <row r="1046">
      <c r="A1046" s="284"/>
      <c r="B1046" s="284"/>
      <c r="C1046" s="285"/>
      <c r="D1046" s="285"/>
      <c r="E1046" s="285"/>
      <c r="F1046" s="285"/>
      <c r="G1046" s="285"/>
      <c r="H1046" s="285"/>
      <c r="I1046" s="286"/>
      <c r="J1046" s="286"/>
      <c r="K1046" s="284"/>
      <c r="L1046" s="284"/>
      <c r="M1046" s="287"/>
      <c r="N1046" s="284"/>
      <c r="O1046" s="284"/>
      <c r="P1046" s="284"/>
      <c r="Q1046" s="284"/>
      <c r="R1046" s="284"/>
      <c r="S1046" s="284"/>
      <c r="T1046" s="284"/>
      <c r="U1046" s="284"/>
      <c r="V1046" s="284"/>
      <c r="W1046" s="284"/>
      <c r="X1046" s="284"/>
      <c r="Y1046" s="284"/>
      <c r="Z1046" s="284"/>
      <c r="AA1046" s="284"/>
    </row>
    <row r="1047">
      <c r="A1047" s="284"/>
      <c r="B1047" s="284"/>
      <c r="C1047" s="285"/>
      <c r="D1047" s="285"/>
      <c r="E1047" s="285"/>
      <c r="F1047" s="285"/>
      <c r="G1047" s="285"/>
      <c r="H1047" s="285"/>
      <c r="I1047" s="286"/>
      <c r="J1047" s="286"/>
      <c r="K1047" s="284"/>
      <c r="L1047" s="284"/>
      <c r="M1047" s="287"/>
      <c r="N1047" s="284"/>
      <c r="O1047" s="284"/>
      <c r="P1047" s="284"/>
      <c r="Q1047" s="284"/>
      <c r="R1047" s="284"/>
      <c r="S1047" s="284"/>
      <c r="T1047" s="284"/>
      <c r="U1047" s="284"/>
      <c r="V1047" s="284"/>
      <c r="W1047" s="284"/>
      <c r="X1047" s="284"/>
      <c r="Y1047" s="284"/>
      <c r="Z1047" s="284"/>
      <c r="AA1047" s="284"/>
    </row>
    <row r="1048">
      <c r="A1048" s="284"/>
      <c r="B1048" s="284"/>
      <c r="C1048" s="285"/>
      <c r="D1048" s="285"/>
      <c r="E1048" s="285"/>
      <c r="F1048" s="285"/>
      <c r="G1048" s="285"/>
      <c r="H1048" s="285"/>
      <c r="I1048" s="286"/>
      <c r="J1048" s="286"/>
      <c r="K1048" s="284"/>
      <c r="L1048" s="284"/>
      <c r="M1048" s="287"/>
      <c r="N1048" s="284"/>
      <c r="O1048" s="284"/>
      <c r="P1048" s="284"/>
      <c r="Q1048" s="284"/>
      <c r="R1048" s="284"/>
      <c r="S1048" s="284"/>
      <c r="T1048" s="284"/>
      <c r="U1048" s="284"/>
      <c r="V1048" s="284"/>
      <c r="W1048" s="284"/>
      <c r="X1048" s="284"/>
      <c r="Y1048" s="284"/>
      <c r="Z1048" s="284"/>
      <c r="AA1048" s="284"/>
    </row>
    <row r="1049">
      <c r="A1049" s="284"/>
      <c r="B1049" s="284"/>
      <c r="C1049" s="285"/>
      <c r="D1049" s="285"/>
      <c r="E1049" s="285"/>
      <c r="F1049" s="285"/>
      <c r="G1049" s="285"/>
      <c r="H1049" s="285"/>
      <c r="I1049" s="286"/>
      <c r="J1049" s="286"/>
      <c r="K1049" s="284"/>
      <c r="L1049" s="284"/>
      <c r="M1049" s="287"/>
      <c r="N1049" s="284"/>
      <c r="O1049" s="284"/>
      <c r="P1049" s="284"/>
      <c r="Q1049" s="284"/>
      <c r="R1049" s="284"/>
      <c r="S1049" s="284"/>
      <c r="T1049" s="284"/>
      <c r="U1049" s="284"/>
      <c r="V1049" s="284"/>
      <c r="W1049" s="284"/>
      <c r="X1049" s="284"/>
      <c r="Y1049" s="284"/>
      <c r="Z1049" s="284"/>
      <c r="AA1049" s="284"/>
    </row>
    <row r="1050">
      <c r="A1050" s="284"/>
      <c r="B1050" s="284"/>
      <c r="C1050" s="285"/>
      <c r="D1050" s="285"/>
      <c r="E1050" s="285"/>
      <c r="F1050" s="285"/>
      <c r="G1050" s="285"/>
      <c r="H1050" s="285"/>
      <c r="I1050" s="286"/>
      <c r="J1050" s="286"/>
      <c r="K1050" s="284"/>
      <c r="L1050" s="284"/>
      <c r="M1050" s="287"/>
      <c r="N1050" s="284"/>
      <c r="O1050" s="284"/>
      <c r="P1050" s="284"/>
      <c r="Q1050" s="284"/>
      <c r="R1050" s="284"/>
      <c r="S1050" s="284"/>
      <c r="T1050" s="284"/>
      <c r="U1050" s="284"/>
      <c r="V1050" s="284"/>
      <c r="W1050" s="284"/>
      <c r="X1050" s="284"/>
      <c r="Y1050" s="284"/>
      <c r="Z1050" s="284"/>
      <c r="AA1050" s="284"/>
    </row>
    <row r="1051">
      <c r="A1051" s="284"/>
      <c r="B1051" s="284"/>
      <c r="C1051" s="285"/>
      <c r="D1051" s="285"/>
      <c r="E1051" s="285"/>
      <c r="F1051" s="285"/>
      <c r="G1051" s="285"/>
      <c r="H1051" s="285"/>
      <c r="I1051" s="286"/>
      <c r="J1051" s="286"/>
      <c r="K1051" s="284"/>
      <c r="L1051" s="284"/>
      <c r="M1051" s="287"/>
      <c r="N1051" s="284"/>
      <c r="O1051" s="284"/>
      <c r="P1051" s="284"/>
      <c r="Q1051" s="284"/>
      <c r="R1051" s="284"/>
      <c r="S1051" s="284"/>
      <c r="T1051" s="284"/>
      <c r="U1051" s="284"/>
      <c r="V1051" s="284"/>
      <c r="W1051" s="284"/>
      <c r="X1051" s="284"/>
      <c r="Y1051" s="284"/>
      <c r="Z1051" s="284"/>
      <c r="AA1051" s="284"/>
    </row>
  </sheetData>
  <dataValidations>
    <dataValidation type="custom" allowBlank="1" showDropDown="1" sqref="J304:J317 J329:J342 J354:J369 J380:J393 J405:J418 J430:J443 J455:J469 J481:J495 J506:J520 J531:J545">
      <formula1>OR(NOT(ISERROR(DATEVALUE(J304))), AND(ISNUMBER(J304), LEFT(CELL("format", J304))="D"))</formula1>
    </dataValidation>
    <dataValidation type="custom" allowBlank="1" showDropDown="1" sqref="D304:H317 K304:L317 D329:H342 K329:L342 D354:H369 K354:L369 D380:H393 K380:L393 D405:H418 K405:L418 D430:H443 K430:L443 D455:H469 K455:L469 D481:H495 K481:L495 D506:H520 K506:L520 D531:H545 K531:L545">
      <formula1>AND(ISNUMBER(D304),(NOT(OR(NOT(ISERROR(DATEVALUE(D304))), AND(ISNUMBER(D304), LEFT(CELL("format", D304))="D")))))</formula1>
    </dataValidation>
    <dataValidation allowBlank="1" showDropDown="1" sqref="S5:T20"/>
  </dataValidations>
  <drawing r:id="rId1"/>
  <tableParts count="11">
    <tablePart r:id="rId13"/>
    <tablePart r:id="rId14"/>
    <tablePart r:id="rId15"/>
    <tablePart r:id="rId16"/>
    <tablePart r:id="rId17"/>
    <tablePart r:id="rId18"/>
    <tablePart r:id="rId19"/>
    <tablePart r:id="rId20"/>
    <tablePart r:id="rId21"/>
    <tablePart r:id="rId22"/>
    <tablePart r:id="rId2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78" t="s">
        <v>500</v>
      </c>
      <c r="B1" s="78" t="s">
        <v>2361</v>
      </c>
      <c r="C1" s="78" t="s">
        <v>2362</v>
      </c>
      <c r="D1" s="78" t="s">
        <v>2363</v>
      </c>
      <c r="E1" s="78" t="s">
        <v>2364</v>
      </c>
      <c r="F1" s="78" t="s">
        <v>2365</v>
      </c>
      <c r="G1" s="78" t="s">
        <v>2366</v>
      </c>
      <c r="H1" s="78" t="s">
        <v>2367</v>
      </c>
      <c r="I1" s="78" t="s">
        <v>2368</v>
      </c>
      <c r="J1" s="78" t="s">
        <v>2369</v>
      </c>
      <c r="K1" s="78" t="s">
        <v>2370</v>
      </c>
      <c r="L1" s="78" t="s">
        <v>2371</v>
      </c>
      <c r="M1" s="78" t="s">
        <v>2372</v>
      </c>
      <c r="N1" s="78" t="s">
        <v>2373</v>
      </c>
      <c r="O1" s="78" t="s">
        <v>2374</v>
      </c>
      <c r="P1" s="78" t="s">
        <v>2375</v>
      </c>
      <c r="Q1" s="78" t="s">
        <v>2376</v>
      </c>
      <c r="R1" s="78" t="s">
        <v>2377</v>
      </c>
      <c r="S1" s="78" t="s">
        <v>2378</v>
      </c>
      <c r="T1" s="78" t="s">
        <v>2224</v>
      </c>
    </row>
    <row r="2" ht="22.5" customHeight="1">
      <c r="A2" s="132" t="s">
        <v>2379</v>
      </c>
      <c r="B2" s="9" t="s">
        <v>2380</v>
      </c>
      <c r="C2" s="9" t="s">
        <v>2381</v>
      </c>
      <c r="D2" s="350" t="s">
        <v>2382</v>
      </c>
      <c r="E2" s="45"/>
      <c r="F2" s="312">
        <v>45291.0</v>
      </c>
      <c r="G2" s="45"/>
      <c r="H2" s="351" t="s">
        <v>2383</v>
      </c>
      <c r="I2" s="9" t="s">
        <v>2384</v>
      </c>
      <c r="J2" s="45"/>
      <c r="K2" s="45"/>
      <c r="L2" s="90" t="s">
        <v>2385</v>
      </c>
      <c r="M2" s="45"/>
      <c r="N2" s="45"/>
      <c r="O2" s="47"/>
      <c r="P2" s="45"/>
      <c r="Q2" s="352"/>
      <c r="R2" s="352"/>
      <c r="S2" s="352"/>
      <c r="T2" s="55"/>
    </row>
    <row r="3" ht="22.5" customHeight="1">
      <c r="A3" s="130" t="s">
        <v>2386</v>
      </c>
      <c r="B3" s="16" t="s">
        <v>2387</v>
      </c>
      <c r="C3" s="16" t="s">
        <v>2388</v>
      </c>
      <c r="D3" s="353" t="s">
        <v>2389</v>
      </c>
      <c r="E3" s="41"/>
      <c r="F3" s="354">
        <v>45291.0</v>
      </c>
      <c r="G3" s="41"/>
      <c r="H3" s="355" t="s">
        <v>2383</v>
      </c>
      <c r="I3" s="16" t="s">
        <v>2390</v>
      </c>
      <c r="J3" s="41"/>
      <c r="K3" s="41"/>
      <c r="L3" s="92" t="s">
        <v>2391</v>
      </c>
      <c r="M3" s="41"/>
      <c r="N3" s="41"/>
      <c r="O3" s="53"/>
      <c r="P3" s="16" t="s">
        <v>2392</v>
      </c>
      <c r="Q3" s="356"/>
      <c r="R3" s="356"/>
      <c r="S3" s="356"/>
      <c r="T3" s="56"/>
    </row>
    <row r="4" ht="22.5" customHeight="1">
      <c r="A4" s="132" t="s">
        <v>2393</v>
      </c>
      <c r="B4" s="9" t="s">
        <v>839</v>
      </c>
      <c r="C4" s="9" t="s">
        <v>2381</v>
      </c>
      <c r="D4" s="350" t="s">
        <v>2394</v>
      </c>
      <c r="E4" s="45"/>
      <c r="F4" s="312">
        <v>45598.0</v>
      </c>
      <c r="G4" s="9" t="s">
        <v>2395</v>
      </c>
      <c r="H4" s="357" t="s">
        <v>2396</v>
      </c>
      <c r="I4" s="125" t="s">
        <v>2397</v>
      </c>
      <c r="J4" s="125" t="s">
        <v>2398</v>
      </c>
      <c r="K4" s="125" t="s">
        <v>2399</v>
      </c>
      <c r="L4" s="90" t="s">
        <v>2400</v>
      </c>
      <c r="M4" s="125" t="s">
        <v>2401</v>
      </c>
      <c r="N4" s="45"/>
      <c r="O4" s="358" t="s">
        <v>2402</v>
      </c>
      <c r="P4" s="9" t="s">
        <v>1930</v>
      </c>
      <c r="Q4" s="352"/>
      <c r="R4" s="352"/>
      <c r="S4" s="352"/>
      <c r="T4" s="55"/>
    </row>
    <row r="5" ht="22.5" customHeight="1">
      <c r="A5" s="130" t="s">
        <v>2298</v>
      </c>
      <c r="B5" s="16" t="s">
        <v>839</v>
      </c>
      <c r="C5" s="16" t="s">
        <v>2403</v>
      </c>
      <c r="D5" s="353" t="s">
        <v>2404</v>
      </c>
      <c r="E5" s="41"/>
      <c r="F5" s="354">
        <v>45568.0</v>
      </c>
      <c r="G5" s="16" t="s">
        <v>2405</v>
      </c>
      <c r="H5" s="359" t="s">
        <v>2396</v>
      </c>
      <c r="I5" s="127" t="s">
        <v>2406</v>
      </c>
      <c r="J5" s="127" t="s">
        <v>2407</v>
      </c>
      <c r="K5" s="127" t="s">
        <v>2408</v>
      </c>
      <c r="L5" s="92" t="s">
        <v>2409</v>
      </c>
      <c r="M5" s="127" t="s">
        <v>2410</v>
      </c>
      <c r="N5" s="41"/>
      <c r="O5" s="360" t="s">
        <v>2402</v>
      </c>
      <c r="P5" s="361">
        <v>45585.0</v>
      </c>
      <c r="Q5" s="356"/>
      <c r="R5" s="356"/>
      <c r="S5" s="356"/>
      <c r="T5" s="56"/>
    </row>
    <row r="6" ht="22.5" customHeight="1">
      <c r="A6" s="132" t="s">
        <v>2411</v>
      </c>
      <c r="B6" s="9" t="s">
        <v>839</v>
      </c>
      <c r="C6" s="9" t="s">
        <v>2403</v>
      </c>
      <c r="D6" s="350" t="s">
        <v>2412</v>
      </c>
      <c r="E6" s="45"/>
      <c r="F6" s="312">
        <v>45568.0</v>
      </c>
      <c r="G6" s="9" t="s">
        <v>2413</v>
      </c>
      <c r="H6" s="357" t="s">
        <v>2396</v>
      </c>
      <c r="I6" s="9" t="s">
        <v>2414</v>
      </c>
      <c r="J6" s="9" t="s">
        <v>2415</v>
      </c>
      <c r="K6" s="9" t="s">
        <v>2416</v>
      </c>
      <c r="L6" s="90" t="s">
        <v>2417</v>
      </c>
      <c r="M6" s="125" t="s">
        <v>2418</v>
      </c>
      <c r="N6" s="45"/>
      <c r="O6" s="358" t="s">
        <v>2402</v>
      </c>
      <c r="P6" s="89">
        <v>4.0</v>
      </c>
      <c r="Q6" s="352"/>
      <c r="R6" s="352"/>
      <c r="S6" s="352"/>
      <c r="T6" s="55"/>
    </row>
    <row r="7" ht="22.5" customHeight="1">
      <c r="A7" s="129"/>
      <c r="B7" s="41"/>
      <c r="C7" s="41"/>
      <c r="D7" s="39"/>
      <c r="E7" s="41"/>
      <c r="F7" s="362"/>
      <c r="G7" s="41"/>
      <c r="H7" s="363"/>
      <c r="I7" s="41"/>
      <c r="J7" s="41"/>
      <c r="K7" s="41"/>
      <c r="L7" s="41"/>
      <c r="M7" s="41"/>
      <c r="N7" s="41"/>
      <c r="O7" s="53"/>
      <c r="P7" s="41"/>
      <c r="Q7" s="356"/>
      <c r="R7" s="356"/>
      <c r="S7" s="356"/>
      <c r="T7" s="56"/>
    </row>
    <row r="8" ht="22.5" customHeight="1">
      <c r="A8" s="132" t="s">
        <v>2419</v>
      </c>
      <c r="B8" s="9" t="s">
        <v>839</v>
      </c>
      <c r="C8" s="45"/>
      <c r="D8" s="350" t="s">
        <v>2412</v>
      </c>
      <c r="E8" s="45"/>
      <c r="F8" s="322"/>
      <c r="G8" s="45"/>
      <c r="H8" s="206"/>
      <c r="I8" s="45"/>
      <c r="J8" s="45"/>
      <c r="K8" s="45"/>
      <c r="L8" s="45"/>
      <c r="M8" s="45"/>
      <c r="N8" s="45"/>
      <c r="O8" s="47"/>
      <c r="P8" s="45"/>
      <c r="Q8" s="352"/>
      <c r="R8" s="352"/>
      <c r="S8" s="352"/>
      <c r="T8" s="55"/>
    </row>
    <row r="9" ht="22.5" customHeight="1">
      <c r="A9" s="129"/>
      <c r="B9" s="41"/>
      <c r="C9" s="41"/>
      <c r="D9" s="39"/>
      <c r="E9" s="41"/>
      <c r="F9" s="362"/>
      <c r="G9" s="41"/>
      <c r="H9" s="363"/>
      <c r="I9" s="41"/>
      <c r="J9" s="41"/>
      <c r="K9" s="41"/>
      <c r="L9" s="41"/>
      <c r="M9" s="41"/>
      <c r="N9" s="41"/>
      <c r="O9" s="53"/>
      <c r="P9" s="41"/>
      <c r="Q9" s="356"/>
      <c r="R9" s="356"/>
      <c r="S9" s="356"/>
      <c r="T9" s="56"/>
    </row>
    <row r="10" ht="22.5" customHeight="1">
      <c r="A10" s="132" t="s">
        <v>2420</v>
      </c>
      <c r="B10" s="9" t="s">
        <v>839</v>
      </c>
      <c r="C10" s="45"/>
      <c r="D10" s="350" t="s">
        <v>2421</v>
      </c>
      <c r="E10" s="45"/>
      <c r="F10" s="312">
        <v>45568.0</v>
      </c>
      <c r="G10" s="9" t="s">
        <v>2422</v>
      </c>
      <c r="H10" s="357" t="s">
        <v>2396</v>
      </c>
      <c r="I10" s="9" t="s">
        <v>2423</v>
      </c>
      <c r="J10" s="9" t="s">
        <v>2424</v>
      </c>
      <c r="K10" s="9" t="s">
        <v>2425</v>
      </c>
      <c r="L10" s="90" t="s">
        <v>2426</v>
      </c>
      <c r="M10" s="9" t="s">
        <v>2427</v>
      </c>
      <c r="N10" s="45"/>
      <c r="O10" s="47"/>
      <c r="P10" s="364">
        <v>45585.0</v>
      </c>
      <c r="Q10" s="352"/>
      <c r="R10" s="352"/>
      <c r="S10" s="352"/>
      <c r="T10" s="55"/>
    </row>
    <row r="11" ht="22.5" customHeight="1">
      <c r="A11" s="129"/>
      <c r="B11" s="41"/>
      <c r="C11" s="41"/>
      <c r="D11" s="39"/>
      <c r="E11" s="41"/>
      <c r="F11" s="362"/>
      <c r="G11" s="41"/>
      <c r="H11" s="363"/>
      <c r="I11" s="41"/>
      <c r="J11" s="41"/>
      <c r="K11" s="41"/>
      <c r="L11" s="41"/>
      <c r="M11" s="41"/>
      <c r="N11" s="41"/>
      <c r="O11" s="53"/>
      <c r="P11" s="41"/>
      <c r="Q11" s="356"/>
      <c r="R11" s="356"/>
      <c r="S11" s="356"/>
      <c r="T11" s="56"/>
    </row>
    <row r="12" ht="22.5" customHeight="1">
      <c r="A12" s="132" t="s">
        <v>2428</v>
      </c>
      <c r="B12" s="9" t="s">
        <v>839</v>
      </c>
      <c r="C12" s="45"/>
      <c r="D12" s="350" t="s">
        <v>2429</v>
      </c>
      <c r="E12" s="45"/>
      <c r="F12" s="312">
        <v>45568.0</v>
      </c>
      <c r="G12" s="9" t="s">
        <v>2430</v>
      </c>
      <c r="H12" s="357" t="s">
        <v>2396</v>
      </c>
      <c r="I12" s="9" t="s">
        <v>2431</v>
      </c>
      <c r="J12" s="9" t="s">
        <v>2432</v>
      </c>
      <c r="K12" s="9" t="s">
        <v>2408</v>
      </c>
      <c r="L12" s="90" t="s">
        <v>2433</v>
      </c>
      <c r="M12" s="9" t="s">
        <v>2434</v>
      </c>
      <c r="N12" s="45"/>
      <c r="O12" s="47"/>
      <c r="P12" s="9" t="s">
        <v>2435</v>
      </c>
      <c r="Q12" s="352"/>
      <c r="R12" s="352"/>
      <c r="S12" s="352"/>
      <c r="T12" s="55"/>
    </row>
    <row r="13" ht="22.5" customHeight="1">
      <c r="A13" s="129"/>
      <c r="B13" s="41"/>
      <c r="C13" s="41"/>
      <c r="D13" s="39"/>
      <c r="E13" s="41"/>
      <c r="F13" s="362"/>
      <c r="G13" s="41"/>
      <c r="H13" s="363"/>
      <c r="I13" s="41"/>
      <c r="J13" s="41"/>
      <c r="K13" s="41"/>
      <c r="L13" s="41"/>
      <c r="M13" s="41"/>
      <c r="N13" s="41"/>
      <c r="O13" s="53"/>
      <c r="P13" s="41"/>
      <c r="Q13" s="356"/>
      <c r="R13" s="356"/>
      <c r="S13" s="356"/>
      <c r="T13" s="56"/>
    </row>
    <row r="14" ht="22.5" customHeight="1">
      <c r="A14" s="132" t="s">
        <v>2436</v>
      </c>
      <c r="B14" s="9" t="s">
        <v>2437</v>
      </c>
      <c r="C14" s="45"/>
      <c r="D14" s="42"/>
      <c r="E14" s="45"/>
      <c r="F14" s="322"/>
      <c r="G14" s="45"/>
      <c r="H14" s="206"/>
      <c r="I14" s="45"/>
      <c r="J14" s="45"/>
      <c r="K14" s="45"/>
      <c r="L14" s="45"/>
      <c r="M14" s="45"/>
      <c r="N14" s="45"/>
      <c r="O14" s="47"/>
      <c r="P14" s="45"/>
      <c r="Q14" s="352"/>
      <c r="R14" s="352"/>
      <c r="S14" s="352"/>
      <c r="T14" s="55"/>
    </row>
    <row r="15" ht="22.5" customHeight="1">
      <c r="A15" s="129"/>
      <c r="B15" s="41"/>
      <c r="C15" s="41"/>
      <c r="D15" s="39"/>
      <c r="E15" s="41"/>
      <c r="F15" s="362"/>
      <c r="G15" s="41"/>
      <c r="H15" s="363"/>
      <c r="I15" s="41"/>
      <c r="J15" s="41"/>
      <c r="K15" s="41"/>
      <c r="L15" s="41"/>
      <c r="M15" s="41"/>
      <c r="N15" s="41"/>
      <c r="O15" s="53"/>
      <c r="P15" s="41"/>
      <c r="Q15" s="356"/>
      <c r="R15" s="356"/>
      <c r="S15" s="356"/>
      <c r="T15" s="56"/>
    </row>
    <row r="16" ht="22.5" customHeight="1">
      <c r="A16" s="132" t="s">
        <v>2438</v>
      </c>
      <c r="B16" s="9" t="s">
        <v>2437</v>
      </c>
      <c r="C16" s="45"/>
      <c r="D16" s="42"/>
      <c r="E16" s="45"/>
      <c r="F16" s="322"/>
      <c r="G16" s="45"/>
      <c r="H16" s="206"/>
      <c r="I16" s="45"/>
      <c r="J16" s="45"/>
      <c r="K16" s="45"/>
      <c r="L16" s="45"/>
      <c r="M16" s="45"/>
      <c r="N16" s="45"/>
      <c r="O16" s="47"/>
      <c r="P16" s="45"/>
      <c r="Q16" s="352"/>
      <c r="R16" s="352"/>
      <c r="S16" s="352"/>
      <c r="T16" s="55"/>
    </row>
    <row r="17" ht="22.5" customHeight="1">
      <c r="A17" s="129"/>
      <c r="B17" s="41"/>
      <c r="C17" s="41"/>
      <c r="D17" s="39"/>
      <c r="E17" s="41"/>
      <c r="F17" s="362"/>
      <c r="G17" s="41"/>
      <c r="H17" s="363"/>
      <c r="I17" s="41"/>
      <c r="J17" s="41"/>
      <c r="K17" s="41"/>
      <c r="L17" s="41"/>
      <c r="M17" s="41"/>
      <c r="N17" s="41"/>
      <c r="O17" s="53"/>
      <c r="P17" s="41"/>
      <c r="Q17" s="356"/>
      <c r="R17" s="356"/>
      <c r="S17" s="356"/>
      <c r="T17" s="56"/>
    </row>
    <row r="18" ht="22.5" customHeight="1">
      <c r="A18" s="132" t="s">
        <v>2439</v>
      </c>
      <c r="B18" s="9" t="s">
        <v>2440</v>
      </c>
      <c r="C18" s="45"/>
      <c r="D18" s="42"/>
      <c r="E18" s="45"/>
      <c r="F18" s="322"/>
      <c r="G18" s="45"/>
      <c r="H18" s="351" t="s">
        <v>2383</v>
      </c>
      <c r="I18" s="45"/>
      <c r="J18" s="9" t="s">
        <v>2441</v>
      </c>
      <c r="K18" s="45"/>
      <c r="L18" s="45"/>
      <c r="M18" s="45"/>
      <c r="N18" s="45"/>
      <c r="O18" s="47"/>
      <c r="P18" s="9" t="s">
        <v>2442</v>
      </c>
      <c r="Q18" s="352"/>
      <c r="R18" s="352"/>
      <c r="S18" s="352"/>
      <c r="T18" s="55"/>
    </row>
    <row r="19" ht="22.5" customHeight="1">
      <c r="A19" s="130" t="s">
        <v>2443</v>
      </c>
      <c r="B19" s="16" t="s">
        <v>2440</v>
      </c>
      <c r="C19" s="41"/>
      <c r="D19" s="353" t="s">
        <v>2444</v>
      </c>
      <c r="E19" s="16" t="s">
        <v>2445</v>
      </c>
      <c r="F19" s="362"/>
      <c r="G19" s="41"/>
      <c r="H19" s="365" t="s">
        <v>136</v>
      </c>
      <c r="I19" s="41"/>
      <c r="J19" s="16" t="s">
        <v>2446</v>
      </c>
      <c r="K19" s="41"/>
      <c r="L19" s="41"/>
      <c r="M19" s="41"/>
      <c r="N19" s="41"/>
      <c r="O19" s="53"/>
      <c r="P19" s="16" t="s">
        <v>2447</v>
      </c>
      <c r="Q19" s="356"/>
      <c r="R19" s="356"/>
      <c r="S19" s="356"/>
      <c r="T19" s="56"/>
    </row>
    <row r="20" ht="22.5" customHeight="1">
      <c r="A20" s="128"/>
      <c r="B20" s="45"/>
      <c r="C20" s="45"/>
      <c r="D20" s="42"/>
      <c r="E20" s="45"/>
      <c r="F20" s="322"/>
      <c r="G20" s="45"/>
      <c r="H20" s="206"/>
      <c r="I20" s="45"/>
      <c r="J20" s="45"/>
      <c r="K20" s="45"/>
      <c r="L20" s="45"/>
      <c r="M20" s="45"/>
      <c r="N20" s="45"/>
      <c r="O20" s="47"/>
      <c r="P20" s="45"/>
      <c r="Q20" s="352"/>
      <c r="R20" s="352"/>
      <c r="S20" s="352"/>
      <c r="T20" s="55"/>
    </row>
    <row r="21" ht="22.5" customHeight="1">
      <c r="A21" s="129"/>
      <c r="B21" s="41"/>
      <c r="C21" s="41"/>
      <c r="D21" s="39"/>
      <c r="E21" s="41"/>
      <c r="F21" s="362"/>
      <c r="G21" s="41"/>
      <c r="H21" s="363"/>
      <c r="I21" s="41"/>
      <c r="J21" s="41"/>
      <c r="K21" s="41"/>
      <c r="L21" s="41"/>
      <c r="M21" s="41"/>
      <c r="N21" s="41"/>
      <c r="O21" s="53"/>
      <c r="P21" s="41"/>
      <c r="Q21" s="356"/>
      <c r="R21" s="356"/>
      <c r="S21" s="356"/>
      <c r="T21" s="56"/>
    </row>
    <row r="22" ht="22.5" customHeight="1">
      <c r="A22" s="132" t="s">
        <v>2448</v>
      </c>
      <c r="B22" s="9" t="s">
        <v>2440</v>
      </c>
      <c r="C22" s="45"/>
      <c r="D22" s="350" t="s">
        <v>2449</v>
      </c>
      <c r="E22" s="9" t="s">
        <v>2450</v>
      </c>
      <c r="F22" s="312">
        <v>45069.0</v>
      </c>
      <c r="G22" s="366">
        <v>0.5625</v>
      </c>
      <c r="H22" s="367" t="s">
        <v>136</v>
      </c>
      <c r="I22" s="45"/>
      <c r="J22" s="9" t="s">
        <v>2451</v>
      </c>
      <c r="K22" s="45"/>
      <c r="L22" s="90" t="s">
        <v>2452</v>
      </c>
      <c r="M22" s="45"/>
      <c r="N22" s="45"/>
      <c r="O22" s="47"/>
      <c r="P22" s="9" t="s">
        <v>2453</v>
      </c>
      <c r="Q22" s="352"/>
      <c r="R22" s="352"/>
      <c r="S22" s="352"/>
      <c r="T22" s="55"/>
    </row>
    <row r="23" ht="22.5" customHeight="1">
      <c r="A23" s="130" t="s">
        <v>2454</v>
      </c>
      <c r="B23" s="16" t="s">
        <v>2440</v>
      </c>
      <c r="C23" s="41"/>
      <c r="D23" s="353" t="s">
        <v>2455</v>
      </c>
      <c r="E23" s="41"/>
      <c r="F23" s="362"/>
      <c r="G23" s="41"/>
      <c r="H23" s="359" t="s">
        <v>2396</v>
      </c>
      <c r="I23" s="41"/>
      <c r="J23" s="16" t="s">
        <v>2456</v>
      </c>
      <c r="K23" s="16" t="s">
        <v>2457</v>
      </c>
      <c r="L23" s="41"/>
      <c r="M23" s="41"/>
      <c r="N23" s="41"/>
      <c r="O23" s="53"/>
      <c r="P23" s="41"/>
      <c r="Q23" s="356"/>
      <c r="R23" s="356"/>
      <c r="S23" s="356"/>
      <c r="T23" s="56"/>
    </row>
    <row r="24" ht="22.5" customHeight="1">
      <c r="A24" s="132" t="s">
        <v>2458</v>
      </c>
      <c r="B24" s="9" t="s">
        <v>2440</v>
      </c>
      <c r="C24" s="45"/>
      <c r="D24" s="350" t="s">
        <v>2459</v>
      </c>
      <c r="E24" s="45"/>
      <c r="F24" s="322"/>
      <c r="G24" s="45"/>
      <c r="H24" s="357" t="s">
        <v>2396</v>
      </c>
      <c r="I24" s="45"/>
      <c r="J24" s="9" t="s">
        <v>2460</v>
      </c>
      <c r="K24" s="9" t="s">
        <v>2461</v>
      </c>
      <c r="L24" s="45"/>
      <c r="M24" s="45"/>
      <c r="N24" s="45"/>
      <c r="O24" s="47"/>
      <c r="P24" s="9" t="s">
        <v>2462</v>
      </c>
      <c r="Q24" s="352"/>
      <c r="R24" s="352"/>
      <c r="S24" s="352"/>
      <c r="T24" s="55"/>
    </row>
    <row r="25" ht="22.5" customHeight="1">
      <c r="A25" s="130" t="s">
        <v>2463</v>
      </c>
      <c r="B25" s="16" t="s">
        <v>2440</v>
      </c>
      <c r="C25" s="41"/>
      <c r="D25" s="39"/>
      <c r="E25" s="16" t="s">
        <v>2464</v>
      </c>
      <c r="F25" s="354">
        <v>45064.0</v>
      </c>
      <c r="G25" s="368">
        <v>0.625</v>
      </c>
      <c r="H25" s="359" t="s">
        <v>2396</v>
      </c>
      <c r="I25" s="41"/>
      <c r="J25" s="16" t="s">
        <v>2465</v>
      </c>
      <c r="K25" s="16" t="s">
        <v>27</v>
      </c>
      <c r="L25" s="92" t="s">
        <v>2466</v>
      </c>
      <c r="M25" s="41"/>
      <c r="N25" s="41"/>
      <c r="O25" s="53"/>
      <c r="P25" s="41"/>
      <c r="Q25" s="356"/>
      <c r="R25" s="356"/>
      <c r="S25" s="356"/>
      <c r="T25" s="56"/>
    </row>
    <row r="26" ht="22.5" customHeight="1">
      <c r="A26" s="132" t="s">
        <v>2467</v>
      </c>
      <c r="B26" s="9" t="s">
        <v>2440</v>
      </c>
      <c r="C26" s="45"/>
      <c r="D26" s="42"/>
      <c r="E26" s="9" t="s">
        <v>2468</v>
      </c>
      <c r="F26" s="312">
        <v>45074.0</v>
      </c>
      <c r="G26" s="366">
        <v>0.6458333333333334</v>
      </c>
      <c r="H26" s="357" t="s">
        <v>2396</v>
      </c>
      <c r="I26" s="45"/>
      <c r="J26" s="9" t="s">
        <v>2469</v>
      </c>
      <c r="K26" s="9" t="s">
        <v>96</v>
      </c>
      <c r="L26" s="90" t="s">
        <v>2470</v>
      </c>
      <c r="M26" s="45"/>
      <c r="N26" s="45"/>
      <c r="O26" s="47"/>
      <c r="P26" s="45"/>
      <c r="Q26" s="352"/>
      <c r="R26" s="352"/>
      <c r="S26" s="352"/>
      <c r="T26" s="55"/>
    </row>
    <row r="27" ht="22.5" customHeight="1">
      <c r="A27" s="129"/>
      <c r="B27" s="41"/>
      <c r="C27" s="41"/>
      <c r="D27" s="39"/>
      <c r="E27" s="41"/>
      <c r="F27" s="362"/>
      <c r="G27" s="41"/>
      <c r="H27" s="363"/>
      <c r="I27" s="41"/>
      <c r="J27" s="41"/>
      <c r="K27" s="41"/>
      <c r="L27" s="41"/>
      <c r="M27" s="41"/>
      <c r="N27" s="41"/>
      <c r="O27" s="53"/>
      <c r="P27" s="41"/>
      <c r="Q27" s="356"/>
      <c r="R27" s="356"/>
      <c r="S27" s="356"/>
      <c r="T27" s="56"/>
    </row>
    <row r="28" ht="22.5" customHeight="1">
      <c r="A28" s="132" t="s">
        <v>2471</v>
      </c>
      <c r="B28" s="9" t="s">
        <v>2440</v>
      </c>
      <c r="C28" s="45"/>
      <c r="D28" s="350" t="s">
        <v>2472</v>
      </c>
      <c r="E28" s="9" t="s">
        <v>2473</v>
      </c>
      <c r="F28" s="312">
        <v>45068.0</v>
      </c>
      <c r="G28" s="366">
        <v>0.6666666666666666</v>
      </c>
      <c r="H28" s="357" t="s">
        <v>2396</v>
      </c>
      <c r="I28" s="45"/>
      <c r="J28" s="9" t="s">
        <v>47</v>
      </c>
      <c r="K28" s="45"/>
      <c r="L28" s="90" t="s">
        <v>2474</v>
      </c>
      <c r="M28" s="45"/>
      <c r="N28" s="45"/>
      <c r="O28" s="47"/>
      <c r="P28" s="45"/>
      <c r="Q28" s="352"/>
      <c r="R28" s="352"/>
      <c r="S28" s="352"/>
      <c r="T28" s="55"/>
    </row>
    <row r="29" ht="22.5" customHeight="1">
      <c r="A29" s="130" t="s">
        <v>2475</v>
      </c>
      <c r="B29" s="16" t="s">
        <v>2440</v>
      </c>
      <c r="C29" s="41"/>
      <c r="D29" s="39"/>
      <c r="E29" s="16" t="s">
        <v>2476</v>
      </c>
      <c r="F29" s="354">
        <v>45069.0</v>
      </c>
      <c r="G29" s="368">
        <v>0.625</v>
      </c>
      <c r="H29" s="363"/>
      <c r="I29" s="16" t="s">
        <v>2477</v>
      </c>
      <c r="J29" s="16" t="s">
        <v>2478</v>
      </c>
      <c r="K29" s="16" t="s">
        <v>2479</v>
      </c>
      <c r="L29" s="92" t="s">
        <v>2480</v>
      </c>
      <c r="M29" s="41"/>
      <c r="N29" s="41"/>
      <c r="O29" s="53"/>
      <c r="P29" s="41"/>
      <c r="Q29" s="356"/>
      <c r="R29" s="356"/>
      <c r="S29" s="356"/>
      <c r="T29" s="56"/>
    </row>
    <row r="30" ht="22.5" customHeight="1">
      <c r="A30" s="132" t="s">
        <v>2481</v>
      </c>
      <c r="B30" s="9" t="s">
        <v>2440</v>
      </c>
      <c r="C30" s="45"/>
      <c r="D30" s="42"/>
      <c r="E30" s="9" t="s">
        <v>2482</v>
      </c>
      <c r="F30" s="322"/>
      <c r="G30" s="45"/>
      <c r="H30" s="367" t="s">
        <v>136</v>
      </c>
      <c r="I30" s="45"/>
      <c r="J30" s="9" t="s">
        <v>2483</v>
      </c>
      <c r="K30" s="45"/>
      <c r="L30" s="45"/>
      <c r="M30" s="45"/>
      <c r="N30" s="45"/>
      <c r="O30" s="47"/>
      <c r="P30" s="45"/>
      <c r="Q30" s="352"/>
      <c r="R30" s="352"/>
      <c r="S30" s="352"/>
      <c r="T30" s="55"/>
    </row>
    <row r="31" ht="22.5" customHeight="1">
      <c r="A31" s="130" t="s">
        <v>2484</v>
      </c>
      <c r="B31" s="16" t="s">
        <v>2440</v>
      </c>
      <c r="C31" s="41"/>
      <c r="D31" s="39"/>
      <c r="E31" s="16" t="s">
        <v>2485</v>
      </c>
      <c r="F31" s="362"/>
      <c r="G31" s="41"/>
      <c r="H31" s="369" t="s">
        <v>140</v>
      </c>
      <c r="I31" s="41"/>
      <c r="J31" s="16" t="s">
        <v>2486</v>
      </c>
      <c r="K31" s="41"/>
      <c r="L31" s="41"/>
      <c r="M31" s="41"/>
      <c r="N31" s="41"/>
      <c r="O31" s="53"/>
      <c r="P31" s="16" t="s">
        <v>2487</v>
      </c>
      <c r="Q31" s="356"/>
      <c r="R31" s="356"/>
      <c r="S31" s="356"/>
      <c r="T31" s="56"/>
    </row>
    <row r="32" ht="22.5" customHeight="1">
      <c r="A32" s="128"/>
      <c r="B32" s="45"/>
      <c r="C32" s="45"/>
      <c r="D32" s="42"/>
      <c r="E32" s="45"/>
      <c r="F32" s="322"/>
      <c r="G32" s="370"/>
      <c r="H32" s="206"/>
      <c r="I32" s="45"/>
      <c r="J32" s="45"/>
      <c r="K32" s="45"/>
      <c r="L32" s="45"/>
      <c r="M32" s="45"/>
      <c r="N32" s="45"/>
      <c r="O32" s="47"/>
      <c r="P32" s="45"/>
      <c r="Q32" s="352"/>
      <c r="R32" s="352"/>
      <c r="S32" s="352"/>
      <c r="T32" s="55"/>
    </row>
    <row r="33" ht="22.5" customHeight="1">
      <c r="A33" s="130" t="s">
        <v>2488</v>
      </c>
      <c r="B33" s="16" t="s">
        <v>2440</v>
      </c>
      <c r="C33" s="41"/>
      <c r="D33" s="353" t="s">
        <v>2489</v>
      </c>
      <c r="E33" s="16" t="s">
        <v>2490</v>
      </c>
      <c r="F33" s="354">
        <v>45064.0</v>
      </c>
      <c r="G33" s="368">
        <v>0.5833333333333334</v>
      </c>
      <c r="H33" s="363"/>
      <c r="I33" s="16" t="s">
        <v>2491</v>
      </c>
      <c r="J33" s="16" t="s">
        <v>2492</v>
      </c>
      <c r="K33" s="41"/>
      <c r="L33" s="92" t="s">
        <v>2493</v>
      </c>
      <c r="M33" s="41"/>
      <c r="N33" s="41"/>
      <c r="O33" s="53"/>
      <c r="P33" s="41"/>
      <c r="Q33" s="356"/>
      <c r="R33" s="356"/>
      <c r="S33" s="356"/>
      <c r="T33" s="56"/>
    </row>
    <row r="34" ht="22.5" customHeight="1">
      <c r="A34" s="128"/>
      <c r="B34" s="45"/>
      <c r="C34" s="45"/>
      <c r="D34" s="42"/>
      <c r="E34" s="45"/>
      <c r="F34" s="322"/>
      <c r="G34" s="45"/>
      <c r="H34" s="206"/>
      <c r="I34" s="45"/>
      <c r="J34" s="45"/>
      <c r="K34" s="45"/>
      <c r="L34" s="45"/>
      <c r="M34" s="45"/>
      <c r="N34" s="45"/>
      <c r="O34" s="47"/>
      <c r="P34" s="45"/>
      <c r="Q34" s="352"/>
      <c r="R34" s="352"/>
      <c r="S34" s="352"/>
      <c r="T34" s="55"/>
    </row>
    <row r="35" ht="22.5" customHeight="1">
      <c r="A35" s="130" t="s">
        <v>2494</v>
      </c>
      <c r="B35" s="41"/>
      <c r="C35" s="16" t="s">
        <v>2381</v>
      </c>
      <c r="D35" s="39"/>
      <c r="E35" s="41"/>
      <c r="F35" s="362"/>
      <c r="G35" s="41"/>
      <c r="H35" s="365" t="s">
        <v>136</v>
      </c>
      <c r="I35" s="41"/>
      <c r="J35" s="41"/>
      <c r="K35" s="41"/>
      <c r="L35" s="41"/>
      <c r="M35" s="41"/>
      <c r="N35" s="41"/>
      <c r="O35" s="53"/>
      <c r="P35" s="41"/>
      <c r="Q35" s="356"/>
      <c r="R35" s="356"/>
      <c r="S35" s="356"/>
      <c r="T35" s="56"/>
    </row>
    <row r="36" ht="22.5" customHeight="1">
      <c r="A36" s="128"/>
      <c r="B36" s="45"/>
      <c r="C36" s="45"/>
      <c r="D36" s="42"/>
      <c r="E36" s="45"/>
      <c r="F36" s="322"/>
      <c r="G36" s="45"/>
      <c r="H36" s="206"/>
      <c r="I36" s="45"/>
      <c r="J36" s="45"/>
      <c r="K36" s="45"/>
      <c r="L36" s="45"/>
      <c r="M36" s="45"/>
      <c r="N36" s="45"/>
      <c r="O36" s="47"/>
      <c r="P36" s="45"/>
      <c r="Q36" s="352"/>
      <c r="R36" s="352"/>
      <c r="S36" s="352"/>
      <c r="T36" s="55"/>
    </row>
    <row r="37" ht="22.5" customHeight="1">
      <c r="A37" s="130" t="s">
        <v>2495</v>
      </c>
      <c r="B37" s="41"/>
      <c r="C37" s="41"/>
      <c r="D37" s="39"/>
      <c r="E37" s="41"/>
      <c r="F37" s="362"/>
      <c r="G37" s="41"/>
      <c r="H37" s="363"/>
      <c r="I37" s="41"/>
      <c r="J37" s="41"/>
      <c r="K37" s="41"/>
      <c r="L37" s="41"/>
      <c r="M37" s="41"/>
      <c r="N37" s="41"/>
      <c r="O37" s="53"/>
      <c r="P37" s="41"/>
      <c r="Q37" s="356"/>
      <c r="R37" s="356"/>
      <c r="S37" s="356"/>
      <c r="T37" s="56"/>
    </row>
    <row r="38" ht="22.5" customHeight="1">
      <c r="A38" s="128"/>
      <c r="B38" s="45"/>
      <c r="C38" s="45"/>
      <c r="D38" s="42"/>
      <c r="E38" s="45"/>
      <c r="F38" s="322"/>
      <c r="G38" s="45"/>
      <c r="H38" s="206"/>
      <c r="I38" s="45"/>
      <c r="J38" s="45"/>
      <c r="K38" s="45"/>
      <c r="L38" s="45"/>
      <c r="M38" s="45"/>
      <c r="N38" s="45"/>
      <c r="O38" s="47"/>
      <c r="P38" s="45"/>
      <c r="Q38" s="352"/>
      <c r="R38" s="352"/>
      <c r="S38" s="352"/>
      <c r="T38" s="55"/>
    </row>
    <row r="39" ht="22.5" customHeight="1">
      <c r="A39" s="130" t="s">
        <v>2279</v>
      </c>
      <c r="B39" s="41"/>
      <c r="C39" s="41"/>
      <c r="D39" s="39"/>
      <c r="E39" s="41"/>
      <c r="F39" s="362"/>
      <c r="G39" s="41"/>
      <c r="H39" s="363"/>
      <c r="I39" s="41"/>
      <c r="J39" s="41"/>
      <c r="K39" s="41"/>
      <c r="L39" s="41"/>
      <c r="M39" s="41"/>
      <c r="N39" s="41"/>
      <c r="O39" s="53"/>
      <c r="P39" s="41"/>
      <c r="Q39" s="356"/>
      <c r="R39" s="356"/>
      <c r="S39" s="356"/>
      <c r="T39" s="56"/>
    </row>
    <row r="40" ht="22.5" customHeight="1">
      <c r="A40" s="132" t="s">
        <v>2496</v>
      </c>
      <c r="B40" s="45"/>
      <c r="C40" s="9" t="s">
        <v>2381</v>
      </c>
      <c r="D40" s="42"/>
      <c r="E40" s="45"/>
      <c r="F40" s="322"/>
      <c r="G40" s="45"/>
      <c r="H40" s="367" t="s">
        <v>136</v>
      </c>
      <c r="I40" s="45"/>
      <c r="J40" s="45"/>
      <c r="K40" s="45"/>
      <c r="L40" s="45"/>
      <c r="M40" s="45"/>
      <c r="N40" s="45"/>
      <c r="O40" s="47"/>
      <c r="P40" s="45"/>
      <c r="Q40" s="352"/>
      <c r="R40" s="352"/>
      <c r="S40" s="352"/>
      <c r="T40" s="55"/>
    </row>
    <row r="41" ht="22.5" customHeight="1">
      <c r="A41" s="130" t="s">
        <v>2497</v>
      </c>
      <c r="B41" s="16" t="s">
        <v>2498</v>
      </c>
      <c r="C41" s="16" t="s">
        <v>2388</v>
      </c>
      <c r="D41" s="15">
        <f>601167674941</f>
        <v>601167674941</v>
      </c>
      <c r="E41" s="16" t="s">
        <v>2499</v>
      </c>
      <c r="F41" s="354">
        <v>45702.0</v>
      </c>
      <c r="G41" s="41"/>
      <c r="H41" s="363"/>
      <c r="I41" s="41"/>
      <c r="J41" s="41"/>
      <c r="K41" s="41"/>
      <c r="L41" s="92" t="s">
        <v>2500</v>
      </c>
      <c r="M41" s="41"/>
      <c r="N41" s="41"/>
      <c r="O41" s="53"/>
      <c r="P41" s="41"/>
      <c r="Q41" s="356"/>
      <c r="R41" s="356"/>
      <c r="S41" s="356"/>
      <c r="T41" s="56"/>
    </row>
    <row r="42" ht="22.5" customHeight="1">
      <c r="A42" s="128"/>
      <c r="B42" s="45"/>
      <c r="C42" s="45"/>
      <c r="D42" s="42"/>
      <c r="E42" s="45"/>
      <c r="F42" s="322"/>
      <c r="G42" s="45"/>
      <c r="H42" s="206"/>
      <c r="I42" s="45"/>
      <c r="J42" s="45"/>
      <c r="K42" s="45"/>
      <c r="L42" s="45"/>
      <c r="M42" s="45"/>
      <c r="N42" s="45"/>
      <c r="O42" s="47"/>
      <c r="P42" s="45"/>
      <c r="Q42" s="352"/>
      <c r="R42" s="352"/>
      <c r="S42" s="352"/>
      <c r="T42" s="55"/>
    </row>
    <row r="43" ht="22.5" customHeight="1">
      <c r="A43" s="130" t="s">
        <v>2501</v>
      </c>
      <c r="B43" s="16" t="s">
        <v>2502</v>
      </c>
      <c r="C43" s="16" t="s">
        <v>2388</v>
      </c>
      <c r="D43" s="39"/>
      <c r="E43" s="16" t="s">
        <v>2503</v>
      </c>
      <c r="F43" s="354">
        <v>46142.0</v>
      </c>
      <c r="G43" s="16" t="s">
        <v>2504</v>
      </c>
      <c r="H43" s="363"/>
      <c r="I43" s="16" t="s">
        <v>2505</v>
      </c>
      <c r="J43" s="16" t="s">
        <v>2506</v>
      </c>
      <c r="K43" s="16" t="s">
        <v>2507</v>
      </c>
      <c r="L43" s="92" t="s">
        <v>2508</v>
      </c>
      <c r="M43" s="16" t="s">
        <v>2509</v>
      </c>
      <c r="N43" s="41"/>
      <c r="O43" s="53"/>
      <c r="P43" s="16" t="s">
        <v>2510</v>
      </c>
      <c r="Q43" s="356"/>
      <c r="R43" s="356"/>
      <c r="S43" s="356"/>
      <c r="T43" s="56"/>
    </row>
    <row r="44" ht="22.5" customHeight="1">
      <c r="A44" s="132" t="s">
        <v>2511</v>
      </c>
      <c r="B44" s="9" t="s">
        <v>2512</v>
      </c>
      <c r="C44" s="9" t="s">
        <v>2388</v>
      </c>
      <c r="D44" s="42"/>
      <c r="E44" s="9" t="s">
        <v>2513</v>
      </c>
      <c r="F44" s="322"/>
      <c r="G44" s="45"/>
      <c r="H44" s="206"/>
      <c r="I44" s="45"/>
      <c r="J44" s="9" t="s">
        <v>2514</v>
      </c>
      <c r="K44" s="45"/>
      <c r="L44" s="90" t="s">
        <v>2515</v>
      </c>
      <c r="M44" s="9" t="s">
        <v>2516</v>
      </c>
      <c r="N44" s="45"/>
      <c r="O44" s="47"/>
      <c r="P44" s="45"/>
      <c r="Q44" s="352"/>
      <c r="R44" s="352"/>
      <c r="S44" s="352"/>
      <c r="T44" s="55"/>
    </row>
    <row r="45" ht="22.5" customHeight="1">
      <c r="A45" s="130" t="s">
        <v>2517</v>
      </c>
      <c r="B45" s="16" t="s">
        <v>2518</v>
      </c>
      <c r="C45" s="16" t="s">
        <v>2519</v>
      </c>
      <c r="D45" s="15">
        <f>2347013136614</f>
        <v>2347013136614</v>
      </c>
      <c r="E45" s="16" t="s">
        <v>2520</v>
      </c>
      <c r="F45" s="354">
        <v>46147.0</v>
      </c>
      <c r="G45" s="16" t="s">
        <v>2521</v>
      </c>
      <c r="H45" s="363"/>
      <c r="I45" s="16" t="s">
        <v>2522</v>
      </c>
      <c r="J45" s="16" t="s">
        <v>2523</v>
      </c>
      <c r="K45" s="41"/>
      <c r="L45" s="92" t="s">
        <v>2524</v>
      </c>
      <c r="M45" s="16" t="s">
        <v>2525</v>
      </c>
      <c r="N45" s="41"/>
      <c r="O45" s="53"/>
      <c r="P45" s="41"/>
      <c r="Q45" s="356"/>
      <c r="R45" s="356"/>
      <c r="S45" s="356"/>
      <c r="T45" s="56"/>
    </row>
    <row r="46" ht="22.5" customHeight="1">
      <c r="A46" s="128"/>
      <c r="B46" s="45"/>
      <c r="C46" s="45"/>
      <c r="D46" s="42"/>
      <c r="E46" s="45"/>
      <c r="F46" s="322"/>
      <c r="G46" s="45"/>
      <c r="H46" s="206"/>
      <c r="I46" s="45"/>
      <c r="J46" s="45"/>
      <c r="K46" s="45"/>
      <c r="L46" s="45"/>
      <c r="M46" s="45"/>
      <c r="N46" s="45"/>
      <c r="O46" s="47"/>
      <c r="P46" s="45"/>
      <c r="Q46" s="352"/>
      <c r="R46" s="352"/>
      <c r="S46" s="352"/>
      <c r="T46" s="55"/>
    </row>
    <row r="47" ht="22.5" customHeight="1">
      <c r="A47" s="129"/>
      <c r="B47" s="41"/>
      <c r="C47" s="41"/>
      <c r="D47" s="39"/>
      <c r="E47" s="41"/>
      <c r="F47" s="362"/>
      <c r="G47" s="41"/>
      <c r="H47" s="363"/>
      <c r="I47" s="41"/>
      <c r="J47" s="41"/>
      <c r="K47" s="41"/>
      <c r="L47" s="41"/>
      <c r="M47" s="41"/>
      <c r="N47" s="41"/>
      <c r="O47" s="53"/>
      <c r="P47" s="41"/>
      <c r="Q47" s="356"/>
      <c r="R47" s="356"/>
      <c r="S47" s="356"/>
      <c r="T47" s="56"/>
    </row>
    <row r="48" ht="22.5" customHeight="1">
      <c r="A48" s="128"/>
      <c r="B48" s="45"/>
      <c r="C48" s="45"/>
      <c r="D48" s="42"/>
      <c r="E48" s="45"/>
      <c r="F48" s="322"/>
      <c r="G48" s="45"/>
      <c r="H48" s="206"/>
      <c r="I48" s="45"/>
      <c r="J48" s="45"/>
      <c r="K48" s="45"/>
      <c r="L48" s="45"/>
      <c r="M48" s="45"/>
      <c r="N48" s="45"/>
      <c r="O48" s="47"/>
      <c r="P48" s="45"/>
      <c r="Q48" s="352"/>
      <c r="R48" s="352"/>
      <c r="S48" s="352"/>
      <c r="T48" s="55"/>
    </row>
    <row r="49" ht="22.5" customHeight="1">
      <c r="A49" s="129"/>
      <c r="B49" s="41"/>
      <c r="C49" s="41"/>
      <c r="D49" s="39"/>
      <c r="E49" s="41"/>
      <c r="F49" s="362"/>
      <c r="G49" s="41"/>
      <c r="H49" s="363"/>
      <c r="I49" s="41"/>
      <c r="J49" s="41"/>
      <c r="K49" s="41"/>
      <c r="L49" s="41"/>
      <c r="M49" s="41"/>
      <c r="N49" s="41"/>
      <c r="O49" s="53"/>
      <c r="P49" s="41"/>
      <c r="Q49" s="356"/>
      <c r="R49" s="356"/>
      <c r="S49" s="356"/>
      <c r="T49" s="56"/>
    </row>
    <row r="50" ht="22.5" customHeight="1">
      <c r="A50" s="128"/>
      <c r="B50" s="45"/>
      <c r="C50" s="45"/>
      <c r="D50" s="42"/>
      <c r="E50" s="45"/>
      <c r="F50" s="322"/>
      <c r="G50" s="45"/>
      <c r="H50" s="206"/>
      <c r="I50" s="45"/>
      <c r="J50" s="45"/>
      <c r="K50" s="45"/>
      <c r="L50" s="45"/>
      <c r="M50" s="45"/>
      <c r="N50" s="45"/>
      <c r="O50" s="47"/>
      <c r="P50" s="45"/>
      <c r="Q50" s="352"/>
      <c r="R50" s="352"/>
      <c r="S50" s="352"/>
      <c r="T50" s="55"/>
    </row>
    <row r="51" ht="22.5" customHeight="1">
      <c r="A51" s="129"/>
      <c r="B51" s="41"/>
      <c r="C51" s="41"/>
      <c r="D51" s="39"/>
      <c r="E51" s="41"/>
      <c r="F51" s="362"/>
      <c r="G51" s="41"/>
      <c r="H51" s="363"/>
      <c r="I51" s="41"/>
      <c r="J51" s="41"/>
      <c r="K51" s="41"/>
      <c r="L51" s="41"/>
      <c r="M51" s="41"/>
      <c r="N51" s="41"/>
      <c r="O51" s="53"/>
      <c r="P51" s="41"/>
      <c r="Q51" s="356"/>
      <c r="R51" s="356"/>
      <c r="S51" s="356"/>
      <c r="T51" s="56"/>
    </row>
    <row r="52" ht="22.5" customHeight="1">
      <c r="A52" s="128"/>
      <c r="B52" s="45"/>
      <c r="C52" s="45"/>
      <c r="D52" s="42"/>
      <c r="E52" s="45"/>
      <c r="F52" s="322"/>
      <c r="G52" s="45"/>
      <c r="H52" s="206"/>
      <c r="I52" s="45"/>
      <c r="J52" s="45"/>
      <c r="K52" s="45"/>
      <c r="L52" s="45"/>
      <c r="M52" s="45"/>
      <c r="N52" s="45"/>
      <c r="O52" s="47"/>
      <c r="P52" s="45"/>
      <c r="Q52" s="352"/>
      <c r="R52" s="352"/>
      <c r="S52" s="352"/>
      <c r="T52" s="55"/>
    </row>
    <row r="53" ht="22.5" customHeight="1">
      <c r="A53" s="129"/>
      <c r="B53" s="41"/>
      <c r="C53" s="41"/>
      <c r="D53" s="39"/>
      <c r="E53" s="41"/>
      <c r="F53" s="362"/>
      <c r="G53" s="41"/>
      <c r="H53" s="363"/>
      <c r="I53" s="41"/>
      <c r="J53" s="41"/>
      <c r="K53" s="41"/>
      <c r="L53" s="41"/>
      <c r="M53" s="41"/>
      <c r="N53" s="41"/>
      <c r="O53" s="53"/>
      <c r="P53" s="41"/>
      <c r="Q53" s="356"/>
      <c r="R53" s="356"/>
      <c r="S53" s="356"/>
      <c r="T53" s="56"/>
    </row>
    <row r="54" ht="22.5" customHeight="1">
      <c r="A54" s="128"/>
      <c r="B54" s="45"/>
      <c r="C54" s="45"/>
      <c r="D54" s="42"/>
      <c r="E54" s="45"/>
      <c r="F54" s="322"/>
      <c r="G54" s="45"/>
      <c r="H54" s="206"/>
      <c r="I54" s="45"/>
      <c r="J54" s="45"/>
      <c r="K54" s="45"/>
      <c r="L54" s="45"/>
      <c r="M54" s="45"/>
      <c r="N54" s="45"/>
      <c r="O54" s="47"/>
      <c r="P54" s="45"/>
      <c r="Q54" s="352"/>
      <c r="R54" s="352"/>
      <c r="S54" s="352"/>
      <c r="T54" s="55"/>
    </row>
    <row r="55" ht="22.5" customHeight="1">
      <c r="A55" s="129"/>
      <c r="B55" s="41"/>
      <c r="C55" s="41"/>
      <c r="D55" s="39"/>
      <c r="E55" s="41"/>
      <c r="F55" s="362"/>
      <c r="G55" s="41"/>
      <c r="H55" s="363"/>
      <c r="I55" s="41"/>
      <c r="J55" s="41"/>
      <c r="K55" s="41"/>
      <c r="L55" s="41"/>
      <c r="M55" s="41"/>
      <c r="N55" s="41"/>
      <c r="O55" s="53"/>
      <c r="P55" s="41"/>
      <c r="Q55" s="356"/>
      <c r="R55" s="356"/>
      <c r="S55" s="356"/>
      <c r="T55" s="56"/>
    </row>
    <row r="56" ht="22.5" customHeight="1">
      <c r="A56" s="128"/>
      <c r="B56" s="45"/>
      <c r="C56" s="45"/>
      <c r="D56" s="42"/>
      <c r="E56" s="45"/>
      <c r="F56" s="322"/>
      <c r="G56" s="45"/>
      <c r="H56" s="206"/>
      <c r="I56" s="45"/>
      <c r="J56" s="45"/>
      <c r="K56" s="45"/>
      <c r="L56" s="45"/>
      <c r="M56" s="45"/>
      <c r="N56" s="45"/>
      <c r="O56" s="47"/>
      <c r="P56" s="45"/>
      <c r="Q56" s="352"/>
      <c r="R56" s="352"/>
      <c r="S56" s="352"/>
      <c r="T56" s="55"/>
    </row>
    <row r="57" ht="22.5" customHeight="1">
      <c r="A57" s="129"/>
      <c r="B57" s="41"/>
      <c r="C57" s="41"/>
      <c r="D57" s="39"/>
      <c r="E57" s="41"/>
      <c r="F57" s="362"/>
      <c r="G57" s="41"/>
      <c r="H57" s="363"/>
      <c r="I57" s="41"/>
      <c r="J57" s="41"/>
      <c r="K57" s="41"/>
      <c r="L57" s="41"/>
      <c r="M57" s="41"/>
      <c r="N57" s="41"/>
      <c r="O57" s="53"/>
      <c r="P57" s="41"/>
      <c r="Q57" s="356"/>
      <c r="R57" s="356"/>
      <c r="S57" s="356"/>
      <c r="T57" s="56"/>
    </row>
    <row r="58" ht="22.5" customHeight="1">
      <c r="A58" s="128"/>
      <c r="B58" s="45"/>
      <c r="C58" s="45"/>
      <c r="D58" s="42"/>
      <c r="E58" s="45"/>
      <c r="F58" s="322"/>
      <c r="G58" s="45"/>
      <c r="H58" s="206"/>
      <c r="I58" s="45"/>
      <c r="J58" s="45"/>
      <c r="K58" s="45"/>
      <c r="L58" s="45"/>
      <c r="M58" s="45"/>
      <c r="N58" s="45"/>
      <c r="O58" s="47"/>
      <c r="P58" s="45"/>
      <c r="Q58" s="352"/>
      <c r="R58" s="352"/>
      <c r="S58" s="352"/>
      <c r="T58" s="55"/>
    </row>
    <row r="59" ht="22.5" customHeight="1">
      <c r="A59" s="129"/>
      <c r="B59" s="41"/>
      <c r="C59" s="41"/>
      <c r="D59" s="39"/>
      <c r="E59" s="41"/>
      <c r="F59" s="362"/>
      <c r="G59" s="41"/>
      <c r="H59" s="363"/>
      <c r="I59" s="41"/>
      <c r="J59" s="41"/>
      <c r="K59" s="41"/>
      <c r="L59" s="41"/>
      <c r="M59" s="41"/>
      <c r="N59" s="41"/>
      <c r="O59" s="53"/>
      <c r="P59" s="41"/>
      <c r="Q59" s="356"/>
      <c r="R59" s="356"/>
      <c r="S59" s="356"/>
      <c r="T59" s="56"/>
    </row>
    <row r="60" ht="22.5" customHeight="1">
      <c r="A60" s="128"/>
      <c r="B60" s="45"/>
      <c r="C60" s="45"/>
      <c r="D60" s="42"/>
      <c r="E60" s="45"/>
      <c r="F60" s="322"/>
      <c r="G60" s="45"/>
      <c r="H60" s="206"/>
      <c r="I60" s="45"/>
      <c r="J60" s="45"/>
      <c r="K60" s="45"/>
      <c r="L60" s="45"/>
      <c r="M60" s="45"/>
      <c r="N60" s="45"/>
      <c r="O60" s="47"/>
      <c r="P60" s="45"/>
      <c r="Q60" s="352"/>
      <c r="R60" s="352"/>
      <c r="S60" s="352"/>
      <c r="T60" s="55"/>
    </row>
    <row r="61" ht="22.5" customHeight="1">
      <c r="A61" s="129"/>
      <c r="B61" s="41"/>
      <c r="C61" s="41"/>
      <c r="D61" s="39"/>
      <c r="E61" s="41"/>
      <c r="F61" s="362"/>
      <c r="G61" s="41"/>
      <c r="H61" s="363"/>
      <c r="I61" s="41"/>
      <c r="J61" s="41"/>
      <c r="K61" s="41"/>
      <c r="L61" s="41"/>
      <c r="M61" s="41"/>
      <c r="N61" s="41"/>
      <c r="O61" s="53"/>
      <c r="P61" s="41"/>
      <c r="Q61" s="356"/>
      <c r="R61" s="356"/>
      <c r="S61" s="356"/>
      <c r="T61" s="56"/>
    </row>
    <row r="62" ht="22.5" customHeight="1">
      <c r="A62" s="128"/>
      <c r="B62" s="45"/>
      <c r="C62" s="45"/>
      <c r="D62" s="42"/>
      <c r="E62" s="45"/>
      <c r="F62" s="322"/>
      <c r="G62" s="45"/>
      <c r="H62" s="206"/>
      <c r="I62" s="45"/>
      <c r="J62" s="45"/>
      <c r="K62" s="45"/>
      <c r="L62" s="45"/>
      <c r="M62" s="45"/>
      <c r="N62" s="45"/>
      <c r="O62" s="47"/>
      <c r="P62" s="45"/>
      <c r="Q62" s="352"/>
      <c r="R62" s="352"/>
      <c r="S62" s="352"/>
      <c r="T62" s="55"/>
    </row>
    <row r="63" ht="22.5" customHeight="1">
      <c r="A63" s="129"/>
      <c r="B63" s="41"/>
      <c r="C63" s="41"/>
      <c r="D63" s="39"/>
      <c r="E63" s="41"/>
      <c r="F63" s="362"/>
      <c r="G63" s="41"/>
      <c r="H63" s="363"/>
      <c r="I63" s="41"/>
      <c r="J63" s="41"/>
      <c r="K63" s="41"/>
      <c r="L63" s="41"/>
      <c r="M63" s="41"/>
      <c r="N63" s="41"/>
      <c r="O63" s="53"/>
      <c r="P63" s="41"/>
      <c r="Q63" s="356"/>
      <c r="R63" s="356"/>
      <c r="S63" s="356"/>
      <c r="T63" s="56"/>
    </row>
    <row r="64" ht="22.5" customHeight="1">
      <c r="A64" s="128"/>
      <c r="B64" s="45"/>
      <c r="C64" s="45"/>
      <c r="D64" s="42"/>
      <c r="E64" s="45"/>
      <c r="F64" s="322"/>
      <c r="G64" s="45"/>
      <c r="H64" s="206"/>
      <c r="I64" s="45"/>
      <c r="J64" s="45"/>
      <c r="K64" s="45"/>
      <c r="L64" s="45"/>
      <c r="M64" s="45"/>
      <c r="N64" s="45"/>
      <c r="O64" s="47"/>
      <c r="P64" s="45"/>
      <c r="Q64" s="352"/>
      <c r="R64" s="352"/>
      <c r="S64" s="352"/>
      <c r="T64" s="55"/>
    </row>
    <row r="65" ht="22.5" customHeight="1">
      <c r="A65" s="129"/>
      <c r="B65" s="41"/>
      <c r="C65" s="41"/>
      <c r="D65" s="39"/>
      <c r="E65" s="41"/>
      <c r="F65" s="362"/>
      <c r="G65" s="41"/>
      <c r="H65" s="363"/>
      <c r="I65" s="41"/>
      <c r="J65" s="41"/>
      <c r="K65" s="41"/>
      <c r="L65" s="41"/>
      <c r="M65" s="41"/>
      <c r="N65" s="41"/>
      <c r="O65" s="53"/>
      <c r="P65" s="41"/>
      <c r="Q65" s="356"/>
      <c r="R65" s="356"/>
      <c r="S65" s="356"/>
      <c r="T65" s="56"/>
    </row>
    <row r="66" ht="22.5" customHeight="1">
      <c r="A66" s="128"/>
      <c r="B66" s="45"/>
      <c r="C66" s="45"/>
      <c r="D66" s="42"/>
      <c r="E66" s="45"/>
      <c r="F66" s="322"/>
      <c r="G66" s="45"/>
      <c r="H66" s="206"/>
      <c r="I66" s="45"/>
      <c r="J66" s="45"/>
      <c r="K66" s="45"/>
      <c r="L66" s="45"/>
      <c r="M66" s="45"/>
      <c r="N66" s="45"/>
      <c r="O66" s="47"/>
      <c r="P66" s="45"/>
      <c r="Q66" s="352"/>
      <c r="R66" s="352"/>
      <c r="S66" s="352"/>
      <c r="T66" s="55"/>
    </row>
    <row r="67" ht="22.5" customHeight="1">
      <c r="A67" s="129"/>
      <c r="B67" s="41"/>
      <c r="C67" s="41"/>
      <c r="D67" s="39"/>
      <c r="E67" s="41"/>
      <c r="F67" s="362"/>
      <c r="G67" s="41"/>
      <c r="H67" s="363"/>
      <c r="I67" s="41"/>
      <c r="J67" s="41"/>
      <c r="K67" s="41"/>
      <c r="L67" s="41"/>
      <c r="M67" s="41"/>
      <c r="N67" s="41"/>
      <c r="O67" s="53"/>
      <c r="P67" s="41"/>
      <c r="Q67" s="356"/>
      <c r="R67" s="356"/>
      <c r="S67" s="356"/>
      <c r="T67" s="56"/>
    </row>
    <row r="68" ht="22.5" customHeight="1">
      <c r="A68" s="128"/>
      <c r="B68" s="45"/>
      <c r="C68" s="45"/>
      <c r="D68" s="42"/>
      <c r="E68" s="45"/>
      <c r="F68" s="322"/>
      <c r="G68" s="45"/>
      <c r="H68" s="206"/>
      <c r="I68" s="45"/>
      <c r="J68" s="45"/>
      <c r="K68" s="45"/>
      <c r="L68" s="45"/>
      <c r="M68" s="45"/>
      <c r="N68" s="45"/>
      <c r="O68" s="47"/>
      <c r="P68" s="45"/>
      <c r="Q68" s="352"/>
      <c r="R68" s="352"/>
      <c r="S68" s="352"/>
      <c r="T68" s="55"/>
    </row>
    <row r="69" ht="22.5" customHeight="1">
      <c r="A69" s="129"/>
      <c r="B69" s="41"/>
      <c r="C69" s="41"/>
      <c r="D69" s="39"/>
      <c r="E69" s="41"/>
      <c r="F69" s="362"/>
      <c r="G69" s="41"/>
      <c r="H69" s="363"/>
      <c r="I69" s="41"/>
      <c r="J69" s="41"/>
      <c r="K69" s="41"/>
      <c r="L69" s="41"/>
      <c r="M69" s="41"/>
      <c r="N69" s="41"/>
      <c r="O69" s="53"/>
      <c r="P69" s="41"/>
      <c r="Q69" s="356"/>
      <c r="R69" s="356"/>
      <c r="S69" s="356"/>
      <c r="T69" s="56"/>
    </row>
    <row r="70" ht="22.5" customHeight="1">
      <c r="A70" s="128"/>
      <c r="B70" s="45"/>
      <c r="C70" s="45"/>
      <c r="D70" s="42"/>
      <c r="E70" s="45"/>
      <c r="F70" s="322"/>
      <c r="G70" s="45"/>
      <c r="H70" s="206"/>
      <c r="I70" s="45"/>
      <c r="J70" s="45"/>
      <c r="K70" s="45"/>
      <c r="L70" s="45"/>
      <c r="M70" s="45"/>
      <c r="N70" s="45"/>
      <c r="O70" s="47"/>
      <c r="P70" s="45"/>
      <c r="Q70" s="352"/>
      <c r="R70" s="352"/>
      <c r="S70" s="352"/>
      <c r="T70" s="55"/>
    </row>
    <row r="71" ht="22.5" customHeight="1">
      <c r="A71" s="129"/>
      <c r="B71" s="41"/>
      <c r="C71" s="41"/>
      <c r="D71" s="39"/>
      <c r="E71" s="41"/>
      <c r="F71" s="362"/>
      <c r="G71" s="41"/>
      <c r="H71" s="363"/>
      <c r="I71" s="41"/>
      <c r="J71" s="41"/>
      <c r="K71" s="41"/>
      <c r="L71" s="41"/>
      <c r="M71" s="41"/>
      <c r="N71" s="41"/>
      <c r="O71" s="53"/>
      <c r="P71" s="41"/>
      <c r="Q71" s="356"/>
      <c r="R71" s="356"/>
      <c r="S71" s="356"/>
      <c r="T71" s="56"/>
    </row>
    <row r="72" ht="22.5" customHeight="1">
      <c r="A72" s="128"/>
      <c r="B72" s="45"/>
      <c r="C72" s="45"/>
      <c r="D72" s="42"/>
      <c r="E72" s="45"/>
      <c r="F72" s="322"/>
      <c r="G72" s="45"/>
      <c r="H72" s="206"/>
      <c r="I72" s="45"/>
      <c r="J72" s="45"/>
      <c r="K72" s="45"/>
      <c r="L72" s="45"/>
      <c r="M72" s="45"/>
      <c r="N72" s="45"/>
      <c r="O72" s="47"/>
      <c r="P72" s="45"/>
      <c r="Q72" s="352"/>
      <c r="R72" s="352"/>
      <c r="S72" s="352"/>
      <c r="T72" s="55"/>
    </row>
    <row r="73" ht="22.5" customHeight="1">
      <c r="A73" s="129"/>
      <c r="B73" s="41"/>
      <c r="C73" s="41"/>
      <c r="D73" s="39"/>
      <c r="E73" s="41"/>
      <c r="F73" s="362"/>
      <c r="G73" s="41"/>
      <c r="H73" s="363"/>
      <c r="I73" s="41"/>
      <c r="J73" s="41"/>
      <c r="K73" s="41"/>
      <c r="L73" s="41"/>
      <c r="M73" s="41"/>
      <c r="N73" s="41"/>
      <c r="O73" s="53"/>
      <c r="P73" s="41"/>
      <c r="Q73" s="356"/>
      <c r="R73" s="356"/>
      <c r="S73" s="356"/>
      <c r="T73" s="56"/>
    </row>
    <row r="74" ht="22.5" customHeight="1">
      <c r="A74" s="128"/>
      <c r="B74" s="45"/>
      <c r="C74" s="45"/>
      <c r="D74" s="42"/>
      <c r="E74" s="45"/>
      <c r="F74" s="322"/>
      <c r="G74" s="45"/>
      <c r="H74" s="206"/>
      <c r="I74" s="45"/>
      <c r="J74" s="45"/>
      <c r="K74" s="45"/>
      <c r="L74" s="45"/>
      <c r="M74" s="45"/>
      <c r="N74" s="45"/>
      <c r="O74" s="47"/>
      <c r="P74" s="45"/>
      <c r="Q74" s="352"/>
      <c r="R74" s="352"/>
      <c r="S74" s="352"/>
      <c r="T74" s="55"/>
    </row>
    <row r="75" ht="22.5" customHeight="1">
      <c r="A75" s="129"/>
      <c r="B75" s="41"/>
      <c r="C75" s="41"/>
      <c r="D75" s="39"/>
      <c r="E75" s="41"/>
      <c r="F75" s="362"/>
      <c r="G75" s="41"/>
      <c r="H75" s="363"/>
      <c r="I75" s="41"/>
      <c r="J75" s="41"/>
      <c r="K75" s="41"/>
      <c r="L75" s="41"/>
      <c r="M75" s="41"/>
      <c r="N75" s="41"/>
      <c r="O75" s="53"/>
      <c r="P75" s="41"/>
      <c r="Q75" s="356"/>
      <c r="R75" s="356"/>
      <c r="S75" s="356"/>
      <c r="T75" s="56"/>
    </row>
    <row r="76" ht="22.5" customHeight="1">
      <c r="A76" s="128"/>
      <c r="B76" s="45"/>
      <c r="C76" s="45"/>
      <c r="D76" s="42"/>
      <c r="E76" s="45"/>
      <c r="F76" s="322"/>
      <c r="G76" s="45"/>
      <c r="H76" s="206"/>
      <c r="I76" s="45"/>
      <c r="J76" s="45"/>
      <c r="K76" s="45"/>
      <c r="L76" s="45"/>
      <c r="M76" s="45"/>
      <c r="N76" s="45"/>
      <c r="O76" s="47"/>
      <c r="P76" s="45"/>
      <c r="Q76" s="352"/>
      <c r="R76" s="352"/>
      <c r="S76" s="352"/>
      <c r="T76" s="55"/>
    </row>
    <row r="77" ht="22.5" customHeight="1">
      <c r="A77" s="129"/>
      <c r="B77" s="41"/>
      <c r="C77" s="41"/>
      <c r="D77" s="39"/>
      <c r="E77" s="41"/>
      <c r="F77" s="362"/>
      <c r="G77" s="41"/>
      <c r="H77" s="363"/>
      <c r="I77" s="41"/>
      <c r="J77" s="41"/>
      <c r="K77" s="41"/>
      <c r="L77" s="41"/>
      <c r="M77" s="41"/>
      <c r="N77" s="41"/>
      <c r="O77" s="53"/>
      <c r="P77" s="41"/>
      <c r="Q77" s="356"/>
      <c r="R77" s="356"/>
      <c r="S77" s="356"/>
      <c r="T77" s="56"/>
    </row>
    <row r="78" ht="22.5" customHeight="1">
      <c r="A78" s="128"/>
      <c r="B78" s="45"/>
      <c r="C78" s="45"/>
      <c r="D78" s="42"/>
      <c r="E78" s="45"/>
      <c r="F78" s="322"/>
      <c r="G78" s="45"/>
      <c r="H78" s="206"/>
      <c r="I78" s="45"/>
      <c r="J78" s="45"/>
      <c r="K78" s="45"/>
      <c r="L78" s="45"/>
      <c r="M78" s="45"/>
      <c r="N78" s="45"/>
      <c r="O78" s="47"/>
      <c r="P78" s="45"/>
      <c r="Q78" s="352"/>
      <c r="R78" s="352"/>
      <c r="S78" s="352"/>
      <c r="T78" s="55"/>
    </row>
    <row r="79" ht="22.5" customHeight="1">
      <c r="A79" s="129"/>
      <c r="B79" s="41"/>
      <c r="C79" s="41"/>
      <c r="D79" s="39"/>
      <c r="E79" s="41"/>
      <c r="F79" s="362"/>
      <c r="G79" s="41"/>
      <c r="H79" s="363"/>
      <c r="I79" s="41"/>
      <c r="J79" s="41"/>
      <c r="K79" s="41"/>
      <c r="L79" s="41"/>
      <c r="M79" s="41"/>
      <c r="N79" s="41"/>
      <c r="O79" s="53"/>
      <c r="P79" s="41"/>
      <c r="Q79" s="356"/>
      <c r="R79" s="356"/>
      <c r="S79" s="356"/>
      <c r="T79" s="56"/>
    </row>
    <row r="80" ht="22.5" customHeight="1">
      <c r="A80" s="128"/>
      <c r="B80" s="45"/>
      <c r="C80" s="45"/>
      <c r="D80" s="42"/>
      <c r="E80" s="45"/>
      <c r="F80" s="322"/>
      <c r="G80" s="45"/>
      <c r="H80" s="206"/>
      <c r="I80" s="45"/>
      <c r="J80" s="45"/>
      <c r="K80" s="45"/>
      <c r="L80" s="45"/>
      <c r="M80" s="45"/>
      <c r="N80" s="45"/>
      <c r="O80" s="47"/>
      <c r="P80" s="45"/>
      <c r="Q80" s="352"/>
      <c r="R80" s="352"/>
      <c r="S80" s="352"/>
      <c r="T80" s="55"/>
    </row>
    <row r="81" ht="22.5" customHeight="1">
      <c r="A81" s="129"/>
      <c r="B81" s="41"/>
      <c r="C81" s="41"/>
      <c r="D81" s="39"/>
      <c r="E81" s="41"/>
      <c r="F81" s="362"/>
      <c r="G81" s="41"/>
      <c r="H81" s="363"/>
      <c r="I81" s="41"/>
      <c r="J81" s="41"/>
      <c r="K81" s="41"/>
      <c r="L81" s="41"/>
      <c r="M81" s="41"/>
      <c r="N81" s="41"/>
      <c r="O81" s="53"/>
      <c r="P81" s="41"/>
      <c r="Q81" s="356"/>
      <c r="R81" s="356"/>
      <c r="S81" s="356"/>
      <c r="T81" s="56"/>
    </row>
    <row r="82" ht="22.5" customHeight="1">
      <c r="A82" s="128"/>
      <c r="B82" s="45"/>
      <c r="C82" s="45"/>
      <c r="D82" s="42"/>
      <c r="E82" s="45"/>
      <c r="F82" s="322"/>
      <c r="G82" s="45"/>
      <c r="H82" s="206"/>
      <c r="I82" s="45"/>
      <c r="J82" s="45"/>
      <c r="K82" s="45"/>
      <c r="L82" s="45"/>
      <c r="M82" s="45"/>
      <c r="N82" s="45"/>
      <c r="O82" s="47"/>
      <c r="P82" s="45"/>
      <c r="Q82" s="352"/>
      <c r="R82" s="352"/>
      <c r="S82" s="352"/>
      <c r="T82" s="55"/>
    </row>
    <row r="83" ht="22.5" customHeight="1">
      <c r="A83" s="129"/>
      <c r="B83" s="41"/>
      <c r="C83" s="41"/>
      <c r="D83" s="39"/>
      <c r="E83" s="41"/>
      <c r="F83" s="362"/>
      <c r="G83" s="41"/>
      <c r="H83" s="363"/>
      <c r="I83" s="41"/>
      <c r="J83" s="41"/>
      <c r="K83" s="41"/>
      <c r="L83" s="41"/>
      <c r="M83" s="41"/>
      <c r="N83" s="41"/>
      <c r="O83" s="53"/>
      <c r="P83" s="41"/>
      <c r="Q83" s="356"/>
      <c r="R83" s="356"/>
      <c r="S83" s="356"/>
      <c r="T83" s="56"/>
    </row>
    <row r="84" ht="22.5" customHeight="1">
      <c r="A84" s="128"/>
      <c r="B84" s="45"/>
      <c r="C84" s="45"/>
      <c r="D84" s="42"/>
      <c r="E84" s="45"/>
      <c r="F84" s="322"/>
      <c r="G84" s="45"/>
      <c r="H84" s="206"/>
      <c r="I84" s="45"/>
      <c r="J84" s="45"/>
      <c r="K84" s="45"/>
      <c r="L84" s="45"/>
      <c r="M84" s="45"/>
      <c r="N84" s="45"/>
      <c r="O84" s="47"/>
      <c r="P84" s="45"/>
      <c r="Q84" s="352"/>
      <c r="R84" s="352"/>
      <c r="S84" s="352"/>
      <c r="T84" s="55"/>
    </row>
    <row r="85" ht="22.5" customHeight="1">
      <c r="A85" s="129"/>
      <c r="B85" s="41"/>
      <c r="C85" s="41"/>
      <c r="D85" s="39"/>
      <c r="E85" s="41"/>
      <c r="F85" s="362"/>
      <c r="G85" s="41"/>
      <c r="H85" s="363"/>
      <c r="I85" s="41"/>
      <c r="J85" s="41"/>
      <c r="K85" s="41"/>
      <c r="L85" s="41"/>
      <c r="M85" s="41"/>
      <c r="N85" s="41"/>
      <c r="O85" s="53"/>
      <c r="P85" s="41"/>
      <c r="Q85" s="356"/>
      <c r="R85" s="356"/>
      <c r="S85" s="356"/>
      <c r="T85" s="56"/>
    </row>
    <row r="86" ht="22.5" customHeight="1">
      <c r="A86" s="128"/>
      <c r="B86" s="45"/>
      <c r="C86" s="45"/>
      <c r="D86" s="42"/>
      <c r="E86" s="45"/>
      <c r="F86" s="322"/>
      <c r="G86" s="45"/>
      <c r="H86" s="206"/>
      <c r="I86" s="45"/>
      <c r="J86" s="45"/>
      <c r="K86" s="45"/>
      <c r="L86" s="45"/>
      <c r="M86" s="45"/>
      <c r="N86" s="45"/>
      <c r="O86" s="47"/>
      <c r="P86" s="45"/>
      <c r="Q86" s="352"/>
      <c r="R86" s="352"/>
      <c r="S86" s="352"/>
      <c r="T86" s="55"/>
    </row>
    <row r="87" ht="22.5" customHeight="1">
      <c r="A87" s="129"/>
      <c r="B87" s="41"/>
      <c r="C87" s="41"/>
      <c r="D87" s="39"/>
      <c r="E87" s="41"/>
      <c r="F87" s="362"/>
      <c r="G87" s="41"/>
      <c r="H87" s="363"/>
      <c r="I87" s="41"/>
      <c r="J87" s="41"/>
      <c r="K87" s="41"/>
      <c r="L87" s="41"/>
      <c r="M87" s="41"/>
      <c r="N87" s="41"/>
      <c r="O87" s="53"/>
      <c r="P87" s="41"/>
      <c r="Q87" s="356"/>
      <c r="R87" s="356"/>
      <c r="S87" s="356"/>
      <c r="T87" s="56"/>
    </row>
    <row r="88" ht="22.5" customHeight="1">
      <c r="A88" s="128"/>
      <c r="B88" s="45"/>
      <c r="C88" s="45"/>
      <c r="D88" s="42"/>
      <c r="E88" s="45"/>
      <c r="F88" s="322"/>
      <c r="G88" s="45"/>
      <c r="H88" s="206"/>
      <c r="I88" s="45"/>
      <c r="J88" s="45"/>
      <c r="K88" s="45"/>
      <c r="L88" s="45"/>
      <c r="M88" s="45"/>
      <c r="N88" s="45"/>
      <c r="O88" s="47"/>
      <c r="P88" s="45"/>
      <c r="Q88" s="352"/>
      <c r="R88" s="352"/>
      <c r="S88" s="352"/>
      <c r="T88" s="55"/>
    </row>
    <row r="89" ht="22.5" customHeight="1">
      <c r="A89" s="129"/>
      <c r="B89" s="41"/>
      <c r="C89" s="41"/>
      <c r="D89" s="39"/>
      <c r="E89" s="41"/>
      <c r="F89" s="362"/>
      <c r="G89" s="41"/>
      <c r="H89" s="363"/>
      <c r="I89" s="41"/>
      <c r="J89" s="41"/>
      <c r="K89" s="41"/>
      <c r="L89" s="41"/>
      <c r="M89" s="41"/>
      <c r="N89" s="41"/>
      <c r="O89" s="53"/>
      <c r="P89" s="41"/>
      <c r="Q89" s="356"/>
      <c r="R89" s="356"/>
      <c r="S89" s="356"/>
      <c r="T89" s="56"/>
    </row>
    <row r="90" ht="22.5" customHeight="1">
      <c r="A90" s="128"/>
      <c r="B90" s="45"/>
      <c r="C90" s="45"/>
      <c r="D90" s="42"/>
      <c r="E90" s="45"/>
      <c r="F90" s="322"/>
      <c r="G90" s="45"/>
      <c r="H90" s="206"/>
      <c r="I90" s="45"/>
      <c r="J90" s="45"/>
      <c r="K90" s="45"/>
      <c r="L90" s="45"/>
      <c r="M90" s="45"/>
      <c r="N90" s="45"/>
      <c r="O90" s="47"/>
      <c r="P90" s="45"/>
      <c r="Q90" s="352"/>
      <c r="R90" s="352"/>
      <c r="S90" s="352"/>
      <c r="T90" s="55"/>
    </row>
    <row r="91" ht="22.5" customHeight="1">
      <c r="A91" s="129"/>
      <c r="B91" s="41"/>
      <c r="C91" s="41"/>
      <c r="D91" s="39"/>
      <c r="E91" s="41"/>
      <c r="F91" s="362"/>
      <c r="G91" s="41"/>
      <c r="H91" s="363"/>
      <c r="I91" s="41"/>
      <c r="J91" s="41"/>
      <c r="K91" s="41"/>
      <c r="L91" s="41"/>
      <c r="M91" s="41"/>
      <c r="N91" s="41"/>
      <c r="O91" s="53"/>
      <c r="P91" s="41"/>
      <c r="Q91" s="356"/>
      <c r="R91" s="356"/>
      <c r="S91" s="356"/>
      <c r="T91" s="56"/>
    </row>
    <row r="92" ht="22.5" customHeight="1">
      <c r="A92" s="128"/>
      <c r="B92" s="45"/>
      <c r="C92" s="45"/>
      <c r="D92" s="42"/>
      <c r="E92" s="45"/>
      <c r="F92" s="322"/>
      <c r="G92" s="45"/>
      <c r="H92" s="206"/>
      <c r="I92" s="45"/>
      <c r="J92" s="45"/>
      <c r="K92" s="45"/>
      <c r="L92" s="45"/>
      <c r="M92" s="45"/>
      <c r="N92" s="45"/>
      <c r="O92" s="47"/>
      <c r="P92" s="45"/>
      <c r="Q92" s="352"/>
      <c r="R92" s="352"/>
      <c r="S92" s="352"/>
      <c r="T92" s="55"/>
    </row>
    <row r="93" ht="22.5" customHeight="1">
      <c r="A93" s="129"/>
      <c r="B93" s="41"/>
      <c r="C93" s="41"/>
      <c r="D93" s="39"/>
      <c r="E93" s="41"/>
      <c r="F93" s="362"/>
      <c r="G93" s="41"/>
      <c r="H93" s="363"/>
      <c r="I93" s="41"/>
      <c r="J93" s="41"/>
      <c r="K93" s="41"/>
      <c r="L93" s="41"/>
      <c r="M93" s="41"/>
      <c r="N93" s="41"/>
      <c r="O93" s="53"/>
      <c r="P93" s="41"/>
      <c r="Q93" s="356"/>
      <c r="R93" s="356"/>
      <c r="S93" s="356"/>
      <c r="T93" s="56"/>
    </row>
    <row r="94" ht="22.5" customHeight="1">
      <c r="A94" s="128"/>
      <c r="B94" s="45"/>
      <c r="C94" s="45"/>
      <c r="D94" s="42"/>
      <c r="E94" s="45"/>
      <c r="F94" s="322"/>
      <c r="G94" s="45"/>
      <c r="H94" s="206"/>
      <c r="I94" s="45"/>
      <c r="J94" s="45"/>
      <c r="K94" s="45"/>
      <c r="L94" s="45"/>
      <c r="M94" s="45"/>
      <c r="N94" s="45"/>
      <c r="O94" s="47"/>
      <c r="P94" s="45"/>
      <c r="Q94" s="352"/>
      <c r="R94" s="352"/>
      <c r="S94" s="352"/>
      <c r="T94" s="55"/>
    </row>
    <row r="95" ht="22.5" customHeight="1">
      <c r="A95" s="129"/>
      <c r="B95" s="41"/>
      <c r="C95" s="41"/>
      <c r="D95" s="39"/>
      <c r="E95" s="41"/>
      <c r="F95" s="362"/>
      <c r="G95" s="41"/>
      <c r="H95" s="363"/>
      <c r="I95" s="41"/>
      <c r="J95" s="41"/>
      <c r="K95" s="41"/>
      <c r="L95" s="41"/>
      <c r="M95" s="41"/>
      <c r="N95" s="41"/>
      <c r="O95" s="53"/>
      <c r="P95" s="41"/>
      <c r="Q95" s="356"/>
      <c r="R95" s="356"/>
      <c r="S95" s="356"/>
      <c r="T95" s="56"/>
    </row>
    <row r="96" ht="22.5" customHeight="1">
      <c r="A96" s="128"/>
      <c r="B96" s="45"/>
      <c r="C96" s="45"/>
      <c r="D96" s="42"/>
      <c r="E96" s="45"/>
      <c r="F96" s="322"/>
      <c r="G96" s="45"/>
      <c r="H96" s="206"/>
      <c r="I96" s="45"/>
      <c r="J96" s="45"/>
      <c r="K96" s="45"/>
      <c r="L96" s="45"/>
      <c r="M96" s="45"/>
      <c r="N96" s="45"/>
      <c r="O96" s="47"/>
      <c r="P96" s="45"/>
      <c r="Q96" s="352"/>
      <c r="R96" s="352"/>
      <c r="S96" s="352"/>
      <c r="T96" s="55"/>
    </row>
    <row r="97" ht="22.5" customHeight="1">
      <c r="A97" s="129"/>
      <c r="B97" s="41"/>
      <c r="C97" s="41"/>
      <c r="D97" s="39"/>
      <c r="E97" s="41"/>
      <c r="F97" s="362"/>
      <c r="G97" s="41"/>
      <c r="H97" s="363"/>
      <c r="I97" s="41"/>
      <c r="J97" s="41"/>
      <c r="K97" s="41"/>
      <c r="L97" s="41"/>
      <c r="M97" s="41"/>
      <c r="N97" s="41"/>
      <c r="O97" s="53"/>
      <c r="P97" s="41"/>
      <c r="Q97" s="356"/>
      <c r="R97" s="356"/>
      <c r="S97" s="356"/>
      <c r="T97" s="56"/>
    </row>
    <row r="98" ht="22.5" customHeight="1">
      <c r="A98" s="128"/>
      <c r="B98" s="45"/>
      <c r="C98" s="45"/>
      <c r="D98" s="42"/>
      <c r="E98" s="45"/>
      <c r="F98" s="322"/>
      <c r="G98" s="45"/>
      <c r="H98" s="206"/>
      <c r="I98" s="45"/>
      <c r="J98" s="45"/>
      <c r="K98" s="45"/>
      <c r="L98" s="45"/>
      <c r="M98" s="45"/>
      <c r="N98" s="45"/>
      <c r="O98" s="47"/>
      <c r="P98" s="45"/>
      <c r="Q98" s="352"/>
      <c r="R98" s="352"/>
      <c r="S98" s="352"/>
      <c r="T98" s="55"/>
    </row>
    <row r="99" ht="22.5" customHeight="1">
      <c r="A99" s="129"/>
      <c r="B99" s="41"/>
      <c r="C99" s="41"/>
      <c r="D99" s="39"/>
      <c r="E99" s="41"/>
      <c r="F99" s="362"/>
      <c r="G99" s="41"/>
      <c r="H99" s="363"/>
      <c r="I99" s="41"/>
      <c r="J99" s="41"/>
      <c r="K99" s="41"/>
      <c r="L99" s="41"/>
      <c r="M99" s="41"/>
      <c r="N99" s="41"/>
      <c r="O99" s="53"/>
      <c r="P99" s="41"/>
      <c r="Q99" s="356"/>
      <c r="R99" s="356"/>
      <c r="S99" s="356"/>
      <c r="T99" s="56"/>
    </row>
    <row r="100" ht="22.5" customHeight="1">
      <c r="A100" s="128"/>
      <c r="B100" s="45"/>
      <c r="C100" s="45"/>
      <c r="D100" s="42"/>
      <c r="E100" s="45"/>
      <c r="F100" s="322"/>
      <c r="G100" s="45"/>
      <c r="H100" s="206"/>
      <c r="I100" s="45"/>
      <c r="J100" s="45"/>
      <c r="K100" s="45"/>
      <c r="L100" s="45"/>
      <c r="M100" s="45"/>
      <c r="N100" s="45"/>
      <c r="O100" s="47"/>
      <c r="P100" s="45"/>
      <c r="Q100" s="352"/>
      <c r="R100" s="352"/>
      <c r="S100" s="352"/>
      <c r="T100" s="55"/>
    </row>
    <row r="101" ht="22.5" customHeight="1">
      <c r="A101" s="129"/>
      <c r="B101" s="41"/>
      <c r="C101" s="41"/>
      <c r="D101" s="39"/>
      <c r="E101" s="41"/>
      <c r="F101" s="362"/>
      <c r="G101" s="41"/>
      <c r="H101" s="363"/>
      <c r="I101" s="41"/>
      <c r="J101" s="41"/>
      <c r="K101" s="41"/>
      <c r="L101" s="41"/>
      <c r="M101" s="41"/>
      <c r="N101" s="41"/>
      <c r="O101" s="53"/>
      <c r="P101" s="41"/>
      <c r="Q101" s="356"/>
      <c r="R101" s="356"/>
      <c r="S101" s="356"/>
      <c r="T101" s="56"/>
    </row>
    <row r="102" ht="22.5" customHeight="1">
      <c r="A102" s="128"/>
      <c r="B102" s="45"/>
      <c r="C102" s="45"/>
      <c r="D102" s="42"/>
      <c r="E102" s="45"/>
      <c r="F102" s="322"/>
      <c r="G102" s="45"/>
      <c r="H102" s="206"/>
      <c r="I102" s="45"/>
      <c r="J102" s="45"/>
      <c r="K102" s="45"/>
      <c r="L102" s="45"/>
      <c r="M102" s="45"/>
      <c r="N102" s="45"/>
      <c r="O102" s="47"/>
      <c r="P102" s="45"/>
      <c r="Q102" s="352"/>
      <c r="R102" s="352"/>
      <c r="S102" s="352"/>
      <c r="T102" s="55"/>
    </row>
    <row r="103" ht="22.5" customHeight="1">
      <c r="A103" s="129"/>
      <c r="B103" s="41"/>
      <c r="C103" s="41"/>
      <c r="D103" s="39"/>
      <c r="E103" s="41"/>
      <c r="F103" s="362"/>
      <c r="G103" s="41"/>
      <c r="H103" s="363"/>
      <c r="I103" s="41"/>
      <c r="J103" s="41"/>
      <c r="K103" s="41"/>
      <c r="L103" s="41"/>
      <c r="M103" s="41"/>
      <c r="N103" s="41"/>
      <c r="O103" s="53"/>
      <c r="P103" s="41"/>
      <c r="Q103" s="356"/>
      <c r="R103" s="356"/>
      <c r="S103" s="356"/>
      <c r="T103" s="56"/>
    </row>
    <row r="104" ht="22.5" customHeight="1">
      <c r="A104" s="128"/>
      <c r="B104" s="45"/>
      <c r="C104" s="45"/>
      <c r="D104" s="42"/>
      <c r="E104" s="45"/>
      <c r="F104" s="322"/>
      <c r="G104" s="45"/>
      <c r="H104" s="206"/>
      <c r="I104" s="45"/>
      <c r="J104" s="45"/>
      <c r="K104" s="45"/>
      <c r="L104" s="45"/>
      <c r="M104" s="45"/>
      <c r="N104" s="45"/>
      <c r="O104" s="47"/>
      <c r="P104" s="45"/>
      <c r="Q104" s="352"/>
      <c r="R104" s="352"/>
      <c r="S104" s="352"/>
      <c r="T104" s="55"/>
    </row>
    <row r="105" ht="22.5" customHeight="1">
      <c r="A105" s="129"/>
      <c r="B105" s="41"/>
      <c r="C105" s="41"/>
      <c r="D105" s="39"/>
      <c r="E105" s="41"/>
      <c r="F105" s="362"/>
      <c r="G105" s="41"/>
      <c r="H105" s="363"/>
      <c r="I105" s="41"/>
      <c r="J105" s="41"/>
      <c r="K105" s="41"/>
      <c r="L105" s="41"/>
      <c r="M105" s="41"/>
      <c r="N105" s="41"/>
      <c r="O105" s="53"/>
      <c r="P105" s="41"/>
      <c r="Q105" s="356"/>
      <c r="R105" s="356"/>
      <c r="S105" s="356"/>
      <c r="T105" s="56"/>
    </row>
    <row r="106" ht="22.5" customHeight="1">
      <c r="A106" s="128"/>
      <c r="B106" s="45"/>
      <c r="C106" s="45"/>
      <c r="D106" s="42"/>
      <c r="E106" s="45"/>
      <c r="F106" s="322"/>
      <c r="G106" s="45"/>
      <c r="H106" s="206"/>
      <c r="I106" s="45"/>
      <c r="J106" s="45"/>
      <c r="K106" s="45"/>
      <c r="L106" s="45"/>
      <c r="M106" s="45"/>
      <c r="N106" s="45"/>
      <c r="O106" s="47"/>
      <c r="P106" s="45"/>
      <c r="Q106" s="352"/>
      <c r="R106" s="352"/>
      <c r="S106" s="352"/>
      <c r="T106" s="55"/>
    </row>
    <row r="107" ht="22.5" customHeight="1">
      <c r="A107" s="129"/>
      <c r="B107" s="41"/>
      <c r="C107" s="41"/>
      <c r="D107" s="39"/>
      <c r="E107" s="41"/>
      <c r="F107" s="362"/>
      <c r="G107" s="41"/>
      <c r="H107" s="363"/>
      <c r="I107" s="41"/>
      <c r="J107" s="41"/>
      <c r="K107" s="41"/>
      <c r="L107" s="41"/>
      <c r="M107" s="41"/>
      <c r="N107" s="41"/>
      <c r="O107" s="53"/>
      <c r="P107" s="41"/>
      <c r="Q107" s="356"/>
      <c r="R107" s="356"/>
      <c r="S107" s="356"/>
      <c r="T107" s="56"/>
    </row>
    <row r="108" ht="22.5" customHeight="1">
      <c r="A108" s="128"/>
      <c r="B108" s="45"/>
      <c r="C108" s="45"/>
      <c r="D108" s="42"/>
      <c r="E108" s="45"/>
      <c r="F108" s="322"/>
      <c r="G108" s="45"/>
      <c r="H108" s="206"/>
      <c r="I108" s="45"/>
      <c r="J108" s="45"/>
      <c r="K108" s="45"/>
      <c r="L108" s="45"/>
      <c r="M108" s="45"/>
      <c r="N108" s="45"/>
      <c r="O108" s="47"/>
      <c r="P108" s="45"/>
      <c r="Q108" s="352"/>
      <c r="R108" s="352"/>
      <c r="S108" s="352"/>
      <c r="T108" s="55"/>
    </row>
    <row r="109" ht="22.5" customHeight="1">
      <c r="A109" s="129"/>
      <c r="B109" s="41"/>
      <c r="C109" s="41"/>
      <c r="D109" s="39"/>
      <c r="E109" s="41"/>
      <c r="F109" s="362"/>
      <c r="G109" s="41"/>
      <c r="H109" s="363"/>
      <c r="I109" s="41"/>
      <c r="J109" s="41"/>
      <c r="K109" s="41"/>
      <c r="L109" s="41"/>
      <c r="M109" s="41"/>
      <c r="N109" s="41"/>
      <c r="O109" s="53"/>
      <c r="P109" s="41"/>
      <c r="Q109" s="356"/>
      <c r="R109" s="356"/>
      <c r="S109" s="356"/>
      <c r="T109" s="56"/>
    </row>
    <row r="110" ht="22.5" customHeight="1">
      <c r="A110" s="128"/>
      <c r="B110" s="45"/>
      <c r="C110" s="45"/>
      <c r="D110" s="42"/>
      <c r="E110" s="45"/>
      <c r="F110" s="322"/>
      <c r="G110" s="45"/>
      <c r="H110" s="206"/>
      <c r="I110" s="45"/>
      <c r="J110" s="45"/>
      <c r="K110" s="45"/>
      <c r="L110" s="45"/>
      <c r="M110" s="45"/>
      <c r="N110" s="45"/>
      <c r="O110" s="47"/>
      <c r="P110" s="45"/>
      <c r="Q110" s="352"/>
      <c r="R110" s="352"/>
      <c r="S110" s="352"/>
      <c r="T110" s="55"/>
    </row>
    <row r="111" ht="22.5" customHeight="1">
      <c r="A111" s="129"/>
      <c r="B111" s="41"/>
      <c r="C111" s="41"/>
      <c r="D111" s="39"/>
      <c r="E111" s="41"/>
      <c r="F111" s="362"/>
      <c r="G111" s="41"/>
      <c r="H111" s="363"/>
      <c r="I111" s="41"/>
      <c r="J111" s="41"/>
      <c r="K111" s="41"/>
      <c r="L111" s="41"/>
      <c r="M111" s="41"/>
      <c r="N111" s="41"/>
      <c r="O111" s="53"/>
      <c r="P111" s="41"/>
      <c r="Q111" s="356"/>
      <c r="R111" s="356"/>
      <c r="S111" s="356"/>
      <c r="T111" s="56"/>
    </row>
    <row r="112" ht="22.5" customHeight="1">
      <c r="A112" s="128"/>
      <c r="B112" s="45"/>
      <c r="C112" s="45"/>
      <c r="D112" s="42"/>
      <c r="E112" s="45"/>
      <c r="F112" s="322"/>
      <c r="G112" s="45"/>
      <c r="H112" s="206"/>
      <c r="I112" s="45"/>
      <c r="J112" s="45"/>
      <c r="K112" s="45"/>
      <c r="L112" s="45"/>
      <c r="M112" s="45"/>
      <c r="N112" s="45"/>
      <c r="O112" s="47"/>
      <c r="P112" s="45"/>
      <c r="Q112" s="352"/>
      <c r="R112" s="352"/>
      <c r="S112" s="352"/>
      <c r="T112" s="55"/>
    </row>
    <row r="113" ht="22.5" customHeight="1">
      <c r="A113" s="129"/>
      <c r="B113" s="41"/>
      <c r="C113" s="41"/>
      <c r="D113" s="39"/>
      <c r="E113" s="41"/>
      <c r="F113" s="362"/>
      <c r="G113" s="41"/>
      <c r="H113" s="363"/>
      <c r="I113" s="41"/>
      <c r="J113" s="41"/>
      <c r="K113" s="41"/>
      <c r="L113" s="41"/>
      <c r="M113" s="41"/>
      <c r="N113" s="41"/>
      <c r="O113" s="53"/>
      <c r="P113" s="41"/>
      <c r="Q113" s="356"/>
      <c r="R113" s="356"/>
      <c r="S113" s="356"/>
      <c r="T113" s="56"/>
    </row>
    <row r="114" ht="22.5" customHeight="1">
      <c r="A114" s="128"/>
      <c r="B114" s="45"/>
      <c r="C114" s="45"/>
      <c r="D114" s="42"/>
      <c r="E114" s="45"/>
      <c r="F114" s="322"/>
      <c r="G114" s="45"/>
      <c r="H114" s="206"/>
      <c r="I114" s="45"/>
      <c r="J114" s="45"/>
      <c r="K114" s="45"/>
      <c r="L114" s="45"/>
      <c r="M114" s="45"/>
      <c r="N114" s="45"/>
      <c r="O114" s="47"/>
      <c r="P114" s="45"/>
      <c r="Q114" s="352"/>
      <c r="R114" s="352"/>
      <c r="S114" s="352"/>
      <c r="T114" s="55"/>
    </row>
    <row r="115" ht="22.5" customHeight="1">
      <c r="A115" s="129"/>
      <c r="B115" s="41"/>
      <c r="C115" s="41"/>
      <c r="D115" s="39"/>
      <c r="E115" s="41"/>
      <c r="F115" s="362"/>
      <c r="G115" s="41"/>
      <c r="H115" s="363"/>
      <c r="I115" s="41"/>
      <c r="J115" s="41"/>
      <c r="K115" s="41"/>
      <c r="L115" s="41"/>
      <c r="M115" s="41"/>
      <c r="N115" s="41"/>
      <c r="O115" s="53"/>
      <c r="P115" s="41"/>
      <c r="Q115" s="356"/>
      <c r="R115" s="356"/>
      <c r="S115" s="356"/>
      <c r="T115" s="56"/>
    </row>
    <row r="116" ht="22.5" customHeight="1">
      <c r="A116" s="128"/>
      <c r="B116" s="45"/>
      <c r="C116" s="45"/>
      <c r="D116" s="42"/>
      <c r="E116" s="45"/>
      <c r="F116" s="322"/>
      <c r="G116" s="45"/>
      <c r="H116" s="206"/>
      <c r="I116" s="45"/>
      <c r="J116" s="45"/>
      <c r="K116" s="45"/>
      <c r="L116" s="45"/>
      <c r="M116" s="45"/>
      <c r="N116" s="45"/>
      <c r="O116" s="47"/>
      <c r="P116" s="45"/>
      <c r="Q116" s="352"/>
      <c r="R116" s="352"/>
      <c r="S116" s="352"/>
      <c r="T116" s="55"/>
    </row>
    <row r="117" ht="22.5" customHeight="1">
      <c r="A117" s="129"/>
      <c r="B117" s="41"/>
      <c r="C117" s="41"/>
      <c r="D117" s="39"/>
      <c r="E117" s="41"/>
      <c r="F117" s="362"/>
      <c r="G117" s="41"/>
      <c r="H117" s="363"/>
      <c r="I117" s="41"/>
      <c r="J117" s="41"/>
      <c r="K117" s="41"/>
      <c r="L117" s="41"/>
      <c r="M117" s="41"/>
      <c r="N117" s="41"/>
      <c r="O117" s="53"/>
      <c r="P117" s="41"/>
      <c r="Q117" s="356"/>
      <c r="R117" s="356"/>
      <c r="S117" s="356"/>
      <c r="T117" s="56"/>
    </row>
    <row r="118" ht="22.5" customHeight="1">
      <c r="A118" s="128"/>
      <c r="B118" s="45"/>
      <c r="C118" s="45"/>
      <c r="D118" s="42"/>
      <c r="E118" s="45"/>
      <c r="F118" s="322"/>
      <c r="G118" s="45"/>
      <c r="H118" s="206"/>
      <c r="I118" s="45"/>
      <c r="J118" s="45"/>
      <c r="K118" s="45"/>
      <c r="L118" s="45"/>
      <c r="M118" s="45"/>
      <c r="N118" s="45"/>
      <c r="O118" s="47"/>
      <c r="P118" s="45"/>
      <c r="Q118" s="352"/>
      <c r="R118" s="352"/>
      <c r="S118" s="352"/>
      <c r="T118" s="55"/>
    </row>
    <row r="119" ht="22.5" customHeight="1">
      <c r="A119" s="129"/>
      <c r="B119" s="41"/>
      <c r="C119" s="41"/>
      <c r="D119" s="39"/>
      <c r="E119" s="41"/>
      <c r="F119" s="362"/>
      <c r="G119" s="41"/>
      <c r="H119" s="363"/>
      <c r="I119" s="41"/>
      <c r="J119" s="41"/>
      <c r="K119" s="41"/>
      <c r="L119" s="41"/>
      <c r="M119" s="41"/>
      <c r="N119" s="41"/>
      <c r="O119" s="53"/>
      <c r="P119" s="41"/>
      <c r="Q119" s="356"/>
      <c r="R119" s="356"/>
      <c r="S119" s="356"/>
      <c r="T119" s="56"/>
    </row>
    <row r="120" ht="22.5" customHeight="1">
      <c r="A120" s="128"/>
      <c r="B120" s="45"/>
      <c r="C120" s="45"/>
      <c r="D120" s="42"/>
      <c r="E120" s="45"/>
      <c r="F120" s="322"/>
      <c r="G120" s="45"/>
      <c r="H120" s="206"/>
      <c r="I120" s="45"/>
      <c r="J120" s="45"/>
      <c r="K120" s="45"/>
      <c r="L120" s="45"/>
      <c r="M120" s="45"/>
      <c r="N120" s="45"/>
      <c r="O120" s="47"/>
      <c r="P120" s="45"/>
      <c r="Q120" s="352"/>
      <c r="R120" s="352"/>
      <c r="S120" s="352"/>
      <c r="T120" s="55"/>
    </row>
    <row r="121" ht="22.5" customHeight="1">
      <c r="A121" s="129"/>
      <c r="B121" s="41"/>
      <c r="C121" s="41"/>
      <c r="D121" s="39"/>
      <c r="E121" s="41"/>
      <c r="F121" s="362"/>
      <c r="G121" s="41"/>
      <c r="H121" s="363"/>
      <c r="I121" s="41"/>
      <c r="J121" s="41"/>
      <c r="K121" s="41"/>
      <c r="L121" s="41"/>
      <c r="M121" s="41"/>
      <c r="N121" s="41"/>
      <c r="O121" s="53"/>
      <c r="P121" s="41"/>
      <c r="Q121" s="356"/>
      <c r="R121" s="356"/>
      <c r="S121" s="356"/>
      <c r="T121" s="56"/>
    </row>
    <row r="122" ht="22.5" customHeight="1">
      <c r="A122" s="128"/>
      <c r="B122" s="45"/>
      <c r="C122" s="45"/>
      <c r="D122" s="42"/>
      <c r="E122" s="45"/>
      <c r="F122" s="322"/>
      <c r="G122" s="45"/>
      <c r="H122" s="206"/>
      <c r="I122" s="45"/>
      <c r="J122" s="45"/>
      <c r="K122" s="45"/>
      <c r="L122" s="45"/>
      <c r="M122" s="45"/>
      <c r="N122" s="45"/>
      <c r="O122" s="47"/>
      <c r="P122" s="45"/>
      <c r="Q122" s="352"/>
      <c r="R122" s="352"/>
      <c r="S122" s="352"/>
      <c r="T122" s="55"/>
    </row>
    <row r="123" ht="22.5" customHeight="1">
      <c r="A123" s="129"/>
      <c r="B123" s="41"/>
      <c r="C123" s="41"/>
      <c r="D123" s="39"/>
      <c r="E123" s="41"/>
      <c r="F123" s="362"/>
      <c r="G123" s="41"/>
      <c r="H123" s="363"/>
      <c r="I123" s="41"/>
      <c r="J123" s="41"/>
      <c r="K123" s="41"/>
      <c r="L123" s="41"/>
      <c r="M123" s="41"/>
      <c r="N123" s="41"/>
      <c r="O123" s="53"/>
      <c r="P123" s="41"/>
      <c r="Q123" s="356"/>
      <c r="R123" s="356"/>
      <c r="S123" s="356"/>
      <c r="T123" s="56"/>
    </row>
    <row r="124" ht="22.5" customHeight="1">
      <c r="A124" s="128"/>
      <c r="B124" s="45"/>
      <c r="C124" s="45"/>
      <c r="D124" s="42"/>
      <c r="E124" s="45"/>
      <c r="F124" s="322"/>
      <c r="G124" s="45"/>
      <c r="H124" s="206"/>
      <c r="I124" s="45"/>
      <c r="J124" s="45"/>
      <c r="K124" s="45"/>
      <c r="L124" s="45"/>
      <c r="M124" s="45"/>
      <c r="N124" s="45"/>
      <c r="O124" s="47"/>
      <c r="P124" s="45"/>
      <c r="Q124" s="352"/>
      <c r="R124" s="352"/>
      <c r="S124" s="352"/>
      <c r="T124" s="55"/>
    </row>
    <row r="125" ht="22.5" customHeight="1">
      <c r="A125" s="129"/>
      <c r="B125" s="41"/>
      <c r="C125" s="41"/>
      <c r="D125" s="39"/>
      <c r="E125" s="41"/>
      <c r="F125" s="362"/>
      <c r="G125" s="41"/>
      <c r="H125" s="363"/>
      <c r="I125" s="41"/>
      <c r="J125" s="41"/>
      <c r="K125" s="41"/>
      <c r="L125" s="41"/>
      <c r="M125" s="41"/>
      <c r="N125" s="41"/>
      <c r="O125" s="53"/>
      <c r="P125" s="41"/>
      <c r="Q125" s="356"/>
      <c r="R125" s="356"/>
      <c r="S125" s="356"/>
      <c r="T125" s="56"/>
    </row>
    <row r="126" ht="22.5" customHeight="1">
      <c r="A126" s="128"/>
      <c r="B126" s="45"/>
      <c r="C126" s="45"/>
      <c r="D126" s="42"/>
      <c r="E126" s="45"/>
      <c r="F126" s="322"/>
      <c r="G126" s="45"/>
      <c r="H126" s="206"/>
      <c r="I126" s="45"/>
      <c r="J126" s="45"/>
      <c r="K126" s="45"/>
      <c r="L126" s="45"/>
      <c r="M126" s="45"/>
      <c r="N126" s="45"/>
      <c r="O126" s="47"/>
      <c r="P126" s="45"/>
      <c r="Q126" s="352"/>
      <c r="R126" s="352"/>
      <c r="S126" s="352"/>
      <c r="T126" s="55"/>
    </row>
    <row r="127" ht="22.5" customHeight="1">
      <c r="A127" s="129"/>
      <c r="B127" s="41"/>
      <c r="C127" s="41"/>
      <c r="D127" s="39"/>
      <c r="E127" s="41"/>
      <c r="F127" s="362"/>
      <c r="G127" s="41"/>
      <c r="H127" s="363"/>
      <c r="I127" s="41"/>
      <c r="J127" s="41"/>
      <c r="K127" s="41"/>
      <c r="L127" s="41"/>
      <c r="M127" s="41"/>
      <c r="N127" s="41"/>
      <c r="O127" s="53"/>
      <c r="P127" s="41"/>
      <c r="Q127" s="356"/>
      <c r="R127" s="356"/>
      <c r="S127" s="356"/>
      <c r="T127" s="56"/>
    </row>
    <row r="128" ht="22.5" customHeight="1">
      <c r="A128" s="128"/>
      <c r="B128" s="45"/>
      <c r="C128" s="45"/>
      <c r="D128" s="42"/>
      <c r="E128" s="45"/>
      <c r="F128" s="322"/>
      <c r="G128" s="45"/>
      <c r="H128" s="206"/>
      <c r="I128" s="45"/>
      <c r="J128" s="45"/>
      <c r="K128" s="45"/>
      <c r="L128" s="45"/>
      <c r="M128" s="45"/>
      <c r="N128" s="45"/>
      <c r="O128" s="47"/>
      <c r="P128" s="45"/>
      <c r="Q128" s="352"/>
      <c r="R128" s="352"/>
      <c r="S128" s="352"/>
      <c r="T128" s="55"/>
    </row>
    <row r="129" ht="22.5" customHeight="1">
      <c r="A129" s="129"/>
      <c r="B129" s="41"/>
      <c r="C129" s="41"/>
      <c r="D129" s="39"/>
      <c r="E129" s="41"/>
      <c r="F129" s="362"/>
      <c r="G129" s="41"/>
      <c r="H129" s="363"/>
      <c r="I129" s="41"/>
      <c r="J129" s="41"/>
      <c r="K129" s="41"/>
      <c r="L129" s="41"/>
      <c r="M129" s="41"/>
      <c r="N129" s="41"/>
      <c r="O129" s="53"/>
      <c r="P129" s="41"/>
      <c r="Q129" s="356"/>
      <c r="R129" s="356"/>
      <c r="S129" s="356"/>
      <c r="T129" s="56"/>
    </row>
    <row r="130" ht="22.5" customHeight="1">
      <c r="A130" s="128"/>
      <c r="B130" s="45"/>
      <c r="C130" s="45"/>
      <c r="D130" s="42"/>
      <c r="E130" s="45"/>
      <c r="F130" s="322"/>
      <c r="G130" s="45"/>
      <c r="H130" s="206"/>
      <c r="I130" s="45"/>
      <c r="J130" s="45"/>
      <c r="K130" s="45"/>
      <c r="L130" s="45"/>
      <c r="M130" s="45"/>
      <c r="N130" s="45"/>
      <c r="O130" s="47"/>
      <c r="P130" s="45"/>
      <c r="Q130" s="352"/>
      <c r="R130" s="352"/>
      <c r="S130" s="352"/>
      <c r="T130" s="55"/>
    </row>
    <row r="131" ht="22.5" customHeight="1">
      <c r="A131" s="129"/>
      <c r="B131" s="41"/>
      <c r="C131" s="41"/>
      <c r="D131" s="39"/>
      <c r="E131" s="41"/>
      <c r="F131" s="362"/>
      <c r="G131" s="41"/>
      <c r="H131" s="363"/>
      <c r="I131" s="41"/>
      <c r="J131" s="41"/>
      <c r="K131" s="41"/>
      <c r="L131" s="41"/>
      <c r="M131" s="41"/>
      <c r="N131" s="41"/>
      <c r="O131" s="53"/>
      <c r="P131" s="41"/>
      <c r="Q131" s="356"/>
      <c r="R131" s="356"/>
      <c r="S131" s="356"/>
      <c r="T131" s="56"/>
    </row>
    <row r="132" ht="22.5" customHeight="1">
      <c r="A132" s="128"/>
      <c r="B132" s="45"/>
      <c r="C132" s="45"/>
      <c r="D132" s="42"/>
      <c r="E132" s="45"/>
      <c r="F132" s="322"/>
      <c r="G132" s="45"/>
      <c r="H132" s="206"/>
      <c r="I132" s="45"/>
      <c r="J132" s="45"/>
      <c r="K132" s="45"/>
      <c r="L132" s="45"/>
      <c r="M132" s="45"/>
      <c r="N132" s="45"/>
      <c r="O132" s="47"/>
      <c r="P132" s="45"/>
      <c r="Q132" s="352"/>
      <c r="R132" s="352"/>
      <c r="S132" s="352"/>
      <c r="T132" s="55"/>
    </row>
    <row r="133" ht="22.5" customHeight="1">
      <c r="A133" s="129"/>
      <c r="B133" s="41"/>
      <c r="C133" s="41"/>
      <c r="D133" s="39"/>
      <c r="E133" s="41"/>
      <c r="F133" s="362"/>
      <c r="G133" s="41"/>
      <c r="H133" s="363"/>
      <c r="I133" s="41"/>
      <c r="J133" s="41"/>
      <c r="K133" s="41"/>
      <c r="L133" s="41"/>
      <c r="M133" s="41"/>
      <c r="N133" s="41"/>
      <c r="O133" s="53"/>
      <c r="P133" s="41"/>
      <c r="Q133" s="356"/>
      <c r="R133" s="356"/>
      <c r="S133" s="356"/>
      <c r="T133" s="56"/>
    </row>
    <row r="134" ht="22.5" customHeight="1">
      <c r="A134" s="128"/>
      <c r="B134" s="45"/>
      <c r="C134" s="45"/>
      <c r="D134" s="42"/>
      <c r="E134" s="45"/>
      <c r="F134" s="322"/>
      <c r="G134" s="45"/>
      <c r="H134" s="206"/>
      <c r="I134" s="45"/>
      <c r="J134" s="45"/>
      <c r="K134" s="45"/>
      <c r="L134" s="45"/>
      <c r="M134" s="45"/>
      <c r="N134" s="45"/>
      <c r="O134" s="47"/>
      <c r="P134" s="45"/>
      <c r="Q134" s="352"/>
      <c r="R134" s="352"/>
      <c r="S134" s="352"/>
      <c r="T134" s="55"/>
    </row>
    <row r="135" ht="22.5" customHeight="1">
      <c r="A135" s="129"/>
      <c r="B135" s="41"/>
      <c r="C135" s="41"/>
      <c r="D135" s="39"/>
      <c r="E135" s="41"/>
      <c r="F135" s="362"/>
      <c r="G135" s="41"/>
      <c r="H135" s="363"/>
      <c r="I135" s="41"/>
      <c r="J135" s="41"/>
      <c r="K135" s="41"/>
      <c r="L135" s="41"/>
      <c r="M135" s="41"/>
      <c r="N135" s="41"/>
      <c r="O135" s="53"/>
      <c r="P135" s="41"/>
      <c r="Q135" s="356"/>
      <c r="R135" s="356"/>
      <c r="S135" s="356"/>
      <c r="T135" s="56"/>
    </row>
    <row r="136" ht="22.5" customHeight="1">
      <c r="A136" s="128"/>
      <c r="B136" s="45"/>
      <c r="C136" s="45"/>
      <c r="D136" s="42"/>
      <c r="E136" s="45"/>
      <c r="F136" s="322"/>
      <c r="G136" s="45"/>
      <c r="H136" s="206"/>
      <c r="I136" s="45"/>
      <c r="J136" s="45"/>
      <c r="K136" s="45"/>
      <c r="L136" s="45"/>
      <c r="M136" s="45"/>
      <c r="N136" s="45"/>
      <c r="O136" s="47"/>
      <c r="P136" s="45"/>
      <c r="Q136" s="352"/>
      <c r="R136" s="352"/>
      <c r="S136" s="352"/>
      <c r="T136" s="55"/>
    </row>
    <row r="137" ht="22.5" customHeight="1">
      <c r="A137" s="129"/>
      <c r="B137" s="41"/>
      <c r="C137" s="41"/>
      <c r="D137" s="39"/>
      <c r="E137" s="41"/>
      <c r="F137" s="362"/>
      <c r="G137" s="41"/>
      <c r="H137" s="363"/>
      <c r="I137" s="41"/>
      <c r="J137" s="41"/>
      <c r="K137" s="41"/>
      <c r="L137" s="41"/>
      <c r="M137" s="41"/>
      <c r="N137" s="41"/>
      <c r="O137" s="53"/>
      <c r="P137" s="41"/>
      <c r="Q137" s="356"/>
      <c r="R137" s="356"/>
      <c r="S137" s="356"/>
      <c r="T137" s="56"/>
    </row>
    <row r="138" ht="22.5" customHeight="1">
      <c r="A138" s="128"/>
      <c r="B138" s="45"/>
      <c r="C138" s="45"/>
      <c r="D138" s="42"/>
      <c r="E138" s="45"/>
      <c r="F138" s="322"/>
      <c r="G138" s="45"/>
      <c r="H138" s="206"/>
      <c r="I138" s="45"/>
      <c r="J138" s="45"/>
      <c r="K138" s="45"/>
      <c r="L138" s="45"/>
      <c r="M138" s="45"/>
      <c r="N138" s="45"/>
      <c r="O138" s="47"/>
      <c r="P138" s="45"/>
      <c r="Q138" s="352"/>
      <c r="R138" s="352"/>
      <c r="S138" s="352"/>
      <c r="T138" s="55"/>
    </row>
    <row r="139" ht="22.5" customHeight="1">
      <c r="A139" s="129"/>
      <c r="B139" s="41"/>
      <c r="C139" s="41"/>
      <c r="D139" s="39"/>
      <c r="E139" s="41"/>
      <c r="F139" s="362"/>
      <c r="G139" s="41"/>
      <c r="H139" s="363"/>
      <c r="I139" s="41"/>
      <c r="J139" s="41"/>
      <c r="K139" s="41"/>
      <c r="L139" s="41"/>
      <c r="M139" s="41"/>
      <c r="N139" s="41"/>
      <c r="O139" s="53"/>
      <c r="P139" s="41"/>
      <c r="Q139" s="356"/>
      <c r="R139" s="356"/>
      <c r="S139" s="356"/>
      <c r="T139" s="56"/>
    </row>
    <row r="140" ht="22.5" customHeight="1">
      <c r="A140" s="128"/>
      <c r="B140" s="45"/>
      <c r="C140" s="45"/>
      <c r="D140" s="42"/>
      <c r="E140" s="45"/>
      <c r="F140" s="322"/>
      <c r="G140" s="45"/>
      <c r="H140" s="206"/>
      <c r="I140" s="45"/>
      <c r="J140" s="45"/>
      <c r="K140" s="45"/>
      <c r="L140" s="45"/>
      <c r="M140" s="45"/>
      <c r="N140" s="45"/>
      <c r="O140" s="47"/>
      <c r="P140" s="45"/>
      <c r="Q140" s="352"/>
      <c r="R140" s="352"/>
      <c r="S140" s="352"/>
      <c r="T140" s="55"/>
    </row>
    <row r="141" ht="22.5" customHeight="1">
      <c r="A141" s="129"/>
      <c r="B141" s="41"/>
      <c r="C141" s="41"/>
      <c r="D141" s="39"/>
      <c r="E141" s="41"/>
      <c r="F141" s="362"/>
      <c r="G141" s="41"/>
      <c r="H141" s="363"/>
      <c r="I141" s="41"/>
      <c r="J141" s="41"/>
      <c r="K141" s="41"/>
      <c r="L141" s="41"/>
      <c r="M141" s="41"/>
      <c r="N141" s="41"/>
      <c r="O141" s="53"/>
      <c r="P141" s="41"/>
      <c r="Q141" s="356"/>
      <c r="R141" s="356"/>
      <c r="S141" s="356"/>
      <c r="T141" s="56"/>
    </row>
    <row r="142" ht="22.5" customHeight="1">
      <c r="A142" s="128"/>
      <c r="B142" s="45"/>
      <c r="C142" s="45"/>
      <c r="D142" s="42"/>
      <c r="E142" s="45"/>
      <c r="F142" s="322"/>
      <c r="G142" s="45"/>
      <c r="H142" s="206"/>
      <c r="I142" s="45"/>
      <c r="J142" s="45"/>
      <c r="K142" s="45"/>
      <c r="L142" s="45"/>
      <c r="M142" s="45"/>
      <c r="N142" s="45"/>
      <c r="O142" s="47"/>
      <c r="P142" s="45"/>
      <c r="Q142" s="352"/>
      <c r="R142" s="352"/>
      <c r="S142" s="352"/>
      <c r="T142" s="55"/>
    </row>
    <row r="143" ht="22.5" customHeight="1">
      <c r="A143" s="129"/>
      <c r="B143" s="41"/>
      <c r="C143" s="41"/>
      <c r="D143" s="39"/>
      <c r="E143" s="41"/>
      <c r="F143" s="362"/>
      <c r="G143" s="41"/>
      <c r="H143" s="363"/>
      <c r="I143" s="41"/>
      <c r="J143" s="41"/>
      <c r="K143" s="41"/>
      <c r="L143" s="41"/>
      <c r="M143" s="41"/>
      <c r="N143" s="41"/>
      <c r="O143" s="53"/>
      <c r="P143" s="41"/>
      <c r="Q143" s="356"/>
      <c r="R143" s="356"/>
      <c r="S143" s="356"/>
      <c r="T143" s="56"/>
    </row>
    <row r="144" ht="22.5" customHeight="1">
      <c r="A144" s="128"/>
      <c r="B144" s="45"/>
      <c r="C144" s="45"/>
      <c r="D144" s="42"/>
      <c r="E144" s="45"/>
      <c r="F144" s="322"/>
      <c r="G144" s="45"/>
      <c r="H144" s="206"/>
      <c r="I144" s="45"/>
      <c r="J144" s="45"/>
      <c r="K144" s="45"/>
      <c r="L144" s="45"/>
      <c r="M144" s="45"/>
      <c r="N144" s="45"/>
      <c r="O144" s="47"/>
      <c r="P144" s="45"/>
      <c r="Q144" s="352"/>
      <c r="R144" s="352"/>
      <c r="S144" s="352"/>
      <c r="T144" s="55"/>
    </row>
    <row r="145" ht="22.5" customHeight="1">
      <c r="A145" s="129"/>
      <c r="B145" s="41"/>
      <c r="C145" s="41"/>
      <c r="D145" s="39"/>
      <c r="E145" s="41"/>
      <c r="F145" s="362"/>
      <c r="G145" s="41"/>
      <c r="H145" s="363"/>
      <c r="I145" s="41"/>
      <c r="J145" s="41"/>
      <c r="K145" s="41"/>
      <c r="L145" s="41"/>
      <c r="M145" s="41"/>
      <c r="N145" s="41"/>
      <c r="O145" s="53"/>
      <c r="P145" s="41"/>
      <c r="Q145" s="356"/>
      <c r="R145" s="356"/>
      <c r="S145" s="356"/>
      <c r="T145" s="56"/>
    </row>
    <row r="146" ht="22.5" customHeight="1">
      <c r="A146" s="128"/>
      <c r="B146" s="45"/>
      <c r="C146" s="45"/>
      <c r="D146" s="42"/>
      <c r="E146" s="45"/>
      <c r="F146" s="322"/>
      <c r="G146" s="45"/>
      <c r="H146" s="206"/>
      <c r="I146" s="45"/>
      <c r="J146" s="45"/>
      <c r="K146" s="45"/>
      <c r="L146" s="45"/>
      <c r="M146" s="45"/>
      <c r="N146" s="45"/>
      <c r="O146" s="47"/>
      <c r="P146" s="45"/>
      <c r="Q146" s="352"/>
      <c r="R146" s="352"/>
      <c r="S146" s="352"/>
      <c r="T146" s="55"/>
    </row>
    <row r="147" ht="22.5" customHeight="1">
      <c r="A147" s="129"/>
      <c r="B147" s="41"/>
      <c r="C147" s="41"/>
      <c r="D147" s="39"/>
      <c r="E147" s="41"/>
      <c r="F147" s="362"/>
      <c r="G147" s="41"/>
      <c r="H147" s="363"/>
      <c r="I147" s="41"/>
      <c r="J147" s="41"/>
      <c r="K147" s="41"/>
      <c r="L147" s="41"/>
      <c r="M147" s="41"/>
      <c r="N147" s="41"/>
      <c r="O147" s="53"/>
      <c r="P147" s="41"/>
      <c r="Q147" s="356"/>
      <c r="R147" s="356"/>
      <c r="S147" s="356"/>
      <c r="T147" s="56"/>
    </row>
    <row r="148" ht="22.5" customHeight="1">
      <c r="A148" s="128"/>
      <c r="B148" s="45"/>
      <c r="C148" s="45"/>
      <c r="D148" s="42"/>
      <c r="E148" s="45"/>
      <c r="F148" s="322"/>
      <c r="G148" s="45"/>
      <c r="H148" s="206"/>
      <c r="I148" s="45"/>
      <c r="J148" s="45"/>
      <c r="K148" s="45"/>
      <c r="L148" s="45"/>
      <c r="M148" s="45"/>
      <c r="N148" s="45"/>
      <c r="O148" s="47"/>
      <c r="P148" s="45"/>
      <c r="Q148" s="352"/>
      <c r="R148" s="352"/>
      <c r="S148" s="352"/>
      <c r="T148" s="55"/>
    </row>
    <row r="149" ht="22.5" customHeight="1">
      <c r="A149" s="129"/>
      <c r="B149" s="41"/>
      <c r="C149" s="41"/>
      <c r="D149" s="39"/>
      <c r="E149" s="41"/>
      <c r="F149" s="362"/>
      <c r="G149" s="41"/>
      <c r="H149" s="363"/>
      <c r="I149" s="41"/>
      <c r="J149" s="41"/>
      <c r="K149" s="41"/>
      <c r="L149" s="41"/>
      <c r="M149" s="41"/>
      <c r="N149" s="41"/>
      <c r="O149" s="53"/>
      <c r="P149" s="41"/>
      <c r="Q149" s="356"/>
      <c r="R149" s="356"/>
      <c r="S149" s="356"/>
      <c r="T149" s="56"/>
    </row>
    <row r="150" ht="22.5" customHeight="1">
      <c r="A150" s="128"/>
      <c r="B150" s="45"/>
      <c r="C150" s="45"/>
      <c r="D150" s="42"/>
      <c r="E150" s="45"/>
      <c r="F150" s="322"/>
      <c r="G150" s="45"/>
      <c r="H150" s="206"/>
      <c r="I150" s="45"/>
      <c r="J150" s="45"/>
      <c r="K150" s="45"/>
      <c r="L150" s="45"/>
      <c r="M150" s="45"/>
      <c r="N150" s="45"/>
      <c r="O150" s="47"/>
      <c r="P150" s="45"/>
      <c r="Q150" s="352"/>
      <c r="R150" s="352"/>
      <c r="S150" s="352"/>
      <c r="T150" s="55"/>
    </row>
    <row r="151" ht="22.5" customHeight="1">
      <c r="A151" s="129"/>
      <c r="B151" s="41"/>
      <c r="C151" s="41"/>
      <c r="D151" s="39"/>
      <c r="E151" s="41"/>
      <c r="F151" s="362"/>
      <c r="G151" s="41"/>
      <c r="H151" s="363"/>
      <c r="I151" s="41"/>
      <c r="J151" s="41"/>
      <c r="K151" s="41"/>
      <c r="L151" s="41"/>
      <c r="M151" s="41"/>
      <c r="N151" s="41"/>
      <c r="O151" s="53"/>
      <c r="P151" s="41"/>
      <c r="Q151" s="356"/>
      <c r="R151" s="356"/>
      <c r="S151" s="356"/>
      <c r="T151" s="56"/>
    </row>
    <row r="152" ht="22.5" customHeight="1">
      <c r="A152" s="338"/>
      <c r="B152" s="118"/>
      <c r="C152" s="118"/>
      <c r="D152" s="189"/>
      <c r="E152" s="118"/>
      <c r="F152" s="371"/>
      <c r="G152" s="118"/>
      <c r="H152" s="372"/>
      <c r="I152" s="118"/>
      <c r="J152" s="118"/>
      <c r="K152" s="118"/>
      <c r="L152" s="118"/>
      <c r="M152" s="118"/>
      <c r="N152" s="118"/>
      <c r="O152" s="373"/>
      <c r="P152" s="118"/>
      <c r="Q152" s="374"/>
      <c r="R152" s="374"/>
      <c r="S152" s="374"/>
      <c r="T152" s="120"/>
    </row>
  </sheetData>
  <dataValidations>
    <dataValidation type="custom" allowBlank="1" showDropDown="1" sqref="F2:F152">
      <formula1>OR(NOT(ISERROR(DATEVALUE(F2))), AND(ISNUMBER(F2), LEFT(CELL("format", F2))="D"))</formula1>
    </dataValidation>
    <dataValidation type="list" allowBlank="1" sqref="O2:O152">
      <formula1>"Done,Not Done"</formula1>
    </dataValidation>
    <dataValidation type="list" allowBlank="1" sqref="H2:H152">
      <formula1>"Unavailable,Active,Available,Inactive,Conflict,Reschedule,Not Suitable,Suitable,Resigned"</formula1>
    </dataValidation>
    <dataValidation type="list" allowBlank="1" sqref="Q2:S152">
      <formula1>"Done,Not Done"</formula1>
    </dataValidation>
  </dataValidations>
  <hyperlinks>
    <hyperlink r:id="rId1" ref="L2"/>
    <hyperlink r:id="rId2" ref="L3"/>
    <hyperlink r:id="rId3" ref="L4"/>
    <hyperlink r:id="rId4" ref="L5"/>
    <hyperlink r:id="rId5" ref="L6"/>
    <hyperlink r:id="rId6" ref="L10"/>
    <hyperlink r:id="rId7" ref="L12"/>
    <hyperlink r:id="rId8" ref="L22"/>
    <hyperlink r:id="rId9" ref="L25"/>
    <hyperlink r:id="rId10" ref="L26"/>
    <hyperlink r:id="rId11" ref="L28"/>
    <hyperlink r:id="rId12" ref="L29"/>
    <hyperlink r:id="rId13" ref="L33"/>
    <hyperlink r:id="rId14" ref="L41"/>
    <hyperlink r:id="rId15" ref="L43"/>
    <hyperlink r:id="rId16" ref="L44"/>
    <hyperlink r:id="rId17" ref="L45"/>
  </hyperlinks>
  <drawing r:id="rId18"/>
  <tableParts count="1">
    <tablePart r:id="rId20"/>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9.63"/>
    <col customWidth="1" min="4" max="4" width="14.5"/>
    <col customWidth="1" min="5" max="5" width="19.63"/>
    <col customWidth="1" min="7" max="7" width="17.13"/>
    <col customWidth="1" min="10" max="10" width="13.38"/>
    <col customWidth="1" min="12" max="12" width="18.25"/>
    <col customWidth="1" min="15" max="15" width="13.63"/>
    <col customWidth="1" min="17" max="17" width="13.38"/>
    <col customWidth="1" min="19" max="19" width="13.75"/>
    <col customWidth="1" min="20" max="20" width="13.25"/>
    <col customWidth="1" min="22" max="22" width="14.0"/>
  </cols>
  <sheetData>
    <row r="1">
      <c r="A1" s="375"/>
      <c r="B1" s="376"/>
      <c r="C1" s="376"/>
      <c r="D1" s="376"/>
      <c r="E1" s="376"/>
      <c r="F1" s="376"/>
      <c r="G1" s="376"/>
      <c r="H1" s="376"/>
      <c r="I1" s="377"/>
      <c r="J1" s="378"/>
      <c r="K1" s="378"/>
      <c r="L1" s="376"/>
      <c r="M1" s="376"/>
      <c r="N1" s="376"/>
      <c r="O1" s="376"/>
      <c r="P1" s="376"/>
      <c r="Q1" s="376"/>
      <c r="R1" s="375"/>
      <c r="S1" s="376"/>
      <c r="T1" s="377"/>
      <c r="U1" s="375"/>
      <c r="V1" s="375"/>
      <c r="W1" s="375"/>
      <c r="X1" s="293"/>
      <c r="Y1" s="293"/>
      <c r="Z1" s="293"/>
      <c r="AA1" s="293"/>
      <c r="AB1" s="293"/>
      <c r="AC1" s="293"/>
      <c r="AD1" s="293"/>
      <c r="AE1" s="293"/>
    </row>
    <row r="2" ht="22.5" customHeight="1">
      <c r="A2" s="379" t="s">
        <v>557</v>
      </c>
      <c r="B2" s="380" t="s">
        <v>2526</v>
      </c>
      <c r="C2" s="380" t="s">
        <v>2527</v>
      </c>
      <c r="D2" s="380" t="s">
        <v>2528</v>
      </c>
      <c r="E2" s="380" t="s">
        <v>2529</v>
      </c>
      <c r="F2" s="380" t="s">
        <v>696</v>
      </c>
      <c r="G2" s="380" t="s">
        <v>2530</v>
      </c>
      <c r="H2" s="380" t="s">
        <v>2531</v>
      </c>
      <c r="I2" s="381" t="s">
        <v>2532</v>
      </c>
      <c r="J2" s="382" t="s">
        <v>2533</v>
      </c>
      <c r="K2" s="382" t="s">
        <v>2534</v>
      </c>
      <c r="L2" s="380" t="s">
        <v>2535</v>
      </c>
      <c r="M2" s="380" t="s">
        <v>183</v>
      </c>
      <c r="N2" s="380" t="s">
        <v>2536</v>
      </c>
      <c r="O2" s="380" t="s">
        <v>2537</v>
      </c>
      <c r="P2" s="380" t="s">
        <v>2538</v>
      </c>
      <c r="Q2" s="380" t="s">
        <v>173</v>
      </c>
      <c r="R2" s="379" t="s">
        <v>2539</v>
      </c>
      <c r="S2" s="380" t="s">
        <v>2540</v>
      </c>
      <c r="T2" s="381" t="s">
        <v>2541</v>
      </c>
      <c r="U2" s="379" t="s">
        <v>2542</v>
      </c>
      <c r="V2" s="379" t="s">
        <v>2543</v>
      </c>
      <c r="W2" s="379" t="s">
        <v>2544</v>
      </c>
      <c r="X2" s="293"/>
      <c r="Y2" s="293"/>
      <c r="Z2" s="293"/>
      <c r="AA2" s="293"/>
      <c r="AB2" s="293"/>
      <c r="AC2" s="293"/>
      <c r="AD2" s="293"/>
      <c r="AE2" s="293"/>
    </row>
    <row r="3" ht="22.5" customHeight="1">
      <c r="A3" s="383"/>
      <c r="B3" s="384"/>
      <c r="C3" s="384"/>
      <c r="D3" s="384"/>
      <c r="E3" s="384"/>
      <c r="F3" s="384"/>
      <c r="G3" s="384"/>
      <c r="H3" s="384"/>
      <c r="I3" s="384"/>
      <c r="J3" s="385"/>
      <c r="K3" s="385"/>
      <c r="L3" s="384"/>
      <c r="M3" s="384"/>
      <c r="N3" s="384"/>
      <c r="O3" s="384"/>
      <c r="P3" s="384"/>
      <c r="Q3" s="384"/>
      <c r="R3" s="383"/>
      <c r="S3" s="384"/>
      <c r="T3" s="384"/>
      <c r="U3" s="383"/>
      <c r="V3" s="383"/>
      <c r="W3" s="383"/>
      <c r="X3" s="284"/>
      <c r="Y3" s="284"/>
      <c r="Z3" s="284"/>
      <c r="AA3" s="284"/>
      <c r="AB3" s="284"/>
      <c r="AC3" s="284"/>
      <c r="AD3" s="284"/>
      <c r="AE3" s="284"/>
    </row>
    <row r="4" ht="22.5" customHeight="1">
      <c r="A4" s="383"/>
      <c r="B4" s="384"/>
      <c r="C4" s="384"/>
      <c r="D4" s="384"/>
      <c r="E4" s="384"/>
      <c r="F4" s="384"/>
      <c r="G4" s="384"/>
      <c r="H4" s="384"/>
      <c r="I4" s="384"/>
      <c r="J4" s="385"/>
      <c r="K4" s="385"/>
      <c r="L4" s="384"/>
      <c r="M4" s="384"/>
      <c r="N4" s="384"/>
      <c r="O4" s="384"/>
      <c r="P4" s="384"/>
      <c r="Q4" s="384"/>
      <c r="R4" s="383"/>
      <c r="S4" s="384"/>
      <c r="T4" s="384"/>
      <c r="U4" s="383"/>
      <c r="V4" s="383"/>
      <c r="W4" s="383"/>
      <c r="X4" s="284"/>
      <c r="Y4" s="284"/>
      <c r="Z4" s="284"/>
      <c r="AA4" s="284"/>
      <c r="AB4" s="284"/>
      <c r="AC4" s="284"/>
      <c r="AD4" s="284"/>
      <c r="AE4" s="284"/>
    </row>
    <row r="5">
      <c r="A5" s="284"/>
      <c r="B5" s="284"/>
      <c r="C5" s="284"/>
      <c r="D5" s="284"/>
      <c r="E5" s="284"/>
      <c r="F5" s="284"/>
      <c r="G5" s="284"/>
      <c r="H5" s="284"/>
      <c r="I5" s="284"/>
      <c r="J5" s="284"/>
      <c r="K5" s="284"/>
      <c r="L5" s="284"/>
      <c r="M5" s="284"/>
      <c r="N5" s="284"/>
      <c r="O5" s="284"/>
      <c r="P5" s="284"/>
      <c r="Q5" s="284"/>
      <c r="R5" s="284"/>
      <c r="S5" s="284"/>
      <c r="T5" s="284"/>
      <c r="U5" s="284"/>
      <c r="V5" s="284"/>
      <c r="W5" s="284"/>
      <c r="X5" s="284"/>
      <c r="Y5" s="284"/>
      <c r="Z5" s="284"/>
      <c r="AA5" s="284"/>
      <c r="AB5" s="284"/>
      <c r="AC5" s="284"/>
      <c r="AD5" s="284"/>
      <c r="AE5" s="284"/>
    </row>
    <row r="6">
      <c r="A6" s="284"/>
      <c r="B6" s="284"/>
      <c r="C6" s="284"/>
      <c r="D6" s="284"/>
      <c r="E6" s="284"/>
      <c r="F6" s="284"/>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row>
    <row r="7">
      <c r="A7" s="284"/>
      <c r="B7" s="284"/>
      <c r="C7" s="284"/>
      <c r="D7" s="284"/>
      <c r="E7" s="284"/>
      <c r="F7" s="284"/>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row>
    <row r="8">
      <c r="A8" s="284"/>
      <c r="B8" s="284"/>
      <c r="C8" s="284"/>
      <c r="D8" s="284"/>
      <c r="E8" s="284"/>
      <c r="F8" s="284"/>
      <c r="G8" s="284"/>
      <c r="H8" s="284"/>
      <c r="I8" s="284"/>
      <c r="J8" s="284"/>
      <c r="K8" s="284"/>
      <c r="L8" s="284"/>
      <c r="M8" s="284"/>
      <c r="N8" s="284"/>
      <c r="O8" s="284"/>
      <c r="P8" s="284"/>
      <c r="Q8" s="284"/>
      <c r="R8" s="284"/>
      <c r="S8" s="284"/>
      <c r="T8" s="284"/>
      <c r="U8" s="284"/>
      <c r="V8" s="284"/>
      <c r="W8" s="284"/>
      <c r="X8" s="284"/>
      <c r="Y8" s="284"/>
      <c r="Z8" s="284"/>
      <c r="AA8" s="284"/>
      <c r="AB8" s="284"/>
      <c r="AC8" s="284"/>
      <c r="AD8" s="284"/>
      <c r="AE8" s="284"/>
    </row>
    <row r="9">
      <c r="A9" s="284"/>
      <c r="B9" s="284"/>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row>
    <row r="10">
      <c r="A10" s="284"/>
      <c r="B10" s="284"/>
      <c r="C10" s="284"/>
      <c r="D10" s="284"/>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row>
    <row r="11">
      <c r="A11" s="284"/>
      <c r="B11" s="284"/>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row>
    <row r="12">
      <c r="A12" s="284"/>
      <c r="B12" s="284"/>
      <c r="C12" s="284"/>
      <c r="D12" s="284"/>
      <c r="E12" s="284"/>
      <c r="F12" s="284"/>
      <c r="G12" s="284"/>
      <c r="H12" s="284"/>
      <c r="I12" s="284"/>
      <c r="J12" s="284"/>
      <c r="K12" s="284"/>
      <c r="L12" s="284"/>
      <c r="M12" s="284"/>
      <c r="N12" s="284"/>
      <c r="O12" s="284"/>
      <c r="P12" s="284"/>
      <c r="Q12" s="284"/>
      <c r="R12" s="284"/>
      <c r="S12" s="284"/>
      <c r="T12" s="284"/>
      <c r="U12" s="284"/>
      <c r="V12" s="284"/>
      <c r="W12" s="284"/>
      <c r="X12" s="284"/>
      <c r="Y12" s="284"/>
      <c r="Z12" s="284"/>
      <c r="AA12" s="284"/>
      <c r="AB12" s="284"/>
      <c r="AC12" s="284"/>
      <c r="AD12" s="284"/>
      <c r="AE12" s="284"/>
    </row>
    <row r="13">
      <c r="A13" s="284"/>
      <c r="B13" s="284"/>
      <c r="C13" s="284"/>
      <c r="D13" s="284"/>
      <c r="E13" s="284"/>
      <c r="F13" s="284"/>
      <c r="G13" s="284"/>
      <c r="H13" s="284"/>
      <c r="I13" s="284"/>
      <c r="J13" s="284"/>
      <c r="K13" s="284"/>
      <c r="L13" s="284"/>
      <c r="M13" s="284"/>
      <c r="N13" s="284"/>
      <c r="O13" s="284"/>
      <c r="P13" s="284"/>
      <c r="Q13" s="284"/>
      <c r="R13" s="284"/>
      <c r="S13" s="284"/>
      <c r="T13" s="284"/>
      <c r="U13" s="284"/>
      <c r="V13" s="284"/>
      <c r="W13" s="284"/>
      <c r="X13" s="284"/>
      <c r="Y13" s="284"/>
      <c r="Z13" s="284"/>
      <c r="AA13" s="284"/>
      <c r="AB13" s="284"/>
      <c r="AC13" s="284"/>
      <c r="AD13" s="284"/>
      <c r="AE13" s="284"/>
    </row>
    <row r="14">
      <c r="A14" s="284"/>
      <c r="B14" s="284"/>
      <c r="C14" s="284"/>
      <c r="D14" s="284"/>
      <c r="E14" s="284"/>
      <c r="F14" s="284"/>
      <c r="G14" s="284"/>
      <c r="H14" s="284"/>
      <c r="I14" s="284"/>
      <c r="J14" s="284"/>
      <c r="K14" s="284"/>
      <c r="L14" s="284"/>
      <c r="M14" s="284"/>
      <c r="N14" s="284"/>
      <c r="O14" s="284"/>
      <c r="P14" s="284"/>
      <c r="Q14" s="284"/>
      <c r="R14" s="284"/>
      <c r="S14" s="284"/>
      <c r="T14" s="284"/>
      <c r="U14" s="284"/>
      <c r="V14" s="284"/>
      <c r="W14" s="284"/>
      <c r="X14" s="284"/>
      <c r="Y14" s="284"/>
      <c r="Z14" s="284"/>
      <c r="AA14" s="284"/>
      <c r="AB14" s="284"/>
      <c r="AC14" s="284"/>
      <c r="AD14" s="284"/>
      <c r="AE14" s="284"/>
    </row>
    <row r="15">
      <c r="A15" s="284"/>
      <c r="B15" s="284"/>
      <c r="C15" s="284"/>
      <c r="D15" s="284"/>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row>
    <row r="16">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c r="AA16" s="284"/>
      <c r="AB16" s="284"/>
      <c r="AC16" s="284"/>
      <c r="AD16" s="284"/>
      <c r="AE16" s="284"/>
    </row>
    <row r="17">
      <c r="A17" s="284"/>
      <c r="B17" s="284"/>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4"/>
    </row>
    <row r="18">
      <c r="A18" s="284"/>
      <c r="B18" s="284"/>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c r="AA18" s="284"/>
      <c r="AB18" s="284"/>
      <c r="AC18" s="284"/>
      <c r="AD18" s="284"/>
      <c r="AE18" s="284"/>
    </row>
    <row r="19">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row>
    <row r="20">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c r="AD20" s="284"/>
      <c r="AE20" s="284"/>
    </row>
    <row r="2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row>
    <row r="22">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row>
    <row r="23">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row>
    <row r="24">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row>
    <row r="25">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row>
    <row r="26">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row>
    <row r="27">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row>
    <row r="28">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c r="AA28" s="284"/>
      <c r="AB28" s="284"/>
      <c r="AC28" s="284"/>
      <c r="AD28" s="284"/>
      <c r="AE28" s="284"/>
    </row>
    <row r="29">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c r="AA29" s="284"/>
      <c r="AB29" s="284"/>
      <c r="AC29" s="284"/>
      <c r="AD29" s="284"/>
      <c r="AE29" s="284"/>
    </row>
    <row r="30">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row>
    <row r="3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row>
    <row r="32">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row>
    <row r="33">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row>
    <row r="34">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row>
    <row r="35">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row>
    <row r="36">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row>
    <row r="37">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row>
    <row r="38">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row>
    <row r="39">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row>
    <row r="40">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row>
    <row r="4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row>
    <row r="42">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row>
    <row r="43">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row>
    <row r="44">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row>
    <row r="45">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row>
    <row r="46">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row>
    <row r="47">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row>
    <row r="48">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row>
    <row r="49">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row>
    <row r="50">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row>
    <row r="5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row>
    <row r="52">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row>
    <row r="53">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row>
    <row r="54">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row>
    <row r="55">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row>
    <row r="56">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row>
    <row r="57">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row>
    <row r="58">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row>
    <row r="59">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row>
    <row r="60">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row>
    <row r="6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row>
    <row r="62">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row>
    <row r="63">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row>
    <row r="64">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row>
    <row r="65">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row>
    <row r="66">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row>
    <row r="67">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row>
    <row r="68">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row>
    <row r="69">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row>
    <row r="70">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row>
    <row r="7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row>
    <row r="72">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row>
    <row r="73">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row>
    <row r="74">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row>
    <row r="75">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row>
    <row r="76">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row>
    <row r="77">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row>
    <row r="78">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row>
    <row r="79">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row>
    <row r="80">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row>
    <row r="8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row>
    <row r="82">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row>
    <row r="83">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row>
    <row r="84">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row>
    <row r="85">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row>
    <row r="86">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row>
    <row r="87">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row>
    <row r="88">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row>
    <row r="89">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row>
    <row r="90">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row>
    <row r="9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row>
    <row r="92">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row>
    <row r="93">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row>
    <row r="94">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row>
    <row r="95">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row>
    <row r="96">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row>
    <row r="97">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row>
    <row r="98">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row>
    <row r="99">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row>
    <row r="100">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row>
    <row r="10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row>
    <row r="102">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row>
    <row r="103">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row>
    <row r="104">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row>
    <row r="105">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row>
    <row r="106">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row>
    <row r="107">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row>
    <row r="108">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row>
    <row r="109">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row>
    <row r="110">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row>
    <row r="11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row>
    <row r="112">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row>
    <row r="113">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row>
    <row r="114">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row>
    <row r="115">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row>
    <row r="116">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row>
    <row r="117">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row>
    <row r="118">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row>
    <row r="119">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row>
    <row r="120">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row>
    <row r="12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row>
    <row r="122">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row>
    <row r="123">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row>
    <row r="124">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row>
    <row r="125">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row>
    <row r="126">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row>
    <row r="127">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row>
    <row r="128">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row>
    <row r="129">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row>
    <row r="130">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row>
    <row r="13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row>
    <row r="132">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row>
    <row r="133">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row>
    <row r="134">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row>
    <row r="135">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row>
    <row r="136">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row>
    <row r="137">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row>
    <row r="138">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row>
    <row r="139">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row>
    <row r="140">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row>
    <row r="14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row>
    <row r="142">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row>
    <row r="143">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row>
    <row r="144">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row>
    <row r="145">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row>
    <row r="146">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row>
    <row r="147">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row>
    <row r="148">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row>
    <row r="149">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row>
    <row r="150">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row>
    <row r="15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row>
    <row r="152">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row>
    <row r="153">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row>
    <row r="154">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row>
    <row r="155">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row>
    <row r="156">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row>
    <row r="157">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row>
    <row r="158">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row>
    <row r="159">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row>
    <row r="160">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row>
    <row r="16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row>
    <row r="162">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row>
    <row r="163">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row>
    <row r="164">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row>
    <row r="165">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row>
    <row r="166">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row>
    <row r="167">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row>
    <row r="168">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row>
    <row r="169">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row>
    <row r="170">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row>
    <row r="17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row>
    <row r="172">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row>
    <row r="173">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row>
    <row r="174">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row>
    <row r="175">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row>
    <row r="176">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row>
    <row r="177">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row>
    <row r="178">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row>
    <row r="179">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row>
    <row r="180">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row>
    <row r="18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row>
    <row r="182">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row>
    <row r="183">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row>
    <row r="184">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row>
    <row r="185">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row>
    <row r="186">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row>
    <row r="187">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row>
    <row r="188">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row>
    <row r="189">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row>
    <row r="190">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row>
    <row r="19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row>
    <row r="192">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row>
    <row r="193">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row>
    <row r="194">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row>
    <row r="195">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row>
    <row r="196">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row>
    <row r="197">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row>
    <row r="198">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row>
    <row r="199">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row>
    <row r="200">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row>
    <row r="20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row>
    <row r="202">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row>
    <row r="203">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row>
    <row r="204">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row>
    <row r="205">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row>
    <row r="206">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row>
    <row r="207">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row>
    <row r="208">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row>
    <row r="209">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row>
    <row r="210">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row>
    <row r="21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row>
    <row r="212">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row>
    <row r="213">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row>
    <row r="214">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row>
    <row r="215">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row>
    <row r="216">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row>
    <row r="217">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row>
    <row r="218">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row>
    <row r="219">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row>
    <row r="220">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row>
    <row r="22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row>
    <row r="222">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row>
    <row r="223">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row>
    <row r="224">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row>
    <row r="225">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row>
    <row r="226">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row>
    <row r="227">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row>
    <row r="228">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row>
    <row r="229">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row>
    <row r="230">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row>
    <row r="23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row>
    <row r="232">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row>
    <row r="233">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row>
    <row r="234">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row>
    <row r="235">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row>
    <row r="236">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row>
    <row r="237">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row>
    <row r="238">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row>
    <row r="239">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row>
    <row r="240">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row>
    <row r="24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row>
    <row r="242">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row>
    <row r="243">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row>
    <row r="244">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row>
    <row r="245">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row>
    <row r="246">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row>
    <row r="247">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row>
    <row r="248">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row>
    <row r="249">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row>
    <row r="250">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row>
    <row r="25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row>
    <row r="252">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row>
    <row r="253">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row>
    <row r="254">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row>
    <row r="255">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row>
    <row r="256">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row>
    <row r="257">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row>
    <row r="258">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row>
    <row r="259">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row>
    <row r="260">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row>
    <row r="26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row>
    <row r="262">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row>
    <row r="263">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row>
    <row r="264">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row>
    <row r="265">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row>
    <row r="266">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row>
    <row r="267">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row>
    <row r="268">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row>
    <row r="269">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row>
    <row r="270">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row>
    <row r="27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row>
    <row r="272">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row>
    <row r="273">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row>
    <row r="274">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row>
    <row r="275">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row>
    <row r="276">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row>
    <row r="277">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row>
    <row r="278">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row>
    <row r="279">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row>
    <row r="280">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row>
    <row r="28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row>
    <row r="282">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row>
    <row r="283">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row>
    <row r="284">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row>
    <row r="285">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row>
    <row r="286">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row>
    <row r="287">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row>
    <row r="288">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row>
    <row r="289">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row>
    <row r="290">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row>
    <row r="29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row>
    <row r="292">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row>
    <row r="293">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row>
    <row r="294">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row>
    <row r="295">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row>
    <row r="296">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row>
    <row r="297">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row>
    <row r="298">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row>
    <row r="299">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row>
    <row r="300">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row>
    <row r="30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row>
    <row r="302">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row>
    <row r="303">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row>
    <row r="304">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row>
    <row r="305">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row>
    <row r="306">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row>
    <row r="307">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row>
    <row r="308">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row>
    <row r="309">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row>
    <row r="310">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row>
    <row r="31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row>
    <row r="312">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row>
    <row r="313">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row>
    <row r="314">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row>
    <row r="315">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row>
    <row r="316">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row>
    <row r="317">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row>
    <row r="318">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row>
    <row r="319">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row>
    <row r="320">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row>
    <row r="32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row>
    <row r="322">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row>
    <row r="323">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row>
    <row r="324">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row>
    <row r="325">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row>
    <row r="326">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row>
    <row r="327">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row>
    <row r="328">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row>
    <row r="329">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row>
    <row r="330">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row>
    <row r="33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row>
    <row r="332">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row>
    <row r="333">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row>
    <row r="334">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row>
    <row r="335">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row>
    <row r="336">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row>
    <row r="337">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row>
    <row r="338">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row>
    <row r="339">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row>
    <row r="340">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row>
    <row r="34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row>
    <row r="342">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row>
    <row r="343">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row>
    <row r="344">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row>
    <row r="345">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row>
    <row r="346">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row>
    <row r="347">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row>
    <row r="348">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row>
    <row r="349">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row>
    <row r="350">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row>
    <row r="35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row>
    <row r="352">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row>
    <row r="353">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row>
    <row r="354">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row>
    <row r="355">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row>
    <row r="356">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row>
    <row r="357">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row>
    <row r="358">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row>
    <row r="359">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row>
    <row r="360">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row>
    <row r="36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row>
    <row r="362">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row>
    <row r="363">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row>
    <row r="364">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row>
    <row r="365">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row>
    <row r="366">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row>
    <row r="367">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row>
    <row r="368">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row>
    <row r="369">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row>
    <row r="370">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row>
    <row r="37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row>
    <row r="372">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row>
    <row r="373">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row>
    <row r="374">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row>
    <row r="375">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row>
    <row r="376">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row>
    <row r="377">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row>
    <row r="378">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row>
    <row r="379">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row>
    <row r="380">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row>
    <row r="38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row>
    <row r="382">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row>
    <row r="383">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row>
    <row r="384">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row>
    <row r="385">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row>
    <row r="386">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row>
    <row r="387">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row>
    <row r="388">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row>
    <row r="389">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row>
    <row r="390">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row>
    <row r="39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row>
    <row r="392">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row>
    <row r="393">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row>
    <row r="394">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row>
    <row r="395">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row>
    <row r="396">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row>
    <row r="397">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row>
    <row r="398">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row>
    <row r="399">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row>
    <row r="400">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row>
    <row r="40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row>
    <row r="402">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row>
    <row r="403">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row>
    <row r="404">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row>
    <row r="405">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row>
    <row r="406">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row>
    <row r="407">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row>
    <row r="408">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row>
    <row r="409">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row>
    <row r="410">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row>
    <row r="41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row>
    <row r="412">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row>
    <row r="413">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row>
    <row r="414">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row>
    <row r="415">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row>
    <row r="416">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row>
    <row r="417">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row>
    <row r="418">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row>
    <row r="419">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row>
    <row r="420">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row>
    <row r="42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row>
    <row r="422">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row>
    <row r="423">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row>
    <row r="424">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row>
    <row r="425">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row>
    <row r="426">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row>
    <row r="427">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row>
    <row r="428">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row>
    <row r="429">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row>
    <row r="430">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row>
    <row r="43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row>
    <row r="432">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row>
    <row r="433">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row>
    <row r="434">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row>
    <row r="435">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row>
    <row r="436">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row>
    <row r="437">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row>
    <row r="438">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row>
    <row r="439">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row>
    <row r="440">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row>
    <row r="44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row>
    <row r="442">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row>
    <row r="443">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row>
    <row r="444">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row>
    <row r="445">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row>
    <row r="446">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row>
    <row r="447">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row>
    <row r="448">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row>
    <row r="449">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row>
    <row r="450">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row>
    <row r="45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row>
    <row r="452">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row>
    <row r="453">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row>
    <row r="454">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row>
    <row r="455">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row>
    <row r="456">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row>
    <row r="457">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row>
    <row r="458">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25"/>
    <col customWidth="1" min="3" max="3" width="19.63"/>
    <col customWidth="1" min="4" max="4" width="14.5"/>
    <col customWidth="1" min="5" max="5" width="19.63"/>
    <col customWidth="1" min="7" max="7" width="17.13"/>
    <col customWidth="1" min="10" max="10" width="13.38"/>
    <col customWidth="1" min="12" max="12" width="18.25"/>
    <col customWidth="1" min="15" max="15" width="13.63"/>
    <col customWidth="1" min="17" max="17" width="13.38"/>
    <col customWidth="1" min="19" max="19" width="13.75"/>
    <col customWidth="1" min="20" max="20" width="13.25"/>
    <col customWidth="1" min="22" max="22" width="14.0"/>
  </cols>
  <sheetData>
    <row r="1">
      <c r="A1" s="375"/>
      <c r="B1" s="376"/>
      <c r="C1" s="376"/>
      <c r="D1" s="376"/>
      <c r="E1" s="376"/>
      <c r="F1" s="376"/>
      <c r="G1" s="376"/>
      <c r="H1" s="376"/>
      <c r="I1" s="377"/>
      <c r="J1" s="378"/>
      <c r="K1" s="378"/>
      <c r="L1" s="376"/>
      <c r="M1" s="376"/>
      <c r="N1" s="376"/>
      <c r="O1" s="376"/>
      <c r="P1" s="376"/>
      <c r="Q1" s="376"/>
      <c r="R1" s="375"/>
      <c r="S1" s="376"/>
      <c r="T1" s="377"/>
      <c r="U1" s="375"/>
      <c r="V1" s="375"/>
      <c r="W1" s="375"/>
      <c r="X1" s="293"/>
      <c r="Y1" s="293"/>
      <c r="Z1" s="293"/>
      <c r="AA1" s="293"/>
      <c r="AB1" s="293"/>
      <c r="AC1" s="293"/>
      <c r="AD1" s="293"/>
      <c r="AE1" s="293"/>
    </row>
    <row r="2" ht="22.5" customHeight="1">
      <c r="A2" s="379" t="s">
        <v>557</v>
      </c>
      <c r="B2" s="380" t="s">
        <v>2526</v>
      </c>
      <c r="C2" s="380" t="s">
        <v>2527</v>
      </c>
      <c r="D2" s="380" t="s">
        <v>2528</v>
      </c>
      <c r="E2" s="380" t="s">
        <v>2529</v>
      </c>
      <c r="F2" s="380" t="s">
        <v>696</v>
      </c>
      <c r="G2" s="380" t="s">
        <v>2530</v>
      </c>
      <c r="H2" s="380" t="s">
        <v>2531</v>
      </c>
      <c r="I2" s="381" t="s">
        <v>2532</v>
      </c>
      <c r="J2" s="382" t="s">
        <v>2533</v>
      </c>
      <c r="K2" s="382" t="s">
        <v>2534</v>
      </c>
      <c r="L2" s="380" t="s">
        <v>2535</v>
      </c>
      <c r="M2" s="380" t="s">
        <v>183</v>
      </c>
      <c r="N2" s="380" t="s">
        <v>2536</v>
      </c>
      <c r="O2" s="380" t="s">
        <v>2537</v>
      </c>
      <c r="P2" s="380" t="s">
        <v>2538</v>
      </c>
      <c r="Q2" s="380" t="s">
        <v>173</v>
      </c>
      <c r="R2" s="379" t="s">
        <v>2539</v>
      </c>
      <c r="S2" s="380" t="s">
        <v>2540</v>
      </c>
      <c r="T2" s="381" t="s">
        <v>2541</v>
      </c>
      <c r="U2" s="379" t="s">
        <v>2542</v>
      </c>
      <c r="V2" s="379" t="s">
        <v>2543</v>
      </c>
      <c r="W2" s="379" t="s">
        <v>2544</v>
      </c>
      <c r="X2" s="293"/>
      <c r="Y2" s="293"/>
      <c r="Z2" s="293"/>
      <c r="AA2" s="293"/>
      <c r="AB2" s="293"/>
      <c r="AC2" s="293"/>
      <c r="AD2" s="293"/>
      <c r="AE2" s="293"/>
    </row>
    <row r="3" ht="22.5" customHeight="1">
      <c r="A3" s="383"/>
      <c r="B3" s="384"/>
      <c r="C3" s="384"/>
      <c r="D3" s="384"/>
      <c r="E3" s="384"/>
      <c r="F3" s="384"/>
      <c r="G3" s="384"/>
      <c r="H3" s="384"/>
      <c r="I3" s="384"/>
      <c r="J3" s="385"/>
      <c r="K3" s="385"/>
      <c r="L3" s="384"/>
      <c r="M3" s="384"/>
      <c r="N3" s="384"/>
      <c r="O3" s="384"/>
      <c r="P3" s="384"/>
      <c r="Q3" s="384"/>
      <c r="R3" s="383"/>
      <c r="S3" s="384"/>
      <c r="T3" s="384"/>
      <c r="U3" s="383"/>
      <c r="V3" s="383"/>
      <c r="W3" s="383"/>
      <c r="X3" s="284"/>
      <c r="Y3" s="284"/>
      <c r="Z3" s="284"/>
      <c r="AA3" s="284"/>
      <c r="AB3" s="284"/>
      <c r="AC3" s="284"/>
      <c r="AD3" s="284"/>
      <c r="AE3" s="284"/>
    </row>
    <row r="4" ht="22.5" customHeight="1">
      <c r="A4" s="383"/>
      <c r="B4" s="384"/>
      <c r="C4" s="384"/>
      <c r="D4" s="384"/>
      <c r="E4" s="384"/>
      <c r="F4" s="384"/>
      <c r="G4" s="384"/>
      <c r="H4" s="384"/>
      <c r="I4" s="384"/>
      <c r="J4" s="385"/>
      <c r="K4" s="385"/>
      <c r="L4" s="384"/>
      <c r="M4" s="384"/>
      <c r="N4" s="384"/>
      <c r="O4" s="384"/>
      <c r="P4" s="384"/>
      <c r="Q4" s="384"/>
      <c r="R4" s="383"/>
      <c r="S4" s="384"/>
      <c r="T4" s="384"/>
      <c r="U4" s="383"/>
      <c r="V4" s="383"/>
      <c r="W4" s="383"/>
      <c r="X4" s="284"/>
      <c r="Y4" s="284"/>
      <c r="Z4" s="284"/>
      <c r="AA4" s="284"/>
      <c r="AB4" s="284"/>
      <c r="AC4" s="284"/>
      <c r="AD4" s="284"/>
      <c r="AE4" s="284"/>
    </row>
    <row r="5">
      <c r="A5" s="284"/>
      <c r="B5" s="284"/>
      <c r="C5" s="284"/>
      <c r="D5" s="284"/>
      <c r="E5" s="284"/>
      <c r="F5" s="284"/>
      <c r="G5" s="284"/>
      <c r="H5" s="284"/>
      <c r="I5" s="284"/>
      <c r="J5" s="284"/>
      <c r="K5" s="284"/>
      <c r="L5" s="284"/>
      <c r="M5" s="284"/>
      <c r="N5" s="284"/>
      <c r="O5" s="284"/>
      <c r="P5" s="284"/>
      <c r="Q5" s="284"/>
      <c r="R5" s="284"/>
      <c r="S5" s="284"/>
      <c r="T5" s="284"/>
      <c r="U5" s="284"/>
      <c r="V5" s="284"/>
      <c r="W5" s="284"/>
      <c r="X5" s="284"/>
      <c r="Y5" s="284"/>
      <c r="Z5" s="284"/>
      <c r="AA5" s="284"/>
      <c r="AB5" s="284"/>
      <c r="AC5" s="284"/>
      <c r="AD5" s="284"/>
      <c r="AE5" s="284"/>
    </row>
    <row r="6">
      <c r="A6" s="284"/>
      <c r="B6" s="284"/>
      <c r="C6" s="284"/>
      <c r="D6" s="284"/>
      <c r="E6" s="284"/>
      <c r="F6" s="284"/>
      <c r="G6" s="284"/>
      <c r="H6" s="284"/>
      <c r="I6" s="284"/>
      <c r="J6" s="284"/>
      <c r="K6" s="284"/>
      <c r="L6" s="284"/>
      <c r="M6" s="284"/>
      <c r="N6" s="284"/>
      <c r="O6" s="284"/>
      <c r="P6" s="284"/>
      <c r="Q6" s="284"/>
      <c r="R6" s="284"/>
      <c r="S6" s="284"/>
      <c r="T6" s="284"/>
      <c r="U6" s="284"/>
      <c r="V6" s="284"/>
      <c r="W6" s="284"/>
      <c r="X6" s="284"/>
      <c r="Y6" s="284"/>
      <c r="Z6" s="284"/>
      <c r="AA6" s="284"/>
      <c r="AB6" s="284"/>
      <c r="AC6" s="284"/>
      <c r="AD6" s="284"/>
      <c r="AE6" s="284"/>
    </row>
    <row r="7">
      <c r="A7" s="284"/>
      <c r="B7" s="284"/>
      <c r="C7" s="284"/>
      <c r="D7" s="284"/>
      <c r="E7" s="284"/>
      <c r="F7" s="284"/>
      <c r="G7" s="284"/>
      <c r="H7" s="284"/>
      <c r="I7" s="284"/>
      <c r="J7" s="284"/>
      <c r="K7" s="284"/>
      <c r="L7" s="284"/>
      <c r="M7" s="284"/>
      <c r="N7" s="284"/>
      <c r="O7" s="284"/>
      <c r="P7" s="284"/>
      <c r="Q7" s="284"/>
      <c r="R7" s="284"/>
      <c r="S7" s="284"/>
      <c r="T7" s="284"/>
      <c r="U7" s="284"/>
      <c r="V7" s="284"/>
      <c r="W7" s="284"/>
      <c r="X7" s="284"/>
      <c r="Y7" s="284"/>
      <c r="Z7" s="284"/>
      <c r="AA7" s="284"/>
      <c r="AB7" s="284"/>
      <c r="AC7" s="284"/>
      <c r="AD7" s="284"/>
      <c r="AE7" s="284"/>
    </row>
    <row r="8">
      <c r="A8" s="284"/>
      <c r="B8" s="284"/>
      <c r="C8" s="284"/>
      <c r="D8" s="284"/>
      <c r="E8" s="284"/>
      <c r="F8" s="284"/>
      <c r="G8" s="284"/>
      <c r="H8" s="284"/>
      <c r="I8" s="284"/>
      <c r="J8" s="284"/>
      <c r="K8" s="284"/>
      <c r="L8" s="284"/>
      <c r="M8" s="284"/>
      <c r="N8" s="284"/>
      <c r="O8" s="284"/>
      <c r="P8" s="284"/>
      <c r="Q8" s="284"/>
      <c r="R8" s="284"/>
      <c r="S8" s="284"/>
      <c r="T8" s="284"/>
      <c r="U8" s="284"/>
      <c r="V8" s="284"/>
      <c r="W8" s="284"/>
      <c r="X8" s="284"/>
      <c r="Y8" s="284"/>
      <c r="Z8" s="284"/>
      <c r="AA8" s="284"/>
      <c r="AB8" s="284"/>
      <c r="AC8" s="284"/>
      <c r="AD8" s="284"/>
      <c r="AE8" s="284"/>
    </row>
    <row r="9">
      <c r="A9" s="284"/>
      <c r="B9" s="284"/>
      <c r="C9" s="284"/>
      <c r="D9" s="284"/>
      <c r="E9" s="284"/>
      <c r="F9" s="284"/>
      <c r="G9" s="284"/>
      <c r="H9" s="284"/>
      <c r="I9" s="284"/>
      <c r="J9" s="284"/>
      <c r="K9" s="284"/>
      <c r="L9" s="284"/>
      <c r="M9" s="284"/>
      <c r="N9" s="284"/>
      <c r="O9" s="284"/>
      <c r="P9" s="284"/>
      <c r="Q9" s="284"/>
      <c r="R9" s="284"/>
      <c r="S9" s="284"/>
      <c r="T9" s="284"/>
      <c r="U9" s="284"/>
      <c r="V9" s="284"/>
      <c r="W9" s="284"/>
      <c r="X9" s="284"/>
      <c r="Y9" s="284"/>
      <c r="Z9" s="284"/>
      <c r="AA9" s="284"/>
      <c r="AB9" s="284"/>
      <c r="AC9" s="284"/>
      <c r="AD9" s="284"/>
      <c r="AE9" s="284"/>
    </row>
    <row r="10">
      <c r="A10" s="284"/>
      <c r="B10" s="284"/>
      <c r="C10" s="284"/>
      <c r="D10" s="284"/>
      <c r="E10" s="284"/>
      <c r="F10" s="284"/>
      <c r="G10" s="284"/>
      <c r="H10" s="284"/>
      <c r="I10" s="284"/>
      <c r="J10" s="284"/>
      <c r="K10" s="284"/>
      <c r="L10" s="284"/>
      <c r="M10" s="284"/>
      <c r="N10" s="284"/>
      <c r="O10" s="284"/>
      <c r="P10" s="284"/>
      <c r="Q10" s="284"/>
      <c r="R10" s="284"/>
      <c r="S10" s="284"/>
      <c r="T10" s="284"/>
      <c r="U10" s="284"/>
      <c r="V10" s="284"/>
      <c r="W10" s="284"/>
      <c r="X10" s="284"/>
      <c r="Y10" s="284"/>
      <c r="Z10" s="284"/>
      <c r="AA10" s="284"/>
      <c r="AB10" s="284"/>
      <c r="AC10" s="284"/>
      <c r="AD10" s="284"/>
      <c r="AE10" s="284"/>
    </row>
    <row r="11">
      <c r="A11" s="284"/>
      <c r="B11" s="284"/>
      <c r="C11" s="284"/>
      <c r="D11" s="284"/>
      <c r="E11" s="284"/>
      <c r="F11" s="284"/>
      <c r="G11" s="284"/>
      <c r="H11" s="284"/>
      <c r="I11" s="284"/>
      <c r="J11" s="284"/>
      <c r="K11" s="284"/>
      <c r="L11" s="284"/>
      <c r="M11" s="284"/>
      <c r="N11" s="284"/>
      <c r="O11" s="284"/>
      <c r="P11" s="284"/>
      <c r="Q11" s="284"/>
      <c r="R11" s="284"/>
      <c r="S11" s="284"/>
      <c r="T11" s="284"/>
      <c r="U11" s="284"/>
      <c r="V11" s="284"/>
      <c r="W11" s="284"/>
      <c r="X11" s="284"/>
      <c r="Y11" s="284"/>
      <c r="Z11" s="284"/>
      <c r="AA11" s="284"/>
      <c r="AB11" s="284"/>
      <c r="AC11" s="284"/>
      <c r="AD11" s="284"/>
      <c r="AE11" s="284"/>
    </row>
    <row r="12">
      <c r="A12" s="284"/>
      <c r="B12" s="284"/>
      <c r="C12" s="284"/>
      <c r="D12" s="284"/>
      <c r="E12" s="284"/>
      <c r="F12" s="284"/>
      <c r="G12" s="284"/>
      <c r="H12" s="284"/>
      <c r="I12" s="284"/>
      <c r="J12" s="284"/>
      <c r="K12" s="284"/>
      <c r="L12" s="284"/>
      <c r="M12" s="284"/>
      <c r="N12" s="284"/>
      <c r="O12" s="284"/>
      <c r="P12" s="284"/>
      <c r="Q12" s="284"/>
      <c r="R12" s="284"/>
      <c r="S12" s="284"/>
      <c r="T12" s="284"/>
      <c r="U12" s="284"/>
      <c r="V12" s="284"/>
      <c r="W12" s="284"/>
      <c r="X12" s="284"/>
      <c r="Y12" s="284"/>
      <c r="Z12" s="284"/>
      <c r="AA12" s="284"/>
      <c r="AB12" s="284"/>
      <c r="AC12" s="284"/>
      <c r="AD12" s="284"/>
      <c r="AE12" s="284"/>
    </row>
    <row r="13">
      <c r="A13" s="284"/>
      <c r="B13" s="284"/>
      <c r="C13" s="284"/>
      <c r="D13" s="284"/>
      <c r="E13" s="284"/>
      <c r="F13" s="284"/>
      <c r="G13" s="284"/>
      <c r="H13" s="284"/>
      <c r="I13" s="284"/>
      <c r="J13" s="284"/>
      <c r="K13" s="284"/>
      <c r="L13" s="284"/>
      <c r="M13" s="284"/>
      <c r="N13" s="284"/>
      <c r="O13" s="284"/>
      <c r="P13" s="284"/>
      <c r="Q13" s="284"/>
      <c r="R13" s="284"/>
      <c r="S13" s="284"/>
      <c r="T13" s="284"/>
      <c r="U13" s="284"/>
      <c r="V13" s="284"/>
      <c r="W13" s="284"/>
      <c r="X13" s="284"/>
      <c r="Y13" s="284"/>
      <c r="Z13" s="284"/>
      <c r="AA13" s="284"/>
      <c r="AB13" s="284"/>
      <c r="AC13" s="284"/>
      <c r="AD13" s="284"/>
      <c r="AE13" s="284"/>
    </row>
    <row r="14">
      <c r="A14" s="284"/>
      <c r="B14" s="284"/>
      <c r="C14" s="284"/>
      <c r="D14" s="284"/>
      <c r="E14" s="284"/>
      <c r="F14" s="284"/>
      <c r="G14" s="284"/>
      <c r="H14" s="284"/>
      <c r="I14" s="284"/>
      <c r="J14" s="284"/>
      <c r="K14" s="284"/>
      <c r="L14" s="284"/>
      <c r="M14" s="284"/>
      <c r="N14" s="284"/>
      <c r="O14" s="284"/>
      <c r="P14" s="284"/>
      <c r="Q14" s="284"/>
      <c r="R14" s="284"/>
      <c r="S14" s="284"/>
      <c r="T14" s="284"/>
      <c r="U14" s="284"/>
      <c r="V14" s="284"/>
      <c r="W14" s="284"/>
      <c r="X14" s="284"/>
      <c r="Y14" s="284"/>
      <c r="Z14" s="284"/>
      <c r="AA14" s="284"/>
      <c r="AB14" s="284"/>
      <c r="AC14" s="284"/>
      <c r="AD14" s="284"/>
      <c r="AE14" s="284"/>
    </row>
    <row r="15">
      <c r="A15" s="284"/>
      <c r="B15" s="284"/>
      <c r="C15" s="284"/>
      <c r="D15" s="284"/>
      <c r="E15" s="284"/>
      <c r="F15" s="284"/>
      <c r="G15" s="284"/>
      <c r="H15" s="284"/>
      <c r="I15" s="284"/>
      <c r="J15" s="284"/>
      <c r="K15" s="284"/>
      <c r="L15" s="284"/>
      <c r="M15" s="284"/>
      <c r="N15" s="284"/>
      <c r="O15" s="284"/>
      <c r="P15" s="284"/>
      <c r="Q15" s="284"/>
      <c r="R15" s="284"/>
      <c r="S15" s="284"/>
      <c r="T15" s="284"/>
      <c r="U15" s="284"/>
      <c r="V15" s="284"/>
      <c r="W15" s="284"/>
      <c r="X15" s="284"/>
      <c r="Y15" s="284"/>
      <c r="Z15" s="284"/>
      <c r="AA15" s="284"/>
      <c r="AB15" s="284"/>
      <c r="AC15" s="284"/>
      <c r="AD15" s="284"/>
      <c r="AE15" s="284"/>
    </row>
    <row r="16">
      <c r="A16" s="284"/>
      <c r="B16" s="284"/>
      <c r="C16" s="284"/>
      <c r="D16" s="284"/>
      <c r="E16" s="284"/>
      <c r="F16" s="284"/>
      <c r="G16" s="284"/>
      <c r="H16" s="284"/>
      <c r="I16" s="284"/>
      <c r="J16" s="284"/>
      <c r="K16" s="284"/>
      <c r="L16" s="284"/>
      <c r="M16" s="284"/>
      <c r="N16" s="284"/>
      <c r="O16" s="284"/>
      <c r="P16" s="284"/>
      <c r="Q16" s="284"/>
      <c r="R16" s="284"/>
      <c r="S16" s="284"/>
      <c r="T16" s="284"/>
      <c r="U16" s="284"/>
      <c r="V16" s="284"/>
      <c r="W16" s="284"/>
      <c r="X16" s="284"/>
      <c r="Y16" s="284"/>
      <c r="Z16" s="284"/>
      <c r="AA16" s="284"/>
      <c r="AB16" s="284"/>
      <c r="AC16" s="284"/>
      <c r="AD16" s="284"/>
      <c r="AE16" s="284"/>
    </row>
    <row r="17">
      <c r="A17" s="284"/>
      <c r="B17" s="284"/>
      <c r="C17" s="284"/>
      <c r="D17" s="284"/>
      <c r="E17" s="284"/>
      <c r="F17" s="284"/>
      <c r="G17" s="284"/>
      <c r="H17" s="284"/>
      <c r="I17" s="284"/>
      <c r="J17" s="284"/>
      <c r="K17" s="284"/>
      <c r="L17" s="284"/>
      <c r="M17" s="284"/>
      <c r="N17" s="284"/>
      <c r="O17" s="284"/>
      <c r="P17" s="284"/>
      <c r="Q17" s="284"/>
      <c r="R17" s="284"/>
      <c r="S17" s="284"/>
      <c r="T17" s="284"/>
      <c r="U17" s="284"/>
      <c r="V17" s="284"/>
      <c r="W17" s="284"/>
      <c r="X17" s="284"/>
      <c r="Y17" s="284"/>
      <c r="Z17" s="284"/>
      <c r="AA17" s="284"/>
      <c r="AB17" s="284"/>
      <c r="AC17" s="284"/>
      <c r="AD17" s="284"/>
      <c r="AE17" s="284"/>
    </row>
    <row r="18">
      <c r="A18" s="284"/>
      <c r="B18" s="284"/>
      <c r="C18" s="284"/>
      <c r="D18" s="284"/>
      <c r="E18" s="284"/>
      <c r="F18" s="284"/>
      <c r="G18" s="284"/>
      <c r="H18" s="284"/>
      <c r="I18" s="284"/>
      <c r="J18" s="284"/>
      <c r="K18" s="284"/>
      <c r="L18" s="284"/>
      <c r="M18" s="284"/>
      <c r="N18" s="284"/>
      <c r="O18" s="284"/>
      <c r="P18" s="284"/>
      <c r="Q18" s="284"/>
      <c r="R18" s="284"/>
      <c r="S18" s="284"/>
      <c r="T18" s="284"/>
      <c r="U18" s="284"/>
      <c r="V18" s="284"/>
      <c r="W18" s="284"/>
      <c r="X18" s="284"/>
      <c r="Y18" s="284"/>
      <c r="Z18" s="284"/>
      <c r="AA18" s="284"/>
      <c r="AB18" s="284"/>
      <c r="AC18" s="284"/>
      <c r="AD18" s="284"/>
      <c r="AE18" s="284"/>
    </row>
    <row r="19">
      <c r="A19" s="284"/>
      <c r="B19" s="284"/>
      <c r="C19" s="284"/>
      <c r="D19" s="284"/>
      <c r="E19" s="284"/>
      <c r="F19" s="284"/>
      <c r="G19" s="284"/>
      <c r="H19" s="284"/>
      <c r="I19" s="284"/>
      <c r="J19" s="284"/>
      <c r="K19" s="284"/>
      <c r="L19" s="284"/>
      <c r="M19" s="284"/>
      <c r="N19" s="284"/>
      <c r="O19" s="284"/>
      <c r="P19" s="284"/>
      <c r="Q19" s="284"/>
      <c r="R19" s="284"/>
      <c r="S19" s="284"/>
      <c r="T19" s="284"/>
      <c r="U19" s="284"/>
      <c r="V19" s="284"/>
      <c r="W19" s="284"/>
      <c r="X19" s="284"/>
      <c r="Y19" s="284"/>
      <c r="Z19" s="284"/>
      <c r="AA19" s="284"/>
      <c r="AB19" s="284"/>
      <c r="AC19" s="284"/>
      <c r="AD19" s="284"/>
      <c r="AE19" s="284"/>
    </row>
    <row r="20">
      <c r="A20" s="284"/>
      <c r="B20" s="284"/>
      <c r="C20" s="284"/>
      <c r="D20" s="284"/>
      <c r="E20" s="284"/>
      <c r="F20" s="284"/>
      <c r="G20" s="284"/>
      <c r="H20" s="284"/>
      <c r="I20" s="284"/>
      <c r="J20" s="284"/>
      <c r="K20" s="284"/>
      <c r="L20" s="284"/>
      <c r="M20" s="284"/>
      <c r="N20" s="284"/>
      <c r="O20" s="284"/>
      <c r="P20" s="284"/>
      <c r="Q20" s="284"/>
      <c r="R20" s="284"/>
      <c r="S20" s="284"/>
      <c r="T20" s="284"/>
      <c r="U20" s="284"/>
      <c r="V20" s="284"/>
      <c r="W20" s="284"/>
      <c r="X20" s="284"/>
      <c r="Y20" s="284"/>
      <c r="Z20" s="284"/>
      <c r="AA20" s="284"/>
      <c r="AB20" s="284"/>
      <c r="AC20" s="284"/>
      <c r="AD20" s="284"/>
      <c r="AE20" s="284"/>
    </row>
    <row r="21">
      <c r="A21" s="284"/>
      <c r="B21" s="284"/>
      <c r="C21" s="284"/>
      <c r="D21" s="284"/>
      <c r="E21" s="284"/>
      <c r="F21" s="284"/>
      <c r="G21" s="284"/>
      <c r="H21" s="284"/>
      <c r="I21" s="284"/>
      <c r="J21" s="284"/>
      <c r="K21" s="284"/>
      <c r="L21" s="284"/>
      <c r="M21" s="284"/>
      <c r="N21" s="284"/>
      <c r="O21" s="284"/>
      <c r="P21" s="284"/>
      <c r="Q21" s="284"/>
      <c r="R21" s="284"/>
      <c r="S21" s="284"/>
      <c r="T21" s="284"/>
      <c r="U21" s="284"/>
      <c r="V21" s="284"/>
      <c r="W21" s="284"/>
      <c r="X21" s="284"/>
      <c r="Y21" s="284"/>
      <c r="Z21" s="284"/>
      <c r="AA21" s="284"/>
      <c r="AB21" s="284"/>
      <c r="AC21" s="284"/>
      <c r="AD21" s="284"/>
      <c r="AE21" s="284"/>
    </row>
    <row r="22">
      <c r="A22" s="284"/>
      <c r="B22" s="284"/>
      <c r="C22" s="284"/>
      <c r="D22" s="284"/>
      <c r="E22" s="284"/>
      <c r="F22" s="284"/>
      <c r="G22" s="284"/>
      <c r="H22" s="284"/>
      <c r="I22" s="284"/>
      <c r="J22" s="284"/>
      <c r="K22" s="284"/>
      <c r="L22" s="284"/>
      <c r="M22" s="284"/>
      <c r="N22" s="284"/>
      <c r="O22" s="284"/>
      <c r="P22" s="284"/>
      <c r="Q22" s="284"/>
      <c r="R22" s="284"/>
      <c r="S22" s="284"/>
      <c r="T22" s="284"/>
      <c r="U22" s="284"/>
      <c r="V22" s="284"/>
      <c r="W22" s="284"/>
      <c r="X22" s="284"/>
      <c r="Y22" s="284"/>
      <c r="Z22" s="284"/>
      <c r="AA22" s="284"/>
      <c r="AB22" s="284"/>
      <c r="AC22" s="284"/>
      <c r="AD22" s="284"/>
      <c r="AE22" s="284"/>
    </row>
    <row r="23">
      <c r="A23" s="284"/>
      <c r="B23" s="284"/>
      <c r="C23" s="284"/>
      <c r="D23" s="284"/>
      <c r="E23" s="284"/>
      <c r="F23" s="284"/>
      <c r="G23" s="284"/>
      <c r="H23" s="284"/>
      <c r="I23" s="284"/>
      <c r="J23" s="284"/>
      <c r="K23" s="284"/>
      <c r="L23" s="284"/>
      <c r="M23" s="284"/>
      <c r="N23" s="284"/>
      <c r="O23" s="284"/>
      <c r="P23" s="284"/>
      <c r="Q23" s="284"/>
      <c r="R23" s="284"/>
      <c r="S23" s="284"/>
      <c r="T23" s="284"/>
      <c r="U23" s="284"/>
      <c r="V23" s="284"/>
      <c r="W23" s="284"/>
      <c r="X23" s="284"/>
      <c r="Y23" s="284"/>
      <c r="Z23" s="284"/>
      <c r="AA23" s="284"/>
      <c r="AB23" s="284"/>
      <c r="AC23" s="284"/>
      <c r="AD23" s="284"/>
      <c r="AE23" s="284"/>
    </row>
    <row r="24">
      <c r="A24" s="284"/>
      <c r="B24" s="284"/>
      <c r="C24" s="284"/>
      <c r="D24" s="284"/>
      <c r="E24" s="284"/>
      <c r="F24" s="284"/>
      <c r="G24" s="284"/>
      <c r="H24" s="284"/>
      <c r="I24" s="284"/>
      <c r="J24" s="284"/>
      <c r="K24" s="284"/>
      <c r="L24" s="284"/>
      <c r="M24" s="284"/>
      <c r="N24" s="284"/>
      <c r="O24" s="284"/>
      <c r="P24" s="284"/>
      <c r="Q24" s="284"/>
      <c r="R24" s="284"/>
      <c r="S24" s="284"/>
      <c r="T24" s="284"/>
      <c r="U24" s="284"/>
      <c r="V24" s="284"/>
      <c r="W24" s="284"/>
      <c r="X24" s="284"/>
      <c r="Y24" s="284"/>
      <c r="Z24" s="284"/>
      <c r="AA24" s="284"/>
      <c r="AB24" s="284"/>
      <c r="AC24" s="284"/>
      <c r="AD24" s="284"/>
      <c r="AE24" s="284"/>
    </row>
    <row r="25">
      <c r="A25" s="284"/>
      <c r="B25" s="284"/>
      <c r="C25" s="284"/>
      <c r="D25" s="284"/>
      <c r="E25" s="284"/>
      <c r="F25" s="284"/>
      <c r="G25" s="284"/>
      <c r="H25" s="284"/>
      <c r="I25" s="284"/>
      <c r="J25" s="284"/>
      <c r="K25" s="284"/>
      <c r="L25" s="284"/>
      <c r="M25" s="284"/>
      <c r="N25" s="284"/>
      <c r="O25" s="284"/>
      <c r="P25" s="284"/>
      <c r="Q25" s="284"/>
      <c r="R25" s="284"/>
      <c r="S25" s="284"/>
      <c r="T25" s="284"/>
      <c r="U25" s="284"/>
      <c r="V25" s="284"/>
      <c r="W25" s="284"/>
      <c r="X25" s="284"/>
      <c r="Y25" s="284"/>
      <c r="Z25" s="284"/>
      <c r="AA25" s="284"/>
      <c r="AB25" s="284"/>
      <c r="AC25" s="284"/>
      <c r="AD25" s="284"/>
      <c r="AE25" s="284"/>
    </row>
    <row r="26">
      <c r="A26" s="284"/>
      <c r="B26" s="284"/>
      <c r="C26" s="284"/>
      <c r="D26" s="284"/>
      <c r="E26" s="284"/>
      <c r="F26" s="284"/>
      <c r="G26" s="284"/>
      <c r="H26" s="284"/>
      <c r="I26" s="284"/>
      <c r="J26" s="284"/>
      <c r="K26" s="284"/>
      <c r="L26" s="284"/>
      <c r="M26" s="284"/>
      <c r="N26" s="284"/>
      <c r="O26" s="284"/>
      <c r="P26" s="284"/>
      <c r="Q26" s="284"/>
      <c r="R26" s="284"/>
      <c r="S26" s="284"/>
      <c r="T26" s="284"/>
      <c r="U26" s="284"/>
      <c r="V26" s="284"/>
      <c r="W26" s="284"/>
      <c r="X26" s="284"/>
      <c r="Y26" s="284"/>
      <c r="Z26" s="284"/>
      <c r="AA26" s="284"/>
      <c r="AB26" s="284"/>
      <c r="AC26" s="284"/>
      <c r="AD26" s="284"/>
      <c r="AE26" s="284"/>
    </row>
    <row r="27">
      <c r="A27" s="284"/>
      <c r="B27" s="284"/>
      <c r="C27" s="284"/>
      <c r="D27" s="284"/>
      <c r="E27" s="284"/>
      <c r="F27" s="284"/>
      <c r="G27" s="284"/>
      <c r="H27" s="284"/>
      <c r="I27" s="284"/>
      <c r="J27" s="284"/>
      <c r="K27" s="284"/>
      <c r="L27" s="284"/>
      <c r="M27" s="284"/>
      <c r="N27" s="284"/>
      <c r="O27" s="284"/>
      <c r="P27" s="284"/>
      <c r="Q27" s="284"/>
      <c r="R27" s="284"/>
      <c r="S27" s="284"/>
      <c r="T27" s="284"/>
      <c r="U27" s="284"/>
      <c r="V27" s="284"/>
      <c r="W27" s="284"/>
      <c r="X27" s="284"/>
      <c r="Y27" s="284"/>
      <c r="Z27" s="284"/>
      <c r="AA27" s="284"/>
      <c r="AB27" s="284"/>
      <c r="AC27" s="284"/>
      <c r="AD27" s="284"/>
      <c r="AE27" s="284"/>
    </row>
    <row r="28">
      <c r="A28" s="284"/>
      <c r="B28" s="284"/>
      <c r="C28" s="284"/>
      <c r="D28" s="284"/>
      <c r="E28" s="284"/>
      <c r="F28" s="284"/>
      <c r="G28" s="284"/>
      <c r="H28" s="284"/>
      <c r="I28" s="284"/>
      <c r="J28" s="284"/>
      <c r="K28" s="284"/>
      <c r="L28" s="284"/>
      <c r="M28" s="284"/>
      <c r="N28" s="284"/>
      <c r="O28" s="284"/>
      <c r="P28" s="284"/>
      <c r="Q28" s="284"/>
      <c r="R28" s="284"/>
      <c r="S28" s="284"/>
      <c r="T28" s="284"/>
      <c r="U28" s="284"/>
      <c r="V28" s="284"/>
      <c r="W28" s="284"/>
      <c r="X28" s="284"/>
      <c r="Y28" s="284"/>
      <c r="Z28" s="284"/>
      <c r="AA28" s="284"/>
      <c r="AB28" s="284"/>
      <c r="AC28" s="284"/>
      <c r="AD28" s="284"/>
      <c r="AE28" s="284"/>
    </row>
    <row r="29">
      <c r="A29" s="284"/>
      <c r="B29" s="284"/>
      <c r="C29" s="284"/>
      <c r="D29" s="284"/>
      <c r="E29" s="284"/>
      <c r="F29" s="284"/>
      <c r="G29" s="284"/>
      <c r="H29" s="284"/>
      <c r="I29" s="284"/>
      <c r="J29" s="284"/>
      <c r="K29" s="284"/>
      <c r="L29" s="284"/>
      <c r="M29" s="284"/>
      <c r="N29" s="284"/>
      <c r="O29" s="284"/>
      <c r="P29" s="284"/>
      <c r="Q29" s="284"/>
      <c r="R29" s="284"/>
      <c r="S29" s="284"/>
      <c r="T29" s="284"/>
      <c r="U29" s="284"/>
      <c r="V29" s="284"/>
      <c r="W29" s="284"/>
      <c r="X29" s="284"/>
      <c r="Y29" s="284"/>
      <c r="Z29" s="284"/>
      <c r="AA29" s="284"/>
      <c r="AB29" s="284"/>
      <c r="AC29" s="284"/>
      <c r="AD29" s="284"/>
      <c r="AE29" s="284"/>
    </row>
    <row r="30">
      <c r="A30" s="284"/>
      <c r="B30" s="284"/>
      <c r="C30" s="284"/>
      <c r="D30" s="284"/>
      <c r="E30" s="284"/>
      <c r="F30" s="284"/>
      <c r="G30" s="284"/>
      <c r="H30" s="284"/>
      <c r="I30" s="284"/>
      <c r="J30" s="284"/>
      <c r="K30" s="284"/>
      <c r="L30" s="284"/>
      <c r="M30" s="284"/>
      <c r="N30" s="284"/>
      <c r="O30" s="284"/>
      <c r="P30" s="284"/>
      <c r="Q30" s="284"/>
      <c r="R30" s="284"/>
      <c r="S30" s="284"/>
      <c r="T30" s="284"/>
      <c r="U30" s="284"/>
      <c r="V30" s="284"/>
      <c r="W30" s="284"/>
      <c r="X30" s="284"/>
      <c r="Y30" s="284"/>
      <c r="Z30" s="284"/>
      <c r="AA30" s="284"/>
      <c r="AB30" s="284"/>
      <c r="AC30" s="284"/>
      <c r="AD30" s="284"/>
      <c r="AE30" s="284"/>
    </row>
    <row r="31">
      <c r="A31" s="284"/>
      <c r="B31" s="284"/>
      <c r="C31" s="284"/>
      <c r="D31" s="284"/>
      <c r="E31" s="284"/>
      <c r="F31" s="284"/>
      <c r="G31" s="284"/>
      <c r="H31" s="284"/>
      <c r="I31" s="284"/>
      <c r="J31" s="284"/>
      <c r="K31" s="284"/>
      <c r="L31" s="284"/>
      <c r="M31" s="284"/>
      <c r="N31" s="284"/>
      <c r="O31" s="284"/>
      <c r="P31" s="284"/>
      <c r="Q31" s="284"/>
      <c r="R31" s="284"/>
      <c r="S31" s="284"/>
      <c r="T31" s="284"/>
      <c r="U31" s="284"/>
      <c r="V31" s="284"/>
      <c r="W31" s="284"/>
      <c r="X31" s="284"/>
      <c r="Y31" s="284"/>
      <c r="Z31" s="284"/>
      <c r="AA31" s="284"/>
      <c r="AB31" s="284"/>
      <c r="AC31" s="284"/>
      <c r="AD31" s="284"/>
      <c r="AE31" s="284"/>
    </row>
    <row r="32">
      <c r="A32" s="284"/>
      <c r="B32" s="284"/>
      <c r="C32" s="284"/>
      <c r="D32" s="284"/>
      <c r="E32" s="284"/>
      <c r="F32" s="284"/>
      <c r="G32" s="284"/>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c r="AE32" s="284"/>
    </row>
    <row r="33">
      <c r="A33" s="284"/>
      <c r="B33" s="284"/>
      <c r="C33" s="284"/>
      <c r="D33" s="284"/>
      <c r="E33" s="284"/>
      <c r="F33" s="284"/>
      <c r="G33" s="284"/>
      <c r="H33" s="284"/>
      <c r="I33" s="284"/>
      <c r="J33" s="284"/>
      <c r="K33" s="284"/>
      <c r="L33" s="284"/>
      <c r="M33" s="284"/>
      <c r="N33" s="284"/>
      <c r="O33" s="284"/>
      <c r="P33" s="284"/>
      <c r="Q33" s="284"/>
      <c r="R33" s="284"/>
      <c r="S33" s="284"/>
      <c r="T33" s="284"/>
      <c r="U33" s="284"/>
      <c r="V33" s="284"/>
      <c r="W33" s="284"/>
      <c r="X33" s="284"/>
      <c r="Y33" s="284"/>
      <c r="Z33" s="284"/>
      <c r="AA33" s="284"/>
      <c r="AB33" s="284"/>
      <c r="AC33" s="284"/>
      <c r="AD33" s="284"/>
      <c r="AE33" s="284"/>
    </row>
    <row r="34">
      <c r="A34" s="284"/>
      <c r="B34" s="284"/>
      <c r="C34" s="284"/>
      <c r="D34" s="284"/>
      <c r="E34" s="284"/>
      <c r="F34" s="284"/>
      <c r="G34" s="284"/>
      <c r="H34" s="284"/>
      <c r="I34" s="284"/>
      <c r="J34" s="284"/>
      <c r="K34" s="284"/>
      <c r="L34" s="284"/>
      <c r="M34" s="284"/>
      <c r="N34" s="284"/>
      <c r="O34" s="284"/>
      <c r="P34" s="284"/>
      <c r="Q34" s="284"/>
      <c r="R34" s="284"/>
      <c r="S34" s="284"/>
      <c r="T34" s="284"/>
      <c r="U34" s="284"/>
      <c r="V34" s="284"/>
      <c r="W34" s="284"/>
      <c r="X34" s="284"/>
      <c r="Y34" s="284"/>
      <c r="Z34" s="284"/>
      <c r="AA34" s="284"/>
      <c r="AB34" s="284"/>
      <c r="AC34" s="284"/>
      <c r="AD34" s="284"/>
      <c r="AE34" s="284"/>
    </row>
    <row r="35">
      <c r="A35" s="284"/>
      <c r="B35" s="284"/>
      <c r="C35" s="284"/>
      <c r="D35" s="284"/>
      <c r="E35" s="284"/>
      <c r="F35" s="284"/>
      <c r="G35" s="284"/>
      <c r="H35" s="284"/>
      <c r="I35" s="284"/>
      <c r="J35" s="284"/>
      <c r="K35" s="284"/>
      <c r="L35" s="284"/>
      <c r="M35" s="284"/>
      <c r="N35" s="284"/>
      <c r="O35" s="284"/>
      <c r="P35" s="284"/>
      <c r="Q35" s="284"/>
      <c r="R35" s="284"/>
      <c r="S35" s="284"/>
      <c r="T35" s="284"/>
      <c r="U35" s="284"/>
      <c r="V35" s="284"/>
      <c r="W35" s="284"/>
      <c r="X35" s="284"/>
      <c r="Y35" s="284"/>
      <c r="Z35" s="284"/>
      <c r="AA35" s="284"/>
      <c r="AB35" s="284"/>
      <c r="AC35" s="284"/>
      <c r="AD35" s="284"/>
      <c r="AE35" s="284"/>
    </row>
    <row r="36">
      <c r="A36" s="284"/>
      <c r="B36" s="284"/>
      <c r="C36" s="284"/>
      <c r="D36" s="284"/>
      <c r="E36" s="284"/>
      <c r="F36" s="284"/>
      <c r="G36" s="284"/>
      <c r="H36" s="284"/>
      <c r="I36" s="284"/>
      <c r="J36" s="284"/>
      <c r="K36" s="284"/>
      <c r="L36" s="284"/>
      <c r="M36" s="284"/>
      <c r="N36" s="284"/>
      <c r="O36" s="284"/>
      <c r="P36" s="284"/>
      <c r="Q36" s="284"/>
      <c r="R36" s="284"/>
      <c r="S36" s="284"/>
      <c r="T36" s="284"/>
      <c r="U36" s="284"/>
      <c r="V36" s="284"/>
      <c r="W36" s="284"/>
      <c r="X36" s="284"/>
      <c r="Y36" s="284"/>
      <c r="Z36" s="284"/>
      <c r="AA36" s="284"/>
      <c r="AB36" s="284"/>
      <c r="AC36" s="284"/>
      <c r="AD36" s="284"/>
      <c r="AE36" s="284"/>
    </row>
    <row r="37">
      <c r="A37" s="284"/>
      <c r="B37" s="284"/>
      <c r="C37" s="284"/>
      <c r="D37" s="284"/>
      <c r="E37" s="284"/>
      <c r="F37" s="284"/>
      <c r="G37" s="284"/>
      <c r="H37" s="284"/>
      <c r="I37" s="284"/>
      <c r="J37" s="284"/>
      <c r="K37" s="284"/>
      <c r="L37" s="284"/>
      <c r="M37" s="284"/>
      <c r="N37" s="284"/>
      <c r="O37" s="284"/>
      <c r="P37" s="284"/>
      <c r="Q37" s="284"/>
      <c r="R37" s="284"/>
      <c r="S37" s="284"/>
      <c r="T37" s="284"/>
      <c r="U37" s="284"/>
      <c r="V37" s="284"/>
      <c r="W37" s="284"/>
      <c r="X37" s="284"/>
      <c r="Y37" s="284"/>
      <c r="Z37" s="284"/>
      <c r="AA37" s="284"/>
      <c r="AB37" s="284"/>
      <c r="AC37" s="284"/>
      <c r="AD37" s="284"/>
      <c r="AE37" s="284"/>
    </row>
    <row r="38">
      <c r="A38" s="284"/>
      <c r="B38" s="284"/>
      <c r="C38" s="284"/>
      <c r="D38" s="284"/>
      <c r="E38" s="284"/>
      <c r="F38" s="284"/>
      <c r="G38" s="284"/>
      <c r="H38" s="284"/>
      <c r="I38" s="284"/>
      <c r="J38" s="284"/>
      <c r="K38" s="284"/>
      <c r="L38" s="284"/>
      <c r="M38" s="284"/>
      <c r="N38" s="284"/>
      <c r="O38" s="284"/>
      <c r="P38" s="284"/>
      <c r="Q38" s="284"/>
      <c r="R38" s="284"/>
      <c r="S38" s="284"/>
      <c r="T38" s="284"/>
      <c r="U38" s="284"/>
      <c r="V38" s="284"/>
      <c r="W38" s="284"/>
      <c r="X38" s="284"/>
      <c r="Y38" s="284"/>
      <c r="Z38" s="284"/>
      <c r="AA38" s="284"/>
      <c r="AB38" s="284"/>
      <c r="AC38" s="284"/>
      <c r="AD38" s="284"/>
      <c r="AE38" s="284"/>
    </row>
    <row r="39">
      <c r="A39" s="284"/>
      <c r="B39" s="284"/>
      <c r="C39" s="284"/>
      <c r="D39" s="284"/>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row>
    <row r="40">
      <c r="A40" s="284"/>
      <c r="B40" s="284"/>
      <c r="C40" s="284"/>
      <c r="D40" s="284"/>
      <c r="E40" s="284"/>
      <c r="F40" s="284"/>
      <c r="G40" s="284"/>
      <c r="H40" s="284"/>
      <c r="I40" s="284"/>
      <c r="J40" s="284"/>
      <c r="K40" s="284"/>
      <c r="L40" s="284"/>
      <c r="M40" s="284"/>
      <c r="N40" s="284"/>
      <c r="O40" s="284"/>
      <c r="P40" s="284"/>
      <c r="Q40" s="284"/>
      <c r="R40" s="284"/>
      <c r="S40" s="284"/>
      <c r="T40" s="284"/>
      <c r="U40" s="284"/>
      <c r="V40" s="284"/>
      <c r="W40" s="284"/>
      <c r="X40" s="284"/>
      <c r="Y40" s="284"/>
      <c r="Z40" s="284"/>
      <c r="AA40" s="284"/>
      <c r="AB40" s="284"/>
      <c r="AC40" s="284"/>
      <c r="AD40" s="284"/>
      <c r="AE40" s="284"/>
    </row>
    <row r="41">
      <c r="A41" s="284"/>
      <c r="B41" s="284"/>
      <c r="C41" s="284"/>
      <c r="D41" s="284"/>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row>
    <row r="42">
      <c r="A42" s="284"/>
      <c r="B42" s="284"/>
      <c r="C42" s="284"/>
      <c r="D42" s="284"/>
      <c r="E42" s="284"/>
      <c r="F42" s="284"/>
      <c r="G42" s="284"/>
      <c r="H42" s="284"/>
      <c r="I42" s="284"/>
      <c r="J42" s="284"/>
      <c r="K42" s="284"/>
      <c r="L42" s="284"/>
      <c r="M42" s="284"/>
      <c r="N42" s="284"/>
      <c r="O42" s="284"/>
      <c r="P42" s="284"/>
      <c r="Q42" s="284"/>
      <c r="R42" s="284"/>
      <c r="S42" s="284"/>
      <c r="T42" s="284"/>
      <c r="U42" s="284"/>
      <c r="V42" s="284"/>
      <c r="W42" s="284"/>
      <c r="X42" s="284"/>
      <c r="Y42" s="284"/>
      <c r="Z42" s="284"/>
      <c r="AA42" s="284"/>
      <c r="AB42" s="284"/>
      <c r="AC42" s="284"/>
      <c r="AD42" s="284"/>
      <c r="AE42" s="284"/>
    </row>
    <row r="43">
      <c r="A43" s="284"/>
      <c r="B43" s="284"/>
      <c r="C43" s="284"/>
      <c r="D43" s="284"/>
      <c r="E43" s="284"/>
      <c r="F43" s="284"/>
      <c r="G43" s="284"/>
      <c r="H43" s="284"/>
      <c r="I43" s="284"/>
      <c r="J43" s="284"/>
      <c r="K43" s="284"/>
      <c r="L43" s="284"/>
      <c r="M43" s="284"/>
      <c r="N43" s="284"/>
      <c r="O43" s="284"/>
      <c r="P43" s="284"/>
      <c r="Q43" s="284"/>
      <c r="R43" s="284"/>
      <c r="S43" s="284"/>
      <c r="T43" s="284"/>
      <c r="U43" s="284"/>
      <c r="V43" s="284"/>
      <c r="W43" s="284"/>
      <c r="X43" s="284"/>
      <c r="Y43" s="284"/>
      <c r="Z43" s="284"/>
      <c r="AA43" s="284"/>
      <c r="AB43" s="284"/>
      <c r="AC43" s="284"/>
      <c r="AD43" s="284"/>
      <c r="AE43" s="284"/>
    </row>
    <row r="44">
      <c r="A44" s="284"/>
      <c r="B44" s="284"/>
      <c r="C44" s="284"/>
      <c r="D44" s="284"/>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row>
    <row r="45">
      <c r="A45" s="284"/>
      <c r="B45" s="284"/>
      <c r="C45" s="284"/>
      <c r="D45" s="284"/>
      <c r="E45" s="284"/>
      <c r="F45" s="284"/>
      <c r="G45" s="284"/>
      <c r="H45" s="284"/>
      <c r="I45" s="284"/>
      <c r="J45" s="284"/>
      <c r="K45" s="284"/>
      <c r="L45" s="284"/>
      <c r="M45" s="284"/>
      <c r="N45" s="284"/>
      <c r="O45" s="284"/>
      <c r="P45" s="284"/>
      <c r="Q45" s="284"/>
      <c r="R45" s="284"/>
      <c r="S45" s="284"/>
      <c r="T45" s="284"/>
      <c r="U45" s="284"/>
      <c r="V45" s="284"/>
      <c r="W45" s="284"/>
      <c r="X45" s="284"/>
      <c r="Y45" s="284"/>
      <c r="Z45" s="284"/>
      <c r="AA45" s="284"/>
      <c r="AB45" s="284"/>
      <c r="AC45" s="284"/>
      <c r="AD45" s="284"/>
      <c r="AE45" s="284"/>
    </row>
    <row r="46">
      <c r="A46" s="284"/>
      <c r="B46" s="284"/>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row>
    <row r="47">
      <c r="A47" s="284"/>
      <c r="B47" s="284"/>
      <c r="C47" s="284"/>
      <c r="D47" s="284"/>
      <c r="E47" s="284"/>
      <c r="F47" s="284"/>
      <c r="G47" s="284"/>
      <c r="H47" s="284"/>
      <c r="I47" s="284"/>
      <c r="J47" s="284"/>
      <c r="K47" s="284"/>
      <c r="L47" s="284"/>
      <c r="M47" s="284"/>
      <c r="N47" s="284"/>
      <c r="O47" s="284"/>
      <c r="P47" s="284"/>
      <c r="Q47" s="284"/>
      <c r="R47" s="284"/>
      <c r="S47" s="284"/>
      <c r="T47" s="284"/>
      <c r="U47" s="284"/>
      <c r="V47" s="284"/>
      <c r="W47" s="284"/>
      <c r="X47" s="284"/>
      <c r="Y47" s="284"/>
      <c r="Z47" s="284"/>
      <c r="AA47" s="284"/>
      <c r="AB47" s="284"/>
      <c r="AC47" s="284"/>
      <c r="AD47" s="284"/>
      <c r="AE47" s="284"/>
    </row>
    <row r="48">
      <c r="A48" s="284"/>
      <c r="B48" s="284"/>
      <c r="C48" s="284"/>
      <c r="D48" s="284"/>
      <c r="E48" s="284"/>
      <c r="F48" s="284"/>
      <c r="G48" s="284"/>
      <c r="H48" s="284"/>
      <c r="I48" s="284"/>
      <c r="J48" s="284"/>
      <c r="K48" s="284"/>
      <c r="L48" s="284"/>
      <c r="M48" s="284"/>
      <c r="N48" s="284"/>
      <c r="O48" s="284"/>
      <c r="P48" s="284"/>
      <c r="Q48" s="284"/>
      <c r="R48" s="284"/>
      <c r="S48" s="284"/>
      <c r="T48" s="284"/>
      <c r="U48" s="284"/>
      <c r="V48" s="284"/>
      <c r="W48" s="284"/>
      <c r="X48" s="284"/>
      <c r="Y48" s="284"/>
      <c r="Z48" s="284"/>
      <c r="AA48" s="284"/>
      <c r="AB48" s="284"/>
      <c r="AC48" s="284"/>
      <c r="AD48" s="284"/>
      <c r="AE48" s="284"/>
    </row>
    <row r="49">
      <c r="A49" s="284"/>
      <c r="B49" s="284"/>
      <c r="C49" s="284"/>
      <c r="D49" s="284"/>
      <c r="E49" s="284"/>
      <c r="F49" s="284"/>
      <c r="G49" s="284"/>
      <c r="H49" s="284"/>
      <c r="I49" s="284"/>
      <c r="J49" s="284"/>
      <c r="K49" s="284"/>
      <c r="L49" s="284"/>
      <c r="M49" s="284"/>
      <c r="N49" s="284"/>
      <c r="O49" s="284"/>
      <c r="P49" s="284"/>
      <c r="Q49" s="284"/>
      <c r="R49" s="284"/>
      <c r="S49" s="284"/>
      <c r="T49" s="284"/>
      <c r="U49" s="284"/>
      <c r="V49" s="284"/>
      <c r="W49" s="284"/>
      <c r="X49" s="284"/>
      <c r="Y49" s="284"/>
      <c r="Z49" s="284"/>
      <c r="AA49" s="284"/>
      <c r="AB49" s="284"/>
      <c r="AC49" s="284"/>
      <c r="AD49" s="284"/>
      <c r="AE49" s="284"/>
    </row>
    <row r="50">
      <c r="A50" s="284"/>
      <c r="B50" s="284"/>
      <c r="C50" s="284"/>
      <c r="D50" s="284"/>
      <c r="E50" s="284"/>
      <c r="F50" s="284"/>
      <c r="G50" s="284"/>
      <c r="H50" s="284"/>
      <c r="I50" s="284"/>
      <c r="J50" s="284"/>
      <c r="K50" s="284"/>
      <c r="L50" s="284"/>
      <c r="M50" s="284"/>
      <c r="N50" s="284"/>
      <c r="O50" s="284"/>
      <c r="P50" s="284"/>
      <c r="Q50" s="284"/>
      <c r="R50" s="284"/>
      <c r="S50" s="284"/>
      <c r="T50" s="284"/>
      <c r="U50" s="284"/>
      <c r="V50" s="284"/>
      <c r="W50" s="284"/>
      <c r="X50" s="284"/>
      <c r="Y50" s="284"/>
      <c r="Z50" s="284"/>
      <c r="AA50" s="284"/>
      <c r="AB50" s="284"/>
      <c r="AC50" s="284"/>
      <c r="AD50" s="284"/>
      <c r="AE50" s="284"/>
    </row>
    <row r="51">
      <c r="A51" s="284"/>
      <c r="B51" s="284"/>
      <c r="C51" s="284"/>
      <c r="D51" s="284"/>
      <c r="E51" s="284"/>
      <c r="F51" s="284"/>
      <c r="G51" s="284"/>
      <c r="H51" s="284"/>
      <c r="I51" s="284"/>
      <c r="J51" s="284"/>
      <c r="K51" s="284"/>
      <c r="L51" s="284"/>
      <c r="M51" s="284"/>
      <c r="N51" s="284"/>
      <c r="O51" s="284"/>
      <c r="P51" s="284"/>
      <c r="Q51" s="284"/>
      <c r="R51" s="284"/>
      <c r="S51" s="284"/>
      <c r="T51" s="284"/>
      <c r="U51" s="284"/>
      <c r="V51" s="284"/>
      <c r="W51" s="284"/>
      <c r="X51" s="284"/>
      <c r="Y51" s="284"/>
      <c r="Z51" s="284"/>
      <c r="AA51" s="284"/>
      <c r="AB51" s="284"/>
      <c r="AC51" s="284"/>
      <c r="AD51" s="284"/>
      <c r="AE51" s="284"/>
    </row>
    <row r="52">
      <c r="A52" s="284"/>
      <c r="B52" s="284"/>
      <c r="C52" s="284"/>
      <c r="D52" s="284"/>
      <c r="E52" s="284"/>
      <c r="F52" s="284"/>
      <c r="G52" s="284"/>
      <c r="H52" s="284"/>
      <c r="I52" s="284"/>
      <c r="J52" s="284"/>
      <c r="K52" s="284"/>
      <c r="L52" s="284"/>
      <c r="M52" s="284"/>
      <c r="N52" s="284"/>
      <c r="O52" s="284"/>
      <c r="P52" s="284"/>
      <c r="Q52" s="284"/>
      <c r="R52" s="284"/>
      <c r="S52" s="284"/>
      <c r="T52" s="284"/>
      <c r="U52" s="284"/>
      <c r="V52" s="284"/>
      <c r="W52" s="284"/>
      <c r="X52" s="284"/>
      <c r="Y52" s="284"/>
      <c r="Z52" s="284"/>
      <c r="AA52" s="284"/>
      <c r="AB52" s="284"/>
      <c r="AC52" s="284"/>
      <c r="AD52" s="284"/>
      <c r="AE52" s="284"/>
    </row>
    <row r="53">
      <c r="A53" s="284"/>
      <c r="B53" s="284"/>
      <c r="C53" s="284"/>
      <c r="D53" s="284"/>
      <c r="E53" s="284"/>
      <c r="F53" s="284"/>
      <c r="G53" s="284"/>
      <c r="H53" s="284"/>
      <c r="I53" s="284"/>
      <c r="J53" s="284"/>
      <c r="K53" s="284"/>
      <c r="L53" s="284"/>
      <c r="M53" s="284"/>
      <c r="N53" s="284"/>
      <c r="O53" s="284"/>
      <c r="P53" s="284"/>
      <c r="Q53" s="284"/>
      <c r="R53" s="284"/>
      <c r="S53" s="284"/>
      <c r="T53" s="284"/>
      <c r="U53" s="284"/>
      <c r="V53" s="284"/>
      <c r="W53" s="284"/>
      <c r="X53" s="284"/>
      <c r="Y53" s="284"/>
      <c r="Z53" s="284"/>
      <c r="AA53" s="284"/>
      <c r="AB53" s="284"/>
      <c r="AC53" s="284"/>
      <c r="AD53" s="284"/>
      <c r="AE53" s="284"/>
    </row>
    <row r="54">
      <c r="A54" s="284"/>
      <c r="B54" s="284"/>
      <c r="C54" s="284"/>
      <c r="D54" s="284"/>
      <c r="E54" s="284"/>
      <c r="F54" s="284"/>
      <c r="G54" s="284"/>
      <c r="H54" s="284"/>
      <c r="I54" s="284"/>
      <c r="J54" s="284"/>
      <c r="K54" s="284"/>
      <c r="L54" s="284"/>
      <c r="M54" s="284"/>
      <c r="N54" s="284"/>
      <c r="O54" s="284"/>
      <c r="P54" s="284"/>
      <c r="Q54" s="284"/>
      <c r="R54" s="284"/>
      <c r="S54" s="284"/>
      <c r="T54" s="284"/>
      <c r="U54" s="284"/>
      <c r="V54" s="284"/>
      <c r="W54" s="284"/>
      <c r="X54" s="284"/>
      <c r="Y54" s="284"/>
      <c r="Z54" s="284"/>
      <c r="AA54" s="284"/>
      <c r="AB54" s="284"/>
      <c r="AC54" s="284"/>
      <c r="AD54" s="284"/>
      <c r="AE54" s="284"/>
    </row>
    <row r="55">
      <c r="A55" s="284"/>
      <c r="B55" s="284"/>
      <c r="C55" s="284"/>
      <c r="D55" s="284"/>
      <c r="E55" s="284"/>
      <c r="F55" s="284"/>
      <c r="G55" s="284"/>
      <c r="H55" s="284"/>
      <c r="I55" s="284"/>
      <c r="J55" s="284"/>
      <c r="K55" s="284"/>
      <c r="L55" s="284"/>
      <c r="M55" s="284"/>
      <c r="N55" s="284"/>
      <c r="O55" s="284"/>
      <c r="P55" s="284"/>
      <c r="Q55" s="284"/>
      <c r="R55" s="284"/>
      <c r="S55" s="284"/>
      <c r="T55" s="284"/>
      <c r="U55" s="284"/>
      <c r="V55" s="284"/>
      <c r="W55" s="284"/>
      <c r="X55" s="284"/>
      <c r="Y55" s="284"/>
      <c r="Z55" s="284"/>
      <c r="AA55" s="284"/>
      <c r="AB55" s="284"/>
      <c r="AC55" s="284"/>
      <c r="AD55" s="284"/>
      <c r="AE55" s="284"/>
    </row>
    <row r="56">
      <c r="A56" s="284"/>
      <c r="B56" s="284"/>
      <c r="C56" s="284"/>
      <c r="D56" s="284"/>
      <c r="E56" s="284"/>
      <c r="F56" s="284"/>
      <c r="G56" s="284"/>
      <c r="H56" s="284"/>
      <c r="I56" s="284"/>
      <c r="J56" s="284"/>
      <c r="K56" s="284"/>
      <c r="L56" s="284"/>
      <c r="M56" s="284"/>
      <c r="N56" s="284"/>
      <c r="O56" s="284"/>
      <c r="P56" s="284"/>
      <c r="Q56" s="284"/>
      <c r="R56" s="284"/>
      <c r="S56" s="284"/>
      <c r="T56" s="284"/>
      <c r="U56" s="284"/>
      <c r="V56" s="284"/>
      <c r="W56" s="284"/>
      <c r="X56" s="284"/>
      <c r="Y56" s="284"/>
      <c r="Z56" s="284"/>
      <c r="AA56" s="284"/>
      <c r="AB56" s="284"/>
      <c r="AC56" s="284"/>
      <c r="AD56" s="284"/>
      <c r="AE56" s="284"/>
    </row>
    <row r="57">
      <c r="A57" s="284"/>
      <c r="B57" s="284"/>
      <c r="C57" s="284"/>
      <c r="D57" s="284"/>
      <c r="E57" s="284"/>
      <c r="F57" s="284"/>
      <c r="G57" s="284"/>
      <c r="H57" s="284"/>
      <c r="I57" s="284"/>
      <c r="J57" s="284"/>
      <c r="K57" s="284"/>
      <c r="L57" s="284"/>
      <c r="M57" s="284"/>
      <c r="N57" s="284"/>
      <c r="O57" s="284"/>
      <c r="P57" s="284"/>
      <c r="Q57" s="284"/>
      <c r="R57" s="284"/>
      <c r="S57" s="284"/>
      <c r="T57" s="284"/>
      <c r="U57" s="284"/>
      <c r="V57" s="284"/>
      <c r="W57" s="284"/>
      <c r="X57" s="284"/>
      <c r="Y57" s="284"/>
      <c r="Z57" s="284"/>
      <c r="AA57" s="284"/>
      <c r="AB57" s="284"/>
      <c r="AC57" s="284"/>
      <c r="AD57" s="284"/>
      <c r="AE57" s="284"/>
    </row>
    <row r="58">
      <c r="A58" s="284"/>
      <c r="B58" s="284"/>
      <c r="C58" s="284"/>
      <c r="D58" s="284"/>
      <c r="E58" s="284"/>
      <c r="F58" s="284"/>
      <c r="G58" s="284"/>
      <c r="H58" s="284"/>
      <c r="I58" s="284"/>
      <c r="J58" s="284"/>
      <c r="K58" s="284"/>
      <c r="L58" s="284"/>
      <c r="M58" s="284"/>
      <c r="N58" s="284"/>
      <c r="O58" s="284"/>
      <c r="P58" s="284"/>
      <c r="Q58" s="284"/>
      <c r="R58" s="284"/>
      <c r="S58" s="284"/>
      <c r="T58" s="284"/>
      <c r="U58" s="284"/>
      <c r="V58" s="284"/>
      <c r="W58" s="284"/>
      <c r="X58" s="284"/>
      <c r="Y58" s="284"/>
      <c r="Z58" s="284"/>
      <c r="AA58" s="284"/>
      <c r="AB58" s="284"/>
      <c r="AC58" s="284"/>
      <c r="AD58" s="284"/>
      <c r="AE58" s="284"/>
    </row>
    <row r="59">
      <c r="A59" s="284"/>
      <c r="B59" s="284"/>
      <c r="C59" s="284"/>
      <c r="D59" s="284"/>
      <c r="E59" s="284"/>
      <c r="F59" s="284"/>
      <c r="G59" s="284"/>
      <c r="H59" s="284"/>
      <c r="I59" s="284"/>
      <c r="J59" s="284"/>
      <c r="K59" s="284"/>
      <c r="L59" s="284"/>
      <c r="M59" s="284"/>
      <c r="N59" s="284"/>
      <c r="O59" s="284"/>
      <c r="P59" s="284"/>
      <c r="Q59" s="284"/>
      <c r="R59" s="284"/>
      <c r="S59" s="284"/>
      <c r="T59" s="284"/>
      <c r="U59" s="284"/>
      <c r="V59" s="284"/>
      <c r="W59" s="284"/>
      <c r="X59" s="284"/>
      <c r="Y59" s="284"/>
      <c r="Z59" s="284"/>
      <c r="AA59" s="284"/>
      <c r="AB59" s="284"/>
      <c r="AC59" s="284"/>
      <c r="AD59" s="284"/>
      <c r="AE59" s="284"/>
    </row>
    <row r="60">
      <c r="A60" s="284"/>
      <c r="B60" s="284"/>
      <c r="C60" s="284"/>
      <c r="D60" s="284"/>
      <c r="E60" s="284"/>
      <c r="F60" s="284"/>
      <c r="G60" s="284"/>
      <c r="H60" s="284"/>
      <c r="I60" s="284"/>
      <c r="J60" s="284"/>
      <c r="K60" s="284"/>
      <c r="L60" s="284"/>
      <c r="M60" s="284"/>
      <c r="N60" s="284"/>
      <c r="O60" s="284"/>
      <c r="P60" s="284"/>
      <c r="Q60" s="284"/>
      <c r="R60" s="284"/>
      <c r="S60" s="284"/>
      <c r="T60" s="284"/>
      <c r="U60" s="284"/>
      <c r="V60" s="284"/>
      <c r="W60" s="284"/>
      <c r="X60" s="284"/>
      <c r="Y60" s="284"/>
      <c r="Z60" s="284"/>
      <c r="AA60" s="284"/>
      <c r="AB60" s="284"/>
      <c r="AC60" s="284"/>
      <c r="AD60" s="284"/>
      <c r="AE60" s="284"/>
    </row>
    <row r="61">
      <c r="A61" s="284"/>
      <c r="B61" s="284"/>
      <c r="C61" s="284"/>
      <c r="D61" s="284"/>
      <c r="E61" s="284"/>
      <c r="F61" s="284"/>
      <c r="G61" s="284"/>
      <c r="H61" s="284"/>
      <c r="I61" s="284"/>
      <c r="J61" s="284"/>
      <c r="K61" s="284"/>
      <c r="L61" s="284"/>
      <c r="M61" s="284"/>
      <c r="N61" s="284"/>
      <c r="O61" s="284"/>
      <c r="P61" s="284"/>
      <c r="Q61" s="284"/>
      <c r="R61" s="284"/>
      <c r="S61" s="284"/>
      <c r="T61" s="284"/>
      <c r="U61" s="284"/>
      <c r="V61" s="284"/>
      <c r="W61" s="284"/>
      <c r="X61" s="284"/>
      <c r="Y61" s="284"/>
      <c r="Z61" s="284"/>
      <c r="AA61" s="284"/>
      <c r="AB61" s="284"/>
      <c r="AC61" s="284"/>
      <c r="AD61" s="284"/>
      <c r="AE61" s="284"/>
    </row>
    <row r="62">
      <c r="A62" s="284"/>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284"/>
    </row>
    <row r="63">
      <c r="A63" s="284"/>
      <c r="B63" s="284"/>
      <c r="C63" s="284"/>
      <c r="D63" s="284"/>
      <c r="E63" s="284"/>
      <c r="F63" s="284"/>
      <c r="G63" s="284"/>
      <c r="H63" s="284"/>
      <c r="I63" s="284"/>
      <c r="J63" s="284"/>
      <c r="K63" s="284"/>
      <c r="L63" s="284"/>
      <c r="M63" s="284"/>
      <c r="N63" s="284"/>
      <c r="O63" s="284"/>
      <c r="P63" s="284"/>
      <c r="Q63" s="284"/>
      <c r="R63" s="284"/>
      <c r="S63" s="284"/>
      <c r="T63" s="284"/>
      <c r="U63" s="284"/>
      <c r="V63" s="284"/>
      <c r="W63" s="284"/>
      <c r="X63" s="284"/>
      <c r="Y63" s="284"/>
      <c r="Z63" s="284"/>
      <c r="AA63" s="284"/>
      <c r="AB63" s="284"/>
      <c r="AC63" s="284"/>
      <c r="AD63" s="284"/>
      <c r="AE63" s="284"/>
    </row>
    <row r="64">
      <c r="A64" s="284"/>
      <c r="B64" s="284"/>
      <c r="C64" s="284"/>
      <c r="D64" s="284"/>
      <c r="E64" s="284"/>
      <c r="F64" s="284"/>
      <c r="G64" s="284"/>
      <c r="H64" s="284"/>
      <c r="I64" s="284"/>
      <c r="J64" s="284"/>
      <c r="K64" s="284"/>
      <c r="L64" s="284"/>
      <c r="M64" s="284"/>
      <c r="N64" s="284"/>
      <c r="O64" s="284"/>
      <c r="P64" s="284"/>
      <c r="Q64" s="284"/>
      <c r="R64" s="284"/>
      <c r="S64" s="284"/>
      <c r="T64" s="284"/>
      <c r="U64" s="284"/>
      <c r="V64" s="284"/>
      <c r="W64" s="284"/>
      <c r="X64" s="284"/>
      <c r="Y64" s="284"/>
      <c r="Z64" s="284"/>
      <c r="AA64" s="284"/>
      <c r="AB64" s="284"/>
      <c r="AC64" s="284"/>
      <c r="AD64" s="284"/>
      <c r="AE64" s="284"/>
    </row>
    <row r="65">
      <c r="A65" s="284"/>
      <c r="B65" s="284"/>
      <c r="C65" s="284"/>
      <c r="D65" s="284"/>
      <c r="E65" s="284"/>
      <c r="F65" s="284"/>
      <c r="G65" s="284"/>
      <c r="H65" s="284"/>
      <c r="I65" s="284"/>
      <c r="J65" s="284"/>
      <c r="K65" s="284"/>
      <c r="L65" s="284"/>
      <c r="M65" s="284"/>
      <c r="N65" s="284"/>
      <c r="O65" s="284"/>
      <c r="P65" s="284"/>
      <c r="Q65" s="284"/>
      <c r="R65" s="284"/>
      <c r="S65" s="284"/>
      <c r="T65" s="284"/>
      <c r="U65" s="284"/>
      <c r="V65" s="284"/>
      <c r="W65" s="284"/>
      <c r="X65" s="284"/>
      <c r="Y65" s="284"/>
      <c r="Z65" s="284"/>
      <c r="AA65" s="284"/>
      <c r="AB65" s="284"/>
      <c r="AC65" s="284"/>
      <c r="AD65" s="284"/>
      <c r="AE65" s="284"/>
    </row>
    <row r="66">
      <c r="A66" s="284"/>
      <c r="B66" s="284"/>
      <c r="C66" s="284"/>
      <c r="D66" s="284"/>
      <c r="E66" s="284"/>
      <c r="F66" s="284"/>
      <c r="G66" s="284"/>
      <c r="H66" s="284"/>
      <c r="I66" s="284"/>
      <c r="J66" s="284"/>
      <c r="K66" s="284"/>
      <c r="L66" s="284"/>
      <c r="M66" s="284"/>
      <c r="N66" s="284"/>
      <c r="O66" s="284"/>
      <c r="P66" s="284"/>
      <c r="Q66" s="284"/>
      <c r="R66" s="284"/>
      <c r="S66" s="284"/>
      <c r="T66" s="284"/>
      <c r="U66" s="284"/>
      <c r="V66" s="284"/>
      <c r="W66" s="284"/>
      <c r="X66" s="284"/>
      <c r="Y66" s="284"/>
      <c r="Z66" s="284"/>
      <c r="AA66" s="284"/>
      <c r="AB66" s="284"/>
      <c r="AC66" s="284"/>
      <c r="AD66" s="284"/>
      <c r="AE66" s="284"/>
    </row>
    <row r="67">
      <c r="A67" s="284"/>
      <c r="B67" s="284"/>
      <c r="C67" s="284"/>
      <c r="D67" s="284"/>
      <c r="E67" s="284"/>
      <c r="F67" s="284"/>
      <c r="G67" s="284"/>
      <c r="H67" s="284"/>
      <c r="I67" s="284"/>
      <c r="J67" s="284"/>
      <c r="K67" s="284"/>
      <c r="L67" s="284"/>
      <c r="M67" s="284"/>
      <c r="N67" s="284"/>
      <c r="O67" s="284"/>
      <c r="P67" s="284"/>
      <c r="Q67" s="284"/>
      <c r="R67" s="284"/>
      <c r="S67" s="284"/>
      <c r="T67" s="284"/>
      <c r="U67" s="284"/>
      <c r="V67" s="284"/>
      <c r="W67" s="284"/>
      <c r="X67" s="284"/>
      <c r="Y67" s="284"/>
      <c r="Z67" s="284"/>
      <c r="AA67" s="284"/>
      <c r="AB67" s="284"/>
      <c r="AC67" s="284"/>
      <c r="AD67" s="284"/>
      <c r="AE67" s="284"/>
    </row>
    <row r="68">
      <c r="A68" s="284"/>
      <c r="B68" s="284"/>
      <c r="C68" s="284"/>
      <c r="D68" s="284"/>
      <c r="E68" s="284"/>
      <c r="F68" s="284"/>
      <c r="G68" s="284"/>
      <c r="H68" s="284"/>
      <c r="I68" s="284"/>
      <c r="J68" s="284"/>
      <c r="K68" s="284"/>
      <c r="L68" s="284"/>
      <c r="M68" s="284"/>
      <c r="N68" s="284"/>
      <c r="O68" s="284"/>
      <c r="P68" s="284"/>
      <c r="Q68" s="284"/>
      <c r="R68" s="284"/>
      <c r="S68" s="284"/>
      <c r="T68" s="284"/>
      <c r="U68" s="284"/>
      <c r="V68" s="284"/>
      <c r="W68" s="284"/>
      <c r="X68" s="284"/>
      <c r="Y68" s="284"/>
      <c r="Z68" s="284"/>
      <c r="AA68" s="284"/>
      <c r="AB68" s="284"/>
      <c r="AC68" s="284"/>
      <c r="AD68" s="284"/>
      <c r="AE68" s="284"/>
    </row>
    <row r="69">
      <c r="A69" s="284"/>
      <c r="B69" s="284"/>
      <c r="C69" s="284"/>
      <c r="D69" s="284"/>
      <c r="E69" s="284"/>
      <c r="F69" s="284"/>
      <c r="G69" s="284"/>
      <c r="H69" s="284"/>
      <c r="I69" s="284"/>
      <c r="J69" s="284"/>
      <c r="K69" s="284"/>
      <c r="L69" s="284"/>
      <c r="M69" s="284"/>
      <c r="N69" s="284"/>
      <c r="O69" s="284"/>
      <c r="P69" s="284"/>
      <c r="Q69" s="284"/>
      <c r="R69" s="284"/>
      <c r="S69" s="284"/>
      <c r="T69" s="284"/>
      <c r="U69" s="284"/>
      <c r="V69" s="284"/>
      <c r="W69" s="284"/>
      <c r="X69" s="284"/>
      <c r="Y69" s="284"/>
      <c r="Z69" s="284"/>
      <c r="AA69" s="284"/>
      <c r="AB69" s="284"/>
      <c r="AC69" s="284"/>
      <c r="AD69" s="284"/>
      <c r="AE69" s="284"/>
    </row>
    <row r="70">
      <c r="A70" s="284"/>
      <c r="B70" s="284"/>
      <c r="C70" s="284"/>
      <c r="D70" s="284"/>
      <c r="E70" s="284"/>
      <c r="F70" s="284"/>
      <c r="G70" s="284"/>
      <c r="H70" s="284"/>
      <c r="I70" s="284"/>
      <c r="J70" s="284"/>
      <c r="K70" s="284"/>
      <c r="L70" s="284"/>
      <c r="M70" s="284"/>
      <c r="N70" s="284"/>
      <c r="O70" s="284"/>
      <c r="P70" s="284"/>
      <c r="Q70" s="284"/>
      <c r="R70" s="284"/>
      <c r="S70" s="284"/>
      <c r="T70" s="284"/>
      <c r="U70" s="284"/>
      <c r="V70" s="284"/>
      <c r="W70" s="284"/>
      <c r="X70" s="284"/>
      <c r="Y70" s="284"/>
      <c r="Z70" s="284"/>
      <c r="AA70" s="284"/>
      <c r="AB70" s="284"/>
      <c r="AC70" s="284"/>
      <c r="AD70" s="284"/>
      <c r="AE70" s="284"/>
    </row>
    <row r="71">
      <c r="A71" s="284"/>
      <c r="B71" s="284"/>
      <c r="C71" s="284"/>
      <c r="D71" s="284"/>
      <c r="E71" s="284"/>
      <c r="F71" s="284"/>
      <c r="G71" s="284"/>
      <c r="H71" s="284"/>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row>
    <row r="72">
      <c r="A72" s="284"/>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284"/>
    </row>
    <row r="73">
      <c r="A73" s="284"/>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284"/>
    </row>
    <row r="74">
      <c r="A74" s="284"/>
      <c r="B74" s="284"/>
      <c r="C74" s="284"/>
      <c r="D74" s="284"/>
      <c r="E74" s="284"/>
      <c r="F74" s="284"/>
      <c r="G74" s="284"/>
      <c r="H74" s="284"/>
      <c r="I74" s="284"/>
      <c r="J74" s="284"/>
      <c r="K74" s="284"/>
      <c r="L74" s="284"/>
      <c r="M74" s="284"/>
      <c r="N74" s="284"/>
      <c r="O74" s="284"/>
      <c r="P74" s="284"/>
      <c r="Q74" s="284"/>
      <c r="R74" s="284"/>
      <c r="S74" s="284"/>
      <c r="T74" s="284"/>
      <c r="U74" s="284"/>
      <c r="V74" s="284"/>
      <c r="W74" s="284"/>
      <c r="X74" s="284"/>
      <c r="Y74" s="284"/>
      <c r="Z74" s="284"/>
      <c r="AA74" s="284"/>
      <c r="AB74" s="284"/>
      <c r="AC74" s="284"/>
      <c r="AD74" s="284"/>
      <c r="AE74" s="284"/>
    </row>
    <row r="75">
      <c r="A75" s="284"/>
      <c r="B75" s="284"/>
      <c r="C75" s="284"/>
      <c r="D75" s="284"/>
      <c r="E75" s="284"/>
      <c r="F75" s="284"/>
      <c r="G75" s="284"/>
      <c r="H75" s="284"/>
      <c r="I75" s="284"/>
      <c r="J75" s="284"/>
      <c r="K75" s="284"/>
      <c r="L75" s="284"/>
      <c r="M75" s="284"/>
      <c r="N75" s="284"/>
      <c r="O75" s="284"/>
      <c r="P75" s="284"/>
      <c r="Q75" s="284"/>
      <c r="R75" s="284"/>
      <c r="S75" s="284"/>
      <c r="T75" s="284"/>
      <c r="U75" s="284"/>
      <c r="V75" s="284"/>
      <c r="W75" s="284"/>
      <c r="X75" s="284"/>
      <c r="Y75" s="284"/>
      <c r="Z75" s="284"/>
      <c r="AA75" s="284"/>
      <c r="AB75" s="284"/>
      <c r="AC75" s="284"/>
      <c r="AD75" s="284"/>
      <c r="AE75" s="284"/>
    </row>
    <row r="76">
      <c r="A76" s="284"/>
      <c r="B76" s="284"/>
      <c r="C76" s="284"/>
      <c r="D76" s="284"/>
      <c r="E76" s="284"/>
      <c r="F76" s="284"/>
      <c r="G76" s="284"/>
      <c r="H76" s="284"/>
      <c r="I76" s="284"/>
      <c r="J76" s="284"/>
      <c r="K76" s="284"/>
      <c r="L76" s="284"/>
      <c r="M76" s="284"/>
      <c r="N76" s="284"/>
      <c r="O76" s="284"/>
      <c r="P76" s="284"/>
      <c r="Q76" s="284"/>
      <c r="R76" s="284"/>
      <c r="S76" s="284"/>
      <c r="T76" s="284"/>
      <c r="U76" s="284"/>
      <c r="V76" s="284"/>
      <c r="W76" s="284"/>
      <c r="X76" s="284"/>
      <c r="Y76" s="284"/>
      <c r="Z76" s="284"/>
      <c r="AA76" s="284"/>
      <c r="AB76" s="284"/>
      <c r="AC76" s="284"/>
      <c r="AD76" s="284"/>
      <c r="AE76" s="284"/>
    </row>
    <row r="77">
      <c r="A77" s="284"/>
      <c r="B77" s="284"/>
      <c r="C77" s="284"/>
      <c r="D77" s="284"/>
      <c r="E77" s="284"/>
      <c r="F77" s="284"/>
      <c r="G77" s="284"/>
      <c r="H77" s="284"/>
      <c r="I77" s="284"/>
      <c r="J77" s="284"/>
      <c r="K77" s="284"/>
      <c r="L77" s="284"/>
      <c r="M77" s="284"/>
      <c r="N77" s="284"/>
      <c r="O77" s="284"/>
      <c r="P77" s="284"/>
      <c r="Q77" s="284"/>
      <c r="R77" s="284"/>
      <c r="S77" s="284"/>
      <c r="T77" s="284"/>
      <c r="U77" s="284"/>
      <c r="V77" s="284"/>
      <c r="W77" s="284"/>
      <c r="X77" s="284"/>
      <c r="Y77" s="284"/>
      <c r="Z77" s="284"/>
      <c r="AA77" s="284"/>
      <c r="AB77" s="284"/>
      <c r="AC77" s="284"/>
      <c r="AD77" s="284"/>
      <c r="AE77" s="284"/>
    </row>
    <row r="78">
      <c r="A78" s="284"/>
      <c r="B78" s="284"/>
      <c r="C78" s="284"/>
      <c r="D78" s="284"/>
      <c r="E78" s="284"/>
      <c r="F78" s="284"/>
      <c r="G78" s="284"/>
      <c r="H78" s="284"/>
      <c r="I78" s="284"/>
      <c r="J78" s="284"/>
      <c r="K78" s="284"/>
      <c r="L78" s="284"/>
      <c r="M78" s="284"/>
      <c r="N78" s="284"/>
      <c r="O78" s="284"/>
      <c r="P78" s="284"/>
      <c r="Q78" s="284"/>
      <c r="R78" s="284"/>
      <c r="S78" s="284"/>
      <c r="T78" s="284"/>
      <c r="U78" s="284"/>
      <c r="V78" s="284"/>
      <c r="W78" s="284"/>
      <c r="X78" s="284"/>
      <c r="Y78" s="284"/>
      <c r="Z78" s="284"/>
      <c r="AA78" s="284"/>
      <c r="AB78" s="284"/>
      <c r="AC78" s="284"/>
      <c r="AD78" s="284"/>
      <c r="AE78" s="284"/>
    </row>
    <row r="79">
      <c r="A79" s="284"/>
      <c r="B79" s="284"/>
      <c r="C79" s="284"/>
      <c r="D79" s="284"/>
      <c r="E79" s="284"/>
      <c r="F79" s="284"/>
      <c r="G79" s="284"/>
      <c r="H79" s="284"/>
      <c r="I79" s="284"/>
      <c r="J79" s="284"/>
      <c r="K79" s="284"/>
      <c r="L79" s="284"/>
      <c r="M79" s="284"/>
      <c r="N79" s="284"/>
      <c r="O79" s="284"/>
      <c r="P79" s="284"/>
      <c r="Q79" s="284"/>
      <c r="R79" s="284"/>
      <c r="S79" s="284"/>
      <c r="T79" s="284"/>
      <c r="U79" s="284"/>
      <c r="V79" s="284"/>
      <c r="W79" s="284"/>
      <c r="X79" s="284"/>
      <c r="Y79" s="284"/>
      <c r="Z79" s="284"/>
      <c r="AA79" s="284"/>
      <c r="AB79" s="284"/>
      <c r="AC79" s="284"/>
      <c r="AD79" s="284"/>
      <c r="AE79" s="284"/>
    </row>
    <row r="80">
      <c r="A80" s="284"/>
      <c r="B80" s="284"/>
      <c r="C80" s="284"/>
      <c r="D80" s="284"/>
      <c r="E80" s="284"/>
      <c r="F80" s="284"/>
      <c r="G80" s="284"/>
      <c r="H80" s="284"/>
      <c r="I80" s="284"/>
      <c r="J80" s="284"/>
      <c r="K80" s="284"/>
      <c r="L80" s="284"/>
      <c r="M80" s="284"/>
      <c r="N80" s="284"/>
      <c r="O80" s="284"/>
      <c r="P80" s="284"/>
      <c r="Q80" s="284"/>
      <c r="R80" s="284"/>
      <c r="S80" s="284"/>
      <c r="T80" s="284"/>
      <c r="U80" s="284"/>
      <c r="V80" s="284"/>
      <c r="W80" s="284"/>
      <c r="X80" s="284"/>
      <c r="Y80" s="284"/>
      <c r="Z80" s="284"/>
      <c r="AA80" s="284"/>
      <c r="AB80" s="284"/>
      <c r="AC80" s="284"/>
      <c r="AD80" s="284"/>
      <c r="AE80" s="284"/>
    </row>
    <row r="81">
      <c r="A81" s="284"/>
      <c r="B81" s="284"/>
      <c r="C81" s="284"/>
      <c r="D81" s="284"/>
      <c r="E81" s="284"/>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row>
    <row r="82">
      <c r="A82" s="284"/>
      <c r="B82" s="284"/>
      <c r="C82" s="284"/>
      <c r="D82" s="284"/>
      <c r="E82" s="284"/>
      <c r="F82" s="284"/>
      <c r="G82" s="284"/>
      <c r="H82" s="284"/>
      <c r="I82" s="284"/>
      <c r="J82" s="284"/>
      <c r="K82" s="284"/>
      <c r="L82" s="284"/>
      <c r="M82" s="284"/>
      <c r="N82" s="284"/>
      <c r="O82" s="284"/>
      <c r="P82" s="284"/>
      <c r="Q82" s="284"/>
      <c r="R82" s="284"/>
      <c r="S82" s="284"/>
      <c r="T82" s="284"/>
      <c r="U82" s="284"/>
      <c r="V82" s="284"/>
      <c r="W82" s="284"/>
      <c r="X82" s="284"/>
      <c r="Y82" s="284"/>
      <c r="Z82" s="284"/>
      <c r="AA82" s="284"/>
      <c r="AB82" s="284"/>
      <c r="AC82" s="284"/>
      <c r="AD82" s="284"/>
      <c r="AE82" s="284"/>
    </row>
    <row r="83">
      <c r="A83" s="284"/>
      <c r="B83" s="284"/>
      <c r="C83" s="284"/>
      <c r="D83" s="284"/>
      <c r="E83" s="284"/>
      <c r="F83" s="284"/>
      <c r="G83" s="284"/>
      <c r="H83" s="284"/>
      <c r="I83" s="284"/>
      <c r="J83" s="284"/>
      <c r="K83" s="284"/>
      <c r="L83" s="284"/>
      <c r="M83" s="284"/>
      <c r="N83" s="284"/>
      <c r="O83" s="284"/>
      <c r="P83" s="284"/>
      <c r="Q83" s="284"/>
      <c r="R83" s="284"/>
      <c r="S83" s="284"/>
      <c r="T83" s="284"/>
      <c r="U83" s="284"/>
      <c r="V83" s="284"/>
      <c r="W83" s="284"/>
      <c r="X83" s="284"/>
      <c r="Y83" s="284"/>
      <c r="Z83" s="284"/>
      <c r="AA83" s="284"/>
      <c r="AB83" s="284"/>
      <c r="AC83" s="284"/>
      <c r="AD83" s="284"/>
      <c r="AE83" s="284"/>
    </row>
    <row r="84">
      <c r="A84" s="284"/>
      <c r="B84" s="284"/>
      <c r="C84" s="284"/>
      <c r="D84" s="284"/>
      <c r="E84" s="284"/>
      <c r="F84" s="284"/>
      <c r="G84" s="284"/>
      <c r="H84" s="284"/>
      <c r="I84" s="284"/>
      <c r="J84" s="284"/>
      <c r="K84" s="284"/>
      <c r="L84" s="284"/>
      <c r="M84" s="284"/>
      <c r="N84" s="284"/>
      <c r="O84" s="284"/>
      <c r="P84" s="284"/>
      <c r="Q84" s="284"/>
      <c r="R84" s="284"/>
      <c r="S84" s="284"/>
      <c r="T84" s="284"/>
      <c r="U84" s="284"/>
      <c r="V84" s="284"/>
      <c r="W84" s="284"/>
      <c r="X84" s="284"/>
      <c r="Y84" s="284"/>
      <c r="Z84" s="284"/>
      <c r="AA84" s="284"/>
      <c r="AB84" s="284"/>
      <c r="AC84" s="284"/>
      <c r="AD84" s="284"/>
      <c r="AE84" s="284"/>
    </row>
    <row r="85">
      <c r="A85" s="284"/>
      <c r="B85" s="284"/>
      <c r="C85" s="284"/>
      <c r="D85" s="284"/>
      <c r="E85" s="284"/>
      <c r="F85" s="284"/>
      <c r="G85" s="284"/>
      <c r="H85" s="284"/>
      <c r="I85" s="284"/>
      <c r="J85" s="284"/>
      <c r="K85" s="284"/>
      <c r="L85" s="284"/>
      <c r="M85" s="284"/>
      <c r="N85" s="284"/>
      <c r="O85" s="284"/>
      <c r="P85" s="284"/>
      <c r="Q85" s="284"/>
      <c r="R85" s="284"/>
      <c r="S85" s="284"/>
      <c r="T85" s="284"/>
      <c r="U85" s="284"/>
      <c r="V85" s="284"/>
      <c r="W85" s="284"/>
      <c r="X85" s="284"/>
      <c r="Y85" s="284"/>
      <c r="Z85" s="284"/>
      <c r="AA85" s="284"/>
      <c r="AB85" s="284"/>
      <c r="AC85" s="284"/>
      <c r="AD85" s="284"/>
      <c r="AE85" s="284"/>
    </row>
    <row r="86">
      <c r="A86" s="284"/>
      <c r="B86" s="284"/>
      <c r="C86" s="284"/>
      <c r="D86" s="284"/>
      <c r="E86" s="284"/>
      <c r="F86" s="284"/>
      <c r="G86" s="284"/>
      <c r="H86" s="284"/>
      <c r="I86" s="284"/>
      <c r="J86" s="284"/>
      <c r="K86" s="284"/>
      <c r="L86" s="284"/>
      <c r="M86" s="284"/>
      <c r="N86" s="284"/>
      <c r="O86" s="284"/>
      <c r="P86" s="284"/>
      <c r="Q86" s="284"/>
      <c r="R86" s="284"/>
      <c r="S86" s="284"/>
      <c r="T86" s="284"/>
      <c r="U86" s="284"/>
      <c r="V86" s="284"/>
      <c r="W86" s="284"/>
      <c r="X86" s="284"/>
      <c r="Y86" s="284"/>
      <c r="Z86" s="284"/>
      <c r="AA86" s="284"/>
      <c r="AB86" s="284"/>
      <c r="AC86" s="284"/>
      <c r="AD86" s="284"/>
      <c r="AE86" s="284"/>
    </row>
    <row r="87">
      <c r="A87" s="284"/>
      <c r="B87" s="284"/>
      <c r="C87" s="284"/>
      <c r="D87" s="284"/>
      <c r="E87" s="284"/>
      <c r="F87" s="284"/>
      <c r="G87" s="284"/>
      <c r="H87" s="284"/>
      <c r="I87" s="284"/>
      <c r="J87" s="284"/>
      <c r="K87" s="284"/>
      <c r="L87" s="284"/>
      <c r="M87" s="284"/>
      <c r="N87" s="284"/>
      <c r="O87" s="284"/>
      <c r="P87" s="284"/>
      <c r="Q87" s="284"/>
      <c r="R87" s="284"/>
      <c r="S87" s="284"/>
      <c r="T87" s="284"/>
      <c r="U87" s="284"/>
      <c r="V87" s="284"/>
      <c r="W87" s="284"/>
      <c r="X87" s="284"/>
      <c r="Y87" s="284"/>
      <c r="Z87" s="284"/>
      <c r="AA87" s="284"/>
      <c r="AB87" s="284"/>
      <c r="AC87" s="284"/>
      <c r="AD87" s="284"/>
      <c r="AE87" s="284"/>
    </row>
    <row r="88">
      <c r="A88" s="284"/>
      <c r="B88" s="284"/>
      <c r="C88" s="284"/>
      <c r="D88" s="284"/>
      <c r="E88" s="284"/>
      <c r="F88" s="284"/>
      <c r="G88" s="284"/>
      <c r="H88" s="284"/>
      <c r="I88" s="284"/>
      <c r="J88" s="284"/>
      <c r="K88" s="284"/>
      <c r="L88" s="284"/>
      <c r="M88" s="284"/>
      <c r="N88" s="284"/>
      <c r="O88" s="284"/>
      <c r="P88" s="284"/>
      <c r="Q88" s="284"/>
      <c r="R88" s="284"/>
      <c r="S88" s="284"/>
      <c r="T88" s="284"/>
      <c r="U88" s="284"/>
      <c r="V88" s="284"/>
      <c r="W88" s="284"/>
      <c r="X88" s="284"/>
      <c r="Y88" s="284"/>
      <c r="Z88" s="284"/>
      <c r="AA88" s="284"/>
      <c r="AB88" s="284"/>
      <c r="AC88" s="284"/>
      <c r="AD88" s="284"/>
      <c r="AE88" s="284"/>
    </row>
    <row r="89">
      <c r="A89" s="284"/>
      <c r="B89" s="284"/>
      <c r="C89" s="284"/>
      <c r="D89" s="284"/>
      <c r="E89" s="284"/>
      <c r="F89" s="284"/>
      <c r="G89" s="284"/>
      <c r="H89" s="284"/>
      <c r="I89" s="284"/>
      <c r="J89" s="284"/>
      <c r="K89" s="284"/>
      <c r="L89" s="284"/>
      <c r="M89" s="284"/>
      <c r="N89" s="284"/>
      <c r="O89" s="284"/>
      <c r="P89" s="284"/>
      <c r="Q89" s="284"/>
      <c r="R89" s="284"/>
      <c r="S89" s="284"/>
      <c r="T89" s="284"/>
      <c r="U89" s="284"/>
      <c r="V89" s="284"/>
      <c r="W89" s="284"/>
      <c r="X89" s="284"/>
      <c r="Y89" s="284"/>
      <c r="Z89" s="284"/>
      <c r="AA89" s="284"/>
      <c r="AB89" s="284"/>
      <c r="AC89" s="284"/>
      <c r="AD89" s="284"/>
      <c r="AE89" s="284"/>
    </row>
    <row r="90">
      <c r="A90" s="284"/>
      <c r="B90" s="284"/>
      <c r="C90" s="284"/>
      <c r="D90" s="284"/>
      <c r="E90" s="284"/>
      <c r="F90" s="284"/>
      <c r="G90" s="284"/>
      <c r="H90" s="284"/>
      <c r="I90" s="284"/>
      <c r="J90" s="284"/>
      <c r="K90" s="284"/>
      <c r="L90" s="284"/>
      <c r="M90" s="284"/>
      <c r="N90" s="284"/>
      <c r="O90" s="284"/>
      <c r="P90" s="284"/>
      <c r="Q90" s="284"/>
      <c r="R90" s="284"/>
      <c r="S90" s="284"/>
      <c r="T90" s="284"/>
      <c r="U90" s="284"/>
      <c r="V90" s="284"/>
      <c r="W90" s="284"/>
      <c r="X90" s="284"/>
      <c r="Y90" s="284"/>
      <c r="Z90" s="284"/>
      <c r="AA90" s="284"/>
      <c r="AB90" s="284"/>
      <c r="AC90" s="284"/>
      <c r="AD90" s="284"/>
      <c r="AE90" s="284"/>
    </row>
    <row r="91">
      <c r="A91" s="284"/>
      <c r="B91" s="284"/>
      <c r="C91" s="284"/>
      <c r="D91" s="284"/>
      <c r="E91" s="284"/>
      <c r="F91" s="284"/>
      <c r="G91" s="284"/>
      <c r="H91" s="284"/>
      <c r="I91" s="284"/>
      <c r="J91" s="284"/>
      <c r="K91" s="284"/>
      <c r="L91" s="284"/>
      <c r="M91" s="284"/>
      <c r="N91" s="284"/>
      <c r="O91" s="284"/>
      <c r="P91" s="284"/>
      <c r="Q91" s="284"/>
      <c r="R91" s="284"/>
      <c r="S91" s="284"/>
      <c r="T91" s="284"/>
      <c r="U91" s="284"/>
      <c r="V91" s="284"/>
      <c r="W91" s="284"/>
      <c r="X91" s="284"/>
      <c r="Y91" s="284"/>
      <c r="Z91" s="284"/>
      <c r="AA91" s="284"/>
      <c r="AB91" s="284"/>
      <c r="AC91" s="284"/>
      <c r="AD91" s="284"/>
      <c r="AE91" s="284"/>
    </row>
    <row r="92">
      <c r="A92" s="284"/>
      <c r="B92" s="284"/>
      <c r="C92" s="284"/>
      <c r="D92" s="284"/>
      <c r="E92" s="284"/>
      <c r="F92" s="284"/>
      <c r="G92" s="284"/>
      <c r="H92" s="284"/>
      <c r="I92" s="284"/>
      <c r="J92" s="284"/>
      <c r="K92" s="284"/>
      <c r="L92" s="284"/>
      <c r="M92" s="284"/>
      <c r="N92" s="284"/>
      <c r="O92" s="284"/>
      <c r="P92" s="284"/>
      <c r="Q92" s="284"/>
      <c r="R92" s="284"/>
      <c r="S92" s="284"/>
      <c r="T92" s="284"/>
      <c r="U92" s="284"/>
      <c r="V92" s="284"/>
      <c r="W92" s="284"/>
      <c r="X92" s="284"/>
      <c r="Y92" s="284"/>
      <c r="Z92" s="284"/>
      <c r="AA92" s="284"/>
      <c r="AB92" s="284"/>
      <c r="AC92" s="284"/>
      <c r="AD92" s="284"/>
      <c r="AE92" s="284"/>
    </row>
    <row r="93">
      <c r="A93" s="284"/>
      <c r="B93" s="284"/>
      <c r="C93" s="284"/>
      <c r="D93" s="284"/>
      <c r="E93" s="284"/>
      <c r="F93" s="284"/>
      <c r="G93" s="284"/>
      <c r="H93" s="284"/>
      <c r="I93" s="284"/>
      <c r="J93" s="284"/>
      <c r="K93" s="284"/>
      <c r="L93" s="284"/>
      <c r="M93" s="284"/>
      <c r="N93" s="284"/>
      <c r="O93" s="284"/>
      <c r="P93" s="284"/>
      <c r="Q93" s="284"/>
      <c r="R93" s="284"/>
      <c r="S93" s="284"/>
      <c r="T93" s="284"/>
      <c r="U93" s="284"/>
      <c r="V93" s="284"/>
      <c r="W93" s="284"/>
      <c r="X93" s="284"/>
      <c r="Y93" s="284"/>
      <c r="Z93" s="284"/>
      <c r="AA93" s="284"/>
      <c r="AB93" s="284"/>
      <c r="AC93" s="284"/>
      <c r="AD93" s="284"/>
      <c r="AE93" s="284"/>
    </row>
    <row r="94">
      <c r="A94" s="284"/>
      <c r="B94" s="284"/>
      <c r="C94" s="284"/>
      <c r="D94" s="284"/>
      <c r="E94" s="284"/>
      <c r="F94" s="284"/>
      <c r="G94" s="284"/>
      <c r="H94" s="284"/>
      <c r="I94" s="284"/>
      <c r="J94" s="284"/>
      <c r="K94" s="284"/>
      <c r="L94" s="284"/>
      <c r="M94" s="284"/>
      <c r="N94" s="284"/>
      <c r="O94" s="284"/>
      <c r="P94" s="284"/>
      <c r="Q94" s="284"/>
      <c r="R94" s="284"/>
      <c r="S94" s="284"/>
      <c r="T94" s="284"/>
      <c r="U94" s="284"/>
      <c r="V94" s="284"/>
      <c r="W94" s="284"/>
      <c r="X94" s="284"/>
      <c r="Y94" s="284"/>
      <c r="Z94" s="284"/>
      <c r="AA94" s="284"/>
      <c r="AB94" s="284"/>
      <c r="AC94" s="284"/>
      <c r="AD94" s="284"/>
      <c r="AE94" s="284"/>
    </row>
    <row r="95">
      <c r="A95" s="284"/>
      <c r="B95" s="284"/>
      <c r="C95" s="284"/>
      <c r="D95" s="284"/>
      <c r="E95" s="284"/>
      <c r="F95" s="284"/>
      <c r="G95" s="284"/>
      <c r="H95" s="284"/>
      <c r="I95" s="284"/>
      <c r="J95" s="284"/>
      <c r="K95" s="284"/>
      <c r="L95" s="284"/>
      <c r="M95" s="284"/>
      <c r="N95" s="284"/>
      <c r="O95" s="284"/>
      <c r="P95" s="284"/>
      <c r="Q95" s="284"/>
      <c r="R95" s="284"/>
      <c r="S95" s="284"/>
      <c r="T95" s="284"/>
      <c r="U95" s="284"/>
      <c r="V95" s="284"/>
      <c r="W95" s="284"/>
      <c r="X95" s="284"/>
      <c r="Y95" s="284"/>
      <c r="Z95" s="284"/>
      <c r="AA95" s="284"/>
      <c r="AB95" s="284"/>
      <c r="AC95" s="284"/>
      <c r="AD95" s="284"/>
      <c r="AE95" s="284"/>
    </row>
    <row r="96">
      <c r="A96" s="284"/>
      <c r="B96" s="284"/>
      <c r="C96" s="284"/>
      <c r="D96" s="284"/>
      <c r="E96" s="284"/>
      <c r="F96" s="284"/>
      <c r="G96" s="284"/>
      <c r="H96" s="284"/>
      <c r="I96" s="284"/>
      <c r="J96" s="284"/>
      <c r="K96" s="284"/>
      <c r="L96" s="284"/>
      <c r="M96" s="284"/>
      <c r="N96" s="284"/>
      <c r="O96" s="284"/>
      <c r="P96" s="284"/>
      <c r="Q96" s="284"/>
      <c r="R96" s="284"/>
      <c r="S96" s="284"/>
      <c r="T96" s="284"/>
      <c r="U96" s="284"/>
      <c r="V96" s="284"/>
      <c r="W96" s="284"/>
      <c r="X96" s="284"/>
      <c r="Y96" s="284"/>
      <c r="Z96" s="284"/>
      <c r="AA96" s="284"/>
      <c r="AB96" s="284"/>
      <c r="AC96" s="284"/>
      <c r="AD96" s="284"/>
      <c r="AE96" s="284"/>
    </row>
    <row r="97">
      <c r="A97" s="284"/>
      <c r="B97" s="284"/>
      <c r="C97" s="284"/>
      <c r="D97" s="284"/>
      <c r="E97" s="284"/>
      <c r="F97" s="284"/>
      <c r="G97" s="284"/>
      <c r="H97" s="284"/>
      <c r="I97" s="284"/>
      <c r="J97" s="284"/>
      <c r="K97" s="284"/>
      <c r="L97" s="284"/>
      <c r="M97" s="284"/>
      <c r="N97" s="284"/>
      <c r="O97" s="284"/>
      <c r="P97" s="284"/>
      <c r="Q97" s="284"/>
      <c r="R97" s="284"/>
      <c r="S97" s="284"/>
      <c r="T97" s="284"/>
      <c r="U97" s="284"/>
      <c r="V97" s="284"/>
      <c r="W97" s="284"/>
      <c r="X97" s="284"/>
      <c r="Y97" s="284"/>
      <c r="Z97" s="284"/>
      <c r="AA97" s="284"/>
      <c r="AB97" s="284"/>
      <c r="AC97" s="284"/>
      <c r="AD97" s="284"/>
      <c r="AE97" s="284"/>
    </row>
    <row r="98">
      <c r="A98" s="284"/>
      <c r="B98" s="284"/>
      <c r="C98" s="284"/>
      <c r="D98" s="284"/>
      <c r="E98" s="284"/>
      <c r="F98" s="284"/>
      <c r="G98" s="284"/>
      <c r="H98" s="284"/>
      <c r="I98" s="284"/>
      <c r="J98" s="284"/>
      <c r="K98" s="284"/>
      <c r="L98" s="284"/>
      <c r="M98" s="284"/>
      <c r="N98" s="284"/>
      <c r="O98" s="284"/>
      <c r="P98" s="284"/>
      <c r="Q98" s="284"/>
      <c r="R98" s="284"/>
      <c r="S98" s="284"/>
      <c r="T98" s="284"/>
      <c r="U98" s="284"/>
      <c r="V98" s="284"/>
      <c r="W98" s="284"/>
      <c r="X98" s="284"/>
      <c r="Y98" s="284"/>
      <c r="Z98" s="284"/>
      <c r="AA98" s="284"/>
      <c r="AB98" s="284"/>
      <c r="AC98" s="284"/>
      <c r="AD98" s="284"/>
      <c r="AE98" s="284"/>
    </row>
    <row r="99">
      <c r="A99" s="284"/>
      <c r="B99" s="284"/>
      <c r="C99" s="284"/>
      <c r="D99" s="284"/>
      <c r="E99" s="284"/>
      <c r="F99" s="284"/>
      <c r="G99" s="284"/>
      <c r="H99" s="284"/>
      <c r="I99" s="284"/>
      <c r="J99" s="284"/>
      <c r="K99" s="284"/>
      <c r="L99" s="284"/>
      <c r="M99" s="284"/>
      <c r="N99" s="284"/>
      <c r="O99" s="284"/>
      <c r="P99" s="284"/>
      <c r="Q99" s="284"/>
      <c r="R99" s="284"/>
      <c r="S99" s="284"/>
      <c r="T99" s="284"/>
      <c r="U99" s="284"/>
      <c r="V99" s="284"/>
      <c r="W99" s="284"/>
      <c r="X99" s="284"/>
      <c r="Y99" s="284"/>
      <c r="Z99" s="284"/>
      <c r="AA99" s="284"/>
      <c r="AB99" s="284"/>
      <c r="AC99" s="284"/>
      <c r="AD99" s="284"/>
      <c r="AE99" s="284"/>
    </row>
    <row r="100">
      <c r="A100" s="284"/>
      <c r="B100" s="284"/>
      <c r="C100" s="284"/>
      <c r="D100" s="284"/>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row>
    <row r="101">
      <c r="A101" s="284"/>
      <c r="B101" s="284"/>
      <c r="C101" s="284"/>
      <c r="D101" s="284"/>
      <c r="E101" s="284"/>
      <c r="F101" s="284"/>
      <c r="G101" s="284"/>
      <c r="H101" s="284"/>
      <c r="I101" s="284"/>
      <c r="J101" s="284"/>
      <c r="K101" s="284"/>
      <c r="L101" s="284"/>
      <c r="M101" s="284"/>
      <c r="N101" s="284"/>
      <c r="O101" s="284"/>
      <c r="P101" s="284"/>
      <c r="Q101" s="284"/>
      <c r="R101" s="284"/>
      <c r="S101" s="284"/>
      <c r="T101" s="284"/>
      <c r="U101" s="284"/>
      <c r="V101" s="284"/>
      <c r="W101" s="284"/>
      <c r="X101" s="284"/>
      <c r="Y101" s="284"/>
      <c r="Z101" s="284"/>
      <c r="AA101" s="284"/>
      <c r="AB101" s="284"/>
      <c r="AC101" s="284"/>
      <c r="AD101" s="284"/>
      <c r="AE101" s="284"/>
    </row>
    <row r="102">
      <c r="A102" s="284"/>
      <c r="B102" s="284"/>
      <c r="C102" s="284"/>
      <c r="D102" s="284"/>
      <c r="E102" s="284"/>
      <c r="F102" s="284"/>
      <c r="G102" s="284"/>
      <c r="H102" s="284"/>
      <c r="I102" s="284"/>
      <c r="J102" s="284"/>
      <c r="K102" s="284"/>
      <c r="L102" s="284"/>
      <c r="M102" s="284"/>
      <c r="N102" s="284"/>
      <c r="O102" s="284"/>
      <c r="P102" s="284"/>
      <c r="Q102" s="284"/>
      <c r="R102" s="284"/>
      <c r="S102" s="284"/>
      <c r="T102" s="284"/>
      <c r="U102" s="284"/>
      <c r="V102" s="284"/>
      <c r="W102" s="284"/>
      <c r="X102" s="284"/>
      <c r="Y102" s="284"/>
      <c r="Z102" s="284"/>
      <c r="AA102" s="284"/>
      <c r="AB102" s="284"/>
      <c r="AC102" s="284"/>
      <c r="AD102" s="284"/>
      <c r="AE102" s="284"/>
    </row>
    <row r="103">
      <c r="A103" s="284"/>
      <c r="B103" s="284"/>
      <c r="C103" s="284"/>
      <c r="D103" s="284"/>
      <c r="E103" s="284"/>
      <c r="F103" s="284"/>
      <c r="G103" s="284"/>
      <c r="H103" s="284"/>
      <c r="I103" s="284"/>
      <c r="J103" s="284"/>
      <c r="K103" s="284"/>
      <c r="L103" s="284"/>
      <c r="M103" s="284"/>
      <c r="N103" s="284"/>
      <c r="O103" s="284"/>
      <c r="P103" s="284"/>
      <c r="Q103" s="284"/>
      <c r="R103" s="284"/>
      <c r="S103" s="284"/>
      <c r="T103" s="284"/>
      <c r="U103" s="284"/>
      <c r="V103" s="284"/>
      <c r="W103" s="284"/>
      <c r="X103" s="284"/>
      <c r="Y103" s="284"/>
      <c r="Z103" s="284"/>
      <c r="AA103" s="284"/>
      <c r="AB103" s="284"/>
      <c r="AC103" s="284"/>
      <c r="AD103" s="284"/>
      <c r="AE103" s="284"/>
    </row>
    <row r="104">
      <c r="A104" s="284"/>
      <c r="B104" s="284"/>
      <c r="C104" s="284"/>
      <c r="D104" s="284"/>
      <c r="E104" s="284"/>
      <c r="F104" s="284"/>
      <c r="G104" s="284"/>
      <c r="H104" s="284"/>
      <c r="I104" s="284"/>
      <c r="J104" s="284"/>
      <c r="K104" s="284"/>
      <c r="L104" s="284"/>
      <c r="M104" s="284"/>
      <c r="N104" s="284"/>
      <c r="O104" s="284"/>
      <c r="P104" s="284"/>
      <c r="Q104" s="284"/>
      <c r="R104" s="284"/>
      <c r="S104" s="284"/>
      <c r="T104" s="284"/>
      <c r="U104" s="284"/>
      <c r="V104" s="284"/>
      <c r="W104" s="284"/>
      <c r="X104" s="284"/>
      <c r="Y104" s="284"/>
      <c r="Z104" s="284"/>
      <c r="AA104" s="284"/>
      <c r="AB104" s="284"/>
      <c r="AC104" s="284"/>
      <c r="AD104" s="284"/>
      <c r="AE104" s="284"/>
    </row>
    <row r="105">
      <c r="A105" s="284"/>
      <c r="B105" s="284"/>
      <c r="C105" s="284"/>
      <c r="D105" s="284"/>
      <c r="E105" s="284"/>
      <c r="F105" s="284"/>
      <c r="G105" s="284"/>
      <c r="H105" s="284"/>
      <c r="I105" s="284"/>
      <c r="J105" s="284"/>
      <c r="K105" s="284"/>
      <c r="L105" s="284"/>
      <c r="M105" s="284"/>
      <c r="N105" s="284"/>
      <c r="O105" s="284"/>
      <c r="P105" s="284"/>
      <c r="Q105" s="284"/>
      <c r="R105" s="284"/>
      <c r="S105" s="284"/>
      <c r="T105" s="284"/>
      <c r="U105" s="284"/>
      <c r="V105" s="284"/>
      <c r="W105" s="284"/>
      <c r="X105" s="284"/>
      <c r="Y105" s="284"/>
      <c r="Z105" s="284"/>
      <c r="AA105" s="284"/>
      <c r="AB105" s="284"/>
      <c r="AC105" s="284"/>
      <c r="AD105" s="284"/>
      <c r="AE105" s="284"/>
    </row>
    <row r="106">
      <c r="A106" s="284"/>
      <c r="B106" s="284"/>
      <c r="C106" s="284"/>
      <c r="D106" s="284"/>
      <c r="E106" s="284"/>
      <c r="F106" s="284"/>
      <c r="G106" s="284"/>
      <c r="H106" s="284"/>
      <c r="I106" s="284"/>
      <c r="J106" s="284"/>
      <c r="K106" s="284"/>
      <c r="L106" s="284"/>
      <c r="M106" s="284"/>
      <c r="N106" s="284"/>
      <c r="O106" s="284"/>
      <c r="P106" s="284"/>
      <c r="Q106" s="284"/>
      <c r="R106" s="284"/>
      <c r="S106" s="284"/>
      <c r="T106" s="284"/>
      <c r="U106" s="284"/>
      <c r="V106" s="284"/>
      <c r="W106" s="284"/>
      <c r="X106" s="284"/>
      <c r="Y106" s="284"/>
      <c r="Z106" s="284"/>
      <c r="AA106" s="284"/>
      <c r="AB106" s="284"/>
      <c r="AC106" s="284"/>
      <c r="AD106" s="284"/>
      <c r="AE106" s="284"/>
    </row>
    <row r="107">
      <c r="A107" s="284"/>
      <c r="B107" s="284"/>
      <c r="C107" s="284"/>
      <c r="D107" s="284"/>
      <c r="E107" s="284"/>
      <c r="F107" s="284"/>
      <c r="G107" s="284"/>
      <c r="H107" s="284"/>
      <c r="I107" s="284"/>
      <c r="J107" s="284"/>
      <c r="K107" s="284"/>
      <c r="L107" s="284"/>
      <c r="M107" s="284"/>
      <c r="N107" s="284"/>
      <c r="O107" s="284"/>
      <c r="P107" s="284"/>
      <c r="Q107" s="284"/>
      <c r="R107" s="284"/>
      <c r="S107" s="284"/>
      <c r="T107" s="284"/>
      <c r="U107" s="284"/>
      <c r="V107" s="284"/>
      <c r="W107" s="284"/>
      <c r="X107" s="284"/>
      <c r="Y107" s="284"/>
      <c r="Z107" s="284"/>
      <c r="AA107" s="284"/>
      <c r="AB107" s="284"/>
      <c r="AC107" s="284"/>
      <c r="AD107" s="284"/>
      <c r="AE107" s="284"/>
    </row>
    <row r="108">
      <c r="A108" s="284"/>
      <c r="B108" s="284"/>
      <c r="C108" s="284"/>
      <c r="D108" s="284"/>
      <c r="E108" s="284"/>
      <c r="F108" s="284"/>
      <c r="G108" s="284"/>
      <c r="H108" s="284"/>
      <c r="I108" s="284"/>
      <c r="J108" s="284"/>
      <c r="K108" s="284"/>
      <c r="L108" s="284"/>
      <c r="M108" s="284"/>
      <c r="N108" s="284"/>
      <c r="O108" s="284"/>
      <c r="P108" s="284"/>
      <c r="Q108" s="284"/>
      <c r="R108" s="284"/>
      <c r="S108" s="284"/>
      <c r="T108" s="284"/>
      <c r="U108" s="284"/>
      <c r="V108" s="284"/>
      <c r="W108" s="284"/>
      <c r="X108" s="284"/>
      <c r="Y108" s="284"/>
      <c r="Z108" s="284"/>
      <c r="AA108" s="284"/>
      <c r="AB108" s="284"/>
      <c r="AC108" s="284"/>
      <c r="AD108" s="284"/>
      <c r="AE108" s="284"/>
    </row>
    <row r="109">
      <c r="A109" s="284"/>
      <c r="B109" s="284"/>
      <c r="C109" s="284"/>
      <c r="D109" s="284"/>
      <c r="E109" s="284"/>
      <c r="F109" s="284"/>
      <c r="G109" s="284"/>
      <c r="H109" s="284"/>
      <c r="I109" s="284"/>
      <c r="J109" s="284"/>
      <c r="K109" s="284"/>
      <c r="L109" s="284"/>
      <c r="M109" s="284"/>
      <c r="N109" s="284"/>
      <c r="O109" s="284"/>
      <c r="P109" s="284"/>
      <c r="Q109" s="284"/>
      <c r="R109" s="284"/>
      <c r="S109" s="284"/>
      <c r="T109" s="284"/>
      <c r="U109" s="284"/>
      <c r="V109" s="284"/>
      <c r="W109" s="284"/>
      <c r="X109" s="284"/>
      <c r="Y109" s="284"/>
      <c r="Z109" s="284"/>
      <c r="AA109" s="284"/>
      <c r="AB109" s="284"/>
      <c r="AC109" s="284"/>
      <c r="AD109" s="284"/>
      <c r="AE109" s="284"/>
    </row>
    <row r="110">
      <c r="A110" s="284"/>
      <c r="B110" s="284"/>
      <c r="C110" s="284"/>
      <c r="D110" s="284"/>
      <c r="E110" s="284"/>
      <c r="F110" s="284"/>
      <c r="G110" s="284"/>
      <c r="H110" s="284"/>
      <c r="I110" s="284"/>
      <c r="J110" s="284"/>
      <c r="K110" s="284"/>
      <c r="L110" s="284"/>
      <c r="M110" s="284"/>
      <c r="N110" s="284"/>
      <c r="O110" s="284"/>
      <c r="P110" s="284"/>
      <c r="Q110" s="284"/>
      <c r="R110" s="284"/>
      <c r="S110" s="284"/>
      <c r="T110" s="284"/>
      <c r="U110" s="284"/>
      <c r="V110" s="284"/>
      <c r="W110" s="284"/>
      <c r="X110" s="284"/>
      <c r="Y110" s="284"/>
      <c r="Z110" s="284"/>
      <c r="AA110" s="284"/>
      <c r="AB110" s="284"/>
      <c r="AC110" s="284"/>
      <c r="AD110" s="284"/>
      <c r="AE110" s="284"/>
    </row>
    <row r="111">
      <c r="A111" s="284"/>
      <c r="B111" s="284"/>
      <c r="C111" s="284"/>
      <c r="D111" s="284"/>
      <c r="E111" s="284"/>
      <c r="F111" s="284"/>
      <c r="G111" s="284"/>
      <c r="H111" s="284"/>
      <c r="I111" s="284"/>
      <c r="J111" s="284"/>
      <c r="K111" s="284"/>
      <c r="L111" s="284"/>
      <c r="M111" s="284"/>
      <c r="N111" s="284"/>
      <c r="O111" s="284"/>
      <c r="P111" s="284"/>
      <c r="Q111" s="284"/>
      <c r="R111" s="284"/>
      <c r="S111" s="284"/>
      <c r="T111" s="284"/>
      <c r="U111" s="284"/>
      <c r="V111" s="284"/>
      <c r="W111" s="284"/>
      <c r="X111" s="284"/>
      <c r="Y111" s="284"/>
      <c r="Z111" s="284"/>
      <c r="AA111" s="284"/>
      <c r="AB111" s="284"/>
      <c r="AC111" s="284"/>
      <c r="AD111" s="284"/>
      <c r="AE111" s="284"/>
    </row>
    <row r="112">
      <c r="A112" s="284"/>
      <c r="B112" s="284"/>
      <c r="C112" s="284"/>
      <c r="D112" s="284"/>
      <c r="E112" s="284"/>
      <c r="F112" s="284"/>
      <c r="G112" s="284"/>
      <c r="H112" s="284"/>
      <c r="I112" s="284"/>
      <c r="J112" s="284"/>
      <c r="K112" s="284"/>
      <c r="L112" s="284"/>
      <c r="M112" s="284"/>
      <c r="N112" s="284"/>
      <c r="O112" s="284"/>
      <c r="P112" s="284"/>
      <c r="Q112" s="284"/>
      <c r="R112" s="284"/>
      <c r="S112" s="284"/>
      <c r="T112" s="284"/>
      <c r="U112" s="284"/>
      <c r="V112" s="284"/>
      <c r="W112" s="284"/>
      <c r="X112" s="284"/>
      <c r="Y112" s="284"/>
      <c r="Z112" s="284"/>
      <c r="AA112" s="284"/>
      <c r="AB112" s="284"/>
      <c r="AC112" s="284"/>
      <c r="AD112" s="284"/>
      <c r="AE112" s="284"/>
    </row>
    <row r="113">
      <c r="A113" s="284"/>
      <c r="B113" s="284"/>
      <c r="C113" s="284"/>
      <c r="D113" s="284"/>
      <c r="E113" s="284"/>
      <c r="F113" s="284"/>
      <c r="G113" s="284"/>
      <c r="H113" s="284"/>
      <c r="I113" s="284"/>
      <c r="J113" s="284"/>
      <c r="K113" s="284"/>
      <c r="L113" s="284"/>
      <c r="M113" s="284"/>
      <c r="N113" s="284"/>
      <c r="O113" s="284"/>
      <c r="P113" s="284"/>
      <c r="Q113" s="284"/>
      <c r="R113" s="284"/>
      <c r="S113" s="284"/>
      <c r="T113" s="284"/>
      <c r="U113" s="284"/>
      <c r="V113" s="284"/>
      <c r="W113" s="284"/>
      <c r="X113" s="284"/>
      <c r="Y113" s="284"/>
      <c r="Z113" s="284"/>
      <c r="AA113" s="284"/>
      <c r="AB113" s="284"/>
      <c r="AC113" s="284"/>
      <c r="AD113" s="284"/>
      <c r="AE113" s="284"/>
    </row>
    <row r="114">
      <c r="A114" s="284"/>
      <c r="B114" s="284"/>
      <c r="C114" s="284"/>
      <c r="D114" s="284"/>
      <c r="E114" s="284"/>
      <c r="F114" s="284"/>
      <c r="G114" s="284"/>
      <c r="H114" s="284"/>
      <c r="I114" s="284"/>
      <c r="J114" s="284"/>
      <c r="K114" s="284"/>
      <c r="L114" s="284"/>
      <c r="M114" s="284"/>
      <c r="N114" s="284"/>
      <c r="O114" s="284"/>
      <c r="P114" s="284"/>
      <c r="Q114" s="284"/>
      <c r="R114" s="284"/>
      <c r="S114" s="284"/>
      <c r="T114" s="284"/>
      <c r="U114" s="284"/>
      <c r="V114" s="284"/>
      <c r="W114" s="284"/>
      <c r="X114" s="284"/>
      <c r="Y114" s="284"/>
      <c r="Z114" s="284"/>
      <c r="AA114" s="284"/>
      <c r="AB114" s="284"/>
      <c r="AC114" s="284"/>
      <c r="AD114" s="284"/>
      <c r="AE114" s="284"/>
    </row>
    <row r="115">
      <c r="A115" s="284"/>
      <c r="B115" s="284"/>
      <c r="C115" s="284"/>
      <c r="D115" s="284"/>
      <c r="E115" s="284"/>
      <c r="F115" s="284"/>
      <c r="G115" s="284"/>
      <c r="H115" s="284"/>
      <c r="I115" s="284"/>
      <c r="J115" s="284"/>
      <c r="K115" s="284"/>
      <c r="L115" s="284"/>
      <c r="M115" s="284"/>
      <c r="N115" s="284"/>
      <c r="O115" s="284"/>
      <c r="P115" s="284"/>
      <c r="Q115" s="284"/>
      <c r="R115" s="284"/>
      <c r="S115" s="284"/>
      <c r="T115" s="284"/>
      <c r="U115" s="284"/>
      <c r="V115" s="284"/>
      <c r="W115" s="284"/>
      <c r="X115" s="284"/>
      <c r="Y115" s="284"/>
      <c r="Z115" s="284"/>
      <c r="AA115" s="284"/>
      <c r="AB115" s="284"/>
      <c r="AC115" s="284"/>
      <c r="AD115" s="284"/>
      <c r="AE115" s="284"/>
    </row>
    <row r="116">
      <c r="A116" s="284"/>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c r="Z116" s="284"/>
      <c r="AA116" s="284"/>
      <c r="AB116" s="284"/>
      <c r="AC116" s="284"/>
      <c r="AD116" s="284"/>
      <c r="AE116" s="284"/>
    </row>
    <row r="117">
      <c r="A117" s="284"/>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c r="Z117" s="284"/>
      <c r="AA117" s="284"/>
      <c r="AB117" s="284"/>
      <c r="AC117" s="284"/>
      <c r="AD117" s="284"/>
      <c r="AE117" s="284"/>
    </row>
    <row r="118">
      <c r="A118" s="284"/>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c r="Z118" s="284"/>
      <c r="AA118" s="284"/>
      <c r="AB118" s="284"/>
      <c r="AC118" s="284"/>
      <c r="AD118" s="284"/>
      <c r="AE118" s="284"/>
    </row>
    <row r="119">
      <c r="A119" s="284"/>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c r="Z119" s="284"/>
      <c r="AA119" s="284"/>
      <c r="AB119" s="284"/>
      <c r="AC119" s="284"/>
      <c r="AD119" s="284"/>
      <c r="AE119" s="284"/>
    </row>
    <row r="120">
      <c r="A120" s="284"/>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c r="Z120" s="284"/>
      <c r="AA120" s="284"/>
      <c r="AB120" s="284"/>
      <c r="AC120" s="284"/>
      <c r="AD120" s="284"/>
      <c r="AE120" s="284"/>
    </row>
    <row r="121">
      <c r="A121" s="284"/>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row>
    <row r="122">
      <c r="A122" s="284"/>
      <c r="B122" s="284"/>
      <c r="C122" s="284"/>
      <c r="D122" s="284"/>
      <c r="E122" s="284"/>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row>
    <row r="123">
      <c r="A123" s="284"/>
      <c r="B123" s="284"/>
      <c r="C123" s="284"/>
      <c r="D123" s="284"/>
      <c r="E123" s="284"/>
      <c r="F123" s="284"/>
      <c r="G123" s="284"/>
      <c r="H123" s="284"/>
      <c r="I123" s="284"/>
      <c r="J123" s="284"/>
      <c r="K123" s="284"/>
      <c r="L123" s="284"/>
      <c r="M123" s="284"/>
      <c r="N123" s="284"/>
      <c r="O123" s="284"/>
      <c r="P123" s="284"/>
      <c r="Q123" s="284"/>
      <c r="R123" s="284"/>
      <c r="S123" s="284"/>
      <c r="T123" s="284"/>
      <c r="U123" s="284"/>
      <c r="V123" s="284"/>
      <c r="W123" s="284"/>
      <c r="X123" s="284"/>
      <c r="Y123" s="284"/>
      <c r="Z123" s="284"/>
      <c r="AA123" s="284"/>
      <c r="AB123" s="284"/>
      <c r="AC123" s="284"/>
      <c r="AD123" s="284"/>
      <c r="AE123" s="284"/>
    </row>
    <row r="124">
      <c r="A124" s="284"/>
      <c r="B124" s="284"/>
      <c r="C124" s="284"/>
      <c r="D124" s="284"/>
      <c r="E124" s="284"/>
      <c r="F124" s="284"/>
      <c r="G124" s="284"/>
      <c r="H124" s="284"/>
      <c r="I124" s="284"/>
      <c r="J124" s="284"/>
      <c r="K124" s="284"/>
      <c r="L124" s="284"/>
      <c r="M124" s="284"/>
      <c r="N124" s="284"/>
      <c r="O124" s="284"/>
      <c r="P124" s="284"/>
      <c r="Q124" s="284"/>
      <c r="R124" s="284"/>
      <c r="S124" s="284"/>
      <c r="T124" s="284"/>
      <c r="U124" s="284"/>
      <c r="V124" s="284"/>
      <c r="W124" s="284"/>
      <c r="X124" s="284"/>
      <c r="Y124" s="284"/>
      <c r="Z124" s="284"/>
      <c r="AA124" s="284"/>
      <c r="AB124" s="284"/>
      <c r="AC124" s="284"/>
      <c r="AD124" s="284"/>
      <c r="AE124" s="284"/>
    </row>
    <row r="125">
      <c r="A125" s="284"/>
      <c r="B125" s="284"/>
      <c r="C125" s="284"/>
      <c r="D125" s="284"/>
      <c r="E125" s="284"/>
      <c r="F125" s="284"/>
      <c r="G125" s="284"/>
      <c r="H125" s="284"/>
      <c r="I125" s="284"/>
      <c r="J125" s="284"/>
      <c r="K125" s="284"/>
      <c r="L125" s="284"/>
      <c r="M125" s="284"/>
      <c r="N125" s="284"/>
      <c r="O125" s="284"/>
      <c r="P125" s="284"/>
      <c r="Q125" s="284"/>
      <c r="R125" s="284"/>
      <c r="S125" s="284"/>
      <c r="T125" s="284"/>
      <c r="U125" s="284"/>
      <c r="V125" s="284"/>
      <c r="W125" s="284"/>
      <c r="X125" s="284"/>
      <c r="Y125" s="284"/>
      <c r="Z125" s="284"/>
      <c r="AA125" s="284"/>
      <c r="AB125" s="284"/>
      <c r="AC125" s="284"/>
      <c r="AD125" s="284"/>
      <c r="AE125" s="284"/>
    </row>
    <row r="126">
      <c r="A126" s="284"/>
      <c r="B126" s="284"/>
      <c r="C126" s="284"/>
      <c r="D126" s="284"/>
      <c r="E126" s="284"/>
      <c r="F126" s="284"/>
      <c r="G126" s="284"/>
      <c r="H126" s="284"/>
      <c r="I126" s="284"/>
      <c r="J126" s="284"/>
      <c r="K126" s="284"/>
      <c r="L126" s="284"/>
      <c r="M126" s="284"/>
      <c r="N126" s="284"/>
      <c r="O126" s="284"/>
      <c r="P126" s="284"/>
      <c r="Q126" s="284"/>
      <c r="R126" s="284"/>
      <c r="S126" s="284"/>
      <c r="T126" s="284"/>
      <c r="U126" s="284"/>
      <c r="V126" s="284"/>
      <c r="W126" s="284"/>
      <c r="X126" s="284"/>
      <c r="Y126" s="284"/>
      <c r="Z126" s="284"/>
      <c r="AA126" s="284"/>
      <c r="AB126" s="284"/>
      <c r="AC126" s="284"/>
      <c r="AD126" s="284"/>
      <c r="AE126" s="284"/>
    </row>
    <row r="127">
      <c r="A127" s="284"/>
      <c r="B127" s="284"/>
      <c r="C127" s="284"/>
      <c r="D127" s="284"/>
      <c r="E127" s="284"/>
      <c r="F127" s="284"/>
      <c r="G127" s="284"/>
      <c r="H127" s="284"/>
      <c r="I127" s="284"/>
      <c r="J127" s="284"/>
      <c r="K127" s="284"/>
      <c r="L127" s="284"/>
      <c r="M127" s="284"/>
      <c r="N127" s="284"/>
      <c r="O127" s="284"/>
      <c r="P127" s="284"/>
      <c r="Q127" s="284"/>
      <c r="R127" s="284"/>
      <c r="S127" s="284"/>
      <c r="T127" s="284"/>
      <c r="U127" s="284"/>
      <c r="V127" s="284"/>
      <c r="W127" s="284"/>
      <c r="X127" s="284"/>
      <c r="Y127" s="284"/>
      <c r="Z127" s="284"/>
      <c r="AA127" s="284"/>
      <c r="AB127" s="284"/>
      <c r="AC127" s="284"/>
      <c r="AD127" s="284"/>
      <c r="AE127" s="284"/>
    </row>
    <row r="128">
      <c r="A128" s="284"/>
      <c r="B128" s="284"/>
      <c r="C128" s="284"/>
      <c r="D128" s="284"/>
      <c r="E128" s="284"/>
      <c r="F128" s="284"/>
      <c r="G128" s="284"/>
      <c r="H128" s="284"/>
      <c r="I128" s="284"/>
      <c r="J128" s="284"/>
      <c r="K128" s="284"/>
      <c r="L128" s="284"/>
      <c r="M128" s="284"/>
      <c r="N128" s="284"/>
      <c r="O128" s="284"/>
      <c r="P128" s="284"/>
      <c r="Q128" s="284"/>
      <c r="R128" s="284"/>
      <c r="S128" s="284"/>
      <c r="T128" s="284"/>
      <c r="U128" s="284"/>
      <c r="V128" s="284"/>
      <c r="W128" s="284"/>
      <c r="X128" s="284"/>
      <c r="Y128" s="284"/>
      <c r="Z128" s="284"/>
      <c r="AA128" s="284"/>
      <c r="AB128" s="284"/>
      <c r="AC128" s="284"/>
      <c r="AD128" s="284"/>
      <c r="AE128" s="284"/>
    </row>
    <row r="129">
      <c r="A129" s="284"/>
      <c r="B129" s="284"/>
      <c r="C129" s="284"/>
      <c r="D129" s="284"/>
      <c r="E129" s="284"/>
      <c r="F129" s="284"/>
      <c r="G129" s="284"/>
      <c r="H129" s="284"/>
      <c r="I129" s="284"/>
      <c r="J129" s="284"/>
      <c r="K129" s="284"/>
      <c r="L129" s="284"/>
      <c r="M129" s="284"/>
      <c r="N129" s="284"/>
      <c r="O129" s="284"/>
      <c r="P129" s="284"/>
      <c r="Q129" s="284"/>
      <c r="R129" s="284"/>
      <c r="S129" s="284"/>
      <c r="T129" s="284"/>
      <c r="U129" s="284"/>
      <c r="V129" s="284"/>
      <c r="W129" s="284"/>
      <c r="X129" s="284"/>
      <c r="Y129" s="284"/>
      <c r="Z129" s="284"/>
      <c r="AA129" s="284"/>
      <c r="AB129" s="284"/>
      <c r="AC129" s="284"/>
      <c r="AD129" s="284"/>
      <c r="AE129" s="284"/>
    </row>
    <row r="130">
      <c r="A130" s="284"/>
      <c r="B130" s="284"/>
      <c r="C130" s="284"/>
      <c r="D130" s="284"/>
      <c r="E130" s="284"/>
      <c r="F130" s="284"/>
      <c r="G130" s="284"/>
      <c r="H130" s="284"/>
      <c r="I130" s="284"/>
      <c r="J130" s="284"/>
      <c r="K130" s="284"/>
      <c r="L130" s="284"/>
      <c r="M130" s="284"/>
      <c r="N130" s="284"/>
      <c r="O130" s="284"/>
      <c r="P130" s="284"/>
      <c r="Q130" s="284"/>
      <c r="R130" s="284"/>
      <c r="S130" s="284"/>
      <c r="T130" s="284"/>
      <c r="U130" s="284"/>
      <c r="V130" s="284"/>
      <c r="W130" s="284"/>
      <c r="X130" s="284"/>
      <c r="Y130" s="284"/>
      <c r="Z130" s="284"/>
      <c r="AA130" s="284"/>
      <c r="AB130" s="284"/>
      <c r="AC130" s="284"/>
      <c r="AD130" s="284"/>
      <c r="AE130" s="284"/>
    </row>
    <row r="131">
      <c r="A131" s="284"/>
      <c r="B131" s="284"/>
      <c r="C131" s="284"/>
      <c r="D131" s="284"/>
      <c r="E131" s="284"/>
      <c r="F131" s="284"/>
      <c r="G131" s="284"/>
      <c r="H131" s="284"/>
      <c r="I131" s="284"/>
      <c r="J131" s="284"/>
      <c r="K131" s="284"/>
      <c r="L131" s="284"/>
      <c r="M131" s="284"/>
      <c r="N131" s="284"/>
      <c r="O131" s="284"/>
      <c r="P131" s="284"/>
      <c r="Q131" s="284"/>
      <c r="R131" s="284"/>
      <c r="S131" s="284"/>
      <c r="T131" s="284"/>
      <c r="U131" s="284"/>
      <c r="V131" s="284"/>
      <c r="W131" s="284"/>
      <c r="X131" s="284"/>
      <c r="Y131" s="284"/>
      <c r="Z131" s="284"/>
      <c r="AA131" s="284"/>
      <c r="AB131" s="284"/>
      <c r="AC131" s="284"/>
      <c r="AD131" s="284"/>
      <c r="AE131" s="284"/>
    </row>
    <row r="132">
      <c r="A132" s="284"/>
      <c r="B132" s="284"/>
      <c r="C132" s="284"/>
      <c r="D132" s="284"/>
      <c r="E132" s="284"/>
      <c r="F132" s="284"/>
      <c r="G132" s="284"/>
      <c r="H132" s="284"/>
      <c r="I132" s="284"/>
      <c r="J132" s="284"/>
      <c r="K132" s="284"/>
      <c r="L132" s="284"/>
      <c r="M132" s="284"/>
      <c r="N132" s="284"/>
      <c r="O132" s="284"/>
      <c r="P132" s="284"/>
      <c r="Q132" s="284"/>
      <c r="R132" s="284"/>
      <c r="S132" s="284"/>
      <c r="T132" s="284"/>
      <c r="U132" s="284"/>
      <c r="V132" s="284"/>
      <c r="W132" s="284"/>
      <c r="X132" s="284"/>
      <c r="Y132" s="284"/>
      <c r="Z132" s="284"/>
      <c r="AA132" s="284"/>
      <c r="AB132" s="284"/>
      <c r="AC132" s="284"/>
      <c r="AD132" s="284"/>
      <c r="AE132" s="284"/>
    </row>
    <row r="133">
      <c r="A133" s="284"/>
      <c r="B133" s="284"/>
      <c r="C133" s="284"/>
      <c r="D133" s="284"/>
      <c r="E133" s="284"/>
      <c r="F133" s="284"/>
      <c r="G133" s="284"/>
      <c r="H133" s="284"/>
      <c r="I133" s="284"/>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row>
    <row r="134">
      <c r="A134" s="284"/>
      <c r="B134" s="284"/>
      <c r="C134" s="284"/>
      <c r="D134" s="284"/>
      <c r="E134" s="284"/>
      <c r="F134" s="284"/>
      <c r="G134" s="284"/>
      <c r="H134" s="284"/>
      <c r="I134" s="284"/>
      <c r="J134" s="284"/>
      <c r="K134" s="284"/>
      <c r="L134" s="284"/>
      <c r="M134" s="284"/>
      <c r="N134" s="284"/>
      <c r="O134" s="284"/>
      <c r="P134" s="284"/>
      <c r="Q134" s="284"/>
      <c r="R134" s="284"/>
      <c r="S134" s="284"/>
      <c r="T134" s="284"/>
      <c r="U134" s="284"/>
      <c r="V134" s="284"/>
      <c r="W134" s="284"/>
      <c r="X134" s="284"/>
      <c r="Y134" s="284"/>
      <c r="Z134" s="284"/>
      <c r="AA134" s="284"/>
      <c r="AB134" s="284"/>
      <c r="AC134" s="284"/>
      <c r="AD134" s="284"/>
      <c r="AE134" s="284"/>
    </row>
    <row r="135">
      <c r="A135" s="284"/>
      <c r="B135" s="284"/>
      <c r="C135" s="284"/>
      <c r="D135" s="284"/>
      <c r="E135" s="284"/>
      <c r="F135" s="284"/>
      <c r="G135" s="284"/>
      <c r="H135" s="284"/>
      <c r="I135" s="284"/>
      <c r="J135" s="284"/>
      <c r="K135" s="284"/>
      <c r="L135" s="284"/>
      <c r="M135" s="284"/>
      <c r="N135" s="284"/>
      <c r="O135" s="284"/>
      <c r="P135" s="284"/>
      <c r="Q135" s="284"/>
      <c r="R135" s="284"/>
      <c r="S135" s="284"/>
      <c r="T135" s="284"/>
      <c r="U135" s="284"/>
      <c r="V135" s="284"/>
      <c r="W135" s="284"/>
      <c r="X135" s="284"/>
      <c r="Y135" s="284"/>
      <c r="Z135" s="284"/>
      <c r="AA135" s="284"/>
      <c r="AB135" s="284"/>
      <c r="AC135" s="284"/>
      <c r="AD135" s="284"/>
      <c r="AE135" s="284"/>
    </row>
    <row r="136">
      <c r="A136" s="284"/>
      <c r="B136" s="284"/>
      <c r="C136" s="284"/>
      <c r="D136" s="284"/>
      <c r="E136" s="284"/>
      <c r="F136" s="284"/>
      <c r="G136" s="284"/>
      <c r="H136" s="284"/>
      <c r="I136" s="284"/>
      <c r="J136" s="284"/>
      <c r="K136" s="284"/>
      <c r="L136" s="284"/>
      <c r="M136" s="284"/>
      <c r="N136" s="284"/>
      <c r="O136" s="284"/>
      <c r="P136" s="284"/>
      <c r="Q136" s="284"/>
      <c r="R136" s="284"/>
      <c r="S136" s="284"/>
      <c r="T136" s="284"/>
      <c r="U136" s="284"/>
      <c r="V136" s="284"/>
      <c r="W136" s="284"/>
      <c r="X136" s="284"/>
      <c r="Y136" s="284"/>
      <c r="Z136" s="284"/>
      <c r="AA136" s="284"/>
      <c r="AB136" s="284"/>
      <c r="AC136" s="284"/>
      <c r="AD136" s="284"/>
      <c r="AE136" s="284"/>
    </row>
    <row r="137">
      <c r="A137" s="284"/>
      <c r="B137" s="284"/>
      <c r="C137" s="284"/>
      <c r="D137" s="284"/>
      <c r="E137" s="284"/>
      <c r="F137" s="284"/>
      <c r="G137" s="284"/>
      <c r="H137" s="284"/>
      <c r="I137" s="284"/>
      <c r="J137" s="284"/>
      <c r="K137" s="284"/>
      <c r="L137" s="284"/>
      <c r="M137" s="284"/>
      <c r="N137" s="284"/>
      <c r="O137" s="284"/>
      <c r="P137" s="284"/>
      <c r="Q137" s="284"/>
      <c r="R137" s="284"/>
      <c r="S137" s="284"/>
      <c r="T137" s="284"/>
      <c r="U137" s="284"/>
      <c r="V137" s="284"/>
      <c r="W137" s="284"/>
      <c r="X137" s="284"/>
      <c r="Y137" s="284"/>
      <c r="Z137" s="284"/>
      <c r="AA137" s="284"/>
      <c r="AB137" s="284"/>
      <c r="AC137" s="284"/>
      <c r="AD137" s="284"/>
      <c r="AE137" s="284"/>
    </row>
    <row r="138">
      <c r="A138" s="284"/>
      <c r="B138" s="284"/>
      <c r="C138" s="284"/>
      <c r="D138" s="284"/>
      <c r="E138" s="284"/>
      <c r="F138" s="284"/>
      <c r="G138" s="284"/>
      <c r="H138" s="284"/>
      <c r="I138" s="284"/>
      <c r="J138" s="284"/>
      <c r="K138" s="284"/>
      <c r="L138" s="284"/>
      <c r="M138" s="284"/>
      <c r="N138" s="284"/>
      <c r="O138" s="284"/>
      <c r="P138" s="284"/>
      <c r="Q138" s="284"/>
      <c r="R138" s="284"/>
      <c r="S138" s="284"/>
      <c r="T138" s="284"/>
      <c r="U138" s="284"/>
      <c r="V138" s="284"/>
      <c r="W138" s="284"/>
      <c r="X138" s="284"/>
      <c r="Y138" s="284"/>
      <c r="Z138" s="284"/>
      <c r="AA138" s="284"/>
      <c r="AB138" s="284"/>
      <c r="AC138" s="284"/>
      <c r="AD138" s="284"/>
      <c r="AE138" s="284"/>
    </row>
    <row r="139">
      <c r="A139" s="284"/>
      <c r="B139" s="284"/>
      <c r="C139" s="284"/>
      <c r="D139" s="284"/>
      <c r="E139" s="284"/>
      <c r="F139" s="284"/>
      <c r="G139" s="284"/>
      <c r="H139" s="284"/>
      <c r="I139" s="284"/>
      <c r="J139" s="284"/>
      <c r="K139" s="284"/>
      <c r="L139" s="284"/>
      <c r="M139" s="284"/>
      <c r="N139" s="284"/>
      <c r="O139" s="284"/>
      <c r="P139" s="284"/>
      <c r="Q139" s="284"/>
      <c r="R139" s="284"/>
      <c r="S139" s="284"/>
      <c r="T139" s="284"/>
      <c r="U139" s="284"/>
      <c r="V139" s="284"/>
      <c r="W139" s="284"/>
      <c r="X139" s="284"/>
      <c r="Y139" s="284"/>
      <c r="Z139" s="284"/>
      <c r="AA139" s="284"/>
      <c r="AB139" s="284"/>
      <c r="AC139" s="284"/>
      <c r="AD139" s="284"/>
      <c r="AE139" s="284"/>
    </row>
    <row r="140">
      <c r="A140" s="284"/>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284"/>
    </row>
    <row r="141">
      <c r="A141" s="284"/>
      <c r="B141" s="284"/>
      <c r="C141" s="284"/>
      <c r="D141" s="284"/>
      <c r="E141" s="284"/>
      <c r="F141" s="284"/>
      <c r="G141" s="284"/>
      <c r="H141" s="284"/>
      <c r="I141" s="284"/>
      <c r="J141" s="284"/>
      <c r="K141" s="284"/>
      <c r="L141" s="284"/>
      <c r="M141" s="284"/>
      <c r="N141" s="284"/>
      <c r="O141" s="284"/>
      <c r="P141" s="284"/>
      <c r="Q141" s="284"/>
      <c r="R141" s="284"/>
      <c r="S141" s="284"/>
      <c r="T141" s="284"/>
      <c r="U141" s="284"/>
      <c r="V141" s="284"/>
      <c r="W141" s="284"/>
      <c r="X141" s="284"/>
      <c r="Y141" s="284"/>
      <c r="Z141" s="284"/>
      <c r="AA141" s="284"/>
      <c r="AB141" s="284"/>
      <c r="AC141" s="284"/>
      <c r="AD141" s="284"/>
      <c r="AE141" s="284"/>
    </row>
    <row r="142">
      <c r="A142" s="284"/>
      <c r="B142" s="284"/>
      <c r="C142" s="284"/>
      <c r="D142" s="284"/>
      <c r="E142" s="284"/>
      <c r="F142" s="284"/>
      <c r="G142" s="284"/>
      <c r="H142" s="284"/>
      <c r="I142" s="284"/>
      <c r="J142" s="284"/>
      <c r="K142" s="284"/>
      <c r="L142" s="284"/>
      <c r="M142" s="284"/>
      <c r="N142" s="284"/>
      <c r="O142" s="284"/>
      <c r="P142" s="284"/>
      <c r="Q142" s="284"/>
      <c r="R142" s="284"/>
      <c r="S142" s="284"/>
      <c r="T142" s="284"/>
      <c r="U142" s="284"/>
      <c r="V142" s="284"/>
      <c r="W142" s="284"/>
      <c r="X142" s="284"/>
      <c r="Y142" s="284"/>
      <c r="Z142" s="284"/>
      <c r="AA142" s="284"/>
      <c r="AB142" s="284"/>
      <c r="AC142" s="284"/>
      <c r="AD142" s="284"/>
      <c r="AE142" s="284"/>
    </row>
    <row r="143">
      <c r="A143" s="284"/>
      <c r="B143" s="284"/>
      <c r="C143" s="284"/>
      <c r="D143" s="284"/>
      <c r="E143" s="284"/>
      <c r="F143" s="284"/>
      <c r="G143" s="284"/>
      <c r="H143" s="284"/>
      <c r="I143" s="284"/>
      <c r="J143" s="284"/>
      <c r="K143" s="284"/>
      <c r="L143" s="284"/>
      <c r="M143" s="284"/>
      <c r="N143" s="284"/>
      <c r="O143" s="284"/>
      <c r="P143" s="284"/>
      <c r="Q143" s="284"/>
      <c r="R143" s="284"/>
      <c r="S143" s="284"/>
      <c r="T143" s="284"/>
      <c r="U143" s="284"/>
      <c r="V143" s="284"/>
      <c r="W143" s="284"/>
      <c r="X143" s="284"/>
      <c r="Y143" s="284"/>
      <c r="Z143" s="284"/>
      <c r="AA143" s="284"/>
      <c r="AB143" s="284"/>
      <c r="AC143" s="284"/>
      <c r="AD143" s="284"/>
      <c r="AE143" s="284"/>
    </row>
    <row r="144">
      <c r="A144" s="284"/>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row>
    <row r="145">
      <c r="A145" s="284"/>
      <c r="B145" s="284"/>
      <c r="C145" s="284"/>
      <c r="D145" s="284"/>
      <c r="E145" s="284"/>
      <c r="F145" s="284"/>
      <c r="G145" s="284"/>
      <c r="H145" s="284"/>
      <c r="I145" s="284"/>
      <c r="J145" s="284"/>
      <c r="K145" s="284"/>
      <c r="L145" s="284"/>
      <c r="M145" s="284"/>
      <c r="N145" s="284"/>
      <c r="O145" s="284"/>
      <c r="P145" s="284"/>
      <c r="Q145" s="284"/>
      <c r="R145" s="284"/>
      <c r="S145" s="284"/>
      <c r="T145" s="284"/>
      <c r="U145" s="284"/>
      <c r="V145" s="284"/>
      <c r="W145" s="284"/>
      <c r="X145" s="284"/>
      <c r="Y145" s="284"/>
      <c r="Z145" s="284"/>
      <c r="AA145" s="284"/>
      <c r="AB145" s="284"/>
      <c r="AC145" s="284"/>
      <c r="AD145" s="284"/>
      <c r="AE145" s="284"/>
    </row>
    <row r="146">
      <c r="A146" s="284"/>
      <c r="B146" s="284"/>
      <c r="C146" s="284"/>
      <c r="D146" s="284"/>
      <c r="E146" s="284"/>
      <c r="F146" s="284"/>
      <c r="G146" s="284"/>
      <c r="H146" s="284"/>
      <c r="I146" s="284"/>
      <c r="J146" s="284"/>
      <c r="K146" s="284"/>
      <c r="L146" s="284"/>
      <c r="M146" s="284"/>
      <c r="N146" s="284"/>
      <c r="O146" s="284"/>
      <c r="P146" s="284"/>
      <c r="Q146" s="284"/>
      <c r="R146" s="284"/>
      <c r="S146" s="284"/>
      <c r="T146" s="284"/>
      <c r="U146" s="284"/>
      <c r="V146" s="284"/>
      <c r="W146" s="284"/>
      <c r="X146" s="284"/>
      <c r="Y146" s="284"/>
      <c r="Z146" s="284"/>
      <c r="AA146" s="284"/>
      <c r="AB146" s="284"/>
      <c r="AC146" s="284"/>
      <c r="AD146" s="284"/>
      <c r="AE146" s="284"/>
    </row>
    <row r="147">
      <c r="A147" s="284"/>
      <c r="B147" s="284"/>
      <c r="C147" s="284"/>
      <c r="D147" s="284"/>
      <c r="E147" s="284"/>
      <c r="F147" s="284"/>
      <c r="G147" s="284"/>
      <c r="H147" s="284"/>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row>
    <row r="148">
      <c r="A148" s="284"/>
      <c r="B148" s="284"/>
      <c r="C148" s="284"/>
      <c r="D148" s="284"/>
      <c r="E148" s="284"/>
      <c r="F148" s="284"/>
      <c r="G148" s="284"/>
      <c r="H148" s="284"/>
      <c r="I148" s="284"/>
      <c r="J148" s="284"/>
      <c r="K148" s="284"/>
      <c r="L148" s="284"/>
      <c r="M148" s="284"/>
      <c r="N148" s="284"/>
      <c r="O148" s="284"/>
      <c r="P148" s="284"/>
      <c r="Q148" s="284"/>
      <c r="R148" s="284"/>
      <c r="S148" s="284"/>
      <c r="T148" s="284"/>
      <c r="U148" s="284"/>
      <c r="V148" s="284"/>
      <c r="W148" s="284"/>
      <c r="X148" s="284"/>
      <c r="Y148" s="284"/>
      <c r="Z148" s="284"/>
      <c r="AA148" s="284"/>
      <c r="AB148" s="284"/>
      <c r="AC148" s="284"/>
      <c r="AD148" s="284"/>
      <c r="AE148" s="284"/>
    </row>
    <row r="149">
      <c r="A149" s="284"/>
      <c r="B149" s="284"/>
      <c r="C149" s="284"/>
      <c r="D149" s="284"/>
      <c r="E149" s="284"/>
      <c r="F149" s="284"/>
      <c r="G149" s="284"/>
      <c r="H149" s="284"/>
      <c r="I149" s="284"/>
      <c r="J149" s="284"/>
      <c r="K149" s="284"/>
      <c r="L149" s="284"/>
      <c r="M149" s="284"/>
      <c r="N149" s="284"/>
      <c r="O149" s="284"/>
      <c r="P149" s="284"/>
      <c r="Q149" s="284"/>
      <c r="R149" s="284"/>
      <c r="S149" s="284"/>
      <c r="T149" s="284"/>
      <c r="U149" s="284"/>
      <c r="V149" s="284"/>
      <c r="W149" s="284"/>
      <c r="X149" s="284"/>
      <c r="Y149" s="284"/>
      <c r="Z149" s="284"/>
      <c r="AA149" s="284"/>
      <c r="AB149" s="284"/>
      <c r="AC149" s="284"/>
      <c r="AD149" s="284"/>
      <c r="AE149" s="284"/>
    </row>
    <row r="150">
      <c r="A150" s="284"/>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284"/>
    </row>
    <row r="151">
      <c r="A151" s="284"/>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284"/>
    </row>
    <row r="152">
      <c r="A152" s="284"/>
      <c r="B152" s="284"/>
      <c r="C152" s="284"/>
      <c r="D152" s="284"/>
      <c r="E152" s="284"/>
      <c r="F152" s="284"/>
      <c r="G152" s="284"/>
      <c r="H152" s="284"/>
      <c r="I152" s="284"/>
      <c r="J152" s="284"/>
      <c r="K152" s="284"/>
      <c r="L152" s="284"/>
      <c r="M152" s="284"/>
      <c r="N152" s="284"/>
      <c r="O152" s="284"/>
      <c r="P152" s="284"/>
      <c r="Q152" s="284"/>
      <c r="R152" s="284"/>
      <c r="S152" s="284"/>
      <c r="T152" s="284"/>
      <c r="U152" s="284"/>
      <c r="V152" s="284"/>
      <c r="W152" s="284"/>
      <c r="X152" s="284"/>
      <c r="Y152" s="284"/>
      <c r="Z152" s="284"/>
      <c r="AA152" s="284"/>
      <c r="AB152" s="284"/>
      <c r="AC152" s="284"/>
      <c r="AD152" s="284"/>
      <c r="AE152" s="284"/>
    </row>
    <row r="153">
      <c r="A153" s="284"/>
      <c r="B153" s="284"/>
      <c r="C153" s="284"/>
      <c r="D153" s="284"/>
      <c r="E153" s="284"/>
      <c r="F153" s="284"/>
      <c r="G153" s="284"/>
      <c r="H153" s="284"/>
      <c r="I153" s="284"/>
      <c r="J153" s="284"/>
      <c r="K153" s="284"/>
      <c r="L153" s="284"/>
      <c r="M153" s="284"/>
      <c r="N153" s="284"/>
      <c r="O153" s="284"/>
      <c r="P153" s="284"/>
      <c r="Q153" s="284"/>
      <c r="R153" s="284"/>
      <c r="S153" s="284"/>
      <c r="T153" s="284"/>
      <c r="U153" s="284"/>
      <c r="V153" s="284"/>
      <c r="W153" s="284"/>
      <c r="X153" s="284"/>
      <c r="Y153" s="284"/>
      <c r="Z153" s="284"/>
      <c r="AA153" s="284"/>
      <c r="AB153" s="284"/>
      <c r="AC153" s="284"/>
      <c r="AD153" s="284"/>
      <c r="AE153" s="284"/>
    </row>
    <row r="154">
      <c r="A154" s="284"/>
      <c r="B154" s="284"/>
      <c r="C154" s="284"/>
      <c r="D154" s="284"/>
      <c r="E154" s="284"/>
      <c r="F154" s="284"/>
      <c r="G154" s="284"/>
      <c r="H154" s="284"/>
      <c r="I154" s="284"/>
      <c r="J154" s="284"/>
      <c r="K154" s="284"/>
      <c r="L154" s="284"/>
      <c r="M154" s="284"/>
      <c r="N154" s="284"/>
      <c r="O154" s="284"/>
      <c r="P154" s="284"/>
      <c r="Q154" s="284"/>
      <c r="R154" s="284"/>
      <c r="S154" s="284"/>
      <c r="T154" s="284"/>
      <c r="U154" s="284"/>
      <c r="V154" s="284"/>
      <c r="W154" s="284"/>
      <c r="X154" s="284"/>
      <c r="Y154" s="284"/>
      <c r="Z154" s="284"/>
      <c r="AA154" s="284"/>
      <c r="AB154" s="284"/>
      <c r="AC154" s="284"/>
      <c r="AD154" s="284"/>
      <c r="AE154" s="284"/>
    </row>
    <row r="155">
      <c r="A155" s="284"/>
      <c r="B155" s="284"/>
      <c r="C155" s="284"/>
      <c r="D155" s="284"/>
      <c r="E155" s="284"/>
      <c r="F155" s="284"/>
      <c r="G155" s="284"/>
      <c r="H155" s="284"/>
      <c r="I155" s="284"/>
      <c r="J155" s="284"/>
      <c r="K155" s="284"/>
      <c r="L155" s="284"/>
      <c r="M155" s="284"/>
      <c r="N155" s="284"/>
      <c r="O155" s="284"/>
      <c r="P155" s="284"/>
      <c r="Q155" s="284"/>
      <c r="R155" s="284"/>
      <c r="S155" s="284"/>
      <c r="T155" s="284"/>
      <c r="U155" s="284"/>
      <c r="V155" s="284"/>
      <c r="W155" s="284"/>
      <c r="X155" s="284"/>
      <c r="Y155" s="284"/>
      <c r="Z155" s="284"/>
      <c r="AA155" s="284"/>
      <c r="AB155" s="284"/>
      <c r="AC155" s="284"/>
      <c r="AD155" s="284"/>
      <c r="AE155" s="284"/>
    </row>
    <row r="156">
      <c r="A156" s="284"/>
      <c r="B156" s="284"/>
      <c r="C156" s="284"/>
      <c r="D156" s="284"/>
      <c r="E156" s="284"/>
      <c r="F156" s="284"/>
      <c r="G156" s="284"/>
      <c r="H156" s="284"/>
      <c r="I156" s="284"/>
      <c r="J156" s="284"/>
      <c r="K156" s="284"/>
      <c r="L156" s="284"/>
      <c r="M156" s="284"/>
      <c r="N156" s="284"/>
      <c r="O156" s="284"/>
      <c r="P156" s="284"/>
      <c r="Q156" s="284"/>
      <c r="R156" s="284"/>
      <c r="S156" s="284"/>
      <c r="T156" s="284"/>
      <c r="U156" s="284"/>
      <c r="V156" s="284"/>
      <c r="W156" s="284"/>
      <c r="X156" s="284"/>
      <c r="Y156" s="284"/>
      <c r="Z156" s="284"/>
      <c r="AA156" s="284"/>
      <c r="AB156" s="284"/>
      <c r="AC156" s="284"/>
      <c r="AD156" s="284"/>
      <c r="AE156" s="284"/>
    </row>
    <row r="157">
      <c r="A157" s="284"/>
      <c r="B157" s="284"/>
      <c r="C157" s="284"/>
      <c r="D157" s="284"/>
      <c r="E157" s="284"/>
      <c r="F157" s="284"/>
      <c r="G157" s="284"/>
      <c r="H157" s="284"/>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row>
    <row r="158">
      <c r="A158" s="284"/>
      <c r="B158" s="284"/>
      <c r="C158" s="284"/>
      <c r="D158" s="284"/>
      <c r="E158" s="284"/>
      <c r="F158" s="284"/>
      <c r="G158" s="284"/>
      <c r="H158" s="284"/>
      <c r="I158" s="284"/>
      <c r="J158" s="284"/>
      <c r="K158" s="284"/>
      <c r="L158" s="284"/>
      <c r="M158" s="284"/>
      <c r="N158" s="284"/>
      <c r="O158" s="284"/>
      <c r="P158" s="284"/>
      <c r="Q158" s="284"/>
      <c r="R158" s="284"/>
      <c r="S158" s="284"/>
      <c r="T158" s="284"/>
      <c r="U158" s="284"/>
      <c r="V158" s="284"/>
      <c r="W158" s="284"/>
      <c r="X158" s="284"/>
      <c r="Y158" s="284"/>
      <c r="Z158" s="284"/>
      <c r="AA158" s="284"/>
      <c r="AB158" s="284"/>
      <c r="AC158" s="284"/>
      <c r="AD158" s="284"/>
      <c r="AE158" s="284"/>
    </row>
    <row r="159">
      <c r="A159" s="284"/>
      <c r="B159" s="284"/>
      <c r="C159" s="284"/>
      <c r="D159" s="284"/>
      <c r="E159" s="284"/>
      <c r="F159" s="284"/>
      <c r="G159" s="284"/>
      <c r="H159" s="284"/>
      <c r="I159" s="284"/>
      <c r="J159" s="284"/>
      <c r="K159" s="284"/>
      <c r="L159" s="284"/>
      <c r="M159" s="284"/>
      <c r="N159" s="284"/>
      <c r="O159" s="284"/>
      <c r="P159" s="284"/>
      <c r="Q159" s="284"/>
      <c r="R159" s="284"/>
      <c r="S159" s="284"/>
      <c r="T159" s="284"/>
      <c r="U159" s="284"/>
      <c r="V159" s="284"/>
      <c r="W159" s="284"/>
      <c r="X159" s="284"/>
      <c r="Y159" s="284"/>
      <c r="Z159" s="284"/>
      <c r="AA159" s="284"/>
      <c r="AB159" s="284"/>
      <c r="AC159" s="284"/>
      <c r="AD159" s="284"/>
      <c r="AE159" s="284"/>
    </row>
    <row r="160">
      <c r="A160" s="284"/>
      <c r="B160" s="284"/>
      <c r="C160" s="284"/>
      <c r="D160" s="284"/>
      <c r="E160" s="284"/>
      <c r="F160" s="284"/>
      <c r="G160" s="284"/>
      <c r="H160" s="284"/>
      <c r="I160" s="284"/>
      <c r="J160" s="284"/>
      <c r="K160" s="284"/>
      <c r="L160" s="284"/>
      <c r="M160" s="284"/>
      <c r="N160" s="284"/>
      <c r="O160" s="284"/>
      <c r="P160" s="284"/>
      <c r="Q160" s="284"/>
      <c r="R160" s="284"/>
      <c r="S160" s="284"/>
      <c r="T160" s="284"/>
      <c r="U160" s="284"/>
      <c r="V160" s="284"/>
      <c r="W160" s="284"/>
      <c r="X160" s="284"/>
      <c r="Y160" s="284"/>
      <c r="Z160" s="284"/>
      <c r="AA160" s="284"/>
      <c r="AB160" s="284"/>
      <c r="AC160" s="284"/>
      <c r="AD160" s="284"/>
      <c r="AE160" s="284"/>
    </row>
    <row r="161">
      <c r="A161" s="284"/>
      <c r="B161" s="284"/>
      <c r="C161" s="284"/>
      <c r="D161" s="284"/>
      <c r="E161" s="284"/>
      <c r="F161" s="284"/>
      <c r="G161" s="284"/>
      <c r="H161" s="284"/>
      <c r="I161" s="284"/>
      <c r="J161" s="284"/>
      <c r="K161" s="284"/>
      <c r="L161" s="284"/>
      <c r="M161" s="284"/>
      <c r="N161" s="284"/>
      <c r="O161" s="284"/>
      <c r="P161" s="284"/>
      <c r="Q161" s="284"/>
      <c r="R161" s="284"/>
      <c r="S161" s="284"/>
      <c r="T161" s="284"/>
      <c r="U161" s="284"/>
      <c r="V161" s="284"/>
      <c r="W161" s="284"/>
      <c r="X161" s="284"/>
      <c r="Y161" s="284"/>
      <c r="Z161" s="284"/>
      <c r="AA161" s="284"/>
      <c r="AB161" s="284"/>
      <c r="AC161" s="284"/>
      <c r="AD161" s="284"/>
      <c r="AE161" s="284"/>
    </row>
    <row r="162">
      <c r="A162" s="284"/>
      <c r="B162" s="284"/>
      <c r="C162" s="284"/>
      <c r="D162" s="284"/>
      <c r="E162" s="284"/>
      <c r="F162" s="284"/>
      <c r="G162" s="284"/>
      <c r="H162" s="284"/>
      <c r="I162" s="284"/>
      <c r="J162" s="284"/>
      <c r="K162" s="284"/>
      <c r="L162" s="284"/>
      <c r="M162" s="284"/>
      <c r="N162" s="284"/>
      <c r="O162" s="284"/>
      <c r="P162" s="284"/>
      <c r="Q162" s="284"/>
      <c r="R162" s="284"/>
      <c r="S162" s="284"/>
      <c r="T162" s="284"/>
      <c r="U162" s="284"/>
      <c r="V162" s="284"/>
      <c r="W162" s="284"/>
      <c r="X162" s="284"/>
      <c r="Y162" s="284"/>
      <c r="Z162" s="284"/>
      <c r="AA162" s="284"/>
      <c r="AB162" s="284"/>
      <c r="AC162" s="284"/>
      <c r="AD162" s="284"/>
      <c r="AE162" s="284"/>
    </row>
    <row r="163">
      <c r="A163" s="284"/>
      <c r="B163" s="284"/>
      <c r="C163" s="284"/>
      <c r="D163" s="284"/>
      <c r="E163" s="284"/>
      <c r="F163" s="284"/>
      <c r="G163" s="284"/>
      <c r="H163" s="284"/>
      <c r="I163" s="284"/>
      <c r="J163" s="284"/>
      <c r="K163" s="284"/>
      <c r="L163" s="284"/>
      <c r="M163" s="284"/>
      <c r="N163" s="284"/>
      <c r="O163" s="284"/>
      <c r="P163" s="284"/>
      <c r="Q163" s="284"/>
      <c r="R163" s="284"/>
      <c r="S163" s="284"/>
      <c r="T163" s="284"/>
      <c r="U163" s="284"/>
      <c r="V163" s="284"/>
      <c r="W163" s="284"/>
      <c r="X163" s="284"/>
      <c r="Y163" s="284"/>
      <c r="Z163" s="284"/>
      <c r="AA163" s="284"/>
      <c r="AB163" s="284"/>
      <c r="AC163" s="284"/>
      <c r="AD163" s="284"/>
      <c r="AE163" s="284"/>
    </row>
    <row r="164">
      <c r="A164" s="284"/>
      <c r="B164" s="284"/>
      <c r="C164" s="284"/>
      <c r="D164" s="284"/>
      <c r="E164" s="284"/>
      <c r="F164" s="284"/>
      <c r="G164" s="284"/>
      <c r="H164" s="284"/>
      <c r="I164" s="284"/>
      <c r="J164" s="284"/>
      <c r="K164" s="284"/>
      <c r="L164" s="284"/>
      <c r="M164" s="284"/>
      <c r="N164" s="284"/>
      <c r="O164" s="284"/>
      <c r="P164" s="284"/>
      <c r="Q164" s="284"/>
      <c r="R164" s="284"/>
      <c r="S164" s="284"/>
      <c r="T164" s="284"/>
      <c r="U164" s="284"/>
      <c r="V164" s="284"/>
      <c r="W164" s="284"/>
      <c r="X164" s="284"/>
      <c r="Y164" s="284"/>
      <c r="Z164" s="284"/>
      <c r="AA164" s="284"/>
      <c r="AB164" s="284"/>
      <c r="AC164" s="284"/>
      <c r="AD164" s="284"/>
      <c r="AE164" s="284"/>
    </row>
    <row r="165">
      <c r="A165" s="284"/>
      <c r="B165" s="284"/>
      <c r="C165" s="284"/>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row>
    <row r="166">
      <c r="A166" s="284"/>
      <c r="B166" s="284"/>
      <c r="C166" s="284"/>
      <c r="D166" s="284"/>
      <c r="E166" s="284"/>
      <c r="F166" s="284"/>
      <c r="G166" s="284"/>
      <c r="H166" s="284"/>
      <c r="I166" s="284"/>
      <c r="J166" s="284"/>
      <c r="K166" s="284"/>
      <c r="L166" s="284"/>
      <c r="M166" s="284"/>
      <c r="N166" s="284"/>
      <c r="O166" s="284"/>
      <c r="P166" s="284"/>
      <c r="Q166" s="284"/>
      <c r="R166" s="284"/>
      <c r="S166" s="284"/>
      <c r="T166" s="284"/>
      <c r="U166" s="284"/>
      <c r="V166" s="284"/>
      <c r="W166" s="284"/>
      <c r="X166" s="284"/>
      <c r="Y166" s="284"/>
      <c r="Z166" s="284"/>
      <c r="AA166" s="284"/>
      <c r="AB166" s="284"/>
      <c r="AC166" s="284"/>
      <c r="AD166" s="284"/>
      <c r="AE166" s="284"/>
    </row>
    <row r="167">
      <c r="A167" s="284"/>
      <c r="B167" s="284"/>
      <c r="C167" s="284"/>
      <c r="D167" s="284"/>
      <c r="E167" s="284"/>
      <c r="F167" s="284"/>
      <c r="G167" s="284"/>
      <c r="H167" s="284"/>
      <c r="I167" s="284"/>
      <c r="J167" s="284"/>
      <c r="K167" s="284"/>
      <c r="L167" s="284"/>
      <c r="M167" s="284"/>
      <c r="N167" s="284"/>
      <c r="O167" s="284"/>
      <c r="P167" s="284"/>
      <c r="Q167" s="284"/>
      <c r="R167" s="284"/>
      <c r="S167" s="284"/>
      <c r="T167" s="284"/>
      <c r="U167" s="284"/>
      <c r="V167" s="284"/>
      <c r="W167" s="284"/>
      <c r="X167" s="284"/>
      <c r="Y167" s="284"/>
      <c r="Z167" s="284"/>
      <c r="AA167" s="284"/>
      <c r="AB167" s="284"/>
      <c r="AC167" s="284"/>
      <c r="AD167" s="284"/>
      <c r="AE167" s="284"/>
    </row>
    <row r="168">
      <c r="A168" s="284"/>
      <c r="B168" s="284"/>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row>
    <row r="169">
      <c r="A169" s="284"/>
      <c r="B169" s="284"/>
      <c r="C169" s="284"/>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row>
    <row r="170">
      <c r="A170" s="284"/>
      <c r="B170" s="284"/>
      <c r="C170" s="284"/>
      <c r="D170" s="284"/>
      <c r="E170" s="284"/>
      <c r="F170" s="284"/>
      <c r="G170" s="284"/>
      <c r="H170" s="284"/>
      <c r="I170" s="284"/>
      <c r="J170" s="284"/>
      <c r="K170" s="284"/>
      <c r="L170" s="284"/>
      <c r="M170" s="284"/>
      <c r="N170" s="284"/>
      <c r="O170" s="284"/>
      <c r="P170" s="284"/>
      <c r="Q170" s="284"/>
      <c r="R170" s="284"/>
      <c r="S170" s="284"/>
      <c r="T170" s="284"/>
      <c r="U170" s="284"/>
      <c r="V170" s="284"/>
      <c r="W170" s="284"/>
      <c r="X170" s="284"/>
      <c r="Y170" s="284"/>
      <c r="Z170" s="284"/>
      <c r="AA170" s="284"/>
      <c r="AB170" s="284"/>
      <c r="AC170" s="284"/>
      <c r="AD170" s="284"/>
      <c r="AE170" s="284"/>
    </row>
    <row r="171">
      <c r="A171" s="284"/>
      <c r="B171" s="284"/>
      <c r="C171" s="284"/>
      <c r="D171" s="284"/>
      <c r="E171" s="284"/>
      <c r="F171" s="284"/>
      <c r="G171" s="284"/>
      <c r="H171" s="284"/>
      <c r="I171" s="284"/>
      <c r="J171" s="284"/>
      <c r="K171" s="284"/>
      <c r="L171" s="284"/>
      <c r="M171" s="284"/>
      <c r="N171" s="284"/>
      <c r="O171" s="284"/>
      <c r="P171" s="284"/>
      <c r="Q171" s="284"/>
      <c r="R171" s="284"/>
      <c r="S171" s="284"/>
      <c r="T171" s="284"/>
      <c r="U171" s="284"/>
      <c r="V171" s="284"/>
      <c r="W171" s="284"/>
      <c r="X171" s="284"/>
      <c r="Y171" s="284"/>
      <c r="Z171" s="284"/>
      <c r="AA171" s="284"/>
      <c r="AB171" s="284"/>
      <c r="AC171" s="284"/>
      <c r="AD171" s="284"/>
      <c r="AE171" s="284"/>
    </row>
    <row r="172">
      <c r="A172" s="284"/>
      <c r="B172" s="284"/>
      <c r="C172" s="284"/>
      <c r="D172" s="284"/>
      <c r="E172" s="284"/>
      <c r="F172" s="284"/>
      <c r="G172" s="284"/>
      <c r="H172" s="284"/>
      <c r="I172" s="284"/>
      <c r="J172" s="284"/>
      <c r="K172" s="284"/>
      <c r="L172" s="284"/>
      <c r="M172" s="284"/>
      <c r="N172" s="284"/>
      <c r="O172" s="284"/>
      <c r="P172" s="284"/>
      <c r="Q172" s="284"/>
      <c r="R172" s="284"/>
      <c r="S172" s="284"/>
      <c r="T172" s="284"/>
      <c r="U172" s="284"/>
      <c r="V172" s="284"/>
      <c r="W172" s="284"/>
      <c r="X172" s="284"/>
      <c r="Y172" s="284"/>
      <c r="Z172" s="284"/>
      <c r="AA172" s="284"/>
      <c r="AB172" s="284"/>
      <c r="AC172" s="284"/>
      <c r="AD172" s="284"/>
      <c r="AE172" s="284"/>
    </row>
    <row r="173">
      <c r="A173" s="284"/>
      <c r="B173" s="284"/>
      <c r="C173" s="284"/>
      <c r="D173" s="284"/>
      <c r="E173" s="284"/>
      <c r="F173" s="284"/>
      <c r="G173" s="284"/>
      <c r="H173" s="284"/>
      <c r="I173" s="284"/>
      <c r="J173" s="284"/>
      <c r="K173" s="284"/>
      <c r="L173" s="284"/>
      <c r="M173" s="284"/>
      <c r="N173" s="284"/>
      <c r="O173" s="284"/>
      <c r="P173" s="284"/>
      <c r="Q173" s="284"/>
      <c r="R173" s="284"/>
      <c r="S173" s="284"/>
      <c r="T173" s="284"/>
      <c r="U173" s="284"/>
      <c r="V173" s="284"/>
      <c r="W173" s="284"/>
      <c r="X173" s="284"/>
      <c r="Y173" s="284"/>
      <c r="Z173" s="284"/>
      <c r="AA173" s="284"/>
      <c r="AB173" s="284"/>
      <c r="AC173" s="284"/>
      <c r="AD173" s="284"/>
      <c r="AE173" s="284"/>
    </row>
    <row r="174">
      <c r="A174" s="284"/>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row>
    <row r="175">
      <c r="A175" s="284"/>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row>
    <row r="176">
      <c r="A176" s="284"/>
      <c r="B176" s="284"/>
      <c r="C176" s="284"/>
      <c r="D176" s="284"/>
      <c r="E176" s="284"/>
      <c r="F176" s="284"/>
      <c r="G176" s="284"/>
      <c r="H176" s="284"/>
      <c r="I176" s="284"/>
      <c r="J176" s="284"/>
      <c r="K176" s="284"/>
      <c r="L176" s="284"/>
      <c r="M176" s="284"/>
      <c r="N176" s="284"/>
      <c r="O176" s="284"/>
      <c r="P176" s="284"/>
      <c r="Q176" s="284"/>
      <c r="R176" s="284"/>
      <c r="S176" s="284"/>
      <c r="T176" s="284"/>
      <c r="U176" s="284"/>
      <c r="V176" s="284"/>
      <c r="W176" s="284"/>
      <c r="X176" s="284"/>
      <c r="Y176" s="284"/>
      <c r="Z176" s="284"/>
      <c r="AA176" s="284"/>
      <c r="AB176" s="284"/>
      <c r="AC176" s="284"/>
      <c r="AD176" s="284"/>
      <c r="AE176" s="284"/>
    </row>
    <row r="177">
      <c r="A177" s="284"/>
      <c r="B177" s="284"/>
      <c r="C177" s="284"/>
      <c r="D177" s="284"/>
      <c r="E177" s="284"/>
      <c r="F177" s="284"/>
      <c r="G177" s="284"/>
      <c r="H177" s="284"/>
      <c r="I177" s="284"/>
      <c r="J177" s="284"/>
      <c r="K177" s="284"/>
      <c r="L177" s="284"/>
      <c r="M177" s="284"/>
      <c r="N177" s="284"/>
      <c r="O177" s="284"/>
      <c r="P177" s="284"/>
      <c r="Q177" s="284"/>
      <c r="R177" s="284"/>
      <c r="S177" s="284"/>
      <c r="T177" s="284"/>
      <c r="U177" s="284"/>
      <c r="V177" s="284"/>
      <c r="W177" s="284"/>
      <c r="X177" s="284"/>
      <c r="Y177" s="284"/>
      <c r="Z177" s="284"/>
      <c r="AA177" s="284"/>
      <c r="AB177" s="284"/>
      <c r="AC177" s="284"/>
      <c r="AD177" s="284"/>
      <c r="AE177" s="284"/>
    </row>
    <row r="178">
      <c r="A178" s="284"/>
      <c r="B178" s="284"/>
      <c r="C178" s="284"/>
      <c r="D178" s="284"/>
      <c r="E178" s="284"/>
      <c r="F178" s="284"/>
      <c r="G178" s="284"/>
      <c r="H178" s="284"/>
      <c r="I178" s="284"/>
      <c r="J178" s="284"/>
      <c r="K178" s="284"/>
      <c r="L178" s="284"/>
      <c r="M178" s="284"/>
      <c r="N178" s="284"/>
      <c r="O178" s="284"/>
      <c r="P178" s="284"/>
      <c r="Q178" s="284"/>
      <c r="R178" s="284"/>
      <c r="S178" s="284"/>
      <c r="T178" s="284"/>
      <c r="U178" s="284"/>
      <c r="V178" s="284"/>
      <c r="W178" s="284"/>
      <c r="X178" s="284"/>
      <c r="Y178" s="284"/>
      <c r="Z178" s="284"/>
      <c r="AA178" s="284"/>
      <c r="AB178" s="284"/>
      <c r="AC178" s="284"/>
      <c r="AD178" s="284"/>
      <c r="AE178" s="284"/>
    </row>
    <row r="179">
      <c r="A179" s="284"/>
      <c r="B179" s="284"/>
      <c r="C179" s="284"/>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row>
    <row r="180">
      <c r="A180" s="284"/>
      <c r="B180" s="284"/>
      <c r="C180" s="284"/>
      <c r="D180" s="284"/>
      <c r="E180" s="284"/>
      <c r="F180" s="284"/>
      <c r="G180" s="284"/>
      <c r="H180" s="284"/>
      <c r="I180" s="284"/>
      <c r="J180" s="284"/>
      <c r="K180" s="284"/>
      <c r="L180" s="284"/>
      <c r="M180" s="284"/>
      <c r="N180" s="284"/>
      <c r="O180" s="284"/>
      <c r="P180" s="284"/>
      <c r="Q180" s="284"/>
      <c r="R180" s="284"/>
      <c r="S180" s="284"/>
      <c r="T180" s="284"/>
      <c r="U180" s="284"/>
      <c r="V180" s="284"/>
      <c r="W180" s="284"/>
      <c r="X180" s="284"/>
      <c r="Y180" s="284"/>
      <c r="Z180" s="284"/>
      <c r="AA180" s="284"/>
      <c r="AB180" s="284"/>
      <c r="AC180" s="284"/>
      <c r="AD180" s="284"/>
      <c r="AE180" s="284"/>
    </row>
    <row r="181">
      <c r="A181" s="284"/>
      <c r="B181" s="284"/>
      <c r="C181" s="284"/>
      <c r="D181" s="284"/>
      <c r="E181" s="284"/>
      <c r="F181" s="284"/>
      <c r="G181" s="284"/>
      <c r="H181" s="284"/>
      <c r="I181" s="284"/>
      <c r="J181" s="284"/>
      <c r="K181" s="284"/>
      <c r="L181" s="284"/>
      <c r="M181" s="284"/>
      <c r="N181" s="284"/>
      <c r="O181" s="284"/>
      <c r="P181" s="284"/>
      <c r="Q181" s="284"/>
      <c r="R181" s="284"/>
      <c r="S181" s="284"/>
      <c r="T181" s="284"/>
      <c r="U181" s="284"/>
      <c r="V181" s="284"/>
      <c r="W181" s="284"/>
      <c r="X181" s="284"/>
      <c r="Y181" s="284"/>
      <c r="Z181" s="284"/>
      <c r="AA181" s="284"/>
      <c r="AB181" s="284"/>
      <c r="AC181" s="284"/>
      <c r="AD181" s="284"/>
      <c r="AE181" s="284"/>
    </row>
    <row r="182">
      <c r="A182" s="284"/>
      <c r="B182" s="284"/>
      <c r="C182" s="284"/>
      <c r="D182" s="284"/>
      <c r="E182" s="284"/>
      <c r="F182" s="284"/>
      <c r="G182" s="284"/>
      <c r="H182" s="284"/>
      <c r="I182" s="284"/>
      <c r="J182" s="284"/>
      <c r="K182" s="284"/>
      <c r="L182" s="284"/>
      <c r="M182" s="284"/>
      <c r="N182" s="284"/>
      <c r="O182" s="284"/>
      <c r="P182" s="284"/>
      <c r="Q182" s="284"/>
      <c r="R182" s="284"/>
      <c r="S182" s="284"/>
      <c r="T182" s="284"/>
      <c r="U182" s="284"/>
      <c r="V182" s="284"/>
      <c r="W182" s="284"/>
      <c r="X182" s="284"/>
      <c r="Y182" s="284"/>
      <c r="Z182" s="284"/>
      <c r="AA182" s="284"/>
      <c r="AB182" s="284"/>
      <c r="AC182" s="284"/>
      <c r="AD182" s="284"/>
      <c r="AE182" s="284"/>
    </row>
    <row r="183">
      <c r="A183" s="284"/>
      <c r="B183" s="284"/>
      <c r="C183" s="284"/>
      <c r="D183" s="284"/>
      <c r="E183" s="284"/>
      <c r="F183" s="284"/>
      <c r="G183" s="284"/>
      <c r="H183" s="284"/>
      <c r="I183" s="284"/>
      <c r="J183" s="284"/>
      <c r="K183" s="284"/>
      <c r="L183" s="284"/>
      <c r="M183" s="284"/>
      <c r="N183" s="284"/>
      <c r="O183" s="284"/>
      <c r="P183" s="284"/>
      <c r="Q183" s="284"/>
      <c r="R183" s="284"/>
      <c r="S183" s="284"/>
      <c r="T183" s="284"/>
      <c r="U183" s="284"/>
      <c r="V183" s="284"/>
      <c r="W183" s="284"/>
      <c r="X183" s="284"/>
      <c r="Y183" s="284"/>
      <c r="Z183" s="284"/>
      <c r="AA183" s="284"/>
      <c r="AB183" s="284"/>
      <c r="AC183" s="284"/>
      <c r="AD183" s="284"/>
      <c r="AE183" s="284"/>
    </row>
    <row r="184">
      <c r="A184" s="284"/>
      <c r="B184" s="284"/>
      <c r="C184" s="284"/>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row>
    <row r="185">
      <c r="A185" s="284"/>
      <c r="B185" s="284"/>
      <c r="C185" s="284"/>
      <c r="D185" s="284"/>
      <c r="E185" s="284"/>
      <c r="F185" s="284"/>
      <c r="G185" s="284"/>
      <c r="H185" s="284"/>
      <c r="I185" s="284"/>
      <c r="J185" s="284"/>
      <c r="K185" s="284"/>
      <c r="L185" s="284"/>
      <c r="M185" s="284"/>
      <c r="N185" s="284"/>
      <c r="O185" s="284"/>
      <c r="P185" s="284"/>
      <c r="Q185" s="284"/>
      <c r="R185" s="284"/>
      <c r="S185" s="284"/>
      <c r="T185" s="284"/>
      <c r="U185" s="284"/>
      <c r="V185" s="284"/>
      <c r="W185" s="284"/>
      <c r="X185" s="284"/>
      <c r="Y185" s="284"/>
      <c r="Z185" s="284"/>
      <c r="AA185" s="284"/>
      <c r="AB185" s="284"/>
      <c r="AC185" s="284"/>
      <c r="AD185" s="284"/>
      <c r="AE185" s="284"/>
    </row>
    <row r="186">
      <c r="A186" s="284"/>
      <c r="B186" s="284"/>
      <c r="C186" s="284"/>
      <c r="D186" s="284"/>
      <c r="E186" s="284"/>
      <c r="F186" s="284"/>
      <c r="G186" s="284"/>
      <c r="H186" s="284"/>
      <c r="I186" s="284"/>
      <c r="J186" s="284"/>
      <c r="K186" s="284"/>
      <c r="L186" s="284"/>
      <c r="M186" s="284"/>
      <c r="N186" s="284"/>
      <c r="O186" s="284"/>
      <c r="P186" s="284"/>
      <c r="Q186" s="284"/>
      <c r="R186" s="284"/>
      <c r="S186" s="284"/>
      <c r="T186" s="284"/>
      <c r="U186" s="284"/>
      <c r="V186" s="284"/>
      <c r="W186" s="284"/>
      <c r="X186" s="284"/>
      <c r="Y186" s="284"/>
      <c r="Z186" s="284"/>
      <c r="AA186" s="284"/>
      <c r="AB186" s="284"/>
      <c r="AC186" s="284"/>
      <c r="AD186" s="284"/>
      <c r="AE186" s="284"/>
    </row>
    <row r="187">
      <c r="A187" s="284"/>
      <c r="B187" s="284"/>
      <c r="C187" s="284"/>
      <c r="D187" s="284"/>
      <c r="E187" s="284"/>
      <c r="F187" s="284"/>
      <c r="G187" s="284"/>
      <c r="H187" s="284"/>
      <c r="I187" s="284"/>
      <c r="J187" s="284"/>
      <c r="K187" s="284"/>
      <c r="L187" s="284"/>
      <c r="M187" s="284"/>
      <c r="N187" s="284"/>
      <c r="O187" s="284"/>
      <c r="P187" s="284"/>
      <c r="Q187" s="284"/>
      <c r="R187" s="284"/>
      <c r="S187" s="284"/>
      <c r="T187" s="284"/>
      <c r="U187" s="284"/>
      <c r="V187" s="284"/>
      <c r="W187" s="284"/>
      <c r="X187" s="284"/>
      <c r="Y187" s="284"/>
      <c r="Z187" s="284"/>
      <c r="AA187" s="284"/>
      <c r="AB187" s="284"/>
      <c r="AC187" s="284"/>
      <c r="AD187" s="284"/>
      <c r="AE187" s="284"/>
    </row>
    <row r="188">
      <c r="A188" s="284"/>
      <c r="B188" s="284"/>
      <c r="C188" s="284"/>
      <c r="D188" s="284"/>
      <c r="E188" s="284"/>
      <c r="F188" s="284"/>
      <c r="G188" s="284"/>
      <c r="H188" s="284"/>
      <c r="I188" s="284"/>
      <c r="J188" s="284"/>
      <c r="K188" s="284"/>
      <c r="L188" s="284"/>
      <c r="M188" s="284"/>
      <c r="N188" s="284"/>
      <c r="O188" s="284"/>
      <c r="P188" s="284"/>
      <c r="Q188" s="284"/>
      <c r="R188" s="284"/>
      <c r="S188" s="284"/>
      <c r="T188" s="284"/>
      <c r="U188" s="284"/>
      <c r="V188" s="284"/>
      <c r="W188" s="284"/>
      <c r="X188" s="284"/>
      <c r="Y188" s="284"/>
      <c r="Z188" s="284"/>
      <c r="AA188" s="284"/>
      <c r="AB188" s="284"/>
      <c r="AC188" s="284"/>
      <c r="AD188" s="284"/>
      <c r="AE188" s="284"/>
    </row>
    <row r="189">
      <c r="A189" s="284"/>
      <c r="B189" s="284"/>
      <c r="C189" s="284"/>
      <c r="D189" s="284"/>
      <c r="E189" s="284"/>
      <c r="F189" s="284"/>
      <c r="G189" s="284"/>
      <c r="H189" s="284"/>
      <c r="I189" s="284"/>
      <c r="J189" s="284"/>
      <c r="K189" s="284"/>
      <c r="L189" s="284"/>
      <c r="M189" s="284"/>
      <c r="N189" s="284"/>
      <c r="O189" s="284"/>
      <c r="P189" s="284"/>
      <c r="Q189" s="284"/>
      <c r="R189" s="284"/>
      <c r="S189" s="284"/>
      <c r="T189" s="284"/>
      <c r="U189" s="284"/>
      <c r="V189" s="284"/>
      <c r="W189" s="284"/>
      <c r="X189" s="284"/>
      <c r="Y189" s="284"/>
      <c r="Z189" s="284"/>
      <c r="AA189" s="284"/>
      <c r="AB189" s="284"/>
      <c r="AC189" s="284"/>
      <c r="AD189" s="284"/>
      <c r="AE189" s="284"/>
    </row>
    <row r="190">
      <c r="A190" s="284"/>
      <c r="B190" s="284"/>
      <c r="C190" s="284"/>
      <c r="D190" s="284"/>
      <c r="E190" s="284"/>
      <c r="F190" s="284"/>
      <c r="G190" s="284"/>
      <c r="H190" s="284"/>
      <c r="I190" s="284"/>
      <c r="J190" s="284"/>
      <c r="K190" s="284"/>
      <c r="L190" s="284"/>
      <c r="M190" s="284"/>
      <c r="N190" s="284"/>
      <c r="O190" s="284"/>
      <c r="P190" s="284"/>
      <c r="Q190" s="284"/>
      <c r="R190" s="284"/>
      <c r="S190" s="284"/>
      <c r="T190" s="284"/>
      <c r="U190" s="284"/>
      <c r="V190" s="284"/>
      <c r="W190" s="284"/>
      <c r="X190" s="284"/>
      <c r="Y190" s="284"/>
      <c r="Z190" s="284"/>
      <c r="AA190" s="284"/>
      <c r="AB190" s="284"/>
      <c r="AC190" s="284"/>
      <c r="AD190" s="284"/>
      <c r="AE190" s="284"/>
    </row>
    <row r="191">
      <c r="A191" s="284"/>
      <c r="B191" s="284"/>
      <c r="C191" s="284"/>
      <c r="D191" s="284"/>
      <c r="E191" s="284"/>
      <c r="F191" s="284"/>
      <c r="G191" s="284"/>
      <c r="H191" s="284"/>
      <c r="I191" s="284"/>
      <c r="J191" s="284"/>
      <c r="K191" s="284"/>
      <c r="L191" s="284"/>
      <c r="M191" s="284"/>
      <c r="N191" s="284"/>
      <c r="O191" s="284"/>
      <c r="P191" s="284"/>
      <c r="Q191" s="284"/>
      <c r="R191" s="284"/>
      <c r="S191" s="284"/>
      <c r="T191" s="284"/>
      <c r="U191" s="284"/>
      <c r="V191" s="284"/>
      <c r="W191" s="284"/>
      <c r="X191" s="284"/>
      <c r="Y191" s="284"/>
      <c r="Z191" s="284"/>
      <c r="AA191" s="284"/>
      <c r="AB191" s="284"/>
      <c r="AC191" s="284"/>
      <c r="AD191" s="284"/>
      <c r="AE191" s="284"/>
    </row>
    <row r="192">
      <c r="A192" s="284"/>
      <c r="B192" s="284"/>
      <c r="C192" s="284"/>
      <c r="D192" s="284"/>
      <c r="E192" s="284"/>
      <c r="F192" s="284"/>
      <c r="G192" s="284"/>
      <c r="H192" s="284"/>
      <c r="I192" s="284"/>
      <c r="J192" s="284"/>
      <c r="K192" s="284"/>
      <c r="L192" s="284"/>
      <c r="M192" s="284"/>
      <c r="N192" s="284"/>
      <c r="O192" s="284"/>
      <c r="P192" s="284"/>
      <c r="Q192" s="284"/>
      <c r="R192" s="284"/>
      <c r="S192" s="284"/>
      <c r="T192" s="284"/>
      <c r="U192" s="284"/>
      <c r="V192" s="284"/>
      <c r="W192" s="284"/>
      <c r="X192" s="284"/>
      <c r="Y192" s="284"/>
      <c r="Z192" s="284"/>
      <c r="AA192" s="284"/>
      <c r="AB192" s="284"/>
      <c r="AC192" s="284"/>
      <c r="AD192" s="284"/>
      <c r="AE192" s="284"/>
    </row>
    <row r="193">
      <c r="A193" s="284"/>
      <c r="B193" s="284"/>
      <c r="C193" s="284"/>
      <c r="D193" s="284"/>
      <c r="E193" s="284"/>
      <c r="F193" s="284"/>
      <c r="G193" s="284"/>
      <c r="H193" s="284"/>
      <c r="I193" s="284"/>
      <c r="J193" s="284"/>
      <c r="K193" s="284"/>
      <c r="L193" s="284"/>
      <c r="M193" s="284"/>
      <c r="N193" s="284"/>
      <c r="O193" s="284"/>
      <c r="P193" s="284"/>
      <c r="Q193" s="284"/>
      <c r="R193" s="284"/>
      <c r="S193" s="284"/>
      <c r="T193" s="284"/>
      <c r="U193" s="284"/>
      <c r="V193" s="284"/>
      <c r="W193" s="284"/>
      <c r="X193" s="284"/>
      <c r="Y193" s="284"/>
      <c r="Z193" s="284"/>
      <c r="AA193" s="284"/>
      <c r="AB193" s="284"/>
      <c r="AC193" s="284"/>
      <c r="AD193" s="284"/>
      <c r="AE193" s="284"/>
    </row>
    <row r="194">
      <c r="A194" s="284"/>
      <c r="B194" s="284"/>
      <c r="C194" s="284"/>
      <c r="D194" s="284"/>
      <c r="E194" s="284"/>
      <c r="F194" s="284"/>
      <c r="G194" s="284"/>
      <c r="H194" s="284"/>
      <c r="I194" s="284"/>
      <c r="J194" s="284"/>
      <c r="K194" s="284"/>
      <c r="L194" s="284"/>
      <c r="M194" s="284"/>
      <c r="N194" s="284"/>
      <c r="O194" s="284"/>
      <c r="P194" s="284"/>
      <c r="Q194" s="284"/>
      <c r="R194" s="284"/>
      <c r="S194" s="284"/>
      <c r="T194" s="284"/>
      <c r="U194" s="284"/>
      <c r="V194" s="284"/>
      <c r="W194" s="284"/>
      <c r="X194" s="284"/>
      <c r="Y194" s="284"/>
      <c r="Z194" s="284"/>
      <c r="AA194" s="284"/>
      <c r="AB194" s="284"/>
      <c r="AC194" s="284"/>
      <c r="AD194" s="284"/>
      <c r="AE194" s="284"/>
    </row>
    <row r="195">
      <c r="A195" s="284"/>
      <c r="B195" s="284"/>
      <c r="C195" s="284"/>
      <c r="D195" s="284"/>
      <c r="E195" s="284"/>
      <c r="F195" s="284"/>
      <c r="G195" s="284"/>
      <c r="H195" s="284"/>
      <c r="I195" s="284"/>
      <c r="J195" s="284"/>
      <c r="K195" s="284"/>
      <c r="L195" s="284"/>
      <c r="M195" s="284"/>
      <c r="N195" s="284"/>
      <c r="O195" s="284"/>
      <c r="P195" s="284"/>
      <c r="Q195" s="284"/>
      <c r="R195" s="284"/>
      <c r="S195" s="284"/>
      <c r="T195" s="284"/>
      <c r="U195" s="284"/>
      <c r="V195" s="284"/>
      <c r="W195" s="284"/>
      <c r="X195" s="284"/>
      <c r="Y195" s="284"/>
      <c r="Z195" s="284"/>
      <c r="AA195" s="284"/>
      <c r="AB195" s="284"/>
      <c r="AC195" s="284"/>
      <c r="AD195" s="284"/>
      <c r="AE195" s="284"/>
    </row>
    <row r="196">
      <c r="A196" s="284"/>
      <c r="B196" s="284"/>
      <c r="C196" s="284"/>
      <c r="D196" s="284"/>
      <c r="E196" s="284"/>
      <c r="F196" s="284"/>
      <c r="G196" s="284"/>
      <c r="H196" s="284"/>
      <c r="I196" s="284"/>
      <c r="J196" s="284"/>
      <c r="K196" s="284"/>
      <c r="L196" s="284"/>
      <c r="M196" s="284"/>
      <c r="N196" s="284"/>
      <c r="O196" s="284"/>
      <c r="P196" s="284"/>
      <c r="Q196" s="284"/>
      <c r="R196" s="284"/>
      <c r="S196" s="284"/>
      <c r="T196" s="284"/>
      <c r="U196" s="284"/>
      <c r="V196" s="284"/>
      <c r="W196" s="284"/>
      <c r="X196" s="284"/>
      <c r="Y196" s="284"/>
      <c r="Z196" s="284"/>
      <c r="AA196" s="284"/>
      <c r="AB196" s="284"/>
      <c r="AC196" s="284"/>
      <c r="AD196" s="284"/>
      <c r="AE196" s="284"/>
    </row>
    <row r="197">
      <c r="A197" s="284"/>
      <c r="B197" s="284"/>
      <c r="C197" s="284"/>
      <c r="D197" s="284"/>
      <c r="E197" s="284"/>
      <c r="F197" s="284"/>
      <c r="G197" s="284"/>
      <c r="H197" s="284"/>
      <c r="I197" s="284"/>
      <c r="J197" s="284"/>
      <c r="K197" s="284"/>
      <c r="L197" s="284"/>
      <c r="M197" s="284"/>
      <c r="N197" s="284"/>
      <c r="O197" s="284"/>
      <c r="P197" s="284"/>
      <c r="Q197" s="284"/>
      <c r="R197" s="284"/>
      <c r="S197" s="284"/>
      <c r="T197" s="284"/>
      <c r="U197" s="284"/>
      <c r="V197" s="284"/>
      <c r="W197" s="284"/>
      <c r="X197" s="284"/>
      <c r="Y197" s="284"/>
      <c r="Z197" s="284"/>
      <c r="AA197" s="284"/>
      <c r="AB197" s="284"/>
      <c r="AC197" s="284"/>
      <c r="AD197" s="284"/>
      <c r="AE197" s="284"/>
    </row>
    <row r="198">
      <c r="A198" s="284"/>
      <c r="B198" s="284"/>
      <c r="C198" s="284"/>
      <c r="D198" s="284"/>
      <c r="E198" s="284"/>
      <c r="F198" s="284"/>
      <c r="G198" s="284"/>
      <c r="H198" s="284"/>
      <c r="I198" s="284"/>
      <c r="J198" s="284"/>
      <c r="K198" s="284"/>
      <c r="L198" s="284"/>
      <c r="M198" s="284"/>
      <c r="N198" s="284"/>
      <c r="O198" s="284"/>
      <c r="P198" s="284"/>
      <c r="Q198" s="284"/>
      <c r="R198" s="284"/>
      <c r="S198" s="284"/>
      <c r="T198" s="284"/>
      <c r="U198" s="284"/>
      <c r="V198" s="284"/>
      <c r="W198" s="284"/>
      <c r="X198" s="284"/>
      <c r="Y198" s="284"/>
      <c r="Z198" s="284"/>
      <c r="AA198" s="284"/>
      <c r="AB198" s="284"/>
      <c r="AC198" s="284"/>
      <c r="AD198" s="284"/>
      <c r="AE198" s="284"/>
    </row>
    <row r="199">
      <c r="A199" s="284"/>
      <c r="B199" s="284"/>
      <c r="C199" s="284"/>
      <c r="D199" s="284"/>
      <c r="E199" s="284"/>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row>
    <row r="200">
      <c r="A200" s="284"/>
      <c r="B200" s="284"/>
      <c r="C200" s="284"/>
      <c r="D200" s="284"/>
      <c r="E200" s="284"/>
      <c r="F200" s="284"/>
      <c r="G200" s="284"/>
      <c r="H200" s="284"/>
      <c r="I200" s="284"/>
      <c r="J200" s="284"/>
      <c r="K200" s="284"/>
      <c r="L200" s="284"/>
      <c r="M200" s="284"/>
      <c r="N200" s="284"/>
      <c r="O200" s="284"/>
      <c r="P200" s="284"/>
      <c r="Q200" s="284"/>
      <c r="R200" s="284"/>
      <c r="S200" s="284"/>
      <c r="T200" s="284"/>
      <c r="U200" s="284"/>
      <c r="V200" s="284"/>
      <c r="W200" s="284"/>
      <c r="X200" s="284"/>
      <c r="Y200" s="284"/>
      <c r="Z200" s="284"/>
      <c r="AA200" s="284"/>
      <c r="AB200" s="284"/>
      <c r="AC200" s="284"/>
      <c r="AD200" s="284"/>
      <c r="AE200" s="284"/>
    </row>
    <row r="201">
      <c r="A201" s="284"/>
      <c r="B201" s="284"/>
      <c r="C201" s="284"/>
      <c r="D201" s="284"/>
      <c r="E201" s="284"/>
      <c r="F201" s="284"/>
      <c r="G201" s="284"/>
      <c r="H201" s="284"/>
      <c r="I201" s="284"/>
      <c r="J201" s="284"/>
      <c r="K201" s="284"/>
      <c r="L201" s="284"/>
      <c r="M201" s="284"/>
      <c r="N201" s="284"/>
      <c r="O201" s="284"/>
      <c r="P201" s="284"/>
      <c r="Q201" s="284"/>
      <c r="R201" s="284"/>
      <c r="S201" s="284"/>
      <c r="T201" s="284"/>
      <c r="U201" s="284"/>
      <c r="V201" s="284"/>
      <c r="W201" s="284"/>
      <c r="X201" s="284"/>
      <c r="Y201" s="284"/>
      <c r="Z201" s="284"/>
      <c r="AA201" s="284"/>
      <c r="AB201" s="284"/>
      <c r="AC201" s="284"/>
      <c r="AD201" s="284"/>
      <c r="AE201" s="284"/>
    </row>
    <row r="202">
      <c r="A202" s="284"/>
      <c r="B202" s="284"/>
      <c r="C202" s="284"/>
      <c r="D202" s="284"/>
      <c r="E202" s="284"/>
      <c r="F202" s="284"/>
      <c r="G202" s="284"/>
      <c r="H202" s="284"/>
      <c r="I202" s="284"/>
      <c r="J202" s="284"/>
      <c r="K202" s="284"/>
      <c r="L202" s="284"/>
      <c r="M202" s="284"/>
      <c r="N202" s="284"/>
      <c r="O202" s="284"/>
      <c r="P202" s="284"/>
      <c r="Q202" s="284"/>
      <c r="R202" s="284"/>
      <c r="S202" s="284"/>
      <c r="T202" s="284"/>
      <c r="U202" s="284"/>
      <c r="V202" s="284"/>
      <c r="W202" s="284"/>
      <c r="X202" s="284"/>
      <c r="Y202" s="284"/>
      <c r="Z202" s="284"/>
      <c r="AA202" s="284"/>
      <c r="AB202" s="284"/>
      <c r="AC202" s="284"/>
      <c r="AD202" s="284"/>
      <c r="AE202" s="284"/>
    </row>
    <row r="203">
      <c r="A203" s="284"/>
      <c r="B203" s="284"/>
      <c r="C203" s="284"/>
      <c r="D203" s="284"/>
      <c r="E203" s="284"/>
      <c r="F203" s="284"/>
      <c r="G203" s="284"/>
      <c r="H203" s="284"/>
      <c r="I203" s="284"/>
      <c r="J203" s="284"/>
      <c r="K203" s="284"/>
      <c r="L203" s="284"/>
      <c r="M203" s="284"/>
      <c r="N203" s="284"/>
      <c r="O203" s="284"/>
      <c r="P203" s="284"/>
      <c r="Q203" s="284"/>
      <c r="R203" s="284"/>
      <c r="S203" s="284"/>
      <c r="T203" s="284"/>
      <c r="U203" s="284"/>
      <c r="V203" s="284"/>
      <c r="W203" s="284"/>
      <c r="X203" s="284"/>
      <c r="Y203" s="284"/>
      <c r="Z203" s="284"/>
      <c r="AA203" s="284"/>
      <c r="AB203" s="284"/>
      <c r="AC203" s="284"/>
      <c r="AD203" s="284"/>
      <c r="AE203" s="284"/>
    </row>
    <row r="204">
      <c r="A204" s="284"/>
      <c r="B204" s="284"/>
      <c r="C204" s="284"/>
      <c r="D204" s="284"/>
      <c r="E204" s="284"/>
      <c r="F204" s="284"/>
      <c r="G204" s="284"/>
      <c r="H204" s="284"/>
      <c r="I204" s="284"/>
      <c r="J204" s="284"/>
      <c r="K204" s="284"/>
      <c r="L204" s="284"/>
      <c r="M204" s="284"/>
      <c r="N204" s="284"/>
      <c r="O204" s="284"/>
      <c r="P204" s="284"/>
      <c r="Q204" s="284"/>
      <c r="R204" s="284"/>
      <c r="S204" s="284"/>
      <c r="T204" s="284"/>
      <c r="U204" s="284"/>
      <c r="V204" s="284"/>
      <c r="W204" s="284"/>
      <c r="X204" s="284"/>
      <c r="Y204" s="284"/>
      <c r="Z204" s="284"/>
      <c r="AA204" s="284"/>
      <c r="AB204" s="284"/>
      <c r="AC204" s="284"/>
      <c r="AD204" s="284"/>
      <c r="AE204" s="284"/>
    </row>
    <row r="205">
      <c r="A205" s="284"/>
      <c r="B205" s="284"/>
      <c r="C205" s="284"/>
      <c r="D205" s="284"/>
      <c r="E205" s="284"/>
      <c r="F205" s="284"/>
      <c r="G205" s="284"/>
      <c r="H205" s="284"/>
      <c r="I205" s="284"/>
      <c r="J205" s="284"/>
      <c r="K205" s="284"/>
      <c r="L205" s="284"/>
      <c r="M205" s="284"/>
      <c r="N205" s="284"/>
      <c r="O205" s="284"/>
      <c r="P205" s="284"/>
      <c r="Q205" s="284"/>
      <c r="R205" s="284"/>
      <c r="S205" s="284"/>
      <c r="T205" s="284"/>
      <c r="U205" s="284"/>
      <c r="V205" s="284"/>
      <c r="W205" s="284"/>
      <c r="X205" s="284"/>
      <c r="Y205" s="284"/>
      <c r="Z205" s="284"/>
      <c r="AA205" s="284"/>
      <c r="AB205" s="284"/>
      <c r="AC205" s="284"/>
      <c r="AD205" s="284"/>
      <c r="AE205" s="284"/>
    </row>
    <row r="206">
      <c r="A206" s="284"/>
      <c r="B206" s="284"/>
      <c r="C206" s="284"/>
      <c r="D206" s="284"/>
      <c r="E206" s="284"/>
      <c r="F206" s="284"/>
      <c r="G206" s="284"/>
      <c r="H206" s="284"/>
      <c r="I206" s="284"/>
      <c r="J206" s="284"/>
      <c r="K206" s="284"/>
      <c r="L206" s="284"/>
      <c r="M206" s="284"/>
      <c r="N206" s="284"/>
      <c r="O206" s="284"/>
      <c r="P206" s="284"/>
      <c r="Q206" s="284"/>
      <c r="R206" s="284"/>
      <c r="S206" s="284"/>
      <c r="T206" s="284"/>
      <c r="U206" s="284"/>
      <c r="V206" s="284"/>
      <c r="W206" s="284"/>
      <c r="X206" s="284"/>
      <c r="Y206" s="284"/>
      <c r="Z206" s="284"/>
      <c r="AA206" s="284"/>
      <c r="AB206" s="284"/>
      <c r="AC206" s="284"/>
      <c r="AD206" s="284"/>
      <c r="AE206" s="284"/>
    </row>
    <row r="207">
      <c r="A207" s="284"/>
      <c r="B207" s="284"/>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row>
    <row r="208">
      <c r="A208" s="284"/>
      <c r="B208" s="284"/>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row>
    <row r="209">
      <c r="A209" s="284"/>
      <c r="B209" s="284"/>
      <c r="C209" s="284"/>
      <c r="D209" s="284"/>
      <c r="E209" s="284"/>
      <c r="F209" s="284"/>
      <c r="G209" s="284"/>
      <c r="H209" s="284"/>
      <c r="I209" s="284"/>
      <c r="J209" s="284"/>
      <c r="K209" s="284"/>
      <c r="L209" s="284"/>
      <c r="M209" s="284"/>
      <c r="N209" s="284"/>
      <c r="O209" s="284"/>
      <c r="P209" s="284"/>
      <c r="Q209" s="284"/>
      <c r="R209" s="284"/>
      <c r="S209" s="284"/>
      <c r="T209" s="284"/>
      <c r="U209" s="284"/>
      <c r="V209" s="284"/>
      <c r="W209" s="284"/>
      <c r="X209" s="284"/>
      <c r="Y209" s="284"/>
      <c r="Z209" s="284"/>
      <c r="AA209" s="284"/>
      <c r="AB209" s="284"/>
      <c r="AC209" s="284"/>
      <c r="AD209" s="284"/>
      <c r="AE209" s="284"/>
    </row>
    <row r="210">
      <c r="A210" s="284"/>
      <c r="B210" s="284"/>
      <c r="C210" s="284"/>
      <c r="D210" s="284"/>
      <c r="E210" s="284"/>
      <c r="F210" s="284"/>
      <c r="G210" s="284"/>
      <c r="H210" s="284"/>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row>
    <row r="211">
      <c r="A211" s="284"/>
      <c r="B211" s="284"/>
      <c r="C211" s="284"/>
      <c r="D211" s="284"/>
      <c r="E211" s="284"/>
      <c r="F211" s="284"/>
      <c r="G211" s="284"/>
      <c r="H211" s="284"/>
      <c r="I211" s="284"/>
      <c r="J211" s="284"/>
      <c r="K211" s="284"/>
      <c r="L211" s="284"/>
      <c r="M211" s="284"/>
      <c r="N211" s="284"/>
      <c r="O211" s="284"/>
      <c r="P211" s="284"/>
      <c r="Q211" s="284"/>
      <c r="R211" s="284"/>
      <c r="S211" s="284"/>
      <c r="T211" s="284"/>
      <c r="U211" s="284"/>
      <c r="V211" s="284"/>
      <c r="W211" s="284"/>
      <c r="X211" s="284"/>
      <c r="Y211" s="284"/>
      <c r="Z211" s="284"/>
      <c r="AA211" s="284"/>
      <c r="AB211" s="284"/>
      <c r="AC211" s="284"/>
      <c r="AD211" s="284"/>
      <c r="AE211" s="284"/>
    </row>
    <row r="212">
      <c r="A212" s="284"/>
      <c r="B212" s="284"/>
      <c r="C212" s="284"/>
      <c r="D212" s="284"/>
      <c r="E212" s="284"/>
      <c r="F212" s="284"/>
      <c r="G212" s="284"/>
      <c r="H212" s="284"/>
      <c r="I212" s="284"/>
      <c r="J212" s="284"/>
      <c r="K212" s="284"/>
      <c r="L212" s="284"/>
      <c r="M212" s="284"/>
      <c r="N212" s="284"/>
      <c r="O212" s="284"/>
      <c r="P212" s="284"/>
      <c r="Q212" s="284"/>
      <c r="R212" s="284"/>
      <c r="S212" s="284"/>
      <c r="T212" s="284"/>
      <c r="U212" s="284"/>
      <c r="V212" s="284"/>
      <c r="W212" s="284"/>
      <c r="X212" s="284"/>
      <c r="Y212" s="284"/>
      <c r="Z212" s="284"/>
      <c r="AA212" s="284"/>
      <c r="AB212" s="284"/>
      <c r="AC212" s="284"/>
      <c r="AD212" s="284"/>
      <c r="AE212" s="284"/>
    </row>
    <row r="213">
      <c r="A213" s="284"/>
      <c r="B213" s="284"/>
      <c r="C213" s="284"/>
      <c r="D213" s="284"/>
      <c r="E213" s="284"/>
      <c r="F213" s="284"/>
      <c r="G213" s="284"/>
      <c r="H213" s="284"/>
      <c r="I213" s="284"/>
      <c r="J213" s="284"/>
      <c r="K213" s="284"/>
      <c r="L213" s="284"/>
      <c r="M213" s="284"/>
      <c r="N213" s="284"/>
      <c r="O213" s="284"/>
      <c r="P213" s="284"/>
      <c r="Q213" s="284"/>
      <c r="R213" s="284"/>
      <c r="S213" s="284"/>
      <c r="T213" s="284"/>
      <c r="U213" s="284"/>
      <c r="V213" s="284"/>
      <c r="W213" s="284"/>
      <c r="X213" s="284"/>
      <c r="Y213" s="284"/>
      <c r="Z213" s="284"/>
      <c r="AA213" s="284"/>
      <c r="AB213" s="284"/>
      <c r="AC213" s="284"/>
      <c r="AD213" s="284"/>
      <c r="AE213" s="284"/>
    </row>
    <row r="214">
      <c r="A214" s="284"/>
      <c r="B214" s="284"/>
      <c r="C214" s="284"/>
      <c r="D214" s="284"/>
      <c r="E214" s="284"/>
      <c r="F214" s="284"/>
      <c r="G214" s="284"/>
      <c r="H214" s="284"/>
      <c r="I214" s="284"/>
      <c r="J214" s="284"/>
      <c r="K214" s="284"/>
      <c r="L214" s="284"/>
      <c r="M214" s="284"/>
      <c r="N214" s="284"/>
      <c r="O214" s="284"/>
      <c r="P214" s="284"/>
      <c r="Q214" s="284"/>
      <c r="R214" s="284"/>
      <c r="S214" s="284"/>
      <c r="T214" s="284"/>
      <c r="U214" s="284"/>
      <c r="V214" s="284"/>
      <c r="W214" s="284"/>
      <c r="X214" s="284"/>
      <c r="Y214" s="284"/>
      <c r="Z214" s="284"/>
      <c r="AA214" s="284"/>
      <c r="AB214" s="284"/>
      <c r="AC214" s="284"/>
      <c r="AD214" s="284"/>
      <c r="AE214" s="284"/>
    </row>
    <row r="215">
      <c r="A215" s="284"/>
      <c r="B215" s="284"/>
      <c r="C215" s="284"/>
      <c r="D215" s="284"/>
      <c r="E215" s="284"/>
      <c r="F215" s="284"/>
      <c r="G215" s="284"/>
      <c r="H215" s="284"/>
      <c r="I215" s="284"/>
      <c r="J215" s="284"/>
      <c r="K215" s="284"/>
      <c r="L215" s="284"/>
      <c r="M215" s="284"/>
      <c r="N215" s="284"/>
      <c r="O215" s="284"/>
      <c r="P215" s="284"/>
      <c r="Q215" s="284"/>
      <c r="R215" s="284"/>
      <c r="S215" s="284"/>
      <c r="T215" s="284"/>
      <c r="U215" s="284"/>
      <c r="V215" s="284"/>
      <c r="W215" s="284"/>
      <c r="X215" s="284"/>
      <c r="Y215" s="284"/>
      <c r="Z215" s="284"/>
      <c r="AA215" s="284"/>
      <c r="AB215" s="284"/>
      <c r="AC215" s="284"/>
      <c r="AD215" s="284"/>
      <c r="AE215" s="284"/>
    </row>
    <row r="216">
      <c r="A216" s="284"/>
      <c r="B216" s="284"/>
      <c r="C216" s="284"/>
      <c r="D216" s="284"/>
      <c r="E216" s="284"/>
      <c r="F216" s="284"/>
      <c r="G216" s="284"/>
      <c r="H216" s="284"/>
      <c r="I216" s="284"/>
      <c r="J216" s="284"/>
      <c r="K216" s="284"/>
      <c r="L216" s="284"/>
      <c r="M216" s="284"/>
      <c r="N216" s="284"/>
      <c r="O216" s="284"/>
      <c r="P216" s="284"/>
      <c r="Q216" s="284"/>
      <c r="R216" s="284"/>
      <c r="S216" s="284"/>
      <c r="T216" s="284"/>
      <c r="U216" s="284"/>
      <c r="V216" s="284"/>
      <c r="W216" s="284"/>
      <c r="X216" s="284"/>
      <c r="Y216" s="284"/>
      <c r="Z216" s="284"/>
      <c r="AA216" s="284"/>
      <c r="AB216" s="284"/>
      <c r="AC216" s="284"/>
      <c r="AD216" s="284"/>
      <c r="AE216" s="284"/>
    </row>
    <row r="217">
      <c r="A217" s="284"/>
      <c r="B217" s="284"/>
      <c r="C217" s="284"/>
      <c r="D217" s="284"/>
      <c r="E217" s="284"/>
      <c r="F217" s="284"/>
      <c r="G217" s="284"/>
      <c r="H217" s="284"/>
      <c r="I217" s="284"/>
      <c r="J217" s="284"/>
      <c r="K217" s="284"/>
      <c r="L217" s="284"/>
      <c r="M217" s="284"/>
      <c r="N217" s="284"/>
      <c r="O217" s="284"/>
      <c r="P217" s="284"/>
      <c r="Q217" s="284"/>
      <c r="R217" s="284"/>
      <c r="S217" s="284"/>
      <c r="T217" s="284"/>
      <c r="U217" s="284"/>
      <c r="V217" s="284"/>
      <c r="W217" s="284"/>
      <c r="X217" s="284"/>
      <c r="Y217" s="284"/>
      <c r="Z217" s="284"/>
      <c r="AA217" s="284"/>
      <c r="AB217" s="284"/>
      <c r="AC217" s="284"/>
      <c r="AD217" s="284"/>
      <c r="AE217" s="284"/>
    </row>
    <row r="218">
      <c r="A218" s="284"/>
      <c r="B218" s="284"/>
      <c r="C218" s="284"/>
      <c r="D218" s="284"/>
      <c r="E218" s="284"/>
      <c r="F218" s="284"/>
      <c r="G218" s="284"/>
      <c r="H218" s="284"/>
      <c r="I218" s="284"/>
      <c r="J218" s="284"/>
      <c r="K218" s="284"/>
      <c r="L218" s="284"/>
      <c r="M218" s="284"/>
      <c r="N218" s="284"/>
      <c r="O218" s="284"/>
      <c r="P218" s="284"/>
      <c r="Q218" s="284"/>
      <c r="R218" s="284"/>
      <c r="S218" s="284"/>
      <c r="T218" s="284"/>
      <c r="U218" s="284"/>
      <c r="V218" s="284"/>
      <c r="W218" s="284"/>
      <c r="X218" s="284"/>
      <c r="Y218" s="284"/>
      <c r="Z218" s="284"/>
      <c r="AA218" s="284"/>
      <c r="AB218" s="284"/>
      <c r="AC218" s="284"/>
      <c r="AD218" s="284"/>
      <c r="AE218" s="284"/>
    </row>
    <row r="219">
      <c r="A219" s="284"/>
      <c r="B219" s="284"/>
      <c r="C219" s="284"/>
      <c r="D219" s="284"/>
      <c r="E219" s="284"/>
      <c r="F219" s="284"/>
      <c r="G219" s="284"/>
      <c r="H219" s="284"/>
      <c r="I219" s="284"/>
      <c r="J219" s="284"/>
      <c r="K219" s="284"/>
      <c r="L219" s="284"/>
      <c r="M219" s="284"/>
      <c r="N219" s="284"/>
      <c r="O219" s="284"/>
      <c r="P219" s="284"/>
      <c r="Q219" s="284"/>
      <c r="R219" s="284"/>
      <c r="S219" s="284"/>
      <c r="T219" s="284"/>
      <c r="U219" s="284"/>
      <c r="V219" s="284"/>
      <c r="W219" s="284"/>
      <c r="X219" s="284"/>
      <c r="Y219" s="284"/>
      <c r="Z219" s="284"/>
      <c r="AA219" s="284"/>
      <c r="AB219" s="284"/>
      <c r="AC219" s="284"/>
      <c r="AD219" s="284"/>
      <c r="AE219" s="284"/>
    </row>
    <row r="220">
      <c r="A220" s="284"/>
      <c r="B220" s="284"/>
      <c r="C220" s="284"/>
      <c r="D220" s="284"/>
      <c r="E220" s="284"/>
      <c r="F220" s="284"/>
      <c r="G220" s="284"/>
      <c r="H220" s="284"/>
      <c r="I220" s="284"/>
      <c r="J220" s="284"/>
      <c r="K220" s="284"/>
      <c r="L220" s="284"/>
      <c r="M220" s="284"/>
      <c r="N220" s="284"/>
      <c r="O220" s="284"/>
      <c r="P220" s="284"/>
      <c r="Q220" s="284"/>
      <c r="R220" s="284"/>
      <c r="S220" s="284"/>
      <c r="T220" s="284"/>
      <c r="U220" s="284"/>
      <c r="V220" s="284"/>
      <c r="W220" s="284"/>
      <c r="X220" s="284"/>
      <c r="Y220" s="284"/>
      <c r="Z220" s="284"/>
      <c r="AA220" s="284"/>
      <c r="AB220" s="284"/>
      <c r="AC220" s="284"/>
      <c r="AD220" s="284"/>
      <c r="AE220" s="284"/>
    </row>
    <row r="221">
      <c r="A221" s="284"/>
      <c r="B221" s="284"/>
      <c r="C221" s="284"/>
      <c r="D221" s="284"/>
      <c r="E221" s="284"/>
      <c r="F221" s="284"/>
      <c r="G221" s="284"/>
      <c r="H221" s="284"/>
      <c r="I221" s="284"/>
      <c r="J221" s="284"/>
      <c r="K221" s="284"/>
      <c r="L221" s="284"/>
      <c r="M221" s="284"/>
      <c r="N221" s="284"/>
      <c r="O221" s="284"/>
      <c r="P221" s="284"/>
      <c r="Q221" s="284"/>
      <c r="R221" s="284"/>
      <c r="S221" s="284"/>
      <c r="T221" s="284"/>
      <c r="U221" s="284"/>
      <c r="V221" s="284"/>
      <c r="W221" s="284"/>
      <c r="X221" s="284"/>
      <c r="Y221" s="284"/>
      <c r="Z221" s="284"/>
      <c r="AA221" s="284"/>
      <c r="AB221" s="284"/>
      <c r="AC221" s="284"/>
      <c r="AD221" s="284"/>
      <c r="AE221" s="284"/>
    </row>
    <row r="222">
      <c r="A222" s="284"/>
      <c r="B222" s="284"/>
      <c r="C222" s="284"/>
      <c r="D222" s="284"/>
      <c r="E222" s="284"/>
      <c r="F222" s="284"/>
      <c r="G222" s="284"/>
      <c r="H222" s="284"/>
      <c r="I222" s="284"/>
      <c r="J222" s="284"/>
      <c r="K222" s="284"/>
      <c r="L222" s="284"/>
      <c r="M222" s="284"/>
      <c r="N222" s="284"/>
      <c r="O222" s="284"/>
      <c r="P222" s="284"/>
      <c r="Q222" s="284"/>
      <c r="R222" s="284"/>
      <c r="S222" s="284"/>
      <c r="T222" s="284"/>
      <c r="U222" s="284"/>
      <c r="V222" s="284"/>
      <c r="W222" s="284"/>
      <c r="X222" s="284"/>
      <c r="Y222" s="284"/>
      <c r="Z222" s="284"/>
      <c r="AA222" s="284"/>
      <c r="AB222" s="284"/>
      <c r="AC222" s="284"/>
      <c r="AD222" s="284"/>
      <c r="AE222" s="284"/>
    </row>
    <row r="223">
      <c r="A223" s="284"/>
      <c r="B223" s="284"/>
      <c r="C223" s="284"/>
      <c r="D223" s="284"/>
      <c r="E223" s="284"/>
      <c r="F223" s="284"/>
      <c r="G223" s="284"/>
      <c r="H223" s="284"/>
      <c r="I223" s="284"/>
      <c r="J223" s="284"/>
      <c r="K223" s="284"/>
      <c r="L223" s="284"/>
      <c r="M223" s="284"/>
      <c r="N223" s="284"/>
      <c r="O223" s="284"/>
      <c r="P223" s="284"/>
      <c r="Q223" s="284"/>
      <c r="R223" s="284"/>
      <c r="S223" s="284"/>
      <c r="T223" s="284"/>
      <c r="U223" s="284"/>
      <c r="V223" s="284"/>
      <c r="W223" s="284"/>
      <c r="X223" s="284"/>
      <c r="Y223" s="284"/>
      <c r="Z223" s="284"/>
      <c r="AA223" s="284"/>
      <c r="AB223" s="284"/>
      <c r="AC223" s="284"/>
      <c r="AD223" s="284"/>
      <c r="AE223" s="284"/>
    </row>
    <row r="224">
      <c r="A224" s="284"/>
      <c r="B224" s="284"/>
      <c r="C224" s="284"/>
      <c r="D224" s="284"/>
      <c r="E224" s="284"/>
      <c r="F224" s="284"/>
      <c r="G224" s="284"/>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row>
    <row r="225">
      <c r="A225" s="284"/>
      <c r="B225" s="284"/>
      <c r="C225" s="284"/>
      <c r="D225" s="284"/>
      <c r="E225" s="284"/>
      <c r="F225" s="284"/>
      <c r="G225" s="284"/>
      <c r="H225" s="284"/>
      <c r="I225" s="284"/>
      <c r="J225" s="284"/>
      <c r="K225" s="284"/>
      <c r="L225" s="284"/>
      <c r="M225" s="284"/>
      <c r="N225" s="284"/>
      <c r="O225" s="284"/>
      <c r="P225" s="284"/>
      <c r="Q225" s="284"/>
      <c r="R225" s="284"/>
      <c r="S225" s="284"/>
      <c r="T225" s="284"/>
      <c r="U225" s="284"/>
      <c r="V225" s="284"/>
      <c r="W225" s="284"/>
      <c r="X225" s="284"/>
      <c r="Y225" s="284"/>
      <c r="Z225" s="284"/>
      <c r="AA225" s="284"/>
      <c r="AB225" s="284"/>
      <c r="AC225" s="284"/>
      <c r="AD225" s="284"/>
      <c r="AE225" s="284"/>
    </row>
    <row r="226">
      <c r="A226" s="284"/>
      <c r="B226" s="284"/>
      <c r="C226" s="284"/>
      <c r="D226" s="284"/>
      <c r="E226" s="284"/>
      <c r="F226" s="284"/>
      <c r="G226" s="284"/>
      <c r="H226" s="284"/>
      <c r="I226" s="284"/>
      <c r="J226" s="284"/>
      <c r="K226" s="284"/>
      <c r="L226" s="284"/>
      <c r="M226" s="284"/>
      <c r="N226" s="284"/>
      <c r="O226" s="284"/>
      <c r="P226" s="284"/>
      <c r="Q226" s="284"/>
      <c r="R226" s="284"/>
      <c r="S226" s="284"/>
      <c r="T226" s="284"/>
      <c r="U226" s="284"/>
      <c r="V226" s="284"/>
      <c r="W226" s="284"/>
      <c r="X226" s="284"/>
      <c r="Y226" s="284"/>
      <c r="Z226" s="284"/>
      <c r="AA226" s="284"/>
      <c r="AB226" s="284"/>
      <c r="AC226" s="284"/>
      <c r="AD226" s="284"/>
      <c r="AE226" s="284"/>
    </row>
    <row r="227">
      <c r="A227" s="284"/>
      <c r="B227" s="284"/>
      <c r="C227" s="284"/>
      <c r="D227" s="284"/>
      <c r="E227" s="284"/>
      <c r="F227" s="284"/>
      <c r="G227" s="284"/>
      <c r="H227" s="284"/>
      <c r="I227" s="284"/>
      <c r="J227" s="284"/>
      <c r="K227" s="284"/>
      <c r="L227" s="284"/>
      <c r="M227" s="284"/>
      <c r="N227" s="284"/>
      <c r="O227" s="284"/>
      <c r="P227" s="284"/>
      <c r="Q227" s="284"/>
      <c r="R227" s="284"/>
      <c r="S227" s="284"/>
      <c r="T227" s="284"/>
      <c r="U227" s="284"/>
      <c r="V227" s="284"/>
      <c r="W227" s="284"/>
      <c r="X227" s="284"/>
      <c r="Y227" s="284"/>
      <c r="Z227" s="284"/>
      <c r="AA227" s="284"/>
      <c r="AB227" s="284"/>
      <c r="AC227" s="284"/>
      <c r="AD227" s="284"/>
      <c r="AE227" s="284"/>
    </row>
    <row r="228">
      <c r="A228" s="284"/>
      <c r="B228" s="284"/>
      <c r="C228" s="284"/>
      <c r="D228" s="284"/>
      <c r="E228" s="284"/>
      <c r="F228" s="284"/>
      <c r="G228" s="284"/>
      <c r="H228" s="284"/>
      <c r="I228" s="284"/>
      <c r="J228" s="284"/>
      <c r="K228" s="284"/>
      <c r="L228" s="284"/>
      <c r="M228" s="284"/>
      <c r="N228" s="284"/>
      <c r="O228" s="284"/>
      <c r="P228" s="284"/>
      <c r="Q228" s="284"/>
      <c r="R228" s="284"/>
      <c r="S228" s="284"/>
      <c r="T228" s="284"/>
      <c r="U228" s="284"/>
      <c r="V228" s="284"/>
      <c r="W228" s="284"/>
      <c r="X228" s="284"/>
      <c r="Y228" s="284"/>
      <c r="Z228" s="284"/>
      <c r="AA228" s="284"/>
      <c r="AB228" s="284"/>
      <c r="AC228" s="284"/>
      <c r="AD228" s="284"/>
      <c r="AE228" s="284"/>
    </row>
    <row r="229">
      <c r="A229" s="284"/>
      <c r="B229" s="284"/>
      <c r="C229" s="284"/>
      <c r="D229" s="284"/>
      <c r="E229" s="284"/>
      <c r="F229" s="284"/>
      <c r="G229" s="284"/>
      <c r="H229" s="284"/>
      <c r="I229" s="284"/>
      <c r="J229" s="284"/>
      <c r="K229" s="284"/>
      <c r="L229" s="284"/>
      <c r="M229" s="284"/>
      <c r="N229" s="284"/>
      <c r="O229" s="284"/>
      <c r="P229" s="284"/>
      <c r="Q229" s="284"/>
      <c r="R229" s="284"/>
      <c r="S229" s="284"/>
      <c r="T229" s="284"/>
      <c r="U229" s="284"/>
      <c r="V229" s="284"/>
      <c r="W229" s="284"/>
      <c r="X229" s="284"/>
      <c r="Y229" s="284"/>
      <c r="Z229" s="284"/>
      <c r="AA229" s="284"/>
      <c r="AB229" s="284"/>
      <c r="AC229" s="284"/>
      <c r="AD229" s="284"/>
      <c r="AE229" s="284"/>
    </row>
    <row r="230">
      <c r="A230" s="284"/>
      <c r="B230" s="284"/>
      <c r="C230" s="284"/>
      <c r="D230" s="284"/>
      <c r="E230" s="284"/>
      <c r="F230" s="284"/>
      <c r="G230" s="284"/>
      <c r="H230" s="284"/>
      <c r="I230" s="284"/>
      <c r="J230" s="284"/>
      <c r="K230" s="284"/>
      <c r="L230" s="284"/>
      <c r="M230" s="284"/>
      <c r="N230" s="284"/>
      <c r="O230" s="284"/>
      <c r="P230" s="284"/>
      <c r="Q230" s="284"/>
      <c r="R230" s="284"/>
      <c r="S230" s="284"/>
      <c r="T230" s="284"/>
      <c r="U230" s="284"/>
      <c r="V230" s="284"/>
      <c r="W230" s="284"/>
      <c r="X230" s="284"/>
      <c r="Y230" s="284"/>
      <c r="Z230" s="284"/>
      <c r="AA230" s="284"/>
      <c r="AB230" s="284"/>
      <c r="AC230" s="284"/>
      <c r="AD230" s="284"/>
      <c r="AE230" s="284"/>
    </row>
    <row r="231">
      <c r="A231" s="284"/>
      <c r="B231" s="284"/>
      <c r="C231" s="284"/>
      <c r="D231" s="284"/>
      <c r="E231" s="284"/>
      <c r="F231" s="284"/>
      <c r="G231" s="284"/>
      <c r="H231" s="284"/>
      <c r="I231" s="284"/>
      <c r="J231" s="284"/>
      <c r="K231" s="284"/>
      <c r="L231" s="284"/>
      <c r="M231" s="284"/>
      <c r="N231" s="284"/>
      <c r="O231" s="284"/>
      <c r="P231" s="284"/>
      <c r="Q231" s="284"/>
      <c r="R231" s="284"/>
      <c r="S231" s="284"/>
      <c r="T231" s="284"/>
      <c r="U231" s="284"/>
      <c r="V231" s="284"/>
      <c r="W231" s="284"/>
      <c r="X231" s="284"/>
      <c r="Y231" s="284"/>
      <c r="Z231" s="284"/>
      <c r="AA231" s="284"/>
      <c r="AB231" s="284"/>
      <c r="AC231" s="284"/>
      <c r="AD231" s="284"/>
      <c r="AE231" s="284"/>
    </row>
    <row r="232">
      <c r="A232" s="284"/>
      <c r="B232" s="284"/>
      <c r="C232" s="284"/>
      <c r="D232" s="284"/>
      <c r="E232" s="284"/>
      <c r="F232" s="284"/>
      <c r="G232" s="284"/>
      <c r="H232" s="284"/>
      <c r="I232" s="284"/>
      <c r="J232" s="284"/>
      <c r="K232" s="284"/>
      <c r="L232" s="284"/>
      <c r="M232" s="284"/>
      <c r="N232" s="284"/>
      <c r="O232" s="284"/>
      <c r="P232" s="284"/>
      <c r="Q232" s="284"/>
      <c r="R232" s="284"/>
      <c r="S232" s="284"/>
      <c r="T232" s="284"/>
      <c r="U232" s="284"/>
      <c r="V232" s="284"/>
      <c r="W232" s="284"/>
      <c r="X232" s="284"/>
      <c r="Y232" s="284"/>
      <c r="Z232" s="284"/>
      <c r="AA232" s="284"/>
      <c r="AB232" s="284"/>
      <c r="AC232" s="284"/>
      <c r="AD232" s="284"/>
      <c r="AE232" s="284"/>
    </row>
    <row r="233">
      <c r="A233" s="284"/>
      <c r="B233" s="284"/>
      <c r="C233" s="284"/>
      <c r="D233" s="284"/>
      <c r="E233" s="284"/>
      <c r="F233" s="284"/>
      <c r="G233" s="284"/>
      <c r="H233" s="284"/>
      <c r="I233" s="284"/>
      <c r="J233" s="284"/>
      <c r="K233" s="284"/>
      <c r="L233" s="284"/>
      <c r="M233" s="284"/>
      <c r="N233" s="284"/>
      <c r="O233" s="284"/>
      <c r="P233" s="284"/>
      <c r="Q233" s="284"/>
      <c r="R233" s="284"/>
      <c r="S233" s="284"/>
      <c r="T233" s="284"/>
      <c r="U233" s="284"/>
      <c r="V233" s="284"/>
      <c r="W233" s="284"/>
      <c r="X233" s="284"/>
      <c r="Y233" s="284"/>
      <c r="Z233" s="284"/>
      <c r="AA233" s="284"/>
      <c r="AB233" s="284"/>
      <c r="AC233" s="284"/>
      <c r="AD233" s="284"/>
      <c r="AE233" s="284"/>
    </row>
    <row r="234">
      <c r="A234" s="284"/>
      <c r="B234" s="284"/>
      <c r="C234" s="284"/>
      <c r="D234" s="284"/>
      <c r="E234" s="284"/>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row>
    <row r="235">
      <c r="A235" s="284"/>
      <c r="B235" s="284"/>
      <c r="C235" s="284"/>
      <c r="D235" s="284"/>
      <c r="E235" s="284"/>
      <c r="F235" s="284"/>
      <c r="G235" s="284"/>
      <c r="H235" s="284"/>
      <c r="I235" s="284"/>
      <c r="J235" s="284"/>
      <c r="K235" s="284"/>
      <c r="L235" s="284"/>
      <c r="M235" s="284"/>
      <c r="N235" s="284"/>
      <c r="O235" s="284"/>
      <c r="P235" s="284"/>
      <c r="Q235" s="284"/>
      <c r="R235" s="284"/>
      <c r="S235" s="284"/>
      <c r="T235" s="284"/>
      <c r="U235" s="284"/>
      <c r="V235" s="284"/>
      <c r="W235" s="284"/>
      <c r="X235" s="284"/>
      <c r="Y235" s="284"/>
      <c r="Z235" s="284"/>
      <c r="AA235" s="284"/>
      <c r="AB235" s="284"/>
      <c r="AC235" s="284"/>
      <c r="AD235" s="284"/>
      <c r="AE235" s="284"/>
    </row>
    <row r="236">
      <c r="A236" s="284"/>
      <c r="B236" s="284"/>
      <c r="C236" s="284"/>
      <c r="D236" s="284"/>
      <c r="E236" s="284"/>
      <c r="F236" s="284"/>
      <c r="G236" s="284"/>
      <c r="H236" s="284"/>
      <c r="I236" s="284"/>
      <c r="J236" s="284"/>
      <c r="K236" s="284"/>
      <c r="L236" s="284"/>
      <c r="M236" s="284"/>
      <c r="N236" s="284"/>
      <c r="O236" s="284"/>
      <c r="P236" s="284"/>
      <c r="Q236" s="284"/>
      <c r="R236" s="284"/>
      <c r="S236" s="284"/>
      <c r="T236" s="284"/>
      <c r="U236" s="284"/>
      <c r="V236" s="284"/>
      <c r="W236" s="284"/>
      <c r="X236" s="284"/>
      <c r="Y236" s="284"/>
      <c r="Z236" s="284"/>
      <c r="AA236" s="284"/>
      <c r="AB236" s="284"/>
      <c r="AC236" s="284"/>
      <c r="AD236" s="284"/>
      <c r="AE236" s="284"/>
    </row>
    <row r="237">
      <c r="A237" s="284"/>
      <c r="B237" s="284"/>
      <c r="C237" s="284"/>
      <c r="D237" s="284"/>
      <c r="E237" s="284"/>
      <c r="F237" s="284"/>
      <c r="G237" s="284"/>
      <c r="H237" s="284"/>
      <c r="I237" s="284"/>
      <c r="J237" s="284"/>
      <c r="K237" s="284"/>
      <c r="L237" s="284"/>
      <c r="M237" s="284"/>
      <c r="N237" s="284"/>
      <c r="O237" s="284"/>
      <c r="P237" s="284"/>
      <c r="Q237" s="284"/>
      <c r="R237" s="284"/>
      <c r="S237" s="284"/>
      <c r="T237" s="284"/>
      <c r="U237" s="284"/>
      <c r="V237" s="284"/>
      <c r="W237" s="284"/>
      <c r="X237" s="284"/>
      <c r="Y237" s="284"/>
      <c r="Z237" s="284"/>
      <c r="AA237" s="284"/>
      <c r="AB237" s="284"/>
      <c r="AC237" s="284"/>
      <c r="AD237" s="284"/>
      <c r="AE237" s="284"/>
    </row>
    <row r="238">
      <c r="A238" s="284"/>
      <c r="B238" s="284"/>
      <c r="C238" s="284"/>
      <c r="D238" s="284"/>
      <c r="E238" s="284"/>
      <c r="F238" s="284"/>
      <c r="G238" s="284"/>
      <c r="H238" s="284"/>
      <c r="I238" s="284"/>
      <c r="J238" s="284"/>
      <c r="K238" s="284"/>
      <c r="L238" s="284"/>
      <c r="M238" s="284"/>
      <c r="N238" s="284"/>
      <c r="O238" s="284"/>
      <c r="P238" s="284"/>
      <c r="Q238" s="284"/>
      <c r="R238" s="284"/>
      <c r="S238" s="284"/>
      <c r="T238" s="284"/>
      <c r="U238" s="284"/>
      <c r="V238" s="284"/>
      <c r="W238" s="284"/>
      <c r="X238" s="284"/>
      <c r="Y238" s="284"/>
      <c r="Z238" s="284"/>
      <c r="AA238" s="284"/>
      <c r="AB238" s="284"/>
      <c r="AC238" s="284"/>
      <c r="AD238" s="284"/>
      <c r="AE238" s="284"/>
    </row>
    <row r="239">
      <c r="A239" s="284"/>
      <c r="B239" s="284"/>
      <c r="C239" s="284"/>
      <c r="D239" s="284"/>
      <c r="E239" s="284"/>
      <c r="F239" s="284"/>
      <c r="G239" s="284"/>
      <c r="H239" s="284"/>
      <c r="I239" s="284"/>
      <c r="J239" s="284"/>
      <c r="K239" s="284"/>
      <c r="L239" s="284"/>
      <c r="M239" s="284"/>
      <c r="N239" s="284"/>
      <c r="O239" s="284"/>
      <c r="P239" s="284"/>
      <c r="Q239" s="284"/>
      <c r="R239" s="284"/>
      <c r="S239" s="284"/>
      <c r="T239" s="284"/>
      <c r="U239" s="284"/>
      <c r="V239" s="284"/>
      <c r="W239" s="284"/>
      <c r="X239" s="284"/>
      <c r="Y239" s="284"/>
      <c r="Z239" s="284"/>
      <c r="AA239" s="284"/>
      <c r="AB239" s="284"/>
      <c r="AC239" s="284"/>
      <c r="AD239" s="284"/>
      <c r="AE239" s="284"/>
    </row>
    <row r="240">
      <c r="A240" s="284"/>
      <c r="B240" s="284"/>
      <c r="C240" s="284"/>
      <c r="D240" s="284"/>
      <c r="E240" s="284"/>
      <c r="F240" s="284"/>
      <c r="G240" s="284"/>
      <c r="H240" s="284"/>
      <c r="I240" s="284"/>
      <c r="J240" s="284"/>
      <c r="K240" s="284"/>
      <c r="L240" s="284"/>
      <c r="M240" s="284"/>
      <c r="N240" s="284"/>
      <c r="O240" s="284"/>
      <c r="P240" s="284"/>
      <c r="Q240" s="284"/>
      <c r="R240" s="284"/>
      <c r="S240" s="284"/>
      <c r="T240" s="284"/>
      <c r="U240" s="284"/>
      <c r="V240" s="284"/>
      <c r="W240" s="284"/>
      <c r="X240" s="284"/>
      <c r="Y240" s="284"/>
      <c r="Z240" s="284"/>
      <c r="AA240" s="284"/>
      <c r="AB240" s="284"/>
      <c r="AC240" s="284"/>
      <c r="AD240" s="284"/>
      <c r="AE240" s="284"/>
    </row>
    <row r="241">
      <c r="A241" s="284"/>
      <c r="B241" s="284"/>
      <c r="C241" s="284"/>
      <c r="D241" s="284"/>
      <c r="E241" s="284"/>
      <c r="F241" s="284"/>
      <c r="G241" s="284"/>
      <c r="H241" s="284"/>
      <c r="I241" s="284"/>
      <c r="J241" s="284"/>
      <c r="K241" s="284"/>
      <c r="L241" s="284"/>
      <c r="M241" s="284"/>
      <c r="N241" s="284"/>
      <c r="O241" s="284"/>
      <c r="P241" s="284"/>
      <c r="Q241" s="284"/>
      <c r="R241" s="284"/>
      <c r="S241" s="284"/>
      <c r="T241" s="284"/>
      <c r="U241" s="284"/>
      <c r="V241" s="284"/>
      <c r="W241" s="284"/>
      <c r="X241" s="284"/>
      <c r="Y241" s="284"/>
      <c r="Z241" s="284"/>
      <c r="AA241" s="284"/>
      <c r="AB241" s="284"/>
      <c r="AC241" s="284"/>
      <c r="AD241" s="284"/>
      <c r="AE241" s="284"/>
    </row>
    <row r="242">
      <c r="A242" s="284"/>
      <c r="B242" s="284"/>
      <c r="C242" s="284"/>
      <c r="D242" s="284"/>
      <c r="E242" s="284"/>
      <c r="F242" s="284"/>
      <c r="G242" s="284"/>
      <c r="H242" s="284"/>
      <c r="I242" s="284"/>
      <c r="J242" s="284"/>
      <c r="K242" s="284"/>
      <c r="L242" s="284"/>
      <c r="M242" s="284"/>
      <c r="N242" s="284"/>
      <c r="O242" s="284"/>
      <c r="P242" s="284"/>
      <c r="Q242" s="284"/>
      <c r="R242" s="284"/>
      <c r="S242" s="284"/>
      <c r="T242" s="284"/>
      <c r="U242" s="284"/>
      <c r="V242" s="284"/>
      <c r="W242" s="284"/>
      <c r="X242" s="284"/>
      <c r="Y242" s="284"/>
      <c r="Z242" s="284"/>
      <c r="AA242" s="284"/>
      <c r="AB242" s="284"/>
      <c r="AC242" s="284"/>
      <c r="AD242" s="284"/>
      <c r="AE242" s="284"/>
    </row>
    <row r="243">
      <c r="A243" s="284"/>
      <c r="B243" s="284"/>
      <c r="C243" s="284"/>
      <c r="D243" s="284"/>
      <c r="E243" s="284"/>
      <c r="F243" s="284"/>
      <c r="G243" s="284"/>
      <c r="H243" s="284"/>
      <c r="I243" s="284"/>
      <c r="J243" s="284"/>
      <c r="K243" s="284"/>
      <c r="L243" s="284"/>
      <c r="M243" s="284"/>
      <c r="N243" s="284"/>
      <c r="O243" s="284"/>
      <c r="P243" s="284"/>
      <c r="Q243" s="284"/>
      <c r="R243" s="284"/>
      <c r="S243" s="284"/>
      <c r="T243" s="284"/>
      <c r="U243" s="284"/>
      <c r="V243" s="284"/>
      <c r="W243" s="284"/>
      <c r="X243" s="284"/>
      <c r="Y243" s="284"/>
      <c r="Z243" s="284"/>
      <c r="AA243" s="284"/>
      <c r="AB243" s="284"/>
      <c r="AC243" s="284"/>
      <c r="AD243" s="284"/>
      <c r="AE243" s="284"/>
    </row>
    <row r="244">
      <c r="A244" s="284"/>
      <c r="B244" s="284"/>
      <c r="C244" s="284"/>
      <c r="D244" s="284"/>
      <c r="E244" s="284"/>
      <c r="F244" s="284"/>
      <c r="G244" s="284"/>
      <c r="H244" s="284"/>
      <c r="I244" s="284"/>
      <c r="J244" s="284"/>
      <c r="K244" s="284"/>
      <c r="L244" s="284"/>
      <c r="M244" s="284"/>
      <c r="N244" s="284"/>
      <c r="O244" s="284"/>
      <c r="P244" s="284"/>
      <c r="Q244" s="284"/>
      <c r="R244" s="284"/>
      <c r="S244" s="284"/>
      <c r="T244" s="284"/>
      <c r="U244" s="284"/>
      <c r="V244" s="284"/>
      <c r="W244" s="284"/>
      <c r="X244" s="284"/>
      <c r="Y244" s="284"/>
      <c r="Z244" s="284"/>
      <c r="AA244" s="284"/>
      <c r="AB244" s="284"/>
      <c r="AC244" s="284"/>
      <c r="AD244" s="284"/>
      <c r="AE244" s="284"/>
    </row>
    <row r="245">
      <c r="A245" s="28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row>
    <row r="246">
      <c r="A246" s="284"/>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row>
    <row r="247">
      <c r="A247" s="28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row>
    <row r="248">
      <c r="A248" s="28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row>
    <row r="249">
      <c r="A249" s="28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row>
    <row r="250">
      <c r="A250" s="284"/>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row>
    <row r="251">
      <c r="A251" s="284"/>
      <c r="B251" s="284"/>
      <c r="C251" s="284"/>
      <c r="D251" s="284"/>
      <c r="E251" s="284"/>
      <c r="F251" s="284"/>
      <c r="G251" s="284"/>
      <c r="H251" s="284"/>
      <c r="I251" s="284"/>
      <c r="J251" s="284"/>
      <c r="K251" s="284"/>
      <c r="L251" s="284"/>
      <c r="M251" s="284"/>
      <c r="N251" s="284"/>
      <c r="O251" s="284"/>
      <c r="P251" s="284"/>
      <c r="Q251" s="284"/>
      <c r="R251" s="284"/>
      <c r="S251" s="284"/>
      <c r="T251" s="284"/>
      <c r="U251" s="284"/>
      <c r="V251" s="284"/>
      <c r="W251" s="284"/>
      <c r="X251" s="284"/>
      <c r="Y251" s="284"/>
      <c r="Z251" s="284"/>
      <c r="AA251" s="284"/>
      <c r="AB251" s="284"/>
      <c r="AC251" s="284"/>
      <c r="AD251" s="284"/>
      <c r="AE251" s="284"/>
    </row>
    <row r="252">
      <c r="A252" s="284"/>
      <c r="B252" s="284"/>
      <c r="C252" s="284"/>
      <c r="D252" s="284"/>
      <c r="E252" s="284"/>
      <c r="F252" s="284"/>
      <c r="G252" s="284"/>
      <c r="H252" s="284"/>
      <c r="I252" s="284"/>
      <c r="J252" s="284"/>
      <c r="K252" s="284"/>
      <c r="L252" s="284"/>
      <c r="M252" s="284"/>
      <c r="N252" s="284"/>
      <c r="O252" s="284"/>
      <c r="P252" s="284"/>
      <c r="Q252" s="284"/>
      <c r="R252" s="284"/>
      <c r="S252" s="284"/>
      <c r="T252" s="284"/>
      <c r="U252" s="284"/>
      <c r="V252" s="284"/>
      <c r="W252" s="284"/>
      <c r="X252" s="284"/>
      <c r="Y252" s="284"/>
      <c r="Z252" s="284"/>
      <c r="AA252" s="284"/>
      <c r="AB252" s="284"/>
      <c r="AC252" s="284"/>
      <c r="AD252" s="284"/>
      <c r="AE252" s="284"/>
    </row>
    <row r="253">
      <c r="A253" s="284"/>
      <c r="B253" s="284"/>
      <c r="C253" s="284"/>
      <c r="D253" s="284"/>
      <c r="E253" s="284"/>
      <c r="F253" s="284"/>
      <c r="G253" s="284"/>
      <c r="H253" s="284"/>
      <c r="I253" s="284"/>
      <c r="J253" s="284"/>
      <c r="K253" s="284"/>
      <c r="L253" s="284"/>
      <c r="M253" s="284"/>
      <c r="N253" s="284"/>
      <c r="O253" s="284"/>
      <c r="P253" s="284"/>
      <c r="Q253" s="284"/>
      <c r="R253" s="284"/>
      <c r="S253" s="284"/>
      <c r="T253" s="284"/>
      <c r="U253" s="284"/>
      <c r="V253" s="284"/>
      <c r="W253" s="284"/>
      <c r="X253" s="284"/>
      <c r="Y253" s="284"/>
      <c r="Z253" s="284"/>
      <c r="AA253" s="284"/>
      <c r="AB253" s="284"/>
      <c r="AC253" s="284"/>
      <c r="AD253" s="284"/>
      <c r="AE253" s="284"/>
    </row>
    <row r="254">
      <c r="A254" s="284"/>
      <c r="B254" s="284"/>
      <c r="C254" s="284"/>
      <c r="D254" s="284"/>
      <c r="E254" s="284"/>
      <c r="F254" s="284"/>
      <c r="G254" s="284"/>
      <c r="H254" s="284"/>
      <c r="I254" s="284"/>
      <c r="J254" s="284"/>
      <c r="K254" s="284"/>
      <c r="L254" s="284"/>
      <c r="M254" s="284"/>
      <c r="N254" s="284"/>
      <c r="O254" s="284"/>
      <c r="P254" s="284"/>
      <c r="Q254" s="284"/>
      <c r="R254" s="284"/>
      <c r="S254" s="284"/>
      <c r="T254" s="284"/>
      <c r="U254" s="284"/>
      <c r="V254" s="284"/>
      <c r="W254" s="284"/>
      <c r="X254" s="284"/>
      <c r="Y254" s="284"/>
      <c r="Z254" s="284"/>
      <c r="AA254" s="284"/>
      <c r="AB254" s="284"/>
      <c r="AC254" s="284"/>
      <c r="AD254" s="284"/>
      <c r="AE254" s="284"/>
    </row>
    <row r="255">
      <c r="A255" s="284"/>
      <c r="B255" s="284"/>
      <c r="C255" s="284"/>
      <c r="D255" s="284"/>
      <c r="E255" s="284"/>
      <c r="F255" s="284"/>
      <c r="G255" s="284"/>
      <c r="H255" s="284"/>
      <c r="I255" s="284"/>
      <c r="J255" s="284"/>
      <c r="K255" s="284"/>
      <c r="L255" s="284"/>
      <c r="M255" s="284"/>
      <c r="N255" s="284"/>
      <c r="O255" s="284"/>
      <c r="P255" s="284"/>
      <c r="Q255" s="284"/>
      <c r="R255" s="284"/>
      <c r="S255" s="284"/>
      <c r="T255" s="284"/>
      <c r="U255" s="284"/>
      <c r="V255" s="284"/>
      <c r="W255" s="284"/>
      <c r="X255" s="284"/>
      <c r="Y255" s="284"/>
      <c r="Z255" s="284"/>
      <c r="AA255" s="284"/>
      <c r="AB255" s="284"/>
      <c r="AC255" s="284"/>
      <c r="AD255" s="284"/>
      <c r="AE255" s="284"/>
    </row>
    <row r="256">
      <c r="A256" s="284"/>
      <c r="B256" s="284"/>
      <c r="C256" s="284"/>
      <c r="D256" s="284"/>
      <c r="E256" s="284"/>
      <c r="F256" s="284"/>
      <c r="G256" s="284"/>
      <c r="H256" s="284"/>
      <c r="I256" s="284"/>
      <c r="J256" s="284"/>
      <c r="K256" s="284"/>
      <c r="L256" s="284"/>
      <c r="M256" s="284"/>
      <c r="N256" s="284"/>
      <c r="O256" s="284"/>
      <c r="P256" s="284"/>
      <c r="Q256" s="284"/>
      <c r="R256" s="284"/>
      <c r="S256" s="284"/>
      <c r="T256" s="284"/>
      <c r="U256" s="284"/>
      <c r="V256" s="284"/>
      <c r="W256" s="284"/>
      <c r="X256" s="284"/>
      <c r="Y256" s="284"/>
      <c r="Z256" s="284"/>
      <c r="AA256" s="284"/>
      <c r="AB256" s="284"/>
      <c r="AC256" s="284"/>
      <c r="AD256" s="284"/>
      <c r="AE256" s="284"/>
    </row>
    <row r="257">
      <c r="A257" s="284"/>
      <c r="B257" s="284"/>
      <c r="C257" s="284"/>
      <c r="D257" s="284"/>
      <c r="E257" s="284"/>
      <c r="F257" s="284"/>
      <c r="G257" s="284"/>
      <c r="H257" s="284"/>
      <c r="I257" s="284"/>
      <c r="J257" s="284"/>
      <c r="K257" s="284"/>
      <c r="L257" s="284"/>
      <c r="M257" s="284"/>
      <c r="N257" s="284"/>
      <c r="O257" s="284"/>
      <c r="P257" s="284"/>
      <c r="Q257" s="284"/>
      <c r="R257" s="284"/>
      <c r="S257" s="284"/>
      <c r="T257" s="284"/>
      <c r="U257" s="284"/>
      <c r="V257" s="284"/>
      <c r="W257" s="284"/>
      <c r="X257" s="284"/>
      <c r="Y257" s="284"/>
      <c r="Z257" s="284"/>
      <c r="AA257" s="284"/>
      <c r="AB257" s="284"/>
      <c r="AC257" s="284"/>
      <c r="AD257" s="284"/>
      <c r="AE257" s="284"/>
    </row>
    <row r="258">
      <c r="A258" s="284"/>
      <c r="B258" s="284"/>
      <c r="C258" s="284"/>
      <c r="D258" s="284"/>
      <c r="E258" s="284"/>
      <c r="F258" s="284"/>
      <c r="G258" s="284"/>
      <c r="H258" s="284"/>
      <c r="I258" s="284"/>
      <c r="J258" s="284"/>
      <c r="K258" s="284"/>
      <c r="L258" s="284"/>
      <c r="M258" s="284"/>
      <c r="N258" s="284"/>
      <c r="O258" s="284"/>
      <c r="P258" s="284"/>
      <c r="Q258" s="284"/>
      <c r="R258" s="284"/>
      <c r="S258" s="284"/>
      <c r="T258" s="284"/>
      <c r="U258" s="284"/>
      <c r="V258" s="284"/>
      <c r="W258" s="284"/>
      <c r="X258" s="284"/>
      <c r="Y258" s="284"/>
      <c r="Z258" s="284"/>
      <c r="AA258" s="284"/>
      <c r="AB258" s="284"/>
      <c r="AC258" s="284"/>
      <c r="AD258" s="284"/>
      <c r="AE258" s="284"/>
    </row>
    <row r="259">
      <c r="A259" s="284"/>
      <c r="B259" s="284"/>
      <c r="C259" s="284"/>
      <c r="D259" s="284"/>
      <c r="E259" s="284"/>
      <c r="F259" s="284"/>
      <c r="G259" s="284"/>
      <c r="H259" s="284"/>
      <c r="I259" s="284"/>
      <c r="J259" s="284"/>
      <c r="K259" s="284"/>
      <c r="L259" s="284"/>
      <c r="M259" s="284"/>
      <c r="N259" s="284"/>
      <c r="O259" s="284"/>
      <c r="P259" s="284"/>
      <c r="Q259" s="284"/>
      <c r="R259" s="284"/>
      <c r="S259" s="284"/>
      <c r="T259" s="284"/>
      <c r="U259" s="284"/>
      <c r="V259" s="284"/>
      <c r="W259" s="284"/>
      <c r="X259" s="284"/>
      <c r="Y259" s="284"/>
      <c r="Z259" s="284"/>
      <c r="AA259" s="284"/>
      <c r="AB259" s="284"/>
      <c r="AC259" s="284"/>
      <c r="AD259" s="284"/>
      <c r="AE259" s="284"/>
    </row>
    <row r="260">
      <c r="A260" s="284"/>
      <c r="B260" s="284"/>
      <c r="C260" s="284"/>
      <c r="D260" s="284"/>
      <c r="E260" s="284"/>
      <c r="F260" s="284"/>
      <c r="G260" s="284"/>
      <c r="H260" s="284"/>
      <c r="I260" s="284"/>
      <c r="J260" s="284"/>
      <c r="K260" s="284"/>
      <c r="L260" s="284"/>
      <c r="M260" s="284"/>
      <c r="N260" s="284"/>
      <c r="O260" s="284"/>
      <c r="P260" s="284"/>
      <c r="Q260" s="284"/>
      <c r="R260" s="284"/>
      <c r="S260" s="284"/>
      <c r="T260" s="284"/>
      <c r="U260" s="284"/>
      <c r="V260" s="284"/>
      <c r="W260" s="284"/>
      <c r="X260" s="284"/>
      <c r="Y260" s="284"/>
      <c r="Z260" s="284"/>
      <c r="AA260" s="284"/>
      <c r="AB260" s="284"/>
      <c r="AC260" s="284"/>
      <c r="AD260" s="284"/>
      <c r="AE260" s="284"/>
    </row>
    <row r="261">
      <c r="A261" s="284"/>
      <c r="B261" s="284"/>
      <c r="C261" s="284"/>
      <c r="D261" s="284"/>
      <c r="E261" s="284"/>
      <c r="F261" s="284"/>
      <c r="G261" s="284"/>
      <c r="H261" s="284"/>
      <c r="I261" s="284"/>
      <c r="J261" s="284"/>
      <c r="K261" s="284"/>
      <c r="L261" s="284"/>
      <c r="M261" s="284"/>
      <c r="N261" s="284"/>
      <c r="O261" s="284"/>
      <c r="P261" s="284"/>
      <c r="Q261" s="284"/>
      <c r="R261" s="284"/>
      <c r="S261" s="284"/>
      <c r="T261" s="284"/>
      <c r="U261" s="284"/>
      <c r="V261" s="284"/>
      <c r="W261" s="284"/>
      <c r="X261" s="284"/>
      <c r="Y261" s="284"/>
      <c r="Z261" s="284"/>
      <c r="AA261" s="284"/>
      <c r="AB261" s="284"/>
      <c r="AC261" s="284"/>
      <c r="AD261" s="284"/>
      <c r="AE261" s="284"/>
    </row>
    <row r="262">
      <c r="A262" s="284"/>
      <c r="B262" s="284"/>
      <c r="C262" s="284"/>
      <c r="D262" s="284"/>
      <c r="E262" s="284"/>
      <c r="F262" s="284"/>
      <c r="G262" s="284"/>
      <c r="H262" s="284"/>
      <c r="I262" s="284"/>
      <c r="J262" s="284"/>
      <c r="K262" s="284"/>
      <c r="L262" s="284"/>
      <c r="M262" s="284"/>
      <c r="N262" s="284"/>
      <c r="O262" s="284"/>
      <c r="P262" s="284"/>
      <c r="Q262" s="284"/>
      <c r="R262" s="284"/>
      <c r="S262" s="284"/>
      <c r="T262" s="284"/>
      <c r="U262" s="284"/>
      <c r="V262" s="284"/>
      <c r="W262" s="284"/>
      <c r="X262" s="284"/>
      <c r="Y262" s="284"/>
      <c r="Z262" s="284"/>
      <c r="AA262" s="284"/>
      <c r="AB262" s="284"/>
      <c r="AC262" s="284"/>
      <c r="AD262" s="284"/>
      <c r="AE262" s="284"/>
    </row>
    <row r="263">
      <c r="A263" s="284"/>
      <c r="B263" s="284"/>
      <c r="C263" s="284"/>
      <c r="D263" s="284"/>
      <c r="E263" s="284"/>
      <c r="F263" s="284"/>
      <c r="G263" s="284"/>
      <c r="H263" s="284"/>
      <c r="I263" s="284"/>
      <c r="J263" s="284"/>
      <c r="K263" s="284"/>
      <c r="L263" s="284"/>
      <c r="M263" s="284"/>
      <c r="N263" s="284"/>
      <c r="O263" s="284"/>
      <c r="P263" s="284"/>
      <c r="Q263" s="284"/>
      <c r="R263" s="284"/>
      <c r="S263" s="284"/>
      <c r="T263" s="284"/>
      <c r="U263" s="284"/>
      <c r="V263" s="284"/>
      <c r="W263" s="284"/>
      <c r="X263" s="284"/>
      <c r="Y263" s="284"/>
      <c r="Z263" s="284"/>
      <c r="AA263" s="284"/>
      <c r="AB263" s="284"/>
      <c r="AC263" s="284"/>
      <c r="AD263" s="284"/>
      <c r="AE263" s="284"/>
    </row>
    <row r="264">
      <c r="A264" s="284"/>
      <c r="B264" s="284"/>
      <c r="C264" s="284"/>
      <c r="D264" s="284"/>
      <c r="E264" s="284"/>
      <c r="F264" s="284"/>
      <c r="G264" s="284"/>
      <c r="H264" s="284"/>
      <c r="I264" s="284"/>
      <c r="J264" s="284"/>
      <c r="K264" s="284"/>
      <c r="L264" s="284"/>
      <c r="M264" s="284"/>
      <c r="N264" s="284"/>
      <c r="O264" s="284"/>
      <c r="P264" s="284"/>
      <c r="Q264" s="284"/>
      <c r="R264" s="284"/>
      <c r="S264" s="284"/>
      <c r="T264" s="284"/>
      <c r="U264" s="284"/>
      <c r="V264" s="284"/>
      <c r="W264" s="284"/>
      <c r="X264" s="284"/>
      <c r="Y264" s="284"/>
      <c r="Z264" s="284"/>
      <c r="AA264" s="284"/>
      <c r="AB264" s="284"/>
      <c r="AC264" s="284"/>
      <c r="AD264" s="284"/>
      <c r="AE264" s="284"/>
    </row>
    <row r="265">
      <c r="A265" s="284"/>
      <c r="B265" s="284"/>
      <c r="C265" s="284"/>
      <c r="D265" s="284"/>
      <c r="E265" s="284"/>
      <c r="F265" s="284"/>
      <c r="G265" s="284"/>
      <c r="H265" s="284"/>
      <c r="I265" s="284"/>
      <c r="J265" s="284"/>
      <c r="K265" s="284"/>
      <c r="L265" s="284"/>
      <c r="M265" s="284"/>
      <c r="N265" s="284"/>
      <c r="O265" s="284"/>
      <c r="P265" s="284"/>
      <c r="Q265" s="284"/>
      <c r="R265" s="284"/>
      <c r="S265" s="284"/>
      <c r="T265" s="284"/>
      <c r="U265" s="284"/>
      <c r="V265" s="284"/>
      <c r="W265" s="284"/>
      <c r="X265" s="284"/>
      <c r="Y265" s="284"/>
      <c r="Z265" s="284"/>
      <c r="AA265" s="284"/>
      <c r="AB265" s="284"/>
      <c r="AC265" s="284"/>
      <c r="AD265" s="284"/>
      <c r="AE265" s="284"/>
    </row>
    <row r="266">
      <c r="A266" s="284"/>
      <c r="B266" s="284"/>
      <c r="C266" s="284"/>
      <c r="D266" s="284"/>
      <c r="E266" s="284"/>
      <c r="F266" s="284"/>
      <c r="G266" s="284"/>
      <c r="H266" s="284"/>
      <c r="I266" s="284"/>
      <c r="J266" s="284"/>
      <c r="K266" s="284"/>
      <c r="L266" s="284"/>
      <c r="M266" s="284"/>
      <c r="N266" s="284"/>
      <c r="O266" s="284"/>
      <c r="P266" s="284"/>
      <c r="Q266" s="284"/>
      <c r="R266" s="284"/>
      <c r="S266" s="284"/>
      <c r="T266" s="284"/>
      <c r="U266" s="284"/>
      <c r="V266" s="284"/>
      <c r="W266" s="284"/>
      <c r="X266" s="284"/>
      <c r="Y266" s="284"/>
      <c r="Z266" s="284"/>
      <c r="AA266" s="284"/>
      <c r="AB266" s="284"/>
      <c r="AC266" s="284"/>
      <c r="AD266" s="284"/>
      <c r="AE266" s="284"/>
    </row>
    <row r="267">
      <c r="A267" s="284"/>
      <c r="B267" s="284"/>
      <c r="C267" s="284"/>
      <c r="D267" s="284"/>
      <c r="E267" s="284"/>
      <c r="F267" s="284"/>
      <c r="G267" s="284"/>
      <c r="H267" s="284"/>
      <c r="I267" s="284"/>
      <c r="J267" s="284"/>
      <c r="K267" s="284"/>
      <c r="L267" s="284"/>
      <c r="M267" s="284"/>
      <c r="N267" s="284"/>
      <c r="O267" s="284"/>
      <c r="P267" s="284"/>
      <c r="Q267" s="284"/>
      <c r="R267" s="284"/>
      <c r="S267" s="284"/>
      <c r="T267" s="284"/>
      <c r="U267" s="284"/>
      <c r="V267" s="284"/>
      <c r="W267" s="284"/>
      <c r="X267" s="284"/>
      <c r="Y267" s="284"/>
      <c r="Z267" s="284"/>
      <c r="AA267" s="284"/>
      <c r="AB267" s="284"/>
      <c r="AC267" s="284"/>
      <c r="AD267" s="284"/>
      <c r="AE267" s="284"/>
    </row>
    <row r="268">
      <c r="A268" s="284"/>
      <c r="B268" s="284"/>
      <c r="C268" s="284"/>
      <c r="D268" s="284"/>
      <c r="E268" s="284"/>
      <c r="F268" s="284"/>
      <c r="G268" s="284"/>
      <c r="H268" s="284"/>
      <c r="I268" s="284"/>
      <c r="J268" s="284"/>
      <c r="K268" s="284"/>
      <c r="L268" s="284"/>
      <c r="M268" s="284"/>
      <c r="N268" s="284"/>
      <c r="O268" s="284"/>
      <c r="P268" s="284"/>
      <c r="Q268" s="284"/>
      <c r="R268" s="284"/>
      <c r="S268" s="284"/>
      <c r="T268" s="284"/>
      <c r="U268" s="284"/>
      <c r="V268" s="284"/>
      <c r="W268" s="284"/>
      <c r="X268" s="284"/>
      <c r="Y268" s="284"/>
      <c r="Z268" s="284"/>
      <c r="AA268" s="284"/>
      <c r="AB268" s="284"/>
      <c r="AC268" s="284"/>
      <c r="AD268" s="284"/>
      <c r="AE268" s="284"/>
    </row>
    <row r="269">
      <c r="A269" s="284"/>
      <c r="B269" s="284"/>
      <c r="C269" s="284"/>
      <c r="D269" s="284"/>
      <c r="E269" s="284"/>
      <c r="F269" s="284"/>
      <c r="G269" s="284"/>
      <c r="H269" s="284"/>
      <c r="I269" s="284"/>
      <c r="J269" s="284"/>
      <c r="K269" s="284"/>
      <c r="L269" s="284"/>
      <c r="M269" s="284"/>
      <c r="N269" s="284"/>
      <c r="O269" s="284"/>
      <c r="P269" s="284"/>
      <c r="Q269" s="284"/>
      <c r="R269" s="284"/>
      <c r="S269" s="284"/>
      <c r="T269" s="284"/>
      <c r="U269" s="284"/>
      <c r="V269" s="284"/>
      <c r="W269" s="284"/>
      <c r="X269" s="284"/>
      <c r="Y269" s="284"/>
      <c r="Z269" s="284"/>
      <c r="AA269" s="284"/>
      <c r="AB269" s="284"/>
      <c r="AC269" s="284"/>
      <c r="AD269" s="284"/>
      <c r="AE269" s="284"/>
    </row>
    <row r="270">
      <c r="A270" s="284"/>
      <c r="B270" s="284"/>
      <c r="C270" s="284"/>
      <c r="D270" s="284"/>
      <c r="E270" s="284"/>
      <c r="F270" s="284"/>
      <c r="G270" s="284"/>
      <c r="H270" s="284"/>
      <c r="I270" s="284"/>
      <c r="J270" s="284"/>
      <c r="K270" s="284"/>
      <c r="L270" s="284"/>
      <c r="M270" s="284"/>
      <c r="N270" s="284"/>
      <c r="O270" s="284"/>
      <c r="P270" s="284"/>
      <c r="Q270" s="284"/>
      <c r="R270" s="284"/>
      <c r="S270" s="284"/>
      <c r="T270" s="284"/>
      <c r="U270" s="284"/>
      <c r="V270" s="284"/>
      <c r="W270" s="284"/>
      <c r="X270" s="284"/>
      <c r="Y270" s="284"/>
      <c r="Z270" s="284"/>
      <c r="AA270" s="284"/>
      <c r="AB270" s="284"/>
      <c r="AC270" s="284"/>
      <c r="AD270" s="284"/>
      <c r="AE270" s="284"/>
    </row>
    <row r="271">
      <c r="A271" s="284"/>
      <c r="B271" s="284"/>
      <c r="C271" s="284"/>
      <c r="D271" s="284"/>
      <c r="E271" s="284"/>
      <c r="F271" s="284"/>
      <c r="G271" s="284"/>
      <c r="H271" s="284"/>
      <c r="I271" s="284"/>
      <c r="J271" s="284"/>
      <c r="K271" s="284"/>
      <c r="L271" s="284"/>
      <c r="M271" s="284"/>
      <c r="N271" s="284"/>
      <c r="O271" s="284"/>
      <c r="P271" s="284"/>
      <c r="Q271" s="284"/>
      <c r="R271" s="284"/>
      <c r="S271" s="284"/>
      <c r="T271" s="284"/>
      <c r="U271" s="284"/>
      <c r="V271" s="284"/>
      <c r="W271" s="284"/>
      <c r="X271" s="284"/>
      <c r="Y271" s="284"/>
      <c r="Z271" s="284"/>
      <c r="AA271" s="284"/>
      <c r="AB271" s="284"/>
      <c r="AC271" s="284"/>
      <c r="AD271" s="284"/>
      <c r="AE271" s="284"/>
    </row>
    <row r="272">
      <c r="A272" s="284"/>
      <c r="B272" s="284"/>
      <c r="C272" s="284"/>
      <c r="D272" s="284"/>
      <c r="E272" s="284"/>
      <c r="F272" s="284"/>
      <c r="G272" s="284"/>
      <c r="H272" s="284"/>
      <c r="I272" s="284"/>
      <c r="J272" s="284"/>
      <c r="K272" s="284"/>
      <c r="L272" s="284"/>
      <c r="M272" s="284"/>
      <c r="N272" s="284"/>
      <c r="O272" s="284"/>
      <c r="P272" s="284"/>
      <c r="Q272" s="284"/>
      <c r="R272" s="284"/>
      <c r="S272" s="284"/>
      <c r="T272" s="284"/>
      <c r="U272" s="284"/>
      <c r="V272" s="284"/>
      <c r="W272" s="284"/>
      <c r="X272" s="284"/>
      <c r="Y272" s="284"/>
      <c r="Z272" s="284"/>
      <c r="AA272" s="284"/>
      <c r="AB272" s="284"/>
      <c r="AC272" s="284"/>
      <c r="AD272" s="284"/>
      <c r="AE272" s="284"/>
    </row>
    <row r="273">
      <c r="A273" s="284"/>
      <c r="B273" s="284"/>
      <c r="C273" s="284"/>
      <c r="D273" s="284"/>
      <c r="E273" s="284"/>
      <c r="F273" s="284"/>
      <c r="G273" s="284"/>
      <c r="H273" s="284"/>
      <c r="I273" s="284"/>
      <c r="J273" s="284"/>
      <c r="K273" s="284"/>
      <c r="L273" s="284"/>
      <c r="M273" s="284"/>
      <c r="N273" s="284"/>
      <c r="O273" s="284"/>
      <c r="P273" s="284"/>
      <c r="Q273" s="284"/>
      <c r="R273" s="284"/>
      <c r="S273" s="284"/>
      <c r="T273" s="284"/>
      <c r="U273" s="284"/>
      <c r="V273" s="284"/>
      <c r="W273" s="284"/>
      <c r="X273" s="284"/>
      <c r="Y273" s="284"/>
      <c r="Z273" s="284"/>
      <c r="AA273" s="284"/>
      <c r="AB273" s="284"/>
      <c r="AC273" s="284"/>
      <c r="AD273" s="284"/>
      <c r="AE273" s="284"/>
    </row>
    <row r="274">
      <c r="A274" s="28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row>
    <row r="275">
      <c r="A275" s="284"/>
      <c r="B275" s="284"/>
      <c r="C275" s="284"/>
      <c r="D275" s="284"/>
      <c r="E275" s="284"/>
      <c r="F275" s="284"/>
      <c r="G275" s="284"/>
      <c r="H275" s="284"/>
      <c r="I275" s="284"/>
      <c r="J275" s="284"/>
      <c r="K275" s="284"/>
      <c r="L275" s="284"/>
      <c r="M275" s="284"/>
      <c r="N275" s="284"/>
      <c r="O275" s="284"/>
      <c r="P275" s="284"/>
      <c r="Q275" s="284"/>
      <c r="R275" s="284"/>
      <c r="S275" s="284"/>
      <c r="T275" s="284"/>
      <c r="U275" s="284"/>
      <c r="V275" s="284"/>
      <c r="W275" s="284"/>
      <c r="X275" s="284"/>
      <c r="Y275" s="284"/>
      <c r="Z275" s="284"/>
      <c r="AA275" s="284"/>
      <c r="AB275" s="284"/>
      <c r="AC275" s="284"/>
      <c r="AD275" s="284"/>
      <c r="AE275" s="284"/>
    </row>
    <row r="276">
      <c r="A276" s="28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row>
    <row r="277">
      <c r="A277" s="28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row>
    <row r="278">
      <c r="A278" s="28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row>
    <row r="279">
      <c r="A279" s="284"/>
      <c r="B279" s="284"/>
      <c r="C279" s="284"/>
      <c r="D279" s="284"/>
      <c r="E279" s="284"/>
      <c r="F279" s="284"/>
      <c r="G279" s="284"/>
      <c r="H279" s="284"/>
      <c r="I279" s="284"/>
      <c r="J279" s="284"/>
      <c r="K279" s="284"/>
      <c r="L279" s="284"/>
      <c r="M279" s="284"/>
      <c r="N279" s="284"/>
      <c r="O279" s="284"/>
      <c r="P279" s="284"/>
      <c r="Q279" s="284"/>
      <c r="R279" s="284"/>
      <c r="S279" s="284"/>
      <c r="T279" s="284"/>
      <c r="U279" s="284"/>
      <c r="V279" s="284"/>
      <c r="W279" s="284"/>
      <c r="X279" s="284"/>
      <c r="Y279" s="284"/>
      <c r="Z279" s="284"/>
      <c r="AA279" s="284"/>
      <c r="AB279" s="284"/>
      <c r="AC279" s="284"/>
      <c r="AD279" s="284"/>
      <c r="AE279" s="284"/>
    </row>
    <row r="280">
      <c r="A280" s="284"/>
      <c r="B280" s="284"/>
      <c r="C280" s="284"/>
      <c r="D280" s="284"/>
      <c r="E280" s="284"/>
      <c r="F280" s="284"/>
      <c r="G280" s="284"/>
      <c r="H280" s="284"/>
      <c r="I280" s="284"/>
      <c r="J280" s="284"/>
      <c r="K280" s="284"/>
      <c r="L280" s="284"/>
      <c r="M280" s="284"/>
      <c r="N280" s="284"/>
      <c r="O280" s="284"/>
      <c r="P280" s="284"/>
      <c r="Q280" s="284"/>
      <c r="R280" s="284"/>
      <c r="S280" s="284"/>
      <c r="T280" s="284"/>
      <c r="U280" s="284"/>
      <c r="V280" s="284"/>
      <c r="W280" s="284"/>
      <c r="X280" s="284"/>
      <c r="Y280" s="284"/>
      <c r="Z280" s="284"/>
      <c r="AA280" s="284"/>
      <c r="AB280" s="284"/>
      <c r="AC280" s="284"/>
      <c r="AD280" s="284"/>
      <c r="AE280" s="284"/>
    </row>
    <row r="281">
      <c r="A281" s="284"/>
      <c r="B281" s="284"/>
      <c r="C281" s="284"/>
      <c r="D281" s="284"/>
      <c r="E281" s="284"/>
      <c r="F281" s="284"/>
      <c r="G281" s="284"/>
      <c r="H281" s="284"/>
      <c r="I281" s="284"/>
      <c r="J281" s="284"/>
      <c r="K281" s="284"/>
      <c r="L281" s="284"/>
      <c r="M281" s="284"/>
      <c r="N281" s="284"/>
      <c r="O281" s="284"/>
      <c r="P281" s="284"/>
      <c r="Q281" s="284"/>
      <c r="R281" s="284"/>
      <c r="S281" s="284"/>
      <c r="T281" s="284"/>
      <c r="U281" s="284"/>
      <c r="V281" s="284"/>
      <c r="W281" s="284"/>
      <c r="X281" s="284"/>
      <c r="Y281" s="284"/>
      <c r="Z281" s="284"/>
      <c r="AA281" s="284"/>
      <c r="AB281" s="284"/>
      <c r="AC281" s="284"/>
      <c r="AD281" s="284"/>
      <c r="AE281" s="284"/>
    </row>
    <row r="282">
      <c r="A282" s="284"/>
      <c r="B282" s="284"/>
      <c r="C282" s="284"/>
      <c r="D282" s="284"/>
      <c r="E282" s="284"/>
      <c r="F282" s="284"/>
      <c r="G282" s="284"/>
      <c r="H282" s="284"/>
      <c r="I282" s="284"/>
      <c r="J282" s="284"/>
      <c r="K282" s="284"/>
      <c r="L282" s="284"/>
      <c r="M282" s="284"/>
      <c r="N282" s="284"/>
      <c r="O282" s="284"/>
      <c r="P282" s="284"/>
      <c r="Q282" s="284"/>
      <c r="R282" s="284"/>
      <c r="S282" s="284"/>
      <c r="T282" s="284"/>
      <c r="U282" s="284"/>
      <c r="V282" s="284"/>
      <c r="W282" s="284"/>
      <c r="X282" s="284"/>
      <c r="Y282" s="284"/>
      <c r="Z282" s="284"/>
      <c r="AA282" s="284"/>
      <c r="AB282" s="284"/>
      <c r="AC282" s="284"/>
      <c r="AD282" s="284"/>
      <c r="AE282" s="284"/>
    </row>
    <row r="283">
      <c r="A283" s="284"/>
      <c r="B283" s="284"/>
      <c r="C283" s="284"/>
      <c r="D283" s="284"/>
      <c r="E283" s="284"/>
      <c r="F283" s="284"/>
      <c r="G283" s="284"/>
      <c r="H283" s="284"/>
      <c r="I283" s="284"/>
      <c r="J283" s="284"/>
      <c r="K283" s="284"/>
      <c r="L283" s="284"/>
      <c r="M283" s="284"/>
      <c r="N283" s="284"/>
      <c r="O283" s="284"/>
      <c r="P283" s="284"/>
      <c r="Q283" s="284"/>
      <c r="R283" s="284"/>
      <c r="S283" s="284"/>
      <c r="T283" s="284"/>
      <c r="U283" s="284"/>
      <c r="V283" s="284"/>
      <c r="W283" s="284"/>
      <c r="X283" s="284"/>
      <c r="Y283" s="284"/>
      <c r="Z283" s="284"/>
      <c r="AA283" s="284"/>
      <c r="AB283" s="284"/>
      <c r="AC283" s="284"/>
      <c r="AD283" s="284"/>
      <c r="AE283" s="284"/>
    </row>
    <row r="284">
      <c r="A284" s="284"/>
      <c r="B284" s="284"/>
      <c r="C284" s="284"/>
      <c r="D284" s="284"/>
      <c r="E284" s="284"/>
      <c r="F284" s="284"/>
      <c r="G284" s="284"/>
      <c r="H284" s="284"/>
      <c r="I284" s="284"/>
      <c r="J284" s="284"/>
      <c r="K284" s="284"/>
      <c r="L284" s="284"/>
      <c r="M284" s="284"/>
      <c r="N284" s="284"/>
      <c r="O284" s="284"/>
      <c r="P284" s="284"/>
      <c r="Q284" s="284"/>
      <c r="R284" s="284"/>
      <c r="S284" s="284"/>
      <c r="T284" s="284"/>
      <c r="U284" s="284"/>
      <c r="V284" s="284"/>
      <c r="W284" s="284"/>
      <c r="X284" s="284"/>
      <c r="Y284" s="284"/>
      <c r="Z284" s="284"/>
      <c r="AA284" s="284"/>
      <c r="AB284" s="284"/>
      <c r="AC284" s="284"/>
      <c r="AD284" s="284"/>
      <c r="AE284" s="284"/>
    </row>
    <row r="285">
      <c r="A285" s="284"/>
      <c r="B285" s="284"/>
      <c r="C285" s="284"/>
      <c r="D285" s="284"/>
      <c r="E285" s="284"/>
      <c r="F285" s="284"/>
      <c r="G285" s="284"/>
      <c r="H285" s="284"/>
      <c r="I285" s="284"/>
      <c r="J285" s="284"/>
      <c r="K285" s="284"/>
      <c r="L285" s="284"/>
      <c r="M285" s="284"/>
      <c r="N285" s="284"/>
      <c r="O285" s="284"/>
      <c r="P285" s="284"/>
      <c r="Q285" s="284"/>
      <c r="R285" s="284"/>
      <c r="S285" s="284"/>
      <c r="T285" s="284"/>
      <c r="U285" s="284"/>
      <c r="V285" s="284"/>
      <c r="W285" s="284"/>
      <c r="X285" s="284"/>
      <c r="Y285" s="284"/>
      <c r="Z285" s="284"/>
      <c r="AA285" s="284"/>
      <c r="AB285" s="284"/>
      <c r="AC285" s="284"/>
      <c r="AD285" s="284"/>
      <c r="AE285" s="284"/>
    </row>
    <row r="286">
      <c r="A286" s="284"/>
      <c r="B286" s="284"/>
      <c r="C286" s="284"/>
      <c r="D286" s="284"/>
      <c r="E286" s="284"/>
      <c r="F286" s="284"/>
      <c r="G286" s="284"/>
      <c r="H286" s="284"/>
      <c r="I286" s="284"/>
      <c r="J286" s="284"/>
      <c r="K286" s="284"/>
      <c r="L286" s="284"/>
      <c r="M286" s="284"/>
      <c r="N286" s="284"/>
      <c r="O286" s="284"/>
      <c r="P286" s="284"/>
      <c r="Q286" s="284"/>
      <c r="R286" s="284"/>
      <c r="S286" s="284"/>
      <c r="T286" s="284"/>
      <c r="U286" s="284"/>
      <c r="V286" s="284"/>
      <c r="W286" s="284"/>
      <c r="X286" s="284"/>
      <c r="Y286" s="284"/>
      <c r="Z286" s="284"/>
      <c r="AA286" s="284"/>
      <c r="AB286" s="284"/>
      <c r="AC286" s="284"/>
      <c r="AD286" s="284"/>
      <c r="AE286" s="284"/>
    </row>
    <row r="287">
      <c r="A287" s="284"/>
      <c r="B287" s="284"/>
      <c r="C287" s="284"/>
      <c r="D287" s="284"/>
      <c r="E287" s="284"/>
      <c r="F287" s="284"/>
      <c r="G287" s="284"/>
      <c r="H287" s="284"/>
      <c r="I287" s="284"/>
      <c r="J287" s="284"/>
      <c r="K287" s="284"/>
      <c r="L287" s="284"/>
      <c r="M287" s="284"/>
      <c r="N287" s="284"/>
      <c r="O287" s="284"/>
      <c r="P287" s="284"/>
      <c r="Q287" s="284"/>
      <c r="R287" s="284"/>
      <c r="S287" s="284"/>
      <c r="T287" s="284"/>
      <c r="U287" s="284"/>
      <c r="V287" s="284"/>
      <c r="W287" s="284"/>
      <c r="X287" s="284"/>
      <c r="Y287" s="284"/>
      <c r="Z287" s="284"/>
      <c r="AA287" s="284"/>
      <c r="AB287" s="284"/>
      <c r="AC287" s="284"/>
      <c r="AD287" s="284"/>
      <c r="AE287" s="284"/>
    </row>
    <row r="288">
      <c r="A288" s="284"/>
      <c r="B288" s="284"/>
      <c r="C288" s="284"/>
      <c r="D288" s="284"/>
      <c r="E288" s="284"/>
      <c r="F288" s="284"/>
      <c r="G288" s="284"/>
      <c r="H288" s="284"/>
      <c r="I288" s="284"/>
      <c r="J288" s="284"/>
      <c r="K288" s="284"/>
      <c r="L288" s="284"/>
      <c r="M288" s="284"/>
      <c r="N288" s="284"/>
      <c r="O288" s="284"/>
      <c r="P288" s="284"/>
      <c r="Q288" s="284"/>
      <c r="R288" s="284"/>
      <c r="S288" s="284"/>
      <c r="T288" s="284"/>
      <c r="U288" s="284"/>
      <c r="V288" s="284"/>
      <c r="W288" s="284"/>
      <c r="X288" s="284"/>
      <c r="Y288" s="284"/>
      <c r="Z288" s="284"/>
      <c r="AA288" s="284"/>
      <c r="AB288" s="284"/>
      <c r="AC288" s="284"/>
      <c r="AD288" s="284"/>
      <c r="AE288" s="284"/>
    </row>
    <row r="289">
      <c r="A289" s="284"/>
      <c r="B289" s="284"/>
      <c r="C289" s="284"/>
      <c r="D289" s="284"/>
      <c r="E289" s="284"/>
      <c r="F289" s="284"/>
      <c r="G289" s="284"/>
      <c r="H289" s="284"/>
      <c r="I289" s="284"/>
      <c r="J289" s="284"/>
      <c r="K289" s="284"/>
      <c r="L289" s="284"/>
      <c r="M289" s="284"/>
      <c r="N289" s="284"/>
      <c r="O289" s="284"/>
      <c r="P289" s="284"/>
      <c r="Q289" s="284"/>
      <c r="R289" s="284"/>
      <c r="S289" s="284"/>
      <c r="T289" s="284"/>
      <c r="U289" s="284"/>
      <c r="V289" s="284"/>
      <c r="W289" s="284"/>
      <c r="X289" s="284"/>
      <c r="Y289" s="284"/>
      <c r="Z289" s="284"/>
      <c r="AA289" s="284"/>
      <c r="AB289" s="284"/>
      <c r="AC289" s="284"/>
      <c r="AD289" s="284"/>
      <c r="AE289" s="284"/>
    </row>
    <row r="290">
      <c r="A290" s="284"/>
      <c r="B290" s="284"/>
      <c r="C290" s="284"/>
      <c r="D290" s="284"/>
      <c r="E290" s="284"/>
      <c r="F290" s="284"/>
      <c r="G290" s="284"/>
      <c r="H290" s="284"/>
      <c r="I290" s="284"/>
      <c r="J290" s="284"/>
      <c r="K290" s="284"/>
      <c r="L290" s="284"/>
      <c r="M290" s="284"/>
      <c r="N290" s="284"/>
      <c r="O290" s="284"/>
      <c r="P290" s="284"/>
      <c r="Q290" s="284"/>
      <c r="R290" s="284"/>
      <c r="S290" s="284"/>
      <c r="T290" s="284"/>
      <c r="U290" s="284"/>
      <c r="V290" s="284"/>
      <c r="W290" s="284"/>
      <c r="X290" s="284"/>
      <c r="Y290" s="284"/>
      <c r="Z290" s="284"/>
      <c r="AA290" s="284"/>
      <c r="AB290" s="284"/>
      <c r="AC290" s="284"/>
      <c r="AD290" s="284"/>
      <c r="AE290" s="284"/>
    </row>
    <row r="291">
      <c r="A291" s="284"/>
      <c r="B291" s="284"/>
      <c r="C291" s="284"/>
      <c r="D291" s="284"/>
      <c r="E291" s="284"/>
      <c r="F291" s="284"/>
      <c r="G291" s="284"/>
      <c r="H291" s="284"/>
      <c r="I291" s="284"/>
      <c r="J291" s="284"/>
      <c r="K291" s="284"/>
      <c r="L291" s="284"/>
      <c r="M291" s="284"/>
      <c r="N291" s="284"/>
      <c r="O291" s="284"/>
      <c r="P291" s="284"/>
      <c r="Q291" s="284"/>
      <c r="R291" s="284"/>
      <c r="S291" s="284"/>
      <c r="T291" s="284"/>
      <c r="U291" s="284"/>
      <c r="V291" s="284"/>
      <c r="W291" s="284"/>
      <c r="X291" s="284"/>
      <c r="Y291" s="284"/>
      <c r="Z291" s="284"/>
      <c r="AA291" s="284"/>
      <c r="AB291" s="284"/>
      <c r="AC291" s="284"/>
      <c r="AD291" s="284"/>
      <c r="AE291" s="284"/>
    </row>
    <row r="292">
      <c r="A292" s="284"/>
      <c r="B292" s="284"/>
      <c r="C292" s="284"/>
      <c r="D292" s="284"/>
      <c r="E292" s="284"/>
      <c r="F292" s="284"/>
      <c r="G292" s="284"/>
      <c r="H292" s="284"/>
      <c r="I292" s="284"/>
      <c r="J292" s="284"/>
      <c r="K292" s="284"/>
      <c r="L292" s="284"/>
      <c r="M292" s="284"/>
      <c r="N292" s="284"/>
      <c r="O292" s="284"/>
      <c r="P292" s="284"/>
      <c r="Q292" s="284"/>
      <c r="R292" s="284"/>
      <c r="S292" s="284"/>
      <c r="T292" s="284"/>
      <c r="U292" s="284"/>
      <c r="V292" s="284"/>
      <c r="W292" s="284"/>
      <c r="X292" s="284"/>
      <c r="Y292" s="284"/>
      <c r="Z292" s="284"/>
      <c r="AA292" s="284"/>
      <c r="AB292" s="284"/>
      <c r="AC292" s="284"/>
      <c r="AD292" s="284"/>
      <c r="AE292" s="284"/>
    </row>
    <row r="293">
      <c r="A293" s="284"/>
      <c r="B293" s="284"/>
      <c r="C293" s="284"/>
      <c r="D293" s="284"/>
      <c r="E293" s="284"/>
      <c r="F293" s="284"/>
      <c r="G293" s="284"/>
      <c r="H293" s="284"/>
      <c r="I293" s="284"/>
      <c r="J293" s="284"/>
      <c r="K293" s="284"/>
      <c r="L293" s="284"/>
      <c r="M293" s="284"/>
      <c r="N293" s="284"/>
      <c r="O293" s="284"/>
      <c r="P293" s="284"/>
      <c r="Q293" s="284"/>
      <c r="R293" s="284"/>
      <c r="S293" s="284"/>
      <c r="T293" s="284"/>
      <c r="U293" s="284"/>
      <c r="V293" s="284"/>
      <c r="W293" s="284"/>
      <c r="X293" s="284"/>
      <c r="Y293" s="284"/>
      <c r="Z293" s="284"/>
      <c r="AA293" s="284"/>
      <c r="AB293" s="284"/>
      <c r="AC293" s="284"/>
      <c r="AD293" s="284"/>
      <c r="AE293" s="284"/>
    </row>
    <row r="294">
      <c r="A294" s="284"/>
      <c r="B294" s="284"/>
      <c r="C294" s="284"/>
      <c r="D294" s="284"/>
      <c r="E294" s="284"/>
      <c r="F294" s="284"/>
      <c r="G294" s="284"/>
      <c r="H294" s="284"/>
      <c r="I294" s="284"/>
      <c r="J294" s="284"/>
      <c r="K294" s="284"/>
      <c r="L294" s="284"/>
      <c r="M294" s="284"/>
      <c r="N294" s="284"/>
      <c r="O294" s="284"/>
      <c r="P294" s="284"/>
      <c r="Q294" s="284"/>
      <c r="R294" s="284"/>
      <c r="S294" s="284"/>
      <c r="T294" s="284"/>
      <c r="U294" s="284"/>
      <c r="V294" s="284"/>
      <c r="W294" s="284"/>
      <c r="X294" s="284"/>
      <c r="Y294" s="284"/>
      <c r="Z294" s="284"/>
      <c r="AA294" s="284"/>
      <c r="AB294" s="284"/>
      <c r="AC294" s="284"/>
      <c r="AD294" s="284"/>
      <c r="AE294" s="284"/>
    </row>
    <row r="295">
      <c r="A295" s="284"/>
      <c r="B295" s="284"/>
      <c r="C295" s="284"/>
      <c r="D295" s="284"/>
      <c r="E295" s="284"/>
      <c r="F295" s="284"/>
      <c r="G295" s="284"/>
      <c r="H295" s="284"/>
      <c r="I295" s="284"/>
      <c r="J295" s="284"/>
      <c r="K295" s="284"/>
      <c r="L295" s="284"/>
      <c r="M295" s="284"/>
      <c r="N295" s="284"/>
      <c r="O295" s="284"/>
      <c r="P295" s="284"/>
      <c r="Q295" s="284"/>
      <c r="R295" s="284"/>
      <c r="S295" s="284"/>
      <c r="T295" s="284"/>
      <c r="U295" s="284"/>
      <c r="V295" s="284"/>
      <c r="W295" s="284"/>
      <c r="X295" s="284"/>
      <c r="Y295" s="284"/>
      <c r="Z295" s="284"/>
      <c r="AA295" s="284"/>
      <c r="AB295" s="284"/>
      <c r="AC295" s="284"/>
      <c r="AD295" s="284"/>
      <c r="AE295" s="284"/>
    </row>
    <row r="296">
      <c r="A296" s="284"/>
      <c r="B296" s="284"/>
      <c r="C296" s="284"/>
      <c r="D296" s="284"/>
      <c r="E296" s="284"/>
      <c r="F296" s="284"/>
      <c r="G296" s="284"/>
      <c r="H296" s="284"/>
      <c r="I296" s="284"/>
      <c r="J296" s="284"/>
      <c r="K296" s="284"/>
      <c r="L296" s="284"/>
      <c r="M296" s="284"/>
      <c r="N296" s="284"/>
      <c r="O296" s="284"/>
      <c r="P296" s="284"/>
      <c r="Q296" s="284"/>
      <c r="R296" s="284"/>
      <c r="S296" s="284"/>
      <c r="T296" s="284"/>
      <c r="U296" s="284"/>
      <c r="V296" s="284"/>
      <c r="W296" s="284"/>
      <c r="X296" s="284"/>
      <c r="Y296" s="284"/>
      <c r="Z296" s="284"/>
      <c r="AA296" s="284"/>
      <c r="AB296" s="284"/>
      <c r="AC296" s="284"/>
      <c r="AD296" s="284"/>
      <c r="AE296" s="284"/>
    </row>
    <row r="297">
      <c r="A297" s="284"/>
      <c r="B297" s="284"/>
      <c r="C297" s="284"/>
      <c r="D297" s="284"/>
      <c r="E297" s="284"/>
      <c r="F297" s="284"/>
      <c r="G297" s="284"/>
      <c r="H297" s="284"/>
      <c r="I297" s="284"/>
      <c r="J297" s="284"/>
      <c r="K297" s="284"/>
      <c r="L297" s="284"/>
      <c r="M297" s="284"/>
      <c r="N297" s="284"/>
      <c r="O297" s="284"/>
      <c r="P297" s="284"/>
      <c r="Q297" s="284"/>
      <c r="R297" s="284"/>
      <c r="S297" s="284"/>
      <c r="T297" s="284"/>
      <c r="U297" s="284"/>
      <c r="V297" s="284"/>
      <c r="W297" s="284"/>
      <c r="X297" s="284"/>
      <c r="Y297" s="284"/>
      <c r="Z297" s="284"/>
      <c r="AA297" s="284"/>
      <c r="AB297" s="284"/>
      <c r="AC297" s="284"/>
      <c r="AD297" s="284"/>
      <c r="AE297" s="284"/>
    </row>
    <row r="298">
      <c r="A298" s="284"/>
      <c r="B298" s="284"/>
      <c r="C298" s="284"/>
      <c r="D298" s="284"/>
      <c r="E298" s="284"/>
      <c r="F298" s="284"/>
      <c r="G298" s="284"/>
      <c r="H298" s="284"/>
      <c r="I298" s="284"/>
      <c r="J298" s="284"/>
      <c r="K298" s="284"/>
      <c r="L298" s="284"/>
      <c r="M298" s="284"/>
      <c r="N298" s="284"/>
      <c r="O298" s="284"/>
      <c r="P298" s="284"/>
      <c r="Q298" s="284"/>
      <c r="R298" s="284"/>
      <c r="S298" s="284"/>
      <c r="T298" s="284"/>
      <c r="U298" s="284"/>
      <c r="V298" s="284"/>
      <c r="W298" s="284"/>
      <c r="X298" s="284"/>
      <c r="Y298" s="284"/>
      <c r="Z298" s="284"/>
      <c r="AA298" s="284"/>
      <c r="AB298" s="284"/>
      <c r="AC298" s="284"/>
      <c r="AD298" s="284"/>
      <c r="AE298" s="284"/>
    </row>
    <row r="299">
      <c r="A299" s="284"/>
      <c r="B299" s="284"/>
      <c r="C299" s="284"/>
      <c r="D299" s="284"/>
      <c r="E299" s="284"/>
      <c r="F299" s="284"/>
      <c r="G299" s="284"/>
      <c r="H299" s="284"/>
      <c r="I299" s="284"/>
      <c r="J299" s="284"/>
      <c r="K299" s="284"/>
      <c r="L299" s="284"/>
      <c r="M299" s="284"/>
      <c r="N299" s="284"/>
      <c r="O299" s="284"/>
      <c r="P299" s="284"/>
      <c r="Q299" s="284"/>
      <c r="R299" s="284"/>
      <c r="S299" s="284"/>
      <c r="T299" s="284"/>
      <c r="U299" s="284"/>
      <c r="V299" s="284"/>
      <c r="W299" s="284"/>
      <c r="X299" s="284"/>
      <c r="Y299" s="284"/>
      <c r="Z299" s="284"/>
      <c r="AA299" s="284"/>
      <c r="AB299" s="284"/>
      <c r="AC299" s="284"/>
      <c r="AD299" s="284"/>
      <c r="AE299" s="284"/>
    </row>
    <row r="300">
      <c r="A300" s="284"/>
      <c r="B300" s="284"/>
      <c r="C300" s="284"/>
      <c r="D300" s="284"/>
      <c r="E300" s="284"/>
      <c r="F300" s="284"/>
      <c r="G300" s="284"/>
      <c r="H300" s="284"/>
      <c r="I300" s="284"/>
      <c r="J300" s="284"/>
      <c r="K300" s="284"/>
      <c r="L300" s="284"/>
      <c r="M300" s="284"/>
      <c r="N300" s="284"/>
      <c r="O300" s="284"/>
      <c r="P300" s="284"/>
      <c r="Q300" s="284"/>
      <c r="R300" s="284"/>
      <c r="S300" s="284"/>
      <c r="T300" s="284"/>
      <c r="U300" s="284"/>
      <c r="V300" s="284"/>
      <c r="W300" s="284"/>
      <c r="X300" s="284"/>
      <c r="Y300" s="284"/>
      <c r="Z300" s="284"/>
      <c r="AA300" s="284"/>
      <c r="AB300" s="284"/>
      <c r="AC300" s="284"/>
      <c r="AD300" s="284"/>
      <c r="AE300" s="284"/>
    </row>
    <row r="301">
      <c r="A301" s="284"/>
      <c r="B301" s="284"/>
      <c r="C301" s="284"/>
      <c r="D301" s="284"/>
      <c r="E301" s="284"/>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row>
    <row r="302">
      <c r="A302" s="284"/>
      <c r="B302" s="284"/>
      <c r="C302" s="284"/>
      <c r="D302" s="284"/>
      <c r="E302" s="284"/>
      <c r="F302" s="284"/>
      <c r="G302" s="284"/>
      <c r="H302" s="284"/>
      <c r="I302" s="284"/>
      <c r="J302" s="284"/>
      <c r="K302" s="284"/>
      <c r="L302" s="284"/>
      <c r="M302" s="284"/>
      <c r="N302" s="284"/>
      <c r="O302" s="284"/>
      <c r="P302" s="284"/>
      <c r="Q302" s="284"/>
      <c r="R302" s="284"/>
      <c r="S302" s="284"/>
      <c r="T302" s="284"/>
      <c r="U302" s="284"/>
      <c r="V302" s="284"/>
      <c r="W302" s="284"/>
      <c r="X302" s="284"/>
      <c r="Y302" s="284"/>
      <c r="Z302" s="284"/>
      <c r="AA302" s="284"/>
      <c r="AB302" s="284"/>
      <c r="AC302" s="284"/>
      <c r="AD302" s="284"/>
      <c r="AE302" s="284"/>
    </row>
    <row r="303">
      <c r="A303" s="284"/>
      <c r="B303" s="284"/>
      <c r="C303" s="284"/>
      <c r="D303" s="284"/>
      <c r="E303" s="284"/>
      <c r="F303" s="284"/>
      <c r="G303" s="284"/>
      <c r="H303" s="284"/>
      <c r="I303" s="284"/>
      <c r="J303" s="284"/>
      <c r="K303" s="284"/>
      <c r="L303" s="284"/>
      <c r="M303" s="284"/>
      <c r="N303" s="284"/>
      <c r="O303" s="284"/>
      <c r="P303" s="284"/>
      <c r="Q303" s="284"/>
      <c r="R303" s="284"/>
      <c r="S303" s="284"/>
      <c r="T303" s="284"/>
      <c r="U303" s="284"/>
      <c r="V303" s="284"/>
      <c r="W303" s="284"/>
      <c r="X303" s="284"/>
      <c r="Y303" s="284"/>
      <c r="Z303" s="284"/>
      <c r="AA303" s="284"/>
      <c r="AB303" s="284"/>
      <c r="AC303" s="284"/>
      <c r="AD303" s="284"/>
      <c r="AE303" s="284"/>
    </row>
    <row r="304">
      <c r="A304" s="284"/>
      <c r="B304" s="284"/>
      <c r="C304" s="284"/>
      <c r="D304" s="284"/>
      <c r="E304" s="284"/>
      <c r="F304" s="284"/>
      <c r="G304" s="284"/>
      <c r="H304" s="284"/>
      <c r="I304" s="284"/>
      <c r="J304" s="284"/>
      <c r="K304" s="284"/>
      <c r="L304" s="284"/>
      <c r="M304" s="284"/>
      <c r="N304" s="284"/>
      <c r="O304" s="284"/>
      <c r="P304" s="284"/>
      <c r="Q304" s="284"/>
      <c r="R304" s="284"/>
      <c r="S304" s="284"/>
      <c r="T304" s="284"/>
      <c r="U304" s="284"/>
      <c r="V304" s="284"/>
      <c r="W304" s="284"/>
      <c r="X304" s="284"/>
      <c r="Y304" s="284"/>
      <c r="Z304" s="284"/>
      <c r="AA304" s="284"/>
      <c r="AB304" s="284"/>
      <c r="AC304" s="284"/>
      <c r="AD304" s="284"/>
      <c r="AE304" s="284"/>
    </row>
    <row r="305">
      <c r="A305" s="284"/>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row>
    <row r="306">
      <c r="A306" s="284"/>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row>
    <row r="307">
      <c r="A307" s="284"/>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row>
    <row r="308">
      <c r="A308" s="284"/>
      <c r="B308" s="284"/>
      <c r="C308" s="284"/>
      <c r="D308" s="284"/>
      <c r="E308" s="284"/>
      <c r="F308" s="284"/>
      <c r="G308" s="284"/>
      <c r="H308" s="284"/>
      <c r="I308" s="284"/>
      <c r="J308" s="284"/>
      <c r="K308" s="284"/>
      <c r="L308" s="284"/>
      <c r="M308" s="284"/>
      <c r="N308" s="284"/>
      <c r="O308" s="284"/>
      <c r="P308" s="284"/>
      <c r="Q308" s="284"/>
      <c r="R308" s="284"/>
      <c r="S308" s="284"/>
      <c r="T308" s="284"/>
      <c r="U308" s="284"/>
      <c r="V308" s="284"/>
      <c r="W308" s="284"/>
      <c r="X308" s="284"/>
      <c r="Y308" s="284"/>
      <c r="Z308" s="284"/>
      <c r="AA308" s="284"/>
      <c r="AB308" s="284"/>
      <c r="AC308" s="284"/>
      <c r="AD308" s="284"/>
      <c r="AE308" s="284"/>
    </row>
    <row r="309">
      <c r="A309" s="284"/>
      <c r="B309" s="284"/>
      <c r="C309" s="284"/>
      <c r="D309" s="284"/>
      <c r="E309" s="284"/>
      <c r="F309" s="284"/>
      <c r="G309" s="284"/>
      <c r="H309" s="284"/>
      <c r="I309" s="284"/>
      <c r="J309" s="284"/>
      <c r="K309" s="284"/>
      <c r="L309" s="284"/>
      <c r="M309" s="284"/>
      <c r="N309" s="284"/>
      <c r="O309" s="284"/>
      <c r="P309" s="284"/>
      <c r="Q309" s="284"/>
      <c r="R309" s="284"/>
      <c r="S309" s="284"/>
      <c r="T309" s="284"/>
      <c r="U309" s="284"/>
      <c r="V309" s="284"/>
      <c r="W309" s="284"/>
      <c r="X309" s="284"/>
      <c r="Y309" s="284"/>
      <c r="Z309" s="284"/>
      <c r="AA309" s="284"/>
      <c r="AB309" s="284"/>
      <c r="AC309" s="284"/>
      <c r="AD309" s="284"/>
      <c r="AE309" s="284"/>
    </row>
    <row r="310">
      <c r="A310" s="284"/>
      <c r="B310" s="284"/>
      <c r="C310" s="284"/>
      <c r="D310" s="284"/>
      <c r="E310" s="284"/>
      <c r="F310" s="284"/>
      <c r="G310" s="284"/>
      <c r="H310" s="284"/>
      <c r="I310" s="284"/>
      <c r="J310" s="284"/>
      <c r="K310" s="284"/>
      <c r="L310" s="284"/>
      <c r="M310" s="284"/>
      <c r="N310" s="284"/>
      <c r="O310" s="284"/>
      <c r="P310" s="284"/>
      <c r="Q310" s="284"/>
      <c r="R310" s="284"/>
      <c r="S310" s="284"/>
      <c r="T310" s="284"/>
      <c r="U310" s="284"/>
      <c r="V310" s="284"/>
      <c r="W310" s="284"/>
      <c r="X310" s="284"/>
      <c r="Y310" s="284"/>
      <c r="Z310" s="284"/>
      <c r="AA310" s="284"/>
      <c r="AB310" s="284"/>
      <c r="AC310" s="284"/>
      <c r="AD310" s="284"/>
      <c r="AE310" s="284"/>
    </row>
    <row r="311">
      <c r="A311" s="284"/>
      <c r="B311" s="284"/>
      <c r="C311" s="284"/>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row>
    <row r="312">
      <c r="A312" s="284"/>
      <c r="B312" s="284"/>
      <c r="C312" s="284"/>
      <c r="D312" s="284"/>
      <c r="E312" s="284"/>
      <c r="F312" s="284"/>
      <c r="G312" s="284"/>
      <c r="H312" s="284"/>
      <c r="I312" s="284"/>
      <c r="J312" s="284"/>
      <c r="K312" s="284"/>
      <c r="L312" s="284"/>
      <c r="M312" s="284"/>
      <c r="N312" s="284"/>
      <c r="O312" s="284"/>
      <c r="P312" s="284"/>
      <c r="Q312" s="284"/>
      <c r="R312" s="284"/>
      <c r="S312" s="284"/>
      <c r="T312" s="284"/>
      <c r="U312" s="284"/>
      <c r="V312" s="284"/>
      <c r="W312" s="284"/>
      <c r="X312" s="284"/>
      <c r="Y312" s="284"/>
      <c r="Z312" s="284"/>
      <c r="AA312" s="284"/>
      <c r="AB312" s="284"/>
      <c r="AC312" s="284"/>
      <c r="AD312" s="284"/>
      <c r="AE312" s="284"/>
    </row>
    <row r="313">
      <c r="A313" s="284"/>
      <c r="B313" s="284"/>
      <c r="C313" s="284"/>
      <c r="D313" s="284"/>
      <c r="E313" s="284"/>
      <c r="F313" s="284"/>
      <c r="G313" s="284"/>
      <c r="H313" s="284"/>
      <c r="I313" s="284"/>
      <c r="J313" s="284"/>
      <c r="K313" s="284"/>
      <c r="L313" s="284"/>
      <c r="M313" s="284"/>
      <c r="N313" s="284"/>
      <c r="O313" s="284"/>
      <c r="P313" s="284"/>
      <c r="Q313" s="284"/>
      <c r="R313" s="284"/>
      <c r="S313" s="284"/>
      <c r="T313" s="284"/>
      <c r="U313" s="284"/>
      <c r="V313" s="284"/>
      <c r="W313" s="284"/>
      <c r="X313" s="284"/>
      <c r="Y313" s="284"/>
      <c r="Z313" s="284"/>
      <c r="AA313" s="284"/>
      <c r="AB313" s="284"/>
      <c r="AC313" s="284"/>
      <c r="AD313" s="284"/>
      <c r="AE313" s="284"/>
    </row>
    <row r="314">
      <c r="A314" s="284"/>
      <c r="B314" s="284"/>
      <c r="C314" s="284"/>
      <c r="D314" s="284"/>
      <c r="E314" s="284"/>
      <c r="F314" s="284"/>
      <c r="G314" s="284"/>
      <c r="H314" s="284"/>
      <c r="I314" s="284"/>
      <c r="J314" s="284"/>
      <c r="K314" s="284"/>
      <c r="L314" s="284"/>
      <c r="M314" s="284"/>
      <c r="N314" s="284"/>
      <c r="O314" s="284"/>
      <c r="P314" s="284"/>
      <c r="Q314" s="284"/>
      <c r="R314" s="284"/>
      <c r="S314" s="284"/>
      <c r="T314" s="284"/>
      <c r="U314" s="284"/>
      <c r="V314" s="284"/>
      <c r="W314" s="284"/>
      <c r="X314" s="284"/>
      <c r="Y314" s="284"/>
      <c r="Z314" s="284"/>
      <c r="AA314" s="284"/>
      <c r="AB314" s="284"/>
      <c r="AC314" s="284"/>
      <c r="AD314" s="284"/>
      <c r="AE314" s="284"/>
    </row>
    <row r="315">
      <c r="A315" s="284"/>
      <c r="B315" s="284"/>
      <c r="C315" s="284"/>
      <c r="D315" s="284"/>
      <c r="E315" s="284"/>
      <c r="F315" s="284"/>
      <c r="G315" s="284"/>
      <c r="H315" s="284"/>
      <c r="I315" s="284"/>
      <c r="J315" s="284"/>
      <c r="K315" s="284"/>
      <c r="L315" s="284"/>
      <c r="M315" s="284"/>
      <c r="N315" s="284"/>
      <c r="O315" s="284"/>
      <c r="P315" s="284"/>
      <c r="Q315" s="284"/>
      <c r="R315" s="284"/>
      <c r="S315" s="284"/>
      <c r="T315" s="284"/>
      <c r="U315" s="284"/>
      <c r="V315" s="284"/>
      <c r="W315" s="284"/>
      <c r="X315" s="284"/>
      <c r="Y315" s="284"/>
      <c r="Z315" s="284"/>
      <c r="AA315" s="284"/>
      <c r="AB315" s="284"/>
      <c r="AC315" s="284"/>
      <c r="AD315" s="284"/>
      <c r="AE315" s="284"/>
    </row>
    <row r="316">
      <c r="A316" s="284"/>
      <c r="B316" s="284"/>
      <c r="C316" s="284"/>
      <c r="D316" s="284"/>
      <c r="E316" s="284"/>
      <c r="F316" s="284"/>
      <c r="G316" s="284"/>
      <c r="H316" s="284"/>
      <c r="I316" s="284"/>
      <c r="J316" s="284"/>
      <c r="K316" s="284"/>
      <c r="L316" s="284"/>
      <c r="M316" s="284"/>
      <c r="N316" s="284"/>
      <c r="O316" s="284"/>
      <c r="P316" s="284"/>
      <c r="Q316" s="284"/>
      <c r="R316" s="284"/>
      <c r="S316" s="284"/>
      <c r="T316" s="284"/>
      <c r="U316" s="284"/>
      <c r="V316" s="284"/>
      <c r="W316" s="284"/>
      <c r="X316" s="284"/>
      <c r="Y316" s="284"/>
      <c r="Z316" s="284"/>
      <c r="AA316" s="284"/>
      <c r="AB316" s="284"/>
      <c r="AC316" s="284"/>
      <c r="AD316" s="284"/>
      <c r="AE316" s="284"/>
    </row>
    <row r="317">
      <c r="A317" s="284"/>
      <c r="B317" s="284"/>
      <c r="C317" s="284"/>
      <c r="D317" s="284"/>
      <c r="E317" s="284"/>
      <c r="F317" s="284"/>
      <c r="G317" s="284"/>
      <c r="H317" s="284"/>
      <c r="I317" s="284"/>
      <c r="J317" s="284"/>
      <c r="K317" s="284"/>
      <c r="L317" s="284"/>
      <c r="M317" s="284"/>
      <c r="N317" s="284"/>
      <c r="O317" s="284"/>
      <c r="P317" s="284"/>
      <c r="Q317" s="284"/>
      <c r="R317" s="284"/>
      <c r="S317" s="284"/>
      <c r="T317" s="284"/>
      <c r="U317" s="284"/>
      <c r="V317" s="284"/>
      <c r="W317" s="284"/>
      <c r="X317" s="284"/>
      <c r="Y317" s="284"/>
      <c r="Z317" s="284"/>
      <c r="AA317" s="284"/>
      <c r="AB317" s="284"/>
      <c r="AC317" s="284"/>
      <c r="AD317" s="284"/>
      <c r="AE317" s="284"/>
    </row>
    <row r="318">
      <c r="A318" s="284"/>
      <c r="B318" s="284"/>
      <c r="C318" s="284"/>
      <c r="D318" s="284"/>
      <c r="E318" s="284"/>
      <c r="F318" s="284"/>
      <c r="G318" s="284"/>
      <c r="H318" s="284"/>
      <c r="I318" s="284"/>
      <c r="J318" s="284"/>
      <c r="K318" s="284"/>
      <c r="L318" s="284"/>
      <c r="M318" s="284"/>
      <c r="N318" s="284"/>
      <c r="O318" s="284"/>
      <c r="P318" s="284"/>
      <c r="Q318" s="284"/>
      <c r="R318" s="284"/>
      <c r="S318" s="284"/>
      <c r="T318" s="284"/>
      <c r="U318" s="284"/>
      <c r="V318" s="284"/>
      <c r="W318" s="284"/>
      <c r="X318" s="284"/>
      <c r="Y318" s="284"/>
      <c r="Z318" s="284"/>
      <c r="AA318" s="284"/>
      <c r="AB318" s="284"/>
      <c r="AC318" s="284"/>
      <c r="AD318" s="284"/>
      <c r="AE318" s="284"/>
    </row>
    <row r="319">
      <c r="A319" s="284"/>
      <c r="B319" s="284"/>
      <c r="C319" s="284"/>
      <c r="D319" s="284"/>
      <c r="E319" s="284"/>
      <c r="F319" s="284"/>
      <c r="G319" s="284"/>
      <c r="H319" s="284"/>
      <c r="I319" s="284"/>
      <c r="J319" s="284"/>
      <c r="K319" s="284"/>
      <c r="L319" s="284"/>
      <c r="M319" s="284"/>
      <c r="N319" s="284"/>
      <c r="O319" s="284"/>
      <c r="P319" s="284"/>
      <c r="Q319" s="284"/>
      <c r="R319" s="284"/>
      <c r="S319" s="284"/>
      <c r="T319" s="284"/>
      <c r="U319" s="284"/>
      <c r="V319" s="284"/>
      <c r="W319" s="284"/>
      <c r="X319" s="284"/>
      <c r="Y319" s="284"/>
      <c r="Z319" s="284"/>
      <c r="AA319" s="284"/>
      <c r="AB319" s="284"/>
      <c r="AC319" s="284"/>
      <c r="AD319" s="284"/>
      <c r="AE319" s="284"/>
    </row>
    <row r="320">
      <c r="A320" s="284"/>
      <c r="B320" s="284"/>
      <c r="C320" s="284"/>
      <c r="D320" s="284"/>
      <c r="E320" s="284"/>
      <c r="F320" s="284"/>
      <c r="G320" s="284"/>
      <c r="H320" s="284"/>
      <c r="I320" s="284"/>
      <c r="J320" s="284"/>
      <c r="K320" s="284"/>
      <c r="L320" s="284"/>
      <c r="M320" s="284"/>
      <c r="N320" s="284"/>
      <c r="O320" s="284"/>
      <c r="P320" s="284"/>
      <c r="Q320" s="284"/>
      <c r="R320" s="284"/>
      <c r="S320" s="284"/>
      <c r="T320" s="284"/>
      <c r="U320" s="284"/>
      <c r="V320" s="284"/>
      <c r="W320" s="284"/>
      <c r="X320" s="284"/>
      <c r="Y320" s="284"/>
      <c r="Z320" s="284"/>
      <c r="AA320" s="284"/>
      <c r="AB320" s="284"/>
      <c r="AC320" s="284"/>
      <c r="AD320" s="284"/>
      <c r="AE320" s="284"/>
    </row>
    <row r="321">
      <c r="A321" s="284"/>
      <c r="B321" s="284"/>
      <c r="C321" s="284"/>
      <c r="D321" s="284"/>
      <c r="E321" s="284"/>
      <c r="F321" s="284"/>
      <c r="G321" s="284"/>
      <c r="H321" s="284"/>
      <c r="I321" s="284"/>
      <c r="J321" s="284"/>
      <c r="K321" s="284"/>
      <c r="L321" s="284"/>
      <c r="M321" s="284"/>
      <c r="N321" s="284"/>
      <c r="O321" s="284"/>
      <c r="P321" s="284"/>
      <c r="Q321" s="284"/>
      <c r="R321" s="284"/>
      <c r="S321" s="284"/>
      <c r="T321" s="284"/>
      <c r="U321" s="284"/>
      <c r="V321" s="284"/>
      <c r="W321" s="284"/>
      <c r="X321" s="284"/>
      <c r="Y321" s="284"/>
      <c r="Z321" s="284"/>
      <c r="AA321" s="284"/>
      <c r="AB321" s="284"/>
      <c r="AC321" s="284"/>
      <c r="AD321" s="284"/>
      <c r="AE321" s="284"/>
    </row>
    <row r="322">
      <c r="A322" s="284"/>
      <c r="B322" s="284"/>
      <c r="C322" s="284"/>
      <c r="D322" s="284"/>
      <c r="E322" s="284"/>
      <c r="F322" s="284"/>
      <c r="G322" s="284"/>
      <c r="H322" s="284"/>
      <c r="I322" s="284"/>
      <c r="J322" s="284"/>
      <c r="K322" s="284"/>
      <c r="L322" s="284"/>
      <c r="M322" s="284"/>
      <c r="N322" s="284"/>
      <c r="O322" s="284"/>
      <c r="P322" s="284"/>
      <c r="Q322" s="284"/>
      <c r="R322" s="284"/>
      <c r="S322" s="284"/>
      <c r="T322" s="284"/>
      <c r="U322" s="284"/>
      <c r="V322" s="284"/>
      <c r="W322" s="284"/>
      <c r="X322" s="284"/>
      <c r="Y322" s="284"/>
      <c r="Z322" s="284"/>
      <c r="AA322" s="284"/>
      <c r="AB322" s="284"/>
      <c r="AC322" s="284"/>
      <c r="AD322" s="284"/>
      <c r="AE322" s="284"/>
    </row>
    <row r="323">
      <c r="A323" s="284"/>
      <c r="B323" s="284"/>
      <c r="C323" s="284"/>
      <c r="D323" s="284"/>
      <c r="E323" s="284"/>
      <c r="F323" s="284"/>
      <c r="G323" s="284"/>
      <c r="H323" s="284"/>
      <c r="I323" s="284"/>
      <c r="J323" s="284"/>
      <c r="K323" s="284"/>
      <c r="L323" s="284"/>
      <c r="M323" s="284"/>
      <c r="N323" s="284"/>
      <c r="O323" s="284"/>
      <c r="P323" s="284"/>
      <c r="Q323" s="284"/>
      <c r="R323" s="284"/>
      <c r="S323" s="284"/>
      <c r="T323" s="284"/>
      <c r="U323" s="284"/>
      <c r="V323" s="284"/>
      <c r="W323" s="284"/>
      <c r="X323" s="284"/>
      <c r="Y323" s="284"/>
      <c r="Z323" s="284"/>
      <c r="AA323" s="284"/>
      <c r="AB323" s="284"/>
      <c r="AC323" s="284"/>
      <c r="AD323" s="284"/>
      <c r="AE323" s="284"/>
    </row>
    <row r="324">
      <c r="A324" s="284"/>
      <c r="B324" s="284"/>
      <c r="C324" s="284"/>
      <c r="D324" s="284"/>
      <c r="E324" s="284"/>
      <c r="F324" s="284"/>
      <c r="G324" s="284"/>
      <c r="H324" s="284"/>
      <c r="I324" s="284"/>
      <c r="J324" s="284"/>
      <c r="K324" s="284"/>
      <c r="L324" s="284"/>
      <c r="M324" s="284"/>
      <c r="N324" s="284"/>
      <c r="O324" s="284"/>
      <c r="P324" s="284"/>
      <c r="Q324" s="284"/>
      <c r="R324" s="284"/>
      <c r="S324" s="284"/>
      <c r="T324" s="284"/>
      <c r="U324" s="284"/>
      <c r="V324" s="284"/>
      <c r="W324" s="284"/>
      <c r="X324" s="284"/>
      <c r="Y324" s="284"/>
      <c r="Z324" s="284"/>
      <c r="AA324" s="284"/>
      <c r="AB324" s="284"/>
      <c r="AC324" s="284"/>
      <c r="AD324" s="284"/>
      <c r="AE324" s="284"/>
    </row>
    <row r="325">
      <c r="A325" s="284"/>
      <c r="B325" s="284"/>
      <c r="C325" s="284"/>
      <c r="D325" s="284"/>
      <c r="E325" s="284"/>
      <c r="F325" s="284"/>
      <c r="G325" s="284"/>
      <c r="H325" s="284"/>
      <c r="I325" s="284"/>
      <c r="J325" s="284"/>
      <c r="K325" s="284"/>
      <c r="L325" s="284"/>
      <c r="M325" s="284"/>
      <c r="N325" s="284"/>
      <c r="O325" s="284"/>
      <c r="P325" s="284"/>
      <c r="Q325" s="284"/>
      <c r="R325" s="284"/>
      <c r="S325" s="284"/>
      <c r="T325" s="284"/>
      <c r="U325" s="284"/>
      <c r="V325" s="284"/>
      <c r="W325" s="284"/>
      <c r="X325" s="284"/>
      <c r="Y325" s="284"/>
      <c r="Z325" s="284"/>
      <c r="AA325" s="284"/>
      <c r="AB325" s="284"/>
      <c r="AC325" s="284"/>
      <c r="AD325" s="284"/>
      <c r="AE325" s="284"/>
    </row>
    <row r="326">
      <c r="A326" s="284"/>
      <c r="B326" s="284"/>
      <c r="C326" s="284"/>
      <c r="D326" s="284"/>
      <c r="E326" s="284"/>
      <c r="F326" s="284"/>
      <c r="G326" s="284"/>
      <c r="H326" s="284"/>
      <c r="I326" s="284"/>
      <c r="J326" s="284"/>
      <c r="K326" s="284"/>
      <c r="L326" s="284"/>
      <c r="M326" s="284"/>
      <c r="N326" s="284"/>
      <c r="O326" s="284"/>
      <c r="P326" s="284"/>
      <c r="Q326" s="284"/>
      <c r="R326" s="284"/>
      <c r="S326" s="284"/>
      <c r="T326" s="284"/>
      <c r="U326" s="284"/>
      <c r="V326" s="284"/>
      <c r="W326" s="284"/>
      <c r="X326" s="284"/>
      <c r="Y326" s="284"/>
      <c r="Z326" s="284"/>
      <c r="AA326" s="284"/>
      <c r="AB326" s="284"/>
      <c r="AC326" s="284"/>
      <c r="AD326" s="284"/>
      <c r="AE326" s="284"/>
    </row>
    <row r="327">
      <c r="A327" s="284"/>
      <c r="B327" s="284"/>
      <c r="C327" s="284"/>
      <c r="D327" s="284"/>
      <c r="E327" s="284"/>
      <c r="F327" s="284"/>
      <c r="G327" s="284"/>
      <c r="H327" s="284"/>
      <c r="I327" s="284"/>
      <c r="J327" s="284"/>
      <c r="K327" s="284"/>
      <c r="L327" s="284"/>
      <c r="M327" s="284"/>
      <c r="N327" s="284"/>
      <c r="O327" s="284"/>
      <c r="P327" s="284"/>
      <c r="Q327" s="284"/>
      <c r="R327" s="284"/>
      <c r="S327" s="284"/>
      <c r="T327" s="284"/>
      <c r="U327" s="284"/>
      <c r="V327" s="284"/>
      <c r="W327" s="284"/>
      <c r="X327" s="284"/>
      <c r="Y327" s="284"/>
      <c r="Z327" s="284"/>
      <c r="AA327" s="284"/>
      <c r="AB327" s="284"/>
      <c r="AC327" s="284"/>
      <c r="AD327" s="284"/>
      <c r="AE327" s="284"/>
    </row>
    <row r="328">
      <c r="A328" s="284"/>
      <c r="B328" s="284"/>
      <c r="C328" s="284"/>
      <c r="D328" s="284"/>
      <c r="E328" s="284"/>
      <c r="F328" s="284"/>
      <c r="G328" s="284"/>
      <c r="H328" s="284"/>
      <c r="I328" s="284"/>
      <c r="J328" s="284"/>
      <c r="K328" s="284"/>
      <c r="L328" s="284"/>
      <c r="M328" s="284"/>
      <c r="N328" s="284"/>
      <c r="O328" s="284"/>
      <c r="P328" s="284"/>
      <c r="Q328" s="284"/>
      <c r="R328" s="284"/>
      <c r="S328" s="284"/>
      <c r="T328" s="284"/>
      <c r="U328" s="284"/>
      <c r="V328" s="284"/>
      <c r="W328" s="284"/>
      <c r="X328" s="284"/>
      <c r="Y328" s="284"/>
      <c r="Z328" s="284"/>
      <c r="AA328" s="284"/>
      <c r="AB328" s="284"/>
      <c r="AC328" s="284"/>
      <c r="AD328" s="284"/>
      <c r="AE328" s="284"/>
    </row>
    <row r="329">
      <c r="A329" s="284"/>
      <c r="B329" s="284"/>
      <c r="C329" s="284"/>
      <c r="D329" s="284"/>
      <c r="E329" s="284"/>
      <c r="F329" s="284"/>
      <c r="G329" s="284"/>
      <c r="H329" s="284"/>
      <c r="I329" s="284"/>
      <c r="J329" s="284"/>
      <c r="K329" s="284"/>
      <c r="L329" s="284"/>
      <c r="M329" s="284"/>
      <c r="N329" s="284"/>
      <c r="O329" s="284"/>
      <c r="P329" s="284"/>
      <c r="Q329" s="284"/>
      <c r="R329" s="284"/>
      <c r="S329" s="284"/>
      <c r="T329" s="284"/>
      <c r="U329" s="284"/>
      <c r="V329" s="284"/>
      <c r="W329" s="284"/>
      <c r="X329" s="284"/>
      <c r="Y329" s="284"/>
      <c r="Z329" s="284"/>
      <c r="AA329" s="284"/>
      <c r="AB329" s="284"/>
      <c r="AC329" s="284"/>
      <c r="AD329" s="284"/>
      <c r="AE329" s="284"/>
    </row>
    <row r="330">
      <c r="A330" s="284"/>
      <c r="B330" s="284"/>
      <c r="C330" s="284"/>
      <c r="D330" s="284"/>
      <c r="E330" s="284"/>
      <c r="F330" s="284"/>
      <c r="G330" s="284"/>
      <c r="H330" s="284"/>
      <c r="I330" s="284"/>
      <c r="J330" s="284"/>
      <c r="K330" s="284"/>
      <c r="L330" s="284"/>
      <c r="M330" s="284"/>
      <c r="N330" s="284"/>
      <c r="O330" s="284"/>
      <c r="P330" s="284"/>
      <c r="Q330" s="284"/>
      <c r="R330" s="284"/>
      <c r="S330" s="284"/>
      <c r="T330" s="284"/>
      <c r="U330" s="284"/>
      <c r="V330" s="284"/>
      <c r="W330" s="284"/>
      <c r="X330" s="284"/>
      <c r="Y330" s="284"/>
      <c r="Z330" s="284"/>
      <c r="AA330" s="284"/>
      <c r="AB330" s="284"/>
      <c r="AC330" s="284"/>
      <c r="AD330" s="284"/>
      <c r="AE330" s="284"/>
    </row>
    <row r="331">
      <c r="A331" s="284"/>
      <c r="B331" s="284"/>
      <c r="C331" s="284"/>
      <c r="D331" s="284"/>
      <c r="E331" s="284"/>
      <c r="F331" s="284"/>
      <c r="G331" s="284"/>
      <c r="H331" s="284"/>
      <c r="I331" s="284"/>
      <c r="J331" s="284"/>
      <c r="K331" s="284"/>
      <c r="L331" s="284"/>
      <c r="M331" s="284"/>
      <c r="N331" s="284"/>
      <c r="O331" s="284"/>
      <c r="P331" s="284"/>
      <c r="Q331" s="284"/>
      <c r="R331" s="284"/>
      <c r="S331" s="284"/>
      <c r="T331" s="284"/>
      <c r="U331" s="284"/>
      <c r="V331" s="284"/>
      <c r="W331" s="284"/>
      <c r="X331" s="284"/>
      <c r="Y331" s="284"/>
      <c r="Z331" s="284"/>
      <c r="AA331" s="284"/>
      <c r="AB331" s="284"/>
      <c r="AC331" s="284"/>
      <c r="AD331" s="284"/>
      <c r="AE331" s="284"/>
    </row>
    <row r="332">
      <c r="A332" s="284"/>
      <c r="B332" s="284"/>
      <c r="C332" s="284"/>
      <c r="D332" s="284"/>
      <c r="E332" s="284"/>
      <c r="F332" s="284"/>
      <c r="G332" s="284"/>
      <c r="H332" s="284"/>
      <c r="I332" s="284"/>
      <c r="J332" s="284"/>
      <c r="K332" s="284"/>
      <c r="L332" s="284"/>
      <c r="M332" s="284"/>
      <c r="N332" s="284"/>
      <c r="O332" s="284"/>
      <c r="P332" s="284"/>
      <c r="Q332" s="284"/>
      <c r="R332" s="284"/>
      <c r="S332" s="284"/>
      <c r="T332" s="284"/>
      <c r="U332" s="284"/>
      <c r="V332" s="284"/>
      <c r="W332" s="284"/>
      <c r="X332" s="284"/>
      <c r="Y332" s="284"/>
      <c r="Z332" s="284"/>
      <c r="AA332" s="284"/>
      <c r="AB332" s="284"/>
      <c r="AC332" s="284"/>
      <c r="AD332" s="284"/>
      <c r="AE332" s="284"/>
    </row>
    <row r="333">
      <c r="A333" s="284"/>
      <c r="B333" s="284"/>
      <c r="C333" s="284"/>
      <c r="D333" s="284"/>
      <c r="E333" s="284"/>
      <c r="F333" s="284"/>
      <c r="G333" s="284"/>
      <c r="H333" s="284"/>
      <c r="I333" s="284"/>
      <c r="J333" s="284"/>
      <c r="K333" s="284"/>
      <c r="L333" s="284"/>
      <c r="M333" s="284"/>
      <c r="N333" s="284"/>
      <c r="O333" s="284"/>
      <c r="P333" s="284"/>
      <c r="Q333" s="284"/>
      <c r="R333" s="284"/>
      <c r="S333" s="284"/>
      <c r="T333" s="284"/>
      <c r="U333" s="284"/>
      <c r="V333" s="284"/>
      <c r="W333" s="284"/>
      <c r="X333" s="284"/>
      <c r="Y333" s="284"/>
      <c r="Z333" s="284"/>
      <c r="AA333" s="284"/>
      <c r="AB333" s="284"/>
      <c r="AC333" s="284"/>
      <c r="AD333" s="284"/>
      <c r="AE333" s="284"/>
    </row>
    <row r="334">
      <c r="A334" s="284"/>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row>
    <row r="335">
      <c r="A335" s="284"/>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row>
    <row r="336">
      <c r="A336" s="284"/>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row>
    <row r="337">
      <c r="A337" s="284"/>
      <c r="B337" s="284"/>
      <c r="C337" s="284"/>
      <c r="D337" s="284"/>
      <c r="E337" s="284"/>
      <c r="F337" s="284"/>
      <c r="G337" s="284"/>
      <c r="H337" s="284"/>
      <c r="I337" s="284"/>
      <c r="J337" s="284"/>
      <c r="K337" s="284"/>
      <c r="L337" s="284"/>
      <c r="M337" s="284"/>
      <c r="N337" s="284"/>
      <c r="O337" s="284"/>
      <c r="P337" s="284"/>
      <c r="Q337" s="284"/>
      <c r="R337" s="284"/>
      <c r="S337" s="284"/>
      <c r="T337" s="284"/>
      <c r="U337" s="284"/>
      <c r="V337" s="284"/>
      <c r="W337" s="284"/>
      <c r="X337" s="284"/>
      <c r="Y337" s="284"/>
      <c r="Z337" s="284"/>
      <c r="AA337" s="284"/>
      <c r="AB337" s="284"/>
      <c r="AC337" s="284"/>
      <c r="AD337" s="284"/>
      <c r="AE337" s="284"/>
    </row>
    <row r="338">
      <c r="A338" s="284"/>
      <c r="B338" s="284"/>
      <c r="C338" s="284"/>
      <c r="D338" s="284"/>
      <c r="E338" s="284"/>
      <c r="F338" s="284"/>
      <c r="G338" s="284"/>
      <c r="H338" s="284"/>
      <c r="I338" s="284"/>
      <c r="J338" s="284"/>
      <c r="K338" s="284"/>
      <c r="L338" s="284"/>
      <c r="M338" s="284"/>
      <c r="N338" s="284"/>
      <c r="O338" s="284"/>
      <c r="P338" s="284"/>
      <c r="Q338" s="284"/>
      <c r="R338" s="284"/>
      <c r="S338" s="284"/>
      <c r="T338" s="284"/>
      <c r="U338" s="284"/>
      <c r="V338" s="284"/>
      <c r="W338" s="284"/>
      <c r="X338" s="284"/>
      <c r="Y338" s="284"/>
      <c r="Z338" s="284"/>
      <c r="AA338" s="284"/>
      <c r="AB338" s="284"/>
      <c r="AC338" s="284"/>
      <c r="AD338" s="284"/>
      <c r="AE338" s="284"/>
    </row>
    <row r="339">
      <c r="A339" s="284"/>
      <c r="B339" s="284"/>
      <c r="C339" s="284"/>
      <c r="D339" s="284"/>
      <c r="E339" s="284"/>
      <c r="F339" s="284"/>
      <c r="G339" s="284"/>
      <c r="H339" s="284"/>
      <c r="I339" s="284"/>
      <c r="J339" s="284"/>
      <c r="K339" s="284"/>
      <c r="L339" s="284"/>
      <c r="M339" s="284"/>
      <c r="N339" s="284"/>
      <c r="O339" s="284"/>
      <c r="P339" s="284"/>
      <c r="Q339" s="284"/>
      <c r="R339" s="284"/>
      <c r="S339" s="284"/>
      <c r="T339" s="284"/>
      <c r="U339" s="284"/>
      <c r="V339" s="284"/>
      <c r="W339" s="284"/>
      <c r="X339" s="284"/>
      <c r="Y339" s="284"/>
      <c r="Z339" s="284"/>
      <c r="AA339" s="284"/>
      <c r="AB339" s="284"/>
      <c r="AC339" s="284"/>
      <c r="AD339" s="284"/>
      <c r="AE339" s="284"/>
    </row>
    <row r="340">
      <c r="A340" s="284"/>
      <c r="B340" s="284"/>
      <c r="C340" s="284"/>
      <c r="D340" s="284"/>
      <c r="E340" s="284"/>
      <c r="F340" s="284"/>
      <c r="G340" s="284"/>
      <c r="H340" s="284"/>
      <c r="I340" s="284"/>
      <c r="J340" s="284"/>
      <c r="K340" s="284"/>
      <c r="L340" s="284"/>
      <c r="M340" s="284"/>
      <c r="N340" s="284"/>
      <c r="O340" s="284"/>
      <c r="P340" s="284"/>
      <c r="Q340" s="284"/>
      <c r="R340" s="284"/>
      <c r="S340" s="284"/>
      <c r="T340" s="284"/>
      <c r="U340" s="284"/>
      <c r="V340" s="284"/>
      <c r="W340" s="284"/>
      <c r="X340" s="284"/>
      <c r="Y340" s="284"/>
      <c r="Z340" s="284"/>
      <c r="AA340" s="284"/>
      <c r="AB340" s="284"/>
      <c r="AC340" s="284"/>
      <c r="AD340" s="284"/>
      <c r="AE340" s="284"/>
    </row>
    <row r="341">
      <c r="A341" s="284"/>
      <c r="B341" s="284"/>
      <c r="C341" s="284"/>
      <c r="D341" s="284"/>
      <c r="E341" s="284"/>
      <c r="F341" s="284"/>
      <c r="G341" s="284"/>
      <c r="H341" s="284"/>
      <c r="I341" s="284"/>
      <c r="J341" s="284"/>
      <c r="K341" s="284"/>
      <c r="L341" s="284"/>
      <c r="M341" s="284"/>
      <c r="N341" s="284"/>
      <c r="O341" s="284"/>
      <c r="P341" s="284"/>
      <c r="Q341" s="284"/>
      <c r="R341" s="284"/>
      <c r="S341" s="284"/>
      <c r="T341" s="284"/>
      <c r="U341" s="284"/>
      <c r="V341" s="284"/>
      <c r="W341" s="284"/>
      <c r="X341" s="284"/>
      <c r="Y341" s="284"/>
      <c r="Z341" s="284"/>
      <c r="AA341" s="284"/>
      <c r="AB341" s="284"/>
      <c r="AC341" s="284"/>
      <c r="AD341" s="284"/>
      <c r="AE341" s="284"/>
    </row>
    <row r="342">
      <c r="A342" s="284"/>
      <c r="B342" s="284"/>
      <c r="C342" s="284"/>
      <c r="D342" s="284"/>
      <c r="E342" s="284"/>
      <c r="F342" s="284"/>
      <c r="G342" s="284"/>
      <c r="H342" s="284"/>
      <c r="I342" s="284"/>
      <c r="J342" s="284"/>
      <c r="K342" s="284"/>
      <c r="L342" s="284"/>
      <c r="M342" s="284"/>
      <c r="N342" s="284"/>
      <c r="O342" s="284"/>
      <c r="P342" s="284"/>
      <c r="Q342" s="284"/>
      <c r="R342" s="284"/>
      <c r="S342" s="284"/>
      <c r="T342" s="284"/>
      <c r="U342" s="284"/>
      <c r="V342" s="284"/>
      <c r="W342" s="284"/>
      <c r="X342" s="284"/>
      <c r="Y342" s="284"/>
      <c r="Z342" s="284"/>
      <c r="AA342" s="284"/>
      <c r="AB342" s="284"/>
      <c r="AC342" s="284"/>
      <c r="AD342" s="284"/>
      <c r="AE342" s="284"/>
    </row>
    <row r="343">
      <c r="A343" s="284"/>
      <c r="B343" s="284"/>
      <c r="C343" s="284"/>
      <c r="D343" s="284"/>
      <c r="E343" s="284"/>
      <c r="F343" s="284"/>
      <c r="G343" s="284"/>
      <c r="H343" s="284"/>
      <c r="I343" s="284"/>
      <c r="J343" s="284"/>
      <c r="K343" s="284"/>
      <c r="L343" s="284"/>
      <c r="M343" s="284"/>
      <c r="N343" s="284"/>
      <c r="O343" s="284"/>
      <c r="P343" s="284"/>
      <c r="Q343" s="284"/>
      <c r="R343" s="284"/>
      <c r="S343" s="284"/>
      <c r="T343" s="284"/>
      <c r="U343" s="284"/>
      <c r="V343" s="284"/>
      <c r="W343" s="284"/>
      <c r="X343" s="284"/>
      <c r="Y343" s="284"/>
      <c r="Z343" s="284"/>
      <c r="AA343" s="284"/>
      <c r="AB343" s="284"/>
      <c r="AC343" s="284"/>
      <c r="AD343" s="284"/>
      <c r="AE343" s="284"/>
    </row>
    <row r="344">
      <c r="A344" s="284"/>
      <c r="B344" s="284"/>
      <c r="C344" s="284"/>
      <c r="D344" s="284"/>
      <c r="E344" s="284"/>
      <c r="F344" s="284"/>
      <c r="G344" s="284"/>
      <c r="H344" s="284"/>
      <c r="I344" s="284"/>
      <c r="J344" s="284"/>
      <c r="K344" s="284"/>
      <c r="L344" s="284"/>
      <c r="M344" s="284"/>
      <c r="N344" s="284"/>
      <c r="O344" s="284"/>
      <c r="P344" s="284"/>
      <c r="Q344" s="284"/>
      <c r="R344" s="284"/>
      <c r="S344" s="284"/>
      <c r="T344" s="284"/>
      <c r="U344" s="284"/>
      <c r="V344" s="284"/>
      <c r="W344" s="284"/>
      <c r="X344" s="284"/>
      <c r="Y344" s="284"/>
      <c r="Z344" s="284"/>
      <c r="AA344" s="284"/>
      <c r="AB344" s="284"/>
      <c r="AC344" s="284"/>
      <c r="AD344" s="284"/>
      <c r="AE344" s="284"/>
    </row>
    <row r="345">
      <c r="A345" s="284"/>
      <c r="B345" s="284"/>
      <c r="C345" s="284"/>
      <c r="D345" s="284"/>
      <c r="E345" s="284"/>
      <c r="F345" s="284"/>
      <c r="G345" s="284"/>
      <c r="H345" s="284"/>
      <c r="I345" s="284"/>
      <c r="J345" s="284"/>
      <c r="K345" s="284"/>
      <c r="L345" s="284"/>
      <c r="M345" s="284"/>
      <c r="N345" s="284"/>
      <c r="O345" s="284"/>
      <c r="P345" s="284"/>
      <c r="Q345" s="284"/>
      <c r="R345" s="284"/>
      <c r="S345" s="284"/>
      <c r="T345" s="284"/>
      <c r="U345" s="284"/>
      <c r="V345" s="284"/>
      <c r="W345" s="284"/>
      <c r="X345" s="284"/>
      <c r="Y345" s="284"/>
      <c r="Z345" s="284"/>
      <c r="AA345" s="284"/>
      <c r="AB345" s="284"/>
      <c r="AC345" s="284"/>
      <c r="AD345" s="284"/>
      <c r="AE345" s="284"/>
    </row>
    <row r="346">
      <c r="A346" s="284"/>
      <c r="B346" s="284"/>
      <c r="C346" s="284"/>
      <c r="D346" s="284"/>
      <c r="E346" s="284"/>
      <c r="F346" s="284"/>
      <c r="G346" s="284"/>
      <c r="H346" s="284"/>
      <c r="I346" s="284"/>
      <c r="J346" s="284"/>
      <c r="K346" s="284"/>
      <c r="L346" s="284"/>
      <c r="M346" s="284"/>
      <c r="N346" s="284"/>
      <c r="O346" s="284"/>
      <c r="P346" s="284"/>
      <c r="Q346" s="284"/>
      <c r="R346" s="284"/>
      <c r="S346" s="284"/>
      <c r="T346" s="284"/>
      <c r="U346" s="284"/>
      <c r="V346" s="284"/>
      <c r="W346" s="284"/>
      <c r="X346" s="284"/>
      <c r="Y346" s="284"/>
      <c r="Z346" s="284"/>
      <c r="AA346" s="284"/>
      <c r="AB346" s="284"/>
      <c r="AC346" s="284"/>
      <c r="AD346" s="284"/>
      <c r="AE346" s="284"/>
    </row>
    <row r="347">
      <c r="A347" s="284"/>
      <c r="B347" s="284"/>
      <c r="C347" s="284"/>
      <c r="D347" s="284"/>
      <c r="E347" s="284"/>
      <c r="F347" s="284"/>
      <c r="G347" s="284"/>
      <c r="H347" s="284"/>
      <c r="I347" s="284"/>
      <c r="J347" s="284"/>
      <c r="K347" s="284"/>
      <c r="L347" s="284"/>
      <c r="M347" s="284"/>
      <c r="N347" s="284"/>
      <c r="O347" s="284"/>
      <c r="P347" s="284"/>
      <c r="Q347" s="284"/>
      <c r="R347" s="284"/>
      <c r="S347" s="284"/>
      <c r="T347" s="284"/>
      <c r="U347" s="284"/>
      <c r="V347" s="284"/>
      <c r="W347" s="284"/>
      <c r="X347" s="284"/>
      <c r="Y347" s="284"/>
      <c r="Z347" s="284"/>
      <c r="AA347" s="284"/>
      <c r="AB347" s="284"/>
      <c r="AC347" s="284"/>
      <c r="AD347" s="284"/>
      <c r="AE347" s="284"/>
    </row>
    <row r="348">
      <c r="A348" s="284"/>
      <c r="B348" s="284"/>
      <c r="C348" s="284"/>
      <c r="D348" s="284"/>
      <c r="E348" s="284"/>
      <c r="F348" s="284"/>
      <c r="G348" s="284"/>
      <c r="H348" s="284"/>
      <c r="I348" s="284"/>
      <c r="J348" s="284"/>
      <c r="K348" s="284"/>
      <c r="L348" s="284"/>
      <c r="M348" s="284"/>
      <c r="N348" s="284"/>
      <c r="O348" s="284"/>
      <c r="P348" s="284"/>
      <c r="Q348" s="284"/>
      <c r="R348" s="284"/>
      <c r="S348" s="284"/>
      <c r="T348" s="284"/>
      <c r="U348" s="284"/>
      <c r="V348" s="284"/>
      <c r="W348" s="284"/>
      <c r="X348" s="284"/>
      <c r="Y348" s="284"/>
      <c r="Z348" s="284"/>
      <c r="AA348" s="284"/>
      <c r="AB348" s="284"/>
      <c r="AC348" s="284"/>
      <c r="AD348" s="284"/>
      <c r="AE348" s="284"/>
    </row>
    <row r="349">
      <c r="A349" s="284"/>
      <c r="B349" s="284"/>
      <c r="C349" s="284"/>
      <c r="D349" s="284"/>
      <c r="E349" s="284"/>
      <c r="F349" s="284"/>
      <c r="G349" s="284"/>
      <c r="H349" s="284"/>
      <c r="I349" s="284"/>
      <c r="J349" s="284"/>
      <c r="K349" s="284"/>
      <c r="L349" s="284"/>
      <c r="M349" s="284"/>
      <c r="N349" s="284"/>
      <c r="O349" s="284"/>
      <c r="P349" s="284"/>
      <c r="Q349" s="284"/>
      <c r="R349" s="284"/>
      <c r="S349" s="284"/>
      <c r="T349" s="284"/>
      <c r="U349" s="284"/>
      <c r="V349" s="284"/>
      <c r="W349" s="284"/>
      <c r="X349" s="284"/>
      <c r="Y349" s="284"/>
      <c r="Z349" s="284"/>
      <c r="AA349" s="284"/>
      <c r="AB349" s="284"/>
      <c r="AC349" s="284"/>
      <c r="AD349" s="284"/>
      <c r="AE349" s="284"/>
    </row>
    <row r="350">
      <c r="A350" s="284"/>
      <c r="B350" s="284"/>
      <c r="C350" s="284"/>
      <c r="D350" s="284"/>
      <c r="E350" s="284"/>
      <c r="F350" s="284"/>
      <c r="G350" s="284"/>
      <c r="H350" s="284"/>
      <c r="I350" s="284"/>
      <c r="J350" s="284"/>
      <c r="K350" s="284"/>
      <c r="L350" s="284"/>
      <c r="M350" s="284"/>
      <c r="N350" s="284"/>
      <c r="O350" s="284"/>
      <c r="P350" s="284"/>
      <c r="Q350" s="284"/>
      <c r="R350" s="284"/>
      <c r="S350" s="284"/>
      <c r="T350" s="284"/>
      <c r="U350" s="284"/>
      <c r="V350" s="284"/>
      <c r="W350" s="284"/>
      <c r="X350" s="284"/>
      <c r="Y350" s="284"/>
      <c r="Z350" s="284"/>
      <c r="AA350" s="284"/>
      <c r="AB350" s="284"/>
      <c r="AC350" s="284"/>
      <c r="AD350" s="284"/>
      <c r="AE350" s="284"/>
    </row>
    <row r="351">
      <c r="A351" s="284"/>
      <c r="B351" s="284"/>
      <c r="C351" s="284"/>
      <c r="D351" s="284"/>
      <c r="E351" s="284"/>
      <c r="F351" s="284"/>
      <c r="G351" s="284"/>
      <c r="H351" s="284"/>
      <c r="I351" s="284"/>
      <c r="J351" s="284"/>
      <c r="K351" s="284"/>
      <c r="L351" s="284"/>
      <c r="M351" s="284"/>
      <c r="N351" s="284"/>
      <c r="O351" s="284"/>
      <c r="P351" s="284"/>
      <c r="Q351" s="284"/>
      <c r="R351" s="284"/>
      <c r="S351" s="284"/>
      <c r="T351" s="284"/>
      <c r="U351" s="284"/>
      <c r="V351" s="284"/>
      <c r="W351" s="284"/>
      <c r="X351" s="284"/>
      <c r="Y351" s="284"/>
      <c r="Z351" s="284"/>
      <c r="AA351" s="284"/>
      <c r="AB351" s="284"/>
      <c r="AC351" s="284"/>
      <c r="AD351" s="284"/>
      <c r="AE351" s="284"/>
    </row>
    <row r="352">
      <c r="A352" s="284"/>
      <c r="B352" s="284"/>
      <c r="C352" s="284"/>
      <c r="D352" s="284"/>
      <c r="E352" s="284"/>
      <c r="F352" s="284"/>
      <c r="G352" s="284"/>
      <c r="H352" s="284"/>
      <c r="I352" s="284"/>
      <c r="J352" s="284"/>
      <c r="K352" s="284"/>
      <c r="L352" s="284"/>
      <c r="M352" s="284"/>
      <c r="N352" s="284"/>
      <c r="O352" s="284"/>
      <c r="P352" s="284"/>
      <c r="Q352" s="284"/>
      <c r="R352" s="284"/>
      <c r="S352" s="284"/>
      <c r="T352" s="284"/>
      <c r="U352" s="284"/>
      <c r="V352" s="284"/>
      <c r="W352" s="284"/>
      <c r="X352" s="284"/>
      <c r="Y352" s="284"/>
      <c r="Z352" s="284"/>
      <c r="AA352" s="284"/>
      <c r="AB352" s="284"/>
      <c r="AC352" s="284"/>
      <c r="AD352" s="284"/>
      <c r="AE352" s="284"/>
    </row>
    <row r="353">
      <c r="A353" s="284"/>
      <c r="B353" s="284"/>
      <c r="C353" s="284"/>
      <c r="D353" s="284"/>
      <c r="E353" s="284"/>
      <c r="F353" s="284"/>
      <c r="G353" s="284"/>
      <c r="H353" s="284"/>
      <c r="I353" s="284"/>
      <c r="J353" s="284"/>
      <c r="K353" s="284"/>
      <c r="L353" s="284"/>
      <c r="M353" s="284"/>
      <c r="N353" s="284"/>
      <c r="O353" s="284"/>
      <c r="P353" s="284"/>
      <c r="Q353" s="284"/>
      <c r="R353" s="284"/>
      <c r="S353" s="284"/>
      <c r="T353" s="284"/>
      <c r="U353" s="284"/>
      <c r="V353" s="284"/>
      <c r="W353" s="284"/>
      <c r="X353" s="284"/>
      <c r="Y353" s="284"/>
      <c r="Z353" s="284"/>
      <c r="AA353" s="284"/>
      <c r="AB353" s="284"/>
      <c r="AC353" s="284"/>
      <c r="AD353" s="284"/>
      <c r="AE353" s="284"/>
    </row>
    <row r="354">
      <c r="A354" s="284"/>
      <c r="B354" s="284"/>
      <c r="C354" s="284"/>
      <c r="D354" s="284"/>
      <c r="E354" s="284"/>
      <c r="F354" s="284"/>
      <c r="G354" s="284"/>
      <c r="H354" s="284"/>
      <c r="I354" s="284"/>
      <c r="J354" s="284"/>
      <c r="K354" s="284"/>
      <c r="L354" s="284"/>
      <c r="M354" s="284"/>
      <c r="N354" s="284"/>
      <c r="O354" s="284"/>
      <c r="P354" s="284"/>
      <c r="Q354" s="284"/>
      <c r="R354" s="284"/>
      <c r="S354" s="284"/>
      <c r="T354" s="284"/>
      <c r="U354" s="284"/>
      <c r="V354" s="284"/>
      <c r="W354" s="284"/>
      <c r="X354" s="284"/>
      <c r="Y354" s="284"/>
      <c r="Z354" s="284"/>
      <c r="AA354" s="284"/>
      <c r="AB354" s="284"/>
      <c r="AC354" s="284"/>
      <c r="AD354" s="284"/>
      <c r="AE354" s="284"/>
    </row>
    <row r="355">
      <c r="A355" s="284"/>
      <c r="B355" s="284"/>
      <c r="C355" s="284"/>
      <c r="D355" s="284"/>
      <c r="E355" s="284"/>
      <c r="F355" s="284"/>
      <c r="G355" s="284"/>
      <c r="H355" s="284"/>
      <c r="I355" s="284"/>
      <c r="J355" s="284"/>
      <c r="K355" s="284"/>
      <c r="L355" s="284"/>
      <c r="M355" s="284"/>
      <c r="N355" s="284"/>
      <c r="O355" s="284"/>
      <c r="P355" s="284"/>
      <c r="Q355" s="284"/>
      <c r="R355" s="284"/>
      <c r="S355" s="284"/>
      <c r="T355" s="284"/>
      <c r="U355" s="284"/>
      <c r="V355" s="284"/>
      <c r="W355" s="284"/>
      <c r="X355" s="284"/>
      <c r="Y355" s="284"/>
      <c r="Z355" s="284"/>
      <c r="AA355" s="284"/>
      <c r="AB355" s="284"/>
      <c r="AC355" s="284"/>
      <c r="AD355" s="284"/>
      <c r="AE355" s="284"/>
    </row>
    <row r="356">
      <c r="A356" s="284"/>
      <c r="B356" s="284"/>
      <c r="C356" s="284"/>
      <c r="D356" s="284"/>
      <c r="E356" s="284"/>
      <c r="F356" s="284"/>
      <c r="G356" s="284"/>
      <c r="H356" s="284"/>
      <c r="I356" s="284"/>
      <c r="J356" s="284"/>
      <c r="K356" s="284"/>
      <c r="L356" s="284"/>
      <c r="M356" s="284"/>
      <c r="N356" s="284"/>
      <c r="O356" s="284"/>
      <c r="P356" s="284"/>
      <c r="Q356" s="284"/>
      <c r="R356" s="284"/>
      <c r="S356" s="284"/>
      <c r="T356" s="284"/>
      <c r="U356" s="284"/>
      <c r="V356" s="284"/>
      <c r="W356" s="284"/>
      <c r="X356" s="284"/>
      <c r="Y356" s="284"/>
      <c r="Z356" s="284"/>
      <c r="AA356" s="284"/>
      <c r="AB356" s="284"/>
      <c r="AC356" s="284"/>
      <c r="AD356" s="284"/>
      <c r="AE356" s="284"/>
    </row>
    <row r="357">
      <c r="A357" s="284"/>
      <c r="B357" s="284"/>
      <c r="C357" s="284"/>
      <c r="D357" s="284"/>
      <c r="E357" s="284"/>
      <c r="F357" s="284"/>
      <c r="G357" s="284"/>
      <c r="H357" s="284"/>
      <c r="I357" s="284"/>
      <c r="J357" s="284"/>
      <c r="K357" s="284"/>
      <c r="L357" s="284"/>
      <c r="M357" s="284"/>
      <c r="N357" s="284"/>
      <c r="O357" s="284"/>
      <c r="P357" s="284"/>
      <c r="Q357" s="284"/>
      <c r="R357" s="284"/>
      <c r="S357" s="284"/>
      <c r="T357" s="284"/>
      <c r="U357" s="284"/>
      <c r="V357" s="284"/>
      <c r="W357" s="284"/>
      <c r="X357" s="284"/>
      <c r="Y357" s="284"/>
      <c r="Z357" s="284"/>
      <c r="AA357" s="284"/>
      <c r="AB357" s="284"/>
      <c r="AC357" s="284"/>
      <c r="AD357" s="284"/>
      <c r="AE357" s="284"/>
    </row>
    <row r="358">
      <c r="A358" s="284"/>
      <c r="B358" s="284"/>
      <c r="C358" s="284"/>
      <c r="D358" s="284"/>
      <c r="E358" s="284"/>
      <c r="F358" s="284"/>
      <c r="G358" s="284"/>
      <c r="H358" s="284"/>
      <c r="I358" s="284"/>
      <c r="J358" s="284"/>
      <c r="K358" s="284"/>
      <c r="L358" s="284"/>
      <c r="M358" s="284"/>
      <c r="N358" s="284"/>
      <c r="O358" s="284"/>
      <c r="P358" s="284"/>
      <c r="Q358" s="284"/>
      <c r="R358" s="284"/>
      <c r="S358" s="284"/>
      <c r="T358" s="284"/>
      <c r="U358" s="284"/>
      <c r="V358" s="284"/>
      <c r="W358" s="284"/>
      <c r="X358" s="284"/>
      <c r="Y358" s="284"/>
      <c r="Z358" s="284"/>
      <c r="AA358" s="284"/>
      <c r="AB358" s="284"/>
      <c r="AC358" s="284"/>
      <c r="AD358" s="284"/>
      <c r="AE358" s="284"/>
    </row>
    <row r="359">
      <c r="A359" s="28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row>
    <row r="360">
      <c r="A360" s="284"/>
      <c r="B360" s="284"/>
      <c r="C360" s="284"/>
      <c r="D360" s="284"/>
      <c r="E360" s="284"/>
      <c r="F360" s="284"/>
      <c r="G360" s="284"/>
      <c r="H360" s="284"/>
      <c r="I360" s="284"/>
      <c r="J360" s="284"/>
      <c r="K360" s="284"/>
      <c r="L360" s="284"/>
      <c r="M360" s="284"/>
      <c r="N360" s="284"/>
      <c r="O360" s="284"/>
      <c r="P360" s="284"/>
      <c r="Q360" s="284"/>
      <c r="R360" s="284"/>
      <c r="S360" s="284"/>
      <c r="T360" s="284"/>
      <c r="U360" s="284"/>
      <c r="V360" s="284"/>
      <c r="W360" s="284"/>
      <c r="X360" s="284"/>
      <c r="Y360" s="284"/>
      <c r="Z360" s="284"/>
      <c r="AA360" s="284"/>
      <c r="AB360" s="284"/>
      <c r="AC360" s="284"/>
      <c r="AD360" s="284"/>
      <c r="AE360" s="284"/>
    </row>
    <row r="361">
      <c r="A361" s="28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row>
    <row r="362">
      <c r="A362" s="284"/>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row>
    <row r="363">
      <c r="A363" s="284"/>
      <c r="B363" s="284"/>
      <c r="C363" s="284"/>
      <c r="D363" s="284"/>
      <c r="E363" s="284"/>
      <c r="F363" s="284"/>
      <c r="G363" s="284"/>
      <c r="H363" s="284"/>
      <c r="I363" s="284"/>
      <c r="J363" s="284"/>
      <c r="K363" s="284"/>
      <c r="L363" s="284"/>
      <c r="M363" s="284"/>
      <c r="N363" s="284"/>
      <c r="O363" s="284"/>
      <c r="P363" s="284"/>
      <c r="Q363" s="284"/>
      <c r="R363" s="284"/>
      <c r="S363" s="284"/>
      <c r="T363" s="284"/>
      <c r="U363" s="284"/>
      <c r="V363" s="284"/>
      <c r="W363" s="284"/>
      <c r="X363" s="284"/>
      <c r="Y363" s="284"/>
      <c r="Z363" s="284"/>
      <c r="AA363" s="284"/>
      <c r="AB363" s="284"/>
      <c r="AC363" s="284"/>
      <c r="AD363" s="284"/>
      <c r="AE363" s="284"/>
    </row>
    <row r="364">
      <c r="A364" s="284"/>
      <c r="B364" s="284"/>
      <c r="C364" s="284"/>
      <c r="D364" s="284"/>
      <c r="E364" s="284"/>
      <c r="F364" s="284"/>
      <c r="G364" s="284"/>
      <c r="H364" s="284"/>
      <c r="I364" s="284"/>
      <c r="J364" s="284"/>
      <c r="K364" s="284"/>
      <c r="L364" s="284"/>
      <c r="M364" s="284"/>
      <c r="N364" s="284"/>
      <c r="O364" s="284"/>
      <c r="P364" s="284"/>
      <c r="Q364" s="284"/>
      <c r="R364" s="284"/>
      <c r="S364" s="284"/>
      <c r="T364" s="284"/>
      <c r="U364" s="284"/>
      <c r="V364" s="284"/>
      <c r="W364" s="284"/>
      <c r="X364" s="284"/>
      <c r="Y364" s="284"/>
      <c r="Z364" s="284"/>
      <c r="AA364" s="284"/>
      <c r="AB364" s="284"/>
      <c r="AC364" s="284"/>
      <c r="AD364" s="284"/>
      <c r="AE364" s="284"/>
    </row>
    <row r="365">
      <c r="A365" s="284"/>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row>
    <row r="366">
      <c r="A366" s="284"/>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row>
    <row r="367">
      <c r="A367" s="284"/>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row>
    <row r="368">
      <c r="A368" s="284"/>
      <c r="B368" s="284"/>
      <c r="C368" s="284"/>
      <c r="D368" s="284"/>
      <c r="E368" s="284"/>
      <c r="F368" s="284"/>
      <c r="G368" s="284"/>
      <c r="H368" s="284"/>
      <c r="I368" s="284"/>
      <c r="J368" s="284"/>
      <c r="K368" s="284"/>
      <c r="L368" s="284"/>
      <c r="M368" s="284"/>
      <c r="N368" s="284"/>
      <c r="O368" s="284"/>
      <c r="P368" s="284"/>
      <c r="Q368" s="284"/>
      <c r="R368" s="284"/>
      <c r="S368" s="284"/>
      <c r="T368" s="284"/>
      <c r="U368" s="284"/>
      <c r="V368" s="284"/>
      <c r="W368" s="284"/>
      <c r="X368" s="284"/>
      <c r="Y368" s="284"/>
      <c r="Z368" s="284"/>
      <c r="AA368" s="284"/>
      <c r="AB368" s="284"/>
      <c r="AC368" s="284"/>
      <c r="AD368" s="284"/>
      <c r="AE368" s="284"/>
    </row>
    <row r="369">
      <c r="A369" s="284"/>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row>
    <row r="370">
      <c r="A370" s="284"/>
      <c r="B370" s="284"/>
      <c r="C370" s="284"/>
      <c r="D370" s="284"/>
      <c r="E370" s="284"/>
      <c r="F370" s="284"/>
      <c r="G370" s="284"/>
      <c r="H370" s="284"/>
      <c r="I370" s="284"/>
      <c r="J370" s="284"/>
      <c r="K370" s="284"/>
      <c r="L370" s="284"/>
      <c r="M370" s="284"/>
      <c r="N370" s="284"/>
      <c r="O370" s="284"/>
      <c r="P370" s="284"/>
      <c r="Q370" s="284"/>
      <c r="R370" s="284"/>
      <c r="S370" s="284"/>
      <c r="T370" s="284"/>
      <c r="U370" s="284"/>
      <c r="V370" s="284"/>
      <c r="W370" s="284"/>
      <c r="X370" s="284"/>
      <c r="Y370" s="284"/>
      <c r="Z370" s="284"/>
      <c r="AA370" s="284"/>
      <c r="AB370" s="284"/>
      <c r="AC370" s="284"/>
      <c r="AD370" s="284"/>
      <c r="AE370" s="284"/>
    </row>
    <row r="371">
      <c r="A371" s="284"/>
      <c r="B371" s="284"/>
      <c r="C371" s="284"/>
      <c r="D371" s="284"/>
      <c r="E371" s="284"/>
      <c r="F371" s="284"/>
      <c r="G371" s="284"/>
      <c r="H371" s="284"/>
      <c r="I371" s="284"/>
      <c r="J371" s="284"/>
      <c r="K371" s="284"/>
      <c r="L371" s="284"/>
      <c r="M371" s="284"/>
      <c r="N371" s="284"/>
      <c r="O371" s="284"/>
      <c r="P371" s="284"/>
      <c r="Q371" s="284"/>
      <c r="R371" s="284"/>
      <c r="S371" s="284"/>
      <c r="T371" s="284"/>
      <c r="U371" s="284"/>
      <c r="V371" s="284"/>
      <c r="W371" s="284"/>
      <c r="X371" s="284"/>
      <c r="Y371" s="284"/>
      <c r="Z371" s="284"/>
      <c r="AA371" s="284"/>
      <c r="AB371" s="284"/>
      <c r="AC371" s="284"/>
      <c r="AD371" s="284"/>
      <c r="AE371" s="284"/>
    </row>
    <row r="372">
      <c r="A372" s="284"/>
      <c r="B372" s="284"/>
      <c r="C372" s="284"/>
      <c r="D372" s="284"/>
      <c r="E372" s="284"/>
      <c r="F372" s="284"/>
      <c r="G372" s="284"/>
      <c r="H372" s="284"/>
      <c r="I372" s="284"/>
      <c r="J372" s="284"/>
      <c r="K372" s="284"/>
      <c r="L372" s="284"/>
      <c r="M372" s="284"/>
      <c r="N372" s="284"/>
      <c r="O372" s="284"/>
      <c r="P372" s="284"/>
      <c r="Q372" s="284"/>
      <c r="R372" s="284"/>
      <c r="S372" s="284"/>
      <c r="T372" s="284"/>
      <c r="U372" s="284"/>
      <c r="V372" s="284"/>
      <c r="W372" s="284"/>
      <c r="X372" s="284"/>
      <c r="Y372" s="284"/>
      <c r="Z372" s="284"/>
      <c r="AA372" s="284"/>
      <c r="AB372" s="284"/>
      <c r="AC372" s="284"/>
      <c r="AD372" s="284"/>
      <c r="AE372" s="284"/>
    </row>
    <row r="373">
      <c r="A373" s="284"/>
      <c r="B373" s="284"/>
      <c r="C373" s="284"/>
      <c r="D373" s="284"/>
      <c r="E373" s="284"/>
      <c r="F373" s="284"/>
      <c r="G373" s="284"/>
      <c r="H373" s="284"/>
      <c r="I373" s="284"/>
      <c r="J373" s="284"/>
      <c r="K373" s="284"/>
      <c r="L373" s="284"/>
      <c r="M373" s="284"/>
      <c r="N373" s="284"/>
      <c r="O373" s="284"/>
      <c r="P373" s="284"/>
      <c r="Q373" s="284"/>
      <c r="R373" s="284"/>
      <c r="S373" s="284"/>
      <c r="T373" s="284"/>
      <c r="U373" s="284"/>
      <c r="V373" s="284"/>
      <c r="W373" s="284"/>
      <c r="X373" s="284"/>
      <c r="Y373" s="284"/>
      <c r="Z373" s="284"/>
      <c r="AA373" s="284"/>
      <c r="AB373" s="284"/>
      <c r="AC373" s="284"/>
      <c r="AD373" s="284"/>
      <c r="AE373" s="284"/>
    </row>
    <row r="374">
      <c r="A374" s="284"/>
      <c r="B374" s="284"/>
      <c r="C374" s="284"/>
      <c r="D374" s="284"/>
      <c r="E374" s="284"/>
      <c r="F374" s="284"/>
      <c r="G374" s="284"/>
      <c r="H374" s="284"/>
      <c r="I374" s="284"/>
      <c r="J374" s="284"/>
      <c r="K374" s="284"/>
      <c r="L374" s="284"/>
      <c r="M374" s="284"/>
      <c r="N374" s="284"/>
      <c r="O374" s="284"/>
      <c r="P374" s="284"/>
      <c r="Q374" s="284"/>
      <c r="R374" s="284"/>
      <c r="S374" s="284"/>
      <c r="T374" s="284"/>
      <c r="U374" s="284"/>
      <c r="V374" s="284"/>
      <c r="W374" s="284"/>
      <c r="X374" s="284"/>
      <c r="Y374" s="284"/>
      <c r="Z374" s="284"/>
      <c r="AA374" s="284"/>
      <c r="AB374" s="284"/>
      <c r="AC374" s="284"/>
      <c r="AD374" s="284"/>
      <c r="AE374" s="284"/>
    </row>
    <row r="375">
      <c r="A375" s="284"/>
      <c r="B375" s="284"/>
      <c r="C375" s="284"/>
      <c r="D375" s="284"/>
      <c r="E375" s="284"/>
      <c r="F375" s="284"/>
      <c r="G375" s="284"/>
      <c r="H375" s="284"/>
      <c r="I375" s="284"/>
      <c r="J375" s="284"/>
      <c r="K375" s="284"/>
      <c r="L375" s="284"/>
      <c r="M375" s="284"/>
      <c r="N375" s="284"/>
      <c r="O375" s="284"/>
      <c r="P375" s="284"/>
      <c r="Q375" s="284"/>
      <c r="R375" s="284"/>
      <c r="S375" s="284"/>
      <c r="T375" s="284"/>
      <c r="U375" s="284"/>
      <c r="V375" s="284"/>
      <c r="W375" s="284"/>
      <c r="X375" s="284"/>
      <c r="Y375" s="284"/>
      <c r="Z375" s="284"/>
      <c r="AA375" s="284"/>
      <c r="AB375" s="284"/>
      <c r="AC375" s="284"/>
      <c r="AD375" s="284"/>
      <c r="AE375" s="284"/>
    </row>
    <row r="376">
      <c r="A376" s="284"/>
      <c r="B376" s="284"/>
      <c r="C376" s="284"/>
      <c r="D376" s="284"/>
      <c r="E376" s="284"/>
      <c r="F376" s="284"/>
      <c r="G376" s="284"/>
      <c r="H376" s="284"/>
      <c r="I376" s="284"/>
      <c r="J376" s="284"/>
      <c r="K376" s="284"/>
      <c r="L376" s="284"/>
      <c r="M376" s="284"/>
      <c r="N376" s="284"/>
      <c r="O376" s="284"/>
      <c r="P376" s="284"/>
      <c r="Q376" s="284"/>
      <c r="R376" s="284"/>
      <c r="S376" s="284"/>
      <c r="T376" s="284"/>
      <c r="U376" s="284"/>
      <c r="V376" s="284"/>
      <c r="W376" s="284"/>
      <c r="X376" s="284"/>
      <c r="Y376" s="284"/>
      <c r="Z376" s="284"/>
      <c r="AA376" s="284"/>
      <c r="AB376" s="284"/>
      <c r="AC376" s="284"/>
      <c r="AD376" s="284"/>
      <c r="AE376" s="284"/>
    </row>
    <row r="377">
      <c r="A377" s="284"/>
      <c r="B377" s="284"/>
      <c r="C377" s="284"/>
      <c r="D377" s="284"/>
      <c r="E377" s="284"/>
      <c r="F377" s="284"/>
      <c r="G377" s="284"/>
      <c r="H377" s="284"/>
      <c r="I377" s="284"/>
      <c r="J377" s="284"/>
      <c r="K377" s="284"/>
      <c r="L377" s="284"/>
      <c r="M377" s="284"/>
      <c r="N377" s="284"/>
      <c r="O377" s="284"/>
      <c r="P377" s="284"/>
      <c r="Q377" s="284"/>
      <c r="R377" s="284"/>
      <c r="S377" s="284"/>
      <c r="T377" s="284"/>
      <c r="U377" s="284"/>
      <c r="V377" s="284"/>
      <c r="W377" s="284"/>
      <c r="X377" s="284"/>
      <c r="Y377" s="284"/>
      <c r="Z377" s="284"/>
      <c r="AA377" s="284"/>
      <c r="AB377" s="284"/>
      <c r="AC377" s="284"/>
      <c r="AD377" s="284"/>
      <c r="AE377" s="284"/>
    </row>
    <row r="378">
      <c r="A378" s="284"/>
      <c r="B378" s="284"/>
      <c r="C378" s="284"/>
      <c r="D378" s="284"/>
      <c r="E378" s="284"/>
      <c r="F378" s="284"/>
      <c r="G378" s="284"/>
      <c r="H378" s="284"/>
      <c r="I378" s="284"/>
      <c r="J378" s="284"/>
      <c r="K378" s="284"/>
      <c r="L378" s="284"/>
      <c r="M378" s="284"/>
      <c r="N378" s="284"/>
      <c r="O378" s="284"/>
      <c r="P378" s="284"/>
      <c r="Q378" s="284"/>
      <c r="R378" s="284"/>
      <c r="S378" s="284"/>
      <c r="T378" s="284"/>
      <c r="U378" s="284"/>
      <c r="V378" s="284"/>
      <c r="W378" s="284"/>
      <c r="X378" s="284"/>
      <c r="Y378" s="284"/>
      <c r="Z378" s="284"/>
      <c r="AA378" s="284"/>
      <c r="AB378" s="284"/>
      <c r="AC378" s="284"/>
      <c r="AD378" s="284"/>
      <c r="AE378" s="284"/>
    </row>
    <row r="379">
      <c r="A379" s="284"/>
      <c r="B379" s="284"/>
      <c r="C379" s="284"/>
      <c r="D379" s="284"/>
      <c r="E379" s="284"/>
      <c r="F379" s="284"/>
      <c r="G379" s="284"/>
      <c r="H379" s="284"/>
      <c r="I379" s="284"/>
      <c r="J379" s="284"/>
      <c r="K379" s="284"/>
      <c r="L379" s="284"/>
      <c r="M379" s="284"/>
      <c r="N379" s="284"/>
      <c r="O379" s="284"/>
      <c r="P379" s="284"/>
      <c r="Q379" s="284"/>
      <c r="R379" s="284"/>
      <c r="S379" s="284"/>
      <c r="T379" s="284"/>
      <c r="U379" s="284"/>
      <c r="V379" s="284"/>
      <c r="W379" s="284"/>
      <c r="X379" s="284"/>
      <c r="Y379" s="284"/>
      <c r="Z379" s="284"/>
      <c r="AA379" s="284"/>
      <c r="AB379" s="284"/>
      <c r="AC379" s="284"/>
      <c r="AD379" s="284"/>
      <c r="AE379" s="284"/>
    </row>
    <row r="380">
      <c r="A380" s="284"/>
      <c r="B380" s="284"/>
      <c r="C380" s="284"/>
      <c r="D380" s="284"/>
      <c r="E380" s="284"/>
      <c r="F380" s="284"/>
      <c r="G380" s="284"/>
      <c r="H380" s="284"/>
      <c r="I380" s="284"/>
      <c r="J380" s="284"/>
      <c r="K380" s="284"/>
      <c r="L380" s="284"/>
      <c r="M380" s="284"/>
      <c r="N380" s="284"/>
      <c r="O380" s="284"/>
      <c r="P380" s="284"/>
      <c r="Q380" s="284"/>
      <c r="R380" s="284"/>
      <c r="S380" s="284"/>
      <c r="T380" s="284"/>
      <c r="U380" s="284"/>
      <c r="V380" s="284"/>
      <c r="W380" s="284"/>
      <c r="X380" s="284"/>
      <c r="Y380" s="284"/>
      <c r="Z380" s="284"/>
      <c r="AA380" s="284"/>
      <c r="AB380" s="284"/>
      <c r="AC380" s="284"/>
      <c r="AD380" s="284"/>
      <c r="AE380" s="284"/>
    </row>
    <row r="381">
      <c r="A381" s="284"/>
      <c r="B381" s="284"/>
      <c r="C381" s="284"/>
      <c r="D381" s="284"/>
      <c r="E381" s="284"/>
      <c r="F381" s="284"/>
      <c r="G381" s="284"/>
      <c r="H381" s="284"/>
      <c r="I381" s="284"/>
      <c r="J381" s="284"/>
      <c r="K381" s="284"/>
      <c r="L381" s="284"/>
      <c r="M381" s="284"/>
      <c r="N381" s="284"/>
      <c r="O381" s="284"/>
      <c r="P381" s="284"/>
      <c r="Q381" s="284"/>
      <c r="R381" s="284"/>
      <c r="S381" s="284"/>
      <c r="T381" s="284"/>
      <c r="U381" s="284"/>
      <c r="V381" s="284"/>
      <c r="W381" s="284"/>
      <c r="X381" s="284"/>
      <c r="Y381" s="284"/>
      <c r="Z381" s="284"/>
      <c r="AA381" s="284"/>
      <c r="AB381" s="284"/>
      <c r="AC381" s="284"/>
      <c r="AD381" s="284"/>
      <c r="AE381" s="284"/>
    </row>
    <row r="382">
      <c r="A382" s="284"/>
      <c r="B382" s="284"/>
      <c r="C382" s="284"/>
      <c r="D382" s="284"/>
      <c r="E382" s="284"/>
      <c r="F382" s="284"/>
      <c r="G382" s="284"/>
      <c r="H382" s="284"/>
      <c r="I382" s="284"/>
      <c r="J382" s="284"/>
      <c r="K382" s="284"/>
      <c r="L382" s="284"/>
      <c r="M382" s="284"/>
      <c r="N382" s="284"/>
      <c r="O382" s="284"/>
      <c r="P382" s="284"/>
      <c r="Q382" s="284"/>
      <c r="R382" s="284"/>
      <c r="S382" s="284"/>
      <c r="T382" s="284"/>
      <c r="U382" s="284"/>
      <c r="V382" s="284"/>
      <c r="W382" s="284"/>
      <c r="X382" s="284"/>
      <c r="Y382" s="284"/>
      <c r="Z382" s="284"/>
      <c r="AA382" s="284"/>
      <c r="AB382" s="284"/>
      <c r="AC382" s="284"/>
      <c r="AD382" s="284"/>
      <c r="AE382" s="284"/>
    </row>
    <row r="383">
      <c r="A383" s="284"/>
      <c r="B383" s="284"/>
      <c r="C383" s="284"/>
      <c r="D383" s="284"/>
      <c r="E383" s="284"/>
      <c r="F383" s="284"/>
      <c r="G383" s="284"/>
      <c r="H383" s="284"/>
      <c r="I383" s="284"/>
      <c r="J383" s="284"/>
      <c r="K383" s="284"/>
      <c r="L383" s="284"/>
      <c r="M383" s="284"/>
      <c r="N383" s="284"/>
      <c r="O383" s="284"/>
      <c r="P383" s="284"/>
      <c r="Q383" s="284"/>
      <c r="R383" s="284"/>
      <c r="S383" s="284"/>
      <c r="T383" s="284"/>
      <c r="U383" s="284"/>
      <c r="V383" s="284"/>
      <c r="W383" s="284"/>
      <c r="X383" s="284"/>
      <c r="Y383" s="284"/>
      <c r="Z383" s="284"/>
      <c r="AA383" s="284"/>
      <c r="AB383" s="284"/>
      <c r="AC383" s="284"/>
      <c r="AD383" s="284"/>
      <c r="AE383" s="284"/>
    </row>
    <row r="384">
      <c r="A384" s="284"/>
      <c r="B384" s="284"/>
      <c r="C384" s="284"/>
      <c r="D384" s="284"/>
      <c r="E384" s="284"/>
      <c r="F384" s="284"/>
      <c r="G384" s="284"/>
      <c r="H384" s="284"/>
      <c r="I384" s="284"/>
      <c r="J384" s="284"/>
      <c r="K384" s="284"/>
      <c r="L384" s="284"/>
      <c r="M384" s="284"/>
      <c r="N384" s="284"/>
      <c r="O384" s="284"/>
      <c r="P384" s="284"/>
      <c r="Q384" s="284"/>
      <c r="R384" s="284"/>
      <c r="S384" s="284"/>
      <c r="T384" s="284"/>
      <c r="U384" s="284"/>
      <c r="V384" s="284"/>
      <c r="W384" s="284"/>
      <c r="X384" s="284"/>
      <c r="Y384" s="284"/>
      <c r="Z384" s="284"/>
      <c r="AA384" s="284"/>
      <c r="AB384" s="284"/>
      <c r="AC384" s="284"/>
      <c r="AD384" s="284"/>
      <c r="AE384" s="284"/>
    </row>
    <row r="385">
      <c r="A385" s="284"/>
      <c r="B385" s="284"/>
      <c r="C385" s="284"/>
      <c r="D385" s="284"/>
      <c r="E385" s="284"/>
      <c r="F385" s="284"/>
      <c r="G385" s="284"/>
      <c r="H385" s="284"/>
      <c r="I385" s="284"/>
      <c r="J385" s="284"/>
      <c r="K385" s="284"/>
      <c r="L385" s="284"/>
      <c r="M385" s="284"/>
      <c r="N385" s="284"/>
      <c r="O385" s="284"/>
      <c r="P385" s="284"/>
      <c r="Q385" s="284"/>
      <c r="R385" s="284"/>
      <c r="S385" s="284"/>
      <c r="T385" s="284"/>
      <c r="U385" s="284"/>
      <c r="V385" s="284"/>
      <c r="W385" s="284"/>
      <c r="X385" s="284"/>
      <c r="Y385" s="284"/>
      <c r="Z385" s="284"/>
      <c r="AA385" s="284"/>
      <c r="AB385" s="284"/>
      <c r="AC385" s="284"/>
      <c r="AD385" s="284"/>
      <c r="AE385" s="284"/>
    </row>
    <row r="386">
      <c r="A386" s="284"/>
      <c r="B386" s="284"/>
      <c r="C386" s="284"/>
      <c r="D386" s="284"/>
      <c r="E386" s="284"/>
      <c r="F386" s="284"/>
      <c r="G386" s="284"/>
      <c r="H386" s="284"/>
      <c r="I386" s="284"/>
      <c r="J386" s="284"/>
      <c r="K386" s="284"/>
      <c r="L386" s="284"/>
      <c r="M386" s="284"/>
      <c r="N386" s="284"/>
      <c r="O386" s="284"/>
      <c r="P386" s="284"/>
      <c r="Q386" s="284"/>
      <c r="R386" s="284"/>
      <c r="S386" s="284"/>
      <c r="T386" s="284"/>
      <c r="U386" s="284"/>
      <c r="V386" s="284"/>
      <c r="W386" s="284"/>
      <c r="X386" s="284"/>
      <c r="Y386" s="284"/>
      <c r="Z386" s="284"/>
      <c r="AA386" s="284"/>
      <c r="AB386" s="284"/>
      <c r="AC386" s="284"/>
      <c r="AD386" s="284"/>
      <c r="AE386" s="284"/>
    </row>
    <row r="387">
      <c r="A387" s="284"/>
      <c r="B387" s="284"/>
      <c r="C387" s="284"/>
      <c r="D387" s="284"/>
      <c r="E387" s="284"/>
      <c r="F387" s="284"/>
      <c r="G387" s="284"/>
      <c r="H387" s="284"/>
      <c r="I387" s="284"/>
      <c r="J387" s="284"/>
      <c r="K387" s="284"/>
      <c r="L387" s="284"/>
      <c r="M387" s="284"/>
      <c r="N387" s="284"/>
      <c r="O387" s="284"/>
      <c r="P387" s="284"/>
      <c r="Q387" s="284"/>
      <c r="R387" s="284"/>
      <c r="S387" s="284"/>
      <c r="T387" s="284"/>
      <c r="U387" s="284"/>
      <c r="V387" s="284"/>
      <c r="W387" s="284"/>
      <c r="X387" s="284"/>
      <c r="Y387" s="284"/>
      <c r="Z387" s="284"/>
      <c r="AA387" s="284"/>
      <c r="AB387" s="284"/>
      <c r="AC387" s="284"/>
      <c r="AD387" s="284"/>
      <c r="AE387" s="284"/>
    </row>
    <row r="388">
      <c r="A388" s="28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row>
    <row r="389">
      <c r="A389" s="284"/>
      <c r="B389" s="284"/>
      <c r="C389" s="284"/>
      <c r="D389" s="284"/>
      <c r="E389" s="284"/>
      <c r="F389" s="284"/>
      <c r="G389" s="284"/>
      <c r="H389" s="284"/>
      <c r="I389" s="284"/>
      <c r="J389" s="284"/>
      <c r="K389" s="284"/>
      <c r="L389" s="284"/>
      <c r="M389" s="284"/>
      <c r="N389" s="284"/>
      <c r="O389" s="284"/>
      <c r="P389" s="284"/>
      <c r="Q389" s="284"/>
      <c r="R389" s="284"/>
      <c r="S389" s="284"/>
      <c r="T389" s="284"/>
      <c r="U389" s="284"/>
      <c r="V389" s="284"/>
      <c r="W389" s="284"/>
      <c r="X389" s="284"/>
      <c r="Y389" s="284"/>
      <c r="Z389" s="284"/>
      <c r="AA389" s="284"/>
      <c r="AB389" s="284"/>
      <c r="AC389" s="284"/>
      <c r="AD389" s="284"/>
      <c r="AE389" s="284"/>
    </row>
    <row r="390">
      <c r="A390" s="28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row>
    <row r="391">
      <c r="A391" s="284"/>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row>
    <row r="392">
      <c r="A392" s="284"/>
      <c r="B392" s="284"/>
      <c r="C392" s="284"/>
      <c r="D392" s="284"/>
      <c r="E392" s="284"/>
      <c r="F392" s="284"/>
      <c r="G392" s="284"/>
      <c r="H392" s="284"/>
      <c r="I392" s="284"/>
      <c r="J392" s="284"/>
      <c r="K392" s="284"/>
      <c r="L392" s="284"/>
      <c r="M392" s="284"/>
      <c r="N392" s="284"/>
      <c r="O392" s="284"/>
      <c r="P392" s="284"/>
      <c r="Q392" s="284"/>
      <c r="R392" s="284"/>
      <c r="S392" s="284"/>
      <c r="T392" s="284"/>
      <c r="U392" s="284"/>
      <c r="V392" s="284"/>
      <c r="W392" s="284"/>
      <c r="X392" s="284"/>
      <c r="Y392" s="284"/>
      <c r="Z392" s="284"/>
      <c r="AA392" s="284"/>
      <c r="AB392" s="284"/>
      <c r="AC392" s="284"/>
      <c r="AD392" s="284"/>
      <c r="AE392" s="284"/>
    </row>
    <row r="393">
      <c r="A393" s="284"/>
      <c r="B393" s="284"/>
      <c r="C393" s="284"/>
      <c r="D393" s="284"/>
      <c r="E393" s="284"/>
      <c r="F393" s="284"/>
      <c r="G393" s="284"/>
      <c r="H393" s="284"/>
      <c r="I393" s="284"/>
      <c r="J393" s="284"/>
      <c r="K393" s="284"/>
      <c r="L393" s="284"/>
      <c r="M393" s="284"/>
      <c r="N393" s="284"/>
      <c r="O393" s="284"/>
      <c r="P393" s="284"/>
      <c r="Q393" s="284"/>
      <c r="R393" s="284"/>
      <c r="S393" s="284"/>
      <c r="T393" s="284"/>
      <c r="U393" s="284"/>
      <c r="V393" s="284"/>
      <c r="W393" s="284"/>
      <c r="X393" s="284"/>
      <c r="Y393" s="284"/>
      <c r="Z393" s="284"/>
      <c r="AA393" s="284"/>
      <c r="AB393" s="284"/>
      <c r="AC393" s="284"/>
      <c r="AD393" s="284"/>
      <c r="AE393" s="284"/>
    </row>
    <row r="394">
      <c r="A394" s="284"/>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row>
    <row r="395">
      <c r="A395" s="284"/>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row>
    <row r="396">
      <c r="A396" s="284"/>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row>
    <row r="397">
      <c r="A397" s="284"/>
      <c r="B397" s="284"/>
      <c r="C397" s="284"/>
      <c r="D397" s="284"/>
      <c r="E397" s="284"/>
      <c r="F397" s="284"/>
      <c r="G397" s="284"/>
      <c r="H397" s="284"/>
      <c r="I397" s="284"/>
      <c r="J397" s="284"/>
      <c r="K397" s="284"/>
      <c r="L397" s="284"/>
      <c r="M397" s="284"/>
      <c r="N397" s="284"/>
      <c r="O397" s="284"/>
      <c r="P397" s="284"/>
      <c r="Q397" s="284"/>
      <c r="R397" s="284"/>
      <c r="S397" s="284"/>
      <c r="T397" s="284"/>
      <c r="U397" s="284"/>
      <c r="V397" s="284"/>
      <c r="W397" s="284"/>
      <c r="X397" s="284"/>
      <c r="Y397" s="284"/>
      <c r="Z397" s="284"/>
      <c r="AA397" s="284"/>
      <c r="AB397" s="284"/>
      <c r="AC397" s="284"/>
      <c r="AD397" s="284"/>
      <c r="AE397" s="284"/>
    </row>
    <row r="398">
      <c r="A398" s="284"/>
      <c r="B398" s="284"/>
      <c r="C398" s="284"/>
      <c r="D398" s="284"/>
      <c r="E398" s="284"/>
      <c r="F398" s="284"/>
      <c r="G398" s="284"/>
      <c r="H398" s="284"/>
      <c r="I398" s="284"/>
      <c r="J398" s="284"/>
      <c r="K398" s="284"/>
      <c r="L398" s="284"/>
      <c r="M398" s="284"/>
      <c r="N398" s="284"/>
      <c r="O398" s="284"/>
      <c r="P398" s="284"/>
      <c r="Q398" s="284"/>
      <c r="R398" s="284"/>
      <c r="S398" s="284"/>
      <c r="T398" s="284"/>
      <c r="U398" s="284"/>
      <c r="V398" s="284"/>
      <c r="W398" s="284"/>
      <c r="X398" s="284"/>
      <c r="Y398" s="284"/>
      <c r="Z398" s="284"/>
      <c r="AA398" s="284"/>
      <c r="AB398" s="284"/>
      <c r="AC398" s="284"/>
      <c r="AD398" s="284"/>
      <c r="AE398" s="284"/>
    </row>
    <row r="399">
      <c r="A399" s="284"/>
      <c r="B399" s="284"/>
      <c r="C399" s="284"/>
      <c r="D399" s="284"/>
      <c r="E399" s="284"/>
      <c r="F399" s="284"/>
      <c r="G399" s="284"/>
      <c r="H399" s="284"/>
      <c r="I399" s="284"/>
      <c r="J399" s="284"/>
      <c r="K399" s="284"/>
      <c r="L399" s="284"/>
      <c r="M399" s="284"/>
      <c r="N399" s="284"/>
      <c r="O399" s="284"/>
      <c r="P399" s="284"/>
      <c r="Q399" s="284"/>
      <c r="R399" s="284"/>
      <c r="S399" s="284"/>
      <c r="T399" s="284"/>
      <c r="U399" s="284"/>
      <c r="V399" s="284"/>
      <c r="W399" s="284"/>
      <c r="X399" s="284"/>
      <c r="Y399" s="284"/>
      <c r="Z399" s="284"/>
      <c r="AA399" s="284"/>
      <c r="AB399" s="284"/>
      <c r="AC399" s="284"/>
      <c r="AD399" s="284"/>
      <c r="AE399" s="284"/>
    </row>
    <row r="400">
      <c r="A400" s="284"/>
      <c r="B400" s="284"/>
      <c r="C400" s="284"/>
      <c r="D400" s="284"/>
      <c r="E400" s="284"/>
      <c r="F400" s="284"/>
      <c r="G400" s="284"/>
      <c r="H400" s="284"/>
      <c r="I400" s="284"/>
      <c r="J400" s="284"/>
      <c r="K400" s="284"/>
      <c r="L400" s="284"/>
      <c r="M400" s="284"/>
      <c r="N400" s="284"/>
      <c r="O400" s="284"/>
      <c r="P400" s="284"/>
      <c r="Q400" s="284"/>
      <c r="R400" s="284"/>
      <c r="S400" s="284"/>
      <c r="T400" s="284"/>
      <c r="U400" s="284"/>
      <c r="V400" s="284"/>
      <c r="W400" s="284"/>
      <c r="X400" s="284"/>
      <c r="Y400" s="284"/>
      <c r="Z400" s="284"/>
      <c r="AA400" s="284"/>
      <c r="AB400" s="284"/>
      <c r="AC400" s="284"/>
      <c r="AD400" s="284"/>
      <c r="AE400" s="284"/>
    </row>
    <row r="401">
      <c r="A401" s="284"/>
      <c r="B401" s="284"/>
      <c r="C401" s="284"/>
      <c r="D401" s="284"/>
      <c r="E401" s="284"/>
      <c r="F401" s="284"/>
      <c r="G401" s="284"/>
      <c r="H401" s="284"/>
      <c r="I401" s="284"/>
      <c r="J401" s="284"/>
      <c r="K401" s="284"/>
      <c r="L401" s="284"/>
      <c r="M401" s="284"/>
      <c r="N401" s="284"/>
      <c r="O401" s="284"/>
      <c r="P401" s="284"/>
      <c r="Q401" s="284"/>
      <c r="R401" s="284"/>
      <c r="S401" s="284"/>
      <c r="T401" s="284"/>
      <c r="U401" s="284"/>
      <c r="V401" s="284"/>
      <c r="W401" s="284"/>
      <c r="X401" s="284"/>
      <c r="Y401" s="284"/>
      <c r="Z401" s="284"/>
      <c r="AA401" s="284"/>
      <c r="AB401" s="284"/>
      <c r="AC401" s="284"/>
      <c r="AD401" s="284"/>
      <c r="AE401" s="284"/>
    </row>
    <row r="402">
      <c r="A402" s="284"/>
      <c r="B402" s="284"/>
      <c r="C402" s="284"/>
      <c r="D402" s="284"/>
      <c r="E402" s="284"/>
      <c r="F402" s="284"/>
      <c r="G402" s="284"/>
      <c r="H402" s="284"/>
      <c r="I402" s="284"/>
      <c r="J402" s="284"/>
      <c r="K402" s="284"/>
      <c r="L402" s="284"/>
      <c r="M402" s="284"/>
      <c r="N402" s="284"/>
      <c r="O402" s="284"/>
      <c r="P402" s="284"/>
      <c r="Q402" s="284"/>
      <c r="R402" s="284"/>
      <c r="S402" s="284"/>
      <c r="T402" s="284"/>
      <c r="U402" s="284"/>
      <c r="V402" s="284"/>
      <c r="W402" s="284"/>
      <c r="X402" s="284"/>
      <c r="Y402" s="284"/>
      <c r="Z402" s="284"/>
      <c r="AA402" s="284"/>
      <c r="AB402" s="284"/>
      <c r="AC402" s="284"/>
      <c r="AD402" s="284"/>
      <c r="AE402" s="284"/>
    </row>
    <row r="403">
      <c r="A403" s="284"/>
      <c r="B403" s="284"/>
      <c r="C403" s="284"/>
      <c r="D403" s="284"/>
      <c r="E403" s="284"/>
      <c r="F403" s="284"/>
      <c r="G403" s="284"/>
      <c r="H403" s="284"/>
      <c r="I403" s="284"/>
      <c r="J403" s="284"/>
      <c r="K403" s="284"/>
      <c r="L403" s="284"/>
      <c r="M403" s="284"/>
      <c r="N403" s="284"/>
      <c r="O403" s="284"/>
      <c r="P403" s="284"/>
      <c r="Q403" s="284"/>
      <c r="R403" s="284"/>
      <c r="S403" s="284"/>
      <c r="T403" s="284"/>
      <c r="U403" s="284"/>
      <c r="V403" s="284"/>
      <c r="W403" s="284"/>
      <c r="X403" s="284"/>
      <c r="Y403" s="284"/>
      <c r="Z403" s="284"/>
      <c r="AA403" s="284"/>
      <c r="AB403" s="284"/>
      <c r="AC403" s="284"/>
      <c r="AD403" s="284"/>
      <c r="AE403" s="284"/>
    </row>
    <row r="404">
      <c r="A404" s="284"/>
      <c r="B404" s="284"/>
      <c r="C404" s="284"/>
      <c r="D404" s="284"/>
      <c r="E404" s="284"/>
      <c r="F404" s="284"/>
      <c r="G404" s="284"/>
      <c r="H404" s="284"/>
      <c r="I404" s="284"/>
      <c r="J404" s="284"/>
      <c r="K404" s="284"/>
      <c r="L404" s="284"/>
      <c r="M404" s="284"/>
      <c r="N404" s="284"/>
      <c r="O404" s="284"/>
      <c r="P404" s="284"/>
      <c r="Q404" s="284"/>
      <c r="R404" s="284"/>
      <c r="S404" s="284"/>
      <c r="T404" s="284"/>
      <c r="U404" s="284"/>
      <c r="V404" s="284"/>
      <c r="W404" s="284"/>
      <c r="X404" s="284"/>
      <c r="Y404" s="284"/>
      <c r="Z404" s="284"/>
      <c r="AA404" s="284"/>
      <c r="AB404" s="284"/>
      <c r="AC404" s="284"/>
      <c r="AD404" s="284"/>
      <c r="AE404" s="284"/>
    </row>
    <row r="405">
      <c r="A405" s="284"/>
      <c r="B405" s="284"/>
      <c r="C405" s="284"/>
      <c r="D405" s="284"/>
      <c r="E405" s="284"/>
      <c r="F405" s="284"/>
      <c r="G405" s="284"/>
      <c r="H405" s="284"/>
      <c r="I405" s="284"/>
      <c r="J405" s="284"/>
      <c r="K405" s="284"/>
      <c r="L405" s="284"/>
      <c r="M405" s="284"/>
      <c r="N405" s="284"/>
      <c r="O405" s="284"/>
      <c r="P405" s="284"/>
      <c r="Q405" s="284"/>
      <c r="R405" s="284"/>
      <c r="S405" s="284"/>
      <c r="T405" s="284"/>
      <c r="U405" s="284"/>
      <c r="V405" s="284"/>
      <c r="W405" s="284"/>
      <c r="X405" s="284"/>
      <c r="Y405" s="284"/>
      <c r="Z405" s="284"/>
      <c r="AA405" s="284"/>
      <c r="AB405" s="284"/>
      <c r="AC405" s="284"/>
      <c r="AD405" s="284"/>
      <c r="AE405" s="284"/>
    </row>
    <row r="406">
      <c r="A406" s="284"/>
      <c r="B406" s="284"/>
      <c r="C406" s="284"/>
      <c r="D406" s="284"/>
      <c r="E406" s="284"/>
      <c r="F406" s="284"/>
      <c r="G406" s="284"/>
      <c r="H406" s="284"/>
      <c r="I406" s="284"/>
      <c r="J406" s="284"/>
      <c r="K406" s="284"/>
      <c r="L406" s="284"/>
      <c r="M406" s="284"/>
      <c r="N406" s="284"/>
      <c r="O406" s="284"/>
      <c r="P406" s="284"/>
      <c r="Q406" s="284"/>
      <c r="R406" s="284"/>
      <c r="S406" s="284"/>
      <c r="T406" s="284"/>
      <c r="U406" s="284"/>
      <c r="V406" s="284"/>
      <c r="W406" s="284"/>
      <c r="X406" s="284"/>
      <c r="Y406" s="284"/>
      <c r="Z406" s="284"/>
      <c r="AA406" s="284"/>
      <c r="AB406" s="284"/>
      <c r="AC406" s="284"/>
      <c r="AD406" s="284"/>
      <c r="AE406" s="284"/>
    </row>
    <row r="407">
      <c r="A407" s="284"/>
      <c r="B407" s="284"/>
      <c r="C407" s="284"/>
      <c r="D407" s="284"/>
      <c r="E407" s="284"/>
      <c r="F407" s="284"/>
      <c r="G407" s="284"/>
      <c r="H407" s="284"/>
      <c r="I407" s="284"/>
      <c r="J407" s="284"/>
      <c r="K407" s="284"/>
      <c r="L407" s="284"/>
      <c r="M407" s="284"/>
      <c r="N407" s="284"/>
      <c r="O407" s="284"/>
      <c r="P407" s="284"/>
      <c r="Q407" s="284"/>
      <c r="R407" s="284"/>
      <c r="S407" s="284"/>
      <c r="T407" s="284"/>
      <c r="U407" s="284"/>
      <c r="V407" s="284"/>
      <c r="W407" s="284"/>
      <c r="X407" s="284"/>
      <c r="Y407" s="284"/>
      <c r="Z407" s="284"/>
      <c r="AA407" s="284"/>
      <c r="AB407" s="284"/>
      <c r="AC407" s="284"/>
      <c r="AD407" s="284"/>
      <c r="AE407" s="284"/>
    </row>
    <row r="408">
      <c r="A408" s="284"/>
      <c r="B408" s="284"/>
      <c r="C408" s="284"/>
      <c r="D408" s="284"/>
      <c r="E408" s="284"/>
      <c r="F408" s="284"/>
      <c r="G408" s="284"/>
      <c r="H408" s="284"/>
      <c r="I408" s="284"/>
      <c r="J408" s="284"/>
      <c r="K408" s="284"/>
      <c r="L408" s="284"/>
      <c r="M408" s="284"/>
      <c r="N408" s="284"/>
      <c r="O408" s="284"/>
      <c r="P408" s="284"/>
      <c r="Q408" s="284"/>
      <c r="R408" s="284"/>
      <c r="S408" s="284"/>
      <c r="T408" s="284"/>
      <c r="U408" s="284"/>
      <c r="V408" s="284"/>
      <c r="W408" s="284"/>
      <c r="X408" s="284"/>
      <c r="Y408" s="284"/>
      <c r="Z408" s="284"/>
      <c r="AA408" s="284"/>
      <c r="AB408" s="284"/>
      <c r="AC408" s="284"/>
      <c r="AD408" s="284"/>
      <c r="AE408" s="284"/>
    </row>
    <row r="409">
      <c r="A409" s="284"/>
      <c r="B409" s="284"/>
      <c r="C409" s="284"/>
      <c r="D409" s="284"/>
      <c r="E409" s="284"/>
      <c r="F409" s="284"/>
      <c r="G409" s="284"/>
      <c r="H409" s="284"/>
      <c r="I409" s="284"/>
      <c r="J409" s="284"/>
      <c r="K409" s="284"/>
      <c r="L409" s="284"/>
      <c r="M409" s="284"/>
      <c r="N409" s="284"/>
      <c r="O409" s="284"/>
      <c r="P409" s="284"/>
      <c r="Q409" s="284"/>
      <c r="R409" s="284"/>
      <c r="S409" s="284"/>
      <c r="T409" s="284"/>
      <c r="U409" s="284"/>
      <c r="V409" s="284"/>
      <c r="W409" s="284"/>
      <c r="X409" s="284"/>
      <c r="Y409" s="284"/>
      <c r="Z409" s="284"/>
      <c r="AA409" s="284"/>
      <c r="AB409" s="284"/>
      <c r="AC409" s="284"/>
      <c r="AD409" s="284"/>
      <c r="AE409" s="284"/>
    </row>
    <row r="410">
      <c r="A410" s="284"/>
      <c r="B410" s="284"/>
      <c r="C410" s="284"/>
      <c r="D410" s="284"/>
      <c r="E410" s="284"/>
      <c r="F410" s="284"/>
      <c r="G410" s="284"/>
      <c r="H410" s="284"/>
      <c r="I410" s="284"/>
      <c r="J410" s="284"/>
      <c r="K410" s="284"/>
      <c r="L410" s="284"/>
      <c r="M410" s="284"/>
      <c r="N410" s="284"/>
      <c r="O410" s="284"/>
      <c r="P410" s="284"/>
      <c r="Q410" s="284"/>
      <c r="R410" s="284"/>
      <c r="S410" s="284"/>
      <c r="T410" s="284"/>
      <c r="U410" s="284"/>
      <c r="V410" s="284"/>
      <c r="W410" s="284"/>
      <c r="X410" s="284"/>
      <c r="Y410" s="284"/>
      <c r="Z410" s="284"/>
      <c r="AA410" s="284"/>
      <c r="AB410" s="284"/>
      <c r="AC410" s="284"/>
      <c r="AD410" s="284"/>
      <c r="AE410" s="284"/>
    </row>
    <row r="411">
      <c r="A411" s="284"/>
      <c r="B411" s="284"/>
      <c r="C411" s="284"/>
      <c r="D411" s="284"/>
      <c r="E411" s="284"/>
      <c r="F411" s="284"/>
      <c r="G411" s="284"/>
      <c r="H411" s="284"/>
      <c r="I411" s="284"/>
      <c r="J411" s="284"/>
      <c r="K411" s="284"/>
      <c r="L411" s="284"/>
      <c r="M411" s="284"/>
      <c r="N411" s="284"/>
      <c r="O411" s="284"/>
      <c r="P411" s="284"/>
      <c r="Q411" s="284"/>
      <c r="R411" s="284"/>
      <c r="S411" s="284"/>
      <c r="T411" s="284"/>
      <c r="U411" s="284"/>
      <c r="V411" s="284"/>
      <c r="W411" s="284"/>
      <c r="X411" s="284"/>
      <c r="Y411" s="284"/>
      <c r="Z411" s="284"/>
      <c r="AA411" s="284"/>
      <c r="AB411" s="284"/>
      <c r="AC411" s="284"/>
      <c r="AD411" s="284"/>
      <c r="AE411" s="284"/>
    </row>
    <row r="412">
      <c r="A412" s="284"/>
      <c r="B412" s="284"/>
      <c r="C412" s="284"/>
      <c r="D412" s="284"/>
      <c r="E412" s="284"/>
      <c r="F412" s="284"/>
      <c r="G412" s="284"/>
      <c r="H412" s="284"/>
      <c r="I412" s="284"/>
      <c r="J412" s="284"/>
      <c r="K412" s="284"/>
      <c r="L412" s="284"/>
      <c r="M412" s="284"/>
      <c r="N412" s="284"/>
      <c r="O412" s="284"/>
      <c r="P412" s="284"/>
      <c r="Q412" s="284"/>
      <c r="R412" s="284"/>
      <c r="S412" s="284"/>
      <c r="T412" s="284"/>
      <c r="U412" s="284"/>
      <c r="V412" s="284"/>
      <c r="W412" s="284"/>
      <c r="X412" s="284"/>
      <c r="Y412" s="284"/>
      <c r="Z412" s="284"/>
      <c r="AA412" s="284"/>
      <c r="AB412" s="284"/>
      <c r="AC412" s="284"/>
      <c r="AD412" s="284"/>
      <c r="AE412" s="284"/>
    </row>
    <row r="413">
      <c r="A413" s="284"/>
      <c r="B413" s="284"/>
      <c r="C413" s="284"/>
      <c r="D413" s="284"/>
      <c r="E413" s="284"/>
      <c r="F413" s="284"/>
      <c r="G413" s="284"/>
      <c r="H413" s="284"/>
      <c r="I413" s="284"/>
      <c r="J413" s="284"/>
      <c r="K413" s="284"/>
      <c r="L413" s="284"/>
      <c r="M413" s="284"/>
      <c r="N413" s="284"/>
      <c r="O413" s="284"/>
      <c r="P413" s="284"/>
      <c r="Q413" s="284"/>
      <c r="R413" s="284"/>
      <c r="S413" s="284"/>
      <c r="T413" s="284"/>
      <c r="U413" s="284"/>
      <c r="V413" s="284"/>
      <c r="W413" s="284"/>
      <c r="X413" s="284"/>
      <c r="Y413" s="284"/>
      <c r="Z413" s="284"/>
      <c r="AA413" s="284"/>
      <c r="AB413" s="284"/>
      <c r="AC413" s="284"/>
      <c r="AD413" s="284"/>
      <c r="AE413" s="284"/>
    </row>
    <row r="414">
      <c r="A414" s="284"/>
      <c r="B414" s="284"/>
      <c r="C414" s="284"/>
      <c r="D414" s="284"/>
      <c r="E414" s="284"/>
      <c r="F414" s="284"/>
      <c r="G414" s="284"/>
      <c r="H414" s="284"/>
      <c r="I414" s="284"/>
      <c r="J414" s="284"/>
      <c r="K414" s="284"/>
      <c r="L414" s="284"/>
      <c r="M414" s="284"/>
      <c r="N414" s="284"/>
      <c r="O414" s="284"/>
      <c r="P414" s="284"/>
      <c r="Q414" s="284"/>
      <c r="R414" s="284"/>
      <c r="S414" s="284"/>
      <c r="T414" s="284"/>
      <c r="U414" s="284"/>
      <c r="V414" s="284"/>
      <c r="W414" s="284"/>
      <c r="X414" s="284"/>
      <c r="Y414" s="284"/>
      <c r="Z414" s="284"/>
      <c r="AA414" s="284"/>
      <c r="AB414" s="284"/>
      <c r="AC414" s="284"/>
      <c r="AD414" s="284"/>
      <c r="AE414" s="284"/>
    </row>
    <row r="415">
      <c r="A415" s="284"/>
      <c r="B415" s="284"/>
      <c r="C415" s="284"/>
      <c r="D415" s="284"/>
      <c r="E415" s="284"/>
      <c r="F415" s="284"/>
      <c r="G415" s="284"/>
      <c r="H415" s="284"/>
      <c r="I415" s="284"/>
      <c r="J415" s="284"/>
      <c r="K415" s="284"/>
      <c r="L415" s="284"/>
      <c r="M415" s="284"/>
      <c r="N415" s="284"/>
      <c r="O415" s="284"/>
      <c r="P415" s="284"/>
      <c r="Q415" s="284"/>
      <c r="R415" s="284"/>
      <c r="S415" s="284"/>
      <c r="T415" s="284"/>
      <c r="U415" s="284"/>
      <c r="V415" s="284"/>
      <c r="W415" s="284"/>
      <c r="X415" s="284"/>
      <c r="Y415" s="284"/>
      <c r="Z415" s="284"/>
      <c r="AA415" s="284"/>
      <c r="AB415" s="284"/>
      <c r="AC415" s="284"/>
      <c r="AD415" s="284"/>
      <c r="AE415" s="284"/>
    </row>
    <row r="416">
      <c r="A416" s="284"/>
      <c r="B416" s="284"/>
      <c r="C416" s="284"/>
      <c r="D416" s="284"/>
      <c r="E416" s="284"/>
      <c r="F416" s="284"/>
      <c r="G416" s="284"/>
      <c r="H416" s="284"/>
      <c r="I416" s="284"/>
      <c r="J416" s="284"/>
      <c r="K416" s="284"/>
      <c r="L416" s="284"/>
      <c r="M416" s="284"/>
      <c r="N416" s="284"/>
      <c r="O416" s="284"/>
      <c r="P416" s="284"/>
      <c r="Q416" s="284"/>
      <c r="R416" s="284"/>
      <c r="S416" s="284"/>
      <c r="T416" s="284"/>
      <c r="U416" s="284"/>
      <c r="V416" s="284"/>
      <c r="W416" s="284"/>
      <c r="X416" s="284"/>
      <c r="Y416" s="284"/>
      <c r="Z416" s="284"/>
      <c r="AA416" s="284"/>
      <c r="AB416" s="284"/>
      <c r="AC416" s="284"/>
      <c r="AD416" s="284"/>
      <c r="AE416" s="284"/>
    </row>
    <row r="417">
      <c r="A417" s="284"/>
      <c r="B417" s="284"/>
      <c r="C417" s="284"/>
      <c r="D417" s="284"/>
      <c r="E417" s="284"/>
      <c r="F417" s="284"/>
      <c r="G417" s="284"/>
      <c r="H417" s="284"/>
      <c r="I417" s="284"/>
      <c r="J417" s="284"/>
      <c r="K417" s="284"/>
      <c r="L417" s="284"/>
      <c r="M417" s="284"/>
      <c r="N417" s="284"/>
      <c r="O417" s="284"/>
      <c r="P417" s="284"/>
      <c r="Q417" s="284"/>
      <c r="R417" s="284"/>
      <c r="S417" s="284"/>
      <c r="T417" s="284"/>
      <c r="U417" s="284"/>
      <c r="V417" s="284"/>
      <c r="W417" s="284"/>
      <c r="X417" s="284"/>
      <c r="Y417" s="284"/>
      <c r="Z417" s="284"/>
      <c r="AA417" s="284"/>
      <c r="AB417" s="284"/>
      <c r="AC417" s="284"/>
      <c r="AD417" s="284"/>
      <c r="AE417" s="284"/>
    </row>
    <row r="418">
      <c r="A418" s="28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row>
    <row r="419">
      <c r="A419" s="284"/>
      <c r="B419" s="284"/>
      <c r="C419" s="284"/>
      <c r="D419" s="284"/>
      <c r="E419" s="284"/>
      <c r="F419" s="284"/>
      <c r="G419" s="284"/>
      <c r="H419" s="284"/>
      <c r="I419" s="284"/>
      <c r="J419" s="284"/>
      <c r="K419" s="284"/>
      <c r="L419" s="284"/>
      <c r="M419" s="284"/>
      <c r="N419" s="284"/>
      <c r="O419" s="284"/>
      <c r="P419" s="284"/>
      <c r="Q419" s="284"/>
      <c r="R419" s="284"/>
      <c r="S419" s="284"/>
      <c r="T419" s="284"/>
      <c r="U419" s="284"/>
      <c r="V419" s="284"/>
      <c r="W419" s="284"/>
      <c r="X419" s="284"/>
      <c r="Y419" s="284"/>
      <c r="Z419" s="284"/>
      <c r="AA419" s="284"/>
      <c r="AB419" s="284"/>
      <c r="AC419" s="284"/>
      <c r="AD419" s="284"/>
      <c r="AE419" s="284"/>
    </row>
    <row r="420">
      <c r="A420" s="284"/>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row>
    <row r="421">
      <c r="A421" s="284"/>
      <c r="B421" s="284"/>
      <c r="C421" s="284"/>
      <c r="D421" s="284"/>
      <c r="E421" s="284"/>
      <c r="F421" s="284"/>
      <c r="G421" s="284"/>
      <c r="H421" s="284"/>
      <c r="I421" s="284"/>
      <c r="J421" s="284"/>
      <c r="K421" s="284"/>
      <c r="L421" s="284"/>
      <c r="M421" s="284"/>
      <c r="N421" s="284"/>
      <c r="O421" s="284"/>
      <c r="P421" s="284"/>
      <c r="Q421" s="284"/>
      <c r="R421" s="284"/>
      <c r="S421" s="284"/>
      <c r="T421" s="284"/>
      <c r="U421" s="284"/>
      <c r="V421" s="284"/>
      <c r="W421" s="284"/>
      <c r="X421" s="284"/>
      <c r="Y421" s="284"/>
      <c r="Z421" s="284"/>
      <c r="AA421" s="284"/>
      <c r="AB421" s="284"/>
      <c r="AC421" s="284"/>
      <c r="AD421" s="284"/>
      <c r="AE421" s="284"/>
    </row>
    <row r="422">
      <c r="A422" s="284"/>
      <c r="B422" s="284"/>
      <c r="C422" s="284"/>
      <c r="D422" s="284"/>
      <c r="E422" s="284"/>
      <c r="F422" s="284"/>
      <c r="G422" s="284"/>
      <c r="H422" s="284"/>
      <c r="I422" s="284"/>
      <c r="J422" s="284"/>
      <c r="K422" s="284"/>
      <c r="L422" s="284"/>
      <c r="M422" s="284"/>
      <c r="N422" s="284"/>
      <c r="O422" s="284"/>
      <c r="P422" s="284"/>
      <c r="Q422" s="284"/>
      <c r="R422" s="284"/>
      <c r="S422" s="284"/>
      <c r="T422" s="284"/>
      <c r="U422" s="284"/>
      <c r="V422" s="284"/>
      <c r="W422" s="284"/>
      <c r="X422" s="284"/>
      <c r="Y422" s="284"/>
      <c r="Z422" s="284"/>
      <c r="AA422" s="284"/>
      <c r="AB422" s="284"/>
      <c r="AC422" s="284"/>
      <c r="AD422" s="284"/>
      <c r="AE422" s="284"/>
    </row>
    <row r="423">
      <c r="A423" s="284"/>
      <c r="B423" s="284"/>
      <c r="C423" s="284"/>
      <c r="D423" s="284"/>
      <c r="E423" s="284"/>
      <c r="F423" s="284"/>
      <c r="G423" s="284"/>
      <c r="H423" s="284"/>
      <c r="I423" s="284"/>
      <c r="J423" s="284"/>
      <c r="K423" s="284"/>
      <c r="L423" s="284"/>
      <c r="M423" s="284"/>
      <c r="N423" s="284"/>
      <c r="O423" s="284"/>
      <c r="P423" s="284"/>
      <c r="Q423" s="284"/>
      <c r="R423" s="284"/>
      <c r="S423" s="284"/>
      <c r="T423" s="284"/>
      <c r="U423" s="284"/>
      <c r="V423" s="284"/>
      <c r="W423" s="284"/>
      <c r="X423" s="284"/>
      <c r="Y423" s="284"/>
      <c r="Z423" s="284"/>
      <c r="AA423" s="284"/>
      <c r="AB423" s="284"/>
      <c r="AC423" s="284"/>
      <c r="AD423" s="284"/>
      <c r="AE423" s="284"/>
    </row>
    <row r="424">
      <c r="A424" s="284"/>
      <c r="B424" s="284"/>
      <c r="C424" s="284"/>
      <c r="D424" s="284"/>
      <c r="E424" s="284"/>
      <c r="F424" s="284"/>
      <c r="G424" s="284"/>
      <c r="H424" s="284"/>
      <c r="I424" s="284"/>
      <c r="J424" s="284"/>
      <c r="K424" s="284"/>
      <c r="L424" s="284"/>
      <c r="M424" s="284"/>
      <c r="N424" s="284"/>
      <c r="O424" s="284"/>
      <c r="P424" s="284"/>
      <c r="Q424" s="284"/>
      <c r="R424" s="284"/>
      <c r="S424" s="284"/>
      <c r="T424" s="284"/>
      <c r="U424" s="284"/>
      <c r="V424" s="284"/>
      <c r="W424" s="284"/>
      <c r="X424" s="284"/>
      <c r="Y424" s="284"/>
      <c r="Z424" s="284"/>
      <c r="AA424" s="284"/>
      <c r="AB424" s="284"/>
      <c r="AC424" s="284"/>
      <c r="AD424" s="284"/>
      <c r="AE424" s="284"/>
    </row>
    <row r="425">
      <c r="A425" s="284"/>
      <c r="B425" s="284"/>
      <c r="C425" s="284"/>
      <c r="D425" s="284"/>
      <c r="E425" s="284"/>
      <c r="F425" s="284"/>
      <c r="G425" s="284"/>
      <c r="H425" s="284"/>
      <c r="I425" s="284"/>
      <c r="J425" s="284"/>
      <c r="K425" s="284"/>
      <c r="L425" s="284"/>
      <c r="M425" s="284"/>
      <c r="N425" s="284"/>
      <c r="O425" s="284"/>
      <c r="P425" s="284"/>
      <c r="Q425" s="284"/>
      <c r="R425" s="284"/>
      <c r="S425" s="284"/>
      <c r="T425" s="284"/>
      <c r="U425" s="284"/>
      <c r="V425" s="284"/>
      <c r="W425" s="284"/>
      <c r="X425" s="284"/>
      <c r="Y425" s="284"/>
      <c r="Z425" s="284"/>
      <c r="AA425" s="284"/>
      <c r="AB425" s="284"/>
      <c r="AC425" s="284"/>
      <c r="AD425" s="284"/>
      <c r="AE425" s="284"/>
    </row>
    <row r="426">
      <c r="A426" s="284"/>
      <c r="B426" s="284"/>
      <c r="C426" s="284"/>
      <c r="D426" s="284"/>
      <c r="E426" s="284"/>
      <c r="F426" s="284"/>
      <c r="G426" s="284"/>
      <c r="H426" s="284"/>
      <c r="I426" s="284"/>
      <c r="J426" s="284"/>
      <c r="K426" s="284"/>
      <c r="L426" s="284"/>
      <c r="M426" s="284"/>
      <c r="N426" s="284"/>
      <c r="O426" s="284"/>
      <c r="P426" s="284"/>
      <c r="Q426" s="284"/>
      <c r="R426" s="284"/>
      <c r="S426" s="284"/>
      <c r="T426" s="284"/>
      <c r="U426" s="284"/>
      <c r="V426" s="284"/>
      <c r="W426" s="284"/>
      <c r="X426" s="284"/>
      <c r="Y426" s="284"/>
      <c r="Z426" s="284"/>
      <c r="AA426" s="284"/>
      <c r="AB426" s="284"/>
      <c r="AC426" s="284"/>
      <c r="AD426" s="284"/>
      <c r="AE426" s="284"/>
    </row>
    <row r="427">
      <c r="A427" s="284"/>
      <c r="B427" s="284"/>
      <c r="C427" s="284"/>
      <c r="D427" s="284"/>
      <c r="E427" s="284"/>
      <c r="F427" s="284"/>
      <c r="G427" s="284"/>
      <c r="H427" s="284"/>
      <c r="I427" s="284"/>
      <c r="J427" s="284"/>
      <c r="K427" s="284"/>
      <c r="L427" s="284"/>
      <c r="M427" s="284"/>
      <c r="N427" s="284"/>
      <c r="O427" s="284"/>
      <c r="P427" s="284"/>
      <c r="Q427" s="284"/>
      <c r="R427" s="284"/>
      <c r="S427" s="284"/>
      <c r="T427" s="284"/>
      <c r="U427" s="284"/>
      <c r="V427" s="284"/>
      <c r="W427" s="284"/>
      <c r="X427" s="284"/>
      <c r="Y427" s="284"/>
      <c r="Z427" s="284"/>
      <c r="AA427" s="284"/>
      <c r="AB427" s="284"/>
      <c r="AC427" s="284"/>
      <c r="AD427" s="284"/>
      <c r="AE427" s="284"/>
    </row>
    <row r="428">
      <c r="A428" s="284"/>
      <c r="B428" s="284"/>
      <c r="C428" s="284"/>
      <c r="D428" s="284"/>
      <c r="E428" s="284"/>
      <c r="F428" s="284"/>
      <c r="G428" s="284"/>
      <c r="H428" s="284"/>
      <c r="I428" s="284"/>
      <c r="J428" s="284"/>
      <c r="K428" s="284"/>
      <c r="L428" s="284"/>
      <c r="M428" s="284"/>
      <c r="N428" s="284"/>
      <c r="O428" s="284"/>
      <c r="P428" s="284"/>
      <c r="Q428" s="284"/>
      <c r="R428" s="284"/>
      <c r="S428" s="284"/>
      <c r="T428" s="284"/>
      <c r="U428" s="284"/>
      <c r="V428" s="284"/>
      <c r="W428" s="284"/>
      <c r="X428" s="284"/>
      <c r="Y428" s="284"/>
      <c r="Z428" s="284"/>
      <c r="AA428" s="284"/>
      <c r="AB428" s="284"/>
      <c r="AC428" s="284"/>
      <c r="AD428" s="284"/>
      <c r="AE428" s="284"/>
    </row>
    <row r="429">
      <c r="A429" s="284"/>
      <c r="B429" s="284"/>
      <c r="C429" s="284"/>
      <c r="D429" s="284"/>
      <c r="E429" s="284"/>
      <c r="F429" s="284"/>
      <c r="G429" s="284"/>
      <c r="H429" s="284"/>
      <c r="I429" s="284"/>
      <c r="J429" s="284"/>
      <c r="K429" s="284"/>
      <c r="L429" s="284"/>
      <c r="M429" s="284"/>
      <c r="N429" s="284"/>
      <c r="O429" s="284"/>
      <c r="P429" s="284"/>
      <c r="Q429" s="284"/>
      <c r="R429" s="284"/>
      <c r="S429" s="284"/>
      <c r="T429" s="284"/>
      <c r="U429" s="284"/>
      <c r="V429" s="284"/>
      <c r="W429" s="284"/>
      <c r="X429" s="284"/>
      <c r="Y429" s="284"/>
      <c r="Z429" s="284"/>
      <c r="AA429" s="284"/>
      <c r="AB429" s="284"/>
      <c r="AC429" s="284"/>
      <c r="AD429" s="284"/>
      <c r="AE429" s="284"/>
    </row>
    <row r="430">
      <c r="A430" s="284"/>
      <c r="B430" s="284"/>
      <c r="C430" s="284"/>
      <c r="D430" s="284"/>
      <c r="E430" s="284"/>
      <c r="F430" s="284"/>
      <c r="G430" s="284"/>
      <c r="H430" s="284"/>
      <c r="I430" s="284"/>
      <c r="J430" s="284"/>
      <c r="K430" s="284"/>
      <c r="L430" s="284"/>
      <c r="M430" s="284"/>
      <c r="N430" s="284"/>
      <c r="O430" s="284"/>
      <c r="P430" s="284"/>
      <c r="Q430" s="284"/>
      <c r="R430" s="284"/>
      <c r="S430" s="284"/>
      <c r="T430" s="284"/>
      <c r="U430" s="284"/>
      <c r="V430" s="284"/>
      <c r="W430" s="284"/>
      <c r="X430" s="284"/>
      <c r="Y430" s="284"/>
      <c r="Z430" s="284"/>
      <c r="AA430" s="284"/>
      <c r="AB430" s="284"/>
      <c r="AC430" s="284"/>
      <c r="AD430" s="284"/>
      <c r="AE430" s="284"/>
    </row>
    <row r="431">
      <c r="A431" s="284"/>
      <c r="B431" s="284"/>
      <c r="C431" s="284"/>
      <c r="D431" s="284"/>
      <c r="E431" s="284"/>
      <c r="F431" s="284"/>
      <c r="G431" s="284"/>
      <c r="H431" s="284"/>
      <c r="I431" s="284"/>
      <c r="J431" s="284"/>
      <c r="K431" s="284"/>
      <c r="L431" s="284"/>
      <c r="M431" s="284"/>
      <c r="N431" s="284"/>
      <c r="O431" s="284"/>
      <c r="P431" s="284"/>
      <c r="Q431" s="284"/>
      <c r="R431" s="284"/>
      <c r="S431" s="284"/>
      <c r="T431" s="284"/>
      <c r="U431" s="284"/>
      <c r="V431" s="284"/>
      <c r="W431" s="284"/>
      <c r="X431" s="284"/>
      <c r="Y431" s="284"/>
      <c r="Z431" s="284"/>
      <c r="AA431" s="284"/>
      <c r="AB431" s="284"/>
      <c r="AC431" s="284"/>
      <c r="AD431" s="284"/>
      <c r="AE431" s="284"/>
    </row>
    <row r="432">
      <c r="A432" s="284"/>
      <c r="B432" s="284"/>
      <c r="C432" s="284"/>
      <c r="D432" s="284"/>
      <c r="E432" s="284"/>
      <c r="F432" s="284"/>
      <c r="G432" s="284"/>
      <c r="H432" s="284"/>
      <c r="I432" s="284"/>
      <c r="J432" s="284"/>
      <c r="K432" s="284"/>
      <c r="L432" s="284"/>
      <c r="M432" s="284"/>
      <c r="N432" s="284"/>
      <c r="O432" s="284"/>
      <c r="P432" s="284"/>
      <c r="Q432" s="284"/>
      <c r="R432" s="284"/>
      <c r="S432" s="284"/>
      <c r="T432" s="284"/>
      <c r="U432" s="284"/>
      <c r="V432" s="284"/>
      <c r="W432" s="284"/>
      <c r="X432" s="284"/>
      <c r="Y432" s="284"/>
      <c r="Z432" s="284"/>
      <c r="AA432" s="284"/>
      <c r="AB432" s="284"/>
      <c r="AC432" s="284"/>
      <c r="AD432" s="284"/>
      <c r="AE432" s="284"/>
    </row>
    <row r="433">
      <c r="A433" s="284"/>
      <c r="B433" s="284"/>
      <c r="C433" s="284"/>
      <c r="D433" s="284"/>
      <c r="E433" s="284"/>
      <c r="F433" s="284"/>
      <c r="G433" s="284"/>
      <c r="H433" s="284"/>
      <c r="I433" s="284"/>
      <c r="J433" s="284"/>
      <c r="K433" s="284"/>
      <c r="L433" s="284"/>
      <c r="M433" s="284"/>
      <c r="N433" s="284"/>
      <c r="O433" s="284"/>
      <c r="P433" s="284"/>
      <c r="Q433" s="284"/>
      <c r="R433" s="284"/>
      <c r="S433" s="284"/>
      <c r="T433" s="284"/>
      <c r="U433" s="284"/>
      <c r="V433" s="284"/>
      <c r="W433" s="284"/>
      <c r="X433" s="284"/>
      <c r="Y433" s="284"/>
      <c r="Z433" s="284"/>
      <c r="AA433" s="284"/>
      <c r="AB433" s="284"/>
      <c r="AC433" s="284"/>
      <c r="AD433" s="284"/>
      <c r="AE433" s="284"/>
    </row>
    <row r="434">
      <c r="A434" s="284"/>
      <c r="B434" s="284"/>
      <c r="C434" s="284"/>
      <c r="D434" s="284"/>
      <c r="E434" s="284"/>
      <c r="F434" s="284"/>
      <c r="G434" s="284"/>
      <c r="H434" s="284"/>
      <c r="I434" s="284"/>
      <c r="J434" s="284"/>
      <c r="K434" s="284"/>
      <c r="L434" s="284"/>
      <c r="M434" s="284"/>
      <c r="N434" s="284"/>
      <c r="O434" s="284"/>
      <c r="P434" s="284"/>
      <c r="Q434" s="284"/>
      <c r="R434" s="284"/>
      <c r="S434" s="284"/>
      <c r="T434" s="284"/>
      <c r="U434" s="284"/>
      <c r="V434" s="284"/>
      <c r="W434" s="284"/>
      <c r="X434" s="284"/>
      <c r="Y434" s="284"/>
      <c r="Z434" s="284"/>
      <c r="AA434" s="284"/>
      <c r="AB434" s="284"/>
      <c r="AC434" s="284"/>
      <c r="AD434" s="284"/>
      <c r="AE434" s="284"/>
    </row>
    <row r="435">
      <c r="A435" s="284"/>
      <c r="B435" s="284"/>
      <c r="C435" s="284"/>
      <c r="D435" s="284"/>
      <c r="E435" s="284"/>
      <c r="F435" s="284"/>
      <c r="G435" s="284"/>
      <c r="H435" s="284"/>
      <c r="I435" s="284"/>
      <c r="J435" s="284"/>
      <c r="K435" s="284"/>
      <c r="L435" s="284"/>
      <c r="M435" s="284"/>
      <c r="N435" s="284"/>
      <c r="O435" s="284"/>
      <c r="P435" s="284"/>
      <c r="Q435" s="284"/>
      <c r="R435" s="284"/>
      <c r="S435" s="284"/>
      <c r="T435" s="284"/>
      <c r="U435" s="284"/>
      <c r="V435" s="284"/>
      <c r="W435" s="284"/>
      <c r="X435" s="284"/>
      <c r="Y435" s="284"/>
      <c r="Z435" s="284"/>
      <c r="AA435" s="284"/>
      <c r="AB435" s="284"/>
      <c r="AC435" s="284"/>
      <c r="AD435" s="284"/>
      <c r="AE435" s="284"/>
    </row>
    <row r="436">
      <c r="A436" s="284"/>
      <c r="B436" s="284"/>
      <c r="C436" s="284"/>
      <c r="D436" s="284"/>
      <c r="E436" s="284"/>
      <c r="F436" s="284"/>
      <c r="G436" s="284"/>
      <c r="H436" s="284"/>
      <c r="I436" s="284"/>
      <c r="J436" s="284"/>
      <c r="K436" s="284"/>
      <c r="L436" s="284"/>
      <c r="M436" s="284"/>
      <c r="N436" s="284"/>
      <c r="O436" s="284"/>
      <c r="P436" s="284"/>
      <c r="Q436" s="284"/>
      <c r="R436" s="284"/>
      <c r="S436" s="284"/>
      <c r="T436" s="284"/>
      <c r="U436" s="284"/>
      <c r="V436" s="284"/>
      <c r="W436" s="284"/>
      <c r="X436" s="284"/>
      <c r="Y436" s="284"/>
      <c r="Z436" s="284"/>
      <c r="AA436" s="284"/>
      <c r="AB436" s="284"/>
      <c r="AC436" s="284"/>
      <c r="AD436" s="284"/>
      <c r="AE436" s="284"/>
    </row>
    <row r="437">
      <c r="A437" s="284"/>
      <c r="B437" s="284"/>
      <c r="C437" s="284"/>
      <c r="D437" s="284"/>
      <c r="E437" s="284"/>
      <c r="F437" s="284"/>
      <c r="G437" s="284"/>
      <c r="H437" s="284"/>
      <c r="I437" s="284"/>
      <c r="J437" s="284"/>
      <c r="K437" s="284"/>
      <c r="L437" s="284"/>
      <c r="M437" s="284"/>
      <c r="N437" s="284"/>
      <c r="O437" s="284"/>
      <c r="P437" s="284"/>
      <c r="Q437" s="284"/>
      <c r="R437" s="284"/>
      <c r="S437" s="284"/>
      <c r="T437" s="284"/>
      <c r="U437" s="284"/>
      <c r="V437" s="284"/>
      <c r="W437" s="284"/>
      <c r="X437" s="284"/>
      <c r="Y437" s="284"/>
      <c r="Z437" s="284"/>
      <c r="AA437" s="284"/>
      <c r="AB437" s="284"/>
      <c r="AC437" s="284"/>
      <c r="AD437" s="284"/>
      <c r="AE437" s="284"/>
    </row>
    <row r="438">
      <c r="A438" s="284"/>
      <c r="B438" s="284"/>
      <c r="C438" s="284"/>
      <c r="D438" s="284"/>
      <c r="E438" s="284"/>
      <c r="F438" s="284"/>
      <c r="G438" s="284"/>
      <c r="H438" s="284"/>
      <c r="I438" s="284"/>
      <c r="J438" s="284"/>
      <c r="K438" s="284"/>
      <c r="L438" s="284"/>
      <c r="M438" s="284"/>
      <c r="N438" s="284"/>
      <c r="O438" s="284"/>
      <c r="P438" s="284"/>
      <c r="Q438" s="284"/>
      <c r="R438" s="284"/>
      <c r="S438" s="284"/>
      <c r="T438" s="284"/>
      <c r="U438" s="284"/>
      <c r="V438" s="284"/>
      <c r="W438" s="284"/>
      <c r="X438" s="284"/>
      <c r="Y438" s="284"/>
      <c r="Z438" s="284"/>
      <c r="AA438" s="284"/>
      <c r="AB438" s="284"/>
      <c r="AC438" s="284"/>
      <c r="AD438" s="284"/>
      <c r="AE438" s="284"/>
    </row>
    <row r="439">
      <c r="A439" s="284"/>
      <c r="B439" s="284"/>
      <c r="C439" s="284"/>
      <c r="D439" s="284"/>
      <c r="E439" s="284"/>
      <c r="F439" s="284"/>
      <c r="G439" s="284"/>
      <c r="H439" s="284"/>
      <c r="I439" s="284"/>
      <c r="J439" s="284"/>
      <c r="K439" s="284"/>
      <c r="L439" s="284"/>
      <c r="M439" s="284"/>
      <c r="N439" s="284"/>
      <c r="O439" s="284"/>
      <c r="P439" s="284"/>
      <c r="Q439" s="284"/>
      <c r="R439" s="284"/>
      <c r="S439" s="284"/>
      <c r="T439" s="284"/>
      <c r="U439" s="284"/>
      <c r="V439" s="284"/>
      <c r="W439" s="284"/>
      <c r="X439" s="284"/>
      <c r="Y439" s="284"/>
      <c r="Z439" s="284"/>
      <c r="AA439" s="284"/>
      <c r="AB439" s="284"/>
      <c r="AC439" s="284"/>
      <c r="AD439" s="284"/>
      <c r="AE439" s="284"/>
    </row>
    <row r="440">
      <c r="A440" s="284"/>
      <c r="B440" s="284"/>
      <c r="C440" s="284"/>
      <c r="D440" s="284"/>
      <c r="E440" s="284"/>
      <c r="F440" s="284"/>
      <c r="G440" s="284"/>
      <c r="H440" s="284"/>
      <c r="I440" s="284"/>
      <c r="J440" s="284"/>
      <c r="K440" s="284"/>
      <c r="L440" s="284"/>
      <c r="M440" s="284"/>
      <c r="N440" s="284"/>
      <c r="O440" s="284"/>
      <c r="P440" s="284"/>
      <c r="Q440" s="284"/>
      <c r="R440" s="284"/>
      <c r="S440" s="284"/>
      <c r="T440" s="284"/>
      <c r="U440" s="284"/>
      <c r="V440" s="284"/>
      <c r="W440" s="284"/>
      <c r="X440" s="284"/>
      <c r="Y440" s="284"/>
      <c r="Z440" s="284"/>
      <c r="AA440" s="284"/>
      <c r="AB440" s="284"/>
      <c r="AC440" s="284"/>
      <c r="AD440" s="284"/>
      <c r="AE440" s="284"/>
    </row>
    <row r="441">
      <c r="A441" s="284"/>
      <c r="B441" s="284"/>
      <c r="C441" s="284"/>
      <c r="D441" s="284"/>
      <c r="E441" s="284"/>
      <c r="F441" s="284"/>
      <c r="G441" s="284"/>
      <c r="H441" s="284"/>
      <c r="I441" s="284"/>
      <c r="J441" s="284"/>
      <c r="K441" s="284"/>
      <c r="L441" s="284"/>
      <c r="M441" s="284"/>
      <c r="N441" s="284"/>
      <c r="O441" s="284"/>
      <c r="P441" s="284"/>
      <c r="Q441" s="284"/>
      <c r="R441" s="284"/>
      <c r="S441" s="284"/>
      <c r="T441" s="284"/>
      <c r="U441" s="284"/>
      <c r="V441" s="284"/>
      <c r="W441" s="284"/>
      <c r="X441" s="284"/>
      <c r="Y441" s="284"/>
      <c r="Z441" s="284"/>
      <c r="AA441" s="284"/>
      <c r="AB441" s="284"/>
      <c r="AC441" s="284"/>
      <c r="AD441" s="284"/>
      <c r="AE441" s="284"/>
    </row>
    <row r="442">
      <c r="A442" s="284"/>
      <c r="B442" s="284"/>
      <c r="C442" s="284"/>
      <c r="D442" s="284"/>
      <c r="E442" s="284"/>
      <c r="F442" s="284"/>
      <c r="G442" s="284"/>
      <c r="H442" s="284"/>
      <c r="I442" s="284"/>
      <c r="J442" s="284"/>
      <c r="K442" s="284"/>
      <c r="L442" s="284"/>
      <c r="M442" s="284"/>
      <c r="N442" s="284"/>
      <c r="O442" s="284"/>
      <c r="P442" s="284"/>
      <c r="Q442" s="284"/>
      <c r="R442" s="284"/>
      <c r="S442" s="284"/>
      <c r="T442" s="284"/>
      <c r="U442" s="284"/>
      <c r="V442" s="284"/>
      <c r="W442" s="284"/>
      <c r="X442" s="284"/>
      <c r="Y442" s="284"/>
      <c r="Z442" s="284"/>
      <c r="AA442" s="284"/>
      <c r="AB442" s="284"/>
      <c r="AC442" s="284"/>
      <c r="AD442" s="284"/>
      <c r="AE442" s="284"/>
    </row>
    <row r="443">
      <c r="A443" s="284"/>
      <c r="B443" s="284"/>
      <c r="C443" s="284"/>
      <c r="D443" s="284"/>
      <c r="E443" s="284"/>
      <c r="F443" s="284"/>
      <c r="G443" s="284"/>
      <c r="H443" s="284"/>
      <c r="I443" s="284"/>
      <c r="J443" s="284"/>
      <c r="K443" s="284"/>
      <c r="L443" s="284"/>
      <c r="M443" s="284"/>
      <c r="N443" s="284"/>
      <c r="O443" s="284"/>
      <c r="P443" s="284"/>
      <c r="Q443" s="284"/>
      <c r="R443" s="284"/>
      <c r="S443" s="284"/>
      <c r="T443" s="284"/>
      <c r="U443" s="284"/>
      <c r="V443" s="284"/>
      <c r="W443" s="284"/>
      <c r="X443" s="284"/>
      <c r="Y443" s="284"/>
      <c r="Z443" s="284"/>
      <c r="AA443" s="284"/>
      <c r="AB443" s="284"/>
      <c r="AC443" s="284"/>
      <c r="AD443" s="284"/>
      <c r="AE443" s="284"/>
    </row>
    <row r="444">
      <c r="A444" s="284"/>
      <c r="B444" s="284"/>
      <c r="C444" s="284"/>
      <c r="D444" s="284"/>
      <c r="E444" s="284"/>
      <c r="F444" s="284"/>
      <c r="G444" s="284"/>
      <c r="H444" s="284"/>
      <c r="I444" s="284"/>
      <c r="J444" s="284"/>
      <c r="K444" s="284"/>
      <c r="L444" s="284"/>
      <c r="M444" s="284"/>
      <c r="N444" s="284"/>
      <c r="O444" s="284"/>
      <c r="P444" s="284"/>
      <c r="Q444" s="284"/>
      <c r="R444" s="284"/>
      <c r="S444" s="284"/>
      <c r="T444" s="284"/>
      <c r="U444" s="284"/>
      <c r="V444" s="284"/>
      <c r="W444" s="284"/>
      <c r="X444" s="284"/>
      <c r="Y444" s="284"/>
      <c r="Z444" s="284"/>
      <c r="AA444" s="284"/>
      <c r="AB444" s="284"/>
      <c r="AC444" s="284"/>
      <c r="AD444" s="284"/>
      <c r="AE444" s="284"/>
    </row>
    <row r="445">
      <c r="A445" s="284"/>
      <c r="B445" s="284"/>
      <c r="C445" s="284"/>
      <c r="D445" s="284"/>
      <c r="E445" s="284"/>
      <c r="F445" s="284"/>
      <c r="G445" s="284"/>
      <c r="H445" s="284"/>
      <c r="I445" s="284"/>
      <c r="J445" s="284"/>
      <c r="K445" s="284"/>
      <c r="L445" s="284"/>
      <c r="M445" s="284"/>
      <c r="N445" s="284"/>
      <c r="O445" s="284"/>
      <c r="P445" s="284"/>
      <c r="Q445" s="284"/>
      <c r="R445" s="284"/>
      <c r="S445" s="284"/>
      <c r="T445" s="284"/>
      <c r="U445" s="284"/>
      <c r="V445" s="284"/>
      <c r="W445" s="284"/>
      <c r="X445" s="284"/>
      <c r="Y445" s="284"/>
      <c r="Z445" s="284"/>
      <c r="AA445" s="284"/>
      <c r="AB445" s="284"/>
      <c r="AC445" s="284"/>
      <c r="AD445" s="284"/>
      <c r="AE445" s="284"/>
    </row>
    <row r="446">
      <c r="A446" s="284"/>
      <c r="B446" s="284"/>
      <c r="C446" s="284"/>
      <c r="D446" s="284"/>
      <c r="E446" s="284"/>
      <c r="F446" s="284"/>
      <c r="G446" s="284"/>
      <c r="H446" s="284"/>
      <c r="I446" s="284"/>
      <c r="J446" s="284"/>
      <c r="K446" s="284"/>
      <c r="L446" s="284"/>
      <c r="M446" s="284"/>
      <c r="N446" s="284"/>
      <c r="O446" s="284"/>
      <c r="P446" s="284"/>
      <c r="Q446" s="284"/>
      <c r="R446" s="284"/>
      <c r="S446" s="284"/>
      <c r="T446" s="284"/>
      <c r="U446" s="284"/>
      <c r="V446" s="284"/>
      <c r="W446" s="284"/>
      <c r="X446" s="284"/>
      <c r="Y446" s="284"/>
      <c r="Z446" s="284"/>
      <c r="AA446" s="284"/>
      <c r="AB446" s="284"/>
      <c r="AC446" s="284"/>
      <c r="AD446" s="284"/>
      <c r="AE446" s="284"/>
    </row>
    <row r="447">
      <c r="A447" s="28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row>
    <row r="448">
      <c r="A448" s="284"/>
      <c r="B448" s="284"/>
      <c r="C448" s="284"/>
      <c r="D448" s="284"/>
      <c r="E448" s="284"/>
      <c r="F448" s="284"/>
      <c r="G448" s="284"/>
      <c r="H448" s="284"/>
      <c r="I448" s="284"/>
      <c r="J448" s="284"/>
      <c r="K448" s="284"/>
      <c r="L448" s="284"/>
      <c r="M448" s="284"/>
      <c r="N448" s="284"/>
      <c r="O448" s="284"/>
      <c r="P448" s="284"/>
      <c r="Q448" s="284"/>
      <c r="R448" s="284"/>
      <c r="S448" s="284"/>
      <c r="T448" s="284"/>
      <c r="U448" s="284"/>
      <c r="V448" s="284"/>
      <c r="W448" s="284"/>
      <c r="X448" s="284"/>
      <c r="Y448" s="284"/>
      <c r="Z448" s="284"/>
      <c r="AA448" s="284"/>
      <c r="AB448" s="284"/>
      <c r="AC448" s="284"/>
      <c r="AD448" s="284"/>
      <c r="AE448" s="284"/>
    </row>
    <row r="449">
      <c r="A449" s="284"/>
      <c r="B449" s="284"/>
      <c r="C449" s="284"/>
      <c r="D449" s="284"/>
      <c r="E449" s="284"/>
      <c r="F449" s="284"/>
      <c r="G449" s="284"/>
      <c r="H449" s="284"/>
      <c r="I449" s="284"/>
      <c r="J449" s="284"/>
      <c r="K449" s="284"/>
      <c r="L449" s="284"/>
      <c r="M449" s="284"/>
      <c r="N449" s="284"/>
      <c r="O449" s="284"/>
      <c r="P449" s="284"/>
      <c r="Q449" s="284"/>
      <c r="R449" s="284"/>
      <c r="S449" s="284"/>
      <c r="T449" s="284"/>
      <c r="U449" s="284"/>
      <c r="V449" s="284"/>
      <c r="W449" s="284"/>
      <c r="X449" s="284"/>
      <c r="Y449" s="284"/>
      <c r="Z449" s="284"/>
      <c r="AA449" s="284"/>
      <c r="AB449" s="284"/>
      <c r="AC449" s="284"/>
      <c r="AD449" s="284"/>
      <c r="AE449" s="284"/>
    </row>
    <row r="450">
      <c r="A450" s="284"/>
      <c r="B450" s="284"/>
      <c r="C450" s="284"/>
      <c r="D450" s="284"/>
      <c r="E450" s="284"/>
      <c r="F450" s="284"/>
      <c r="G450" s="284"/>
      <c r="H450" s="284"/>
      <c r="I450" s="284"/>
      <c r="J450" s="284"/>
      <c r="K450" s="284"/>
      <c r="L450" s="284"/>
      <c r="M450" s="284"/>
      <c r="N450" s="284"/>
      <c r="O450" s="284"/>
      <c r="P450" s="284"/>
      <c r="Q450" s="284"/>
      <c r="R450" s="284"/>
      <c r="S450" s="284"/>
      <c r="T450" s="284"/>
      <c r="U450" s="284"/>
      <c r="V450" s="284"/>
      <c r="W450" s="284"/>
      <c r="X450" s="284"/>
      <c r="Y450" s="284"/>
      <c r="Z450" s="284"/>
      <c r="AA450" s="284"/>
      <c r="AB450" s="284"/>
      <c r="AC450" s="284"/>
      <c r="AD450" s="284"/>
      <c r="AE450" s="284"/>
    </row>
    <row r="451">
      <c r="A451" s="284"/>
      <c r="B451" s="284"/>
      <c r="C451" s="284"/>
      <c r="D451" s="284"/>
      <c r="E451" s="284"/>
      <c r="F451" s="284"/>
      <c r="G451" s="284"/>
      <c r="H451" s="284"/>
      <c r="I451" s="284"/>
      <c r="J451" s="284"/>
      <c r="K451" s="284"/>
      <c r="L451" s="284"/>
      <c r="M451" s="284"/>
      <c r="N451" s="284"/>
      <c r="O451" s="284"/>
      <c r="P451" s="284"/>
      <c r="Q451" s="284"/>
      <c r="R451" s="284"/>
      <c r="S451" s="284"/>
      <c r="T451" s="284"/>
      <c r="U451" s="284"/>
      <c r="V451" s="284"/>
      <c r="W451" s="284"/>
      <c r="X451" s="284"/>
      <c r="Y451" s="284"/>
      <c r="Z451" s="284"/>
      <c r="AA451" s="284"/>
      <c r="AB451" s="284"/>
      <c r="AC451" s="284"/>
      <c r="AD451" s="284"/>
      <c r="AE451" s="284"/>
    </row>
    <row r="452">
      <c r="A452" s="284"/>
      <c r="B452" s="284"/>
      <c r="C452" s="284"/>
      <c r="D452" s="284"/>
      <c r="E452" s="284"/>
      <c r="F452" s="284"/>
      <c r="G452" s="284"/>
      <c r="H452" s="284"/>
      <c r="I452" s="284"/>
      <c r="J452" s="284"/>
      <c r="K452" s="284"/>
      <c r="L452" s="284"/>
      <c r="M452" s="284"/>
      <c r="N452" s="284"/>
      <c r="O452" s="284"/>
      <c r="P452" s="284"/>
      <c r="Q452" s="284"/>
      <c r="R452" s="284"/>
      <c r="S452" s="284"/>
      <c r="T452" s="284"/>
      <c r="U452" s="284"/>
      <c r="V452" s="284"/>
      <c r="W452" s="284"/>
      <c r="X452" s="284"/>
      <c r="Y452" s="284"/>
      <c r="Z452" s="284"/>
      <c r="AA452" s="284"/>
      <c r="AB452" s="284"/>
      <c r="AC452" s="284"/>
      <c r="AD452" s="284"/>
      <c r="AE452" s="284"/>
    </row>
    <row r="453">
      <c r="A453" s="284"/>
      <c r="B453" s="284"/>
      <c r="C453" s="284"/>
      <c r="D453" s="284"/>
      <c r="E453" s="284"/>
      <c r="F453" s="284"/>
      <c r="G453" s="284"/>
      <c r="H453" s="284"/>
      <c r="I453" s="284"/>
      <c r="J453" s="284"/>
      <c r="K453" s="284"/>
      <c r="L453" s="284"/>
      <c r="M453" s="284"/>
      <c r="N453" s="284"/>
      <c r="O453" s="284"/>
      <c r="P453" s="284"/>
      <c r="Q453" s="284"/>
      <c r="R453" s="284"/>
      <c r="S453" s="284"/>
      <c r="T453" s="284"/>
      <c r="U453" s="284"/>
      <c r="V453" s="284"/>
      <c r="W453" s="284"/>
      <c r="X453" s="284"/>
      <c r="Y453" s="284"/>
      <c r="Z453" s="284"/>
      <c r="AA453" s="284"/>
      <c r="AB453" s="284"/>
      <c r="AC453" s="284"/>
      <c r="AD453" s="284"/>
      <c r="AE453" s="284"/>
    </row>
    <row r="454">
      <c r="A454" s="284"/>
      <c r="B454" s="284"/>
      <c r="C454" s="284"/>
      <c r="D454" s="284"/>
      <c r="E454" s="284"/>
      <c r="F454" s="284"/>
      <c r="G454" s="284"/>
      <c r="H454" s="284"/>
      <c r="I454" s="284"/>
      <c r="J454" s="284"/>
      <c r="K454" s="284"/>
      <c r="L454" s="284"/>
      <c r="M454" s="284"/>
      <c r="N454" s="284"/>
      <c r="O454" s="284"/>
      <c r="P454" s="284"/>
      <c r="Q454" s="284"/>
      <c r="R454" s="284"/>
      <c r="S454" s="284"/>
      <c r="T454" s="284"/>
      <c r="U454" s="284"/>
      <c r="V454" s="284"/>
      <c r="W454" s="284"/>
      <c r="X454" s="284"/>
      <c r="Y454" s="284"/>
      <c r="Z454" s="284"/>
      <c r="AA454" s="284"/>
      <c r="AB454" s="284"/>
      <c r="AC454" s="284"/>
      <c r="AD454" s="284"/>
      <c r="AE454" s="284"/>
    </row>
    <row r="455">
      <c r="A455" s="284"/>
      <c r="B455" s="284"/>
      <c r="C455" s="284"/>
      <c r="D455" s="284"/>
      <c r="E455" s="284"/>
      <c r="F455" s="284"/>
      <c r="G455" s="284"/>
      <c r="H455" s="284"/>
      <c r="I455" s="284"/>
      <c r="J455" s="284"/>
      <c r="K455" s="284"/>
      <c r="L455" s="284"/>
      <c r="M455" s="284"/>
      <c r="N455" s="284"/>
      <c r="O455" s="284"/>
      <c r="P455" s="284"/>
      <c r="Q455" s="284"/>
      <c r="R455" s="284"/>
      <c r="S455" s="284"/>
      <c r="T455" s="284"/>
      <c r="U455" s="284"/>
      <c r="V455" s="284"/>
      <c r="W455" s="284"/>
      <c r="X455" s="284"/>
      <c r="Y455" s="284"/>
      <c r="Z455" s="284"/>
      <c r="AA455" s="284"/>
      <c r="AB455" s="284"/>
      <c r="AC455" s="284"/>
      <c r="AD455" s="284"/>
      <c r="AE455" s="284"/>
    </row>
    <row r="456">
      <c r="A456" s="284"/>
      <c r="B456" s="284"/>
      <c r="C456" s="284"/>
      <c r="D456" s="284"/>
      <c r="E456" s="284"/>
      <c r="F456" s="284"/>
      <c r="G456" s="284"/>
      <c r="H456" s="284"/>
      <c r="I456" s="284"/>
      <c r="J456" s="284"/>
      <c r="K456" s="284"/>
      <c r="L456" s="284"/>
      <c r="M456" s="284"/>
      <c r="N456" s="284"/>
      <c r="O456" s="284"/>
      <c r="P456" s="284"/>
      <c r="Q456" s="284"/>
      <c r="R456" s="284"/>
      <c r="S456" s="284"/>
      <c r="T456" s="284"/>
      <c r="U456" s="284"/>
      <c r="V456" s="284"/>
      <c r="W456" s="284"/>
      <c r="X456" s="284"/>
      <c r="Y456" s="284"/>
      <c r="Z456" s="284"/>
      <c r="AA456" s="284"/>
      <c r="AB456" s="284"/>
      <c r="AC456" s="284"/>
      <c r="AD456" s="284"/>
      <c r="AE456" s="284"/>
    </row>
    <row r="457">
      <c r="A457" s="284"/>
      <c r="B457" s="284"/>
      <c r="C457" s="284"/>
      <c r="D457" s="284"/>
      <c r="E457" s="284"/>
      <c r="F457" s="284"/>
      <c r="G457" s="284"/>
      <c r="H457" s="284"/>
      <c r="I457" s="284"/>
      <c r="J457" s="284"/>
      <c r="K457" s="284"/>
      <c r="L457" s="284"/>
      <c r="M457" s="284"/>
      <c r="N457" s="284"/>
      <c r="O457" s="284"/>
      <c r="P457" s="284"/>
      <c r="Q457" s="284"/>
      <c r="R457" s="284"/>
      <c r="S457" s="284"/>
      <c r="T457" s="284"/>
      <c r="U457" s="284"/>
      <c r="V457" s="284"/>
      <c r="W457" s="284"/>
      <c r="X457" s="284"/>
      <c r="Y457" s="284"/>
      <c r="Z457" s="284"/>
      <c r="AA457" s="284"/>
      <c r="AB457" s="284"/>
      <c r="AC457" s="284"/>
      <c r="AD457" s="284"/>
      <c r="AE457" s="284"/>
    </row>
    <row r="458">
      <c r="A458" s="284"/>
      <c r="B458" s="284"/>
      <c r="C458" s="284"/>
      <c r="D458" s="284"/>
      <c r="E458" s="284"/>
      <c r="F458" s="284"/>
      <c r="G458" s="284"/>
      <c r="H458" s="284"/>
      <c r="I458" s="284"/>
      <c r="J458" s="284"/>
      <c r="K458" s="284"/>
      <c r="L458" s="284"/>
      <c r="M458" s="284"/>
      <c r="N458" s="284"/>
      <c r="O458" s="284"/>
      <c r="P458" s="284"/>
      <c r="Q458" s="284"/>
      <c r="R458" s="284"/>
      <c r="S458" s="284"/>
      <c r="T458" s="284"/>
      <c r="U458" s="284"/>
      <c r="V458" s="284"/>
      <c r="W458" s="284"/>
      <c r="X458" s="284"/>
      <c r="Y458" s="284"/>
      <c r="Z458" s="284"/>
      <c r="AA458" s="284"/>
      <c r="AB458" s="284"/>
      <c r="AC458" s="284"/>
      <c r="AD458" s="284"/>
      <c r="AE458" s="284"/>
    </row>
    <row r="459">
      <c r="A459" s="284"/>
      <c r="B459" s="284"/>
      <c r="C459" s="284"/>
      <c r="D459" s="284"/>
      <c r="E459" s="284"/>
      <c r="F459" s="284"/>
      <c r="G459" s="284"/>
      <c r="H459" s="284"/>
      <c r="I459" s="284"/>
      <c r="J459" s="284"/>
      <c r="K459" s="284"/>
      <c r="L459" s="284"/>
      <c r="M459" s="284"/>
      <c r="N459" s="284"/>
      <c r="O459" s="284"/>
      <c r="P459" s="284"/>
      <c r="Q459" s="284"/>
      <c r="R459" s="284"/>
      <c r="S459" s="284"/>
      <c r="T459" s="284"/>
      <c r="U459" s="284"/>
      <c r="V459" s="284"/>
      <c r="W459" s="284"/>
      <c r="X459" s="284"/>
      <c r="Y459" s="284"/>
      <c r="Z459" s="284"/>
      <c r="AA459" s="284"/>
      <c r="AB459" s="284"/>
      <c r="AC459" s="284"/>
      <c r="AD459" s="284"/>
      <c r="AE459" s="284"/>
    </row>
    <row r="460">
      <c r="A460" s="284"/>
      <c r="B460" s="284"/>
      <c r="C460" s="284"/>
      <c r="D460" s="284"/>
      <c r="E460" s="284"/>
      <c r="F460" s="284"/>
      <c r="G460" s="284"/>
      <c r="H460" s="284"/>
      <c r="I460" s="284"/>
      <c r="J460" s="284"/>
      <c r="K460" s="284"/>
      <c r="L460" s="284"/>
      <c r="M460" s="284"/>
      <c r="N460" s="284"/>
      <c r="O460" s="284"/>
      <c r="P460" s="284"/>
      <c r="Q460" s="284"/>
      <c r="R460" s="284"/>
      <c r="S460" s="284"/>
      <c r="T460" s="284"/>
      <c r="U460" s="284"/>
      <c r="V460" s="284"/>
      <c r="W460" s="284"/>
      <c r="X460" s="284"/>
      <c r="Y460" s="284"/>
      <c r="Z460" s="284"/>
      <c r="AA460" s="284"/>
      <c r="AB460" s="284"/>
      <c r="AC460" s="284"/>
      <c r="AD460" s="284"/>
      <c r="AE460" s="284"/>
    </row>
    <row r="461">
      <c r="A461" s="284"/>
      <c r="B461" s="284"/>
      <c r="C461" s="284"/>
      <c r="D461" s="284"/>
      <c r="E461" s="284"/>
      <c r="F461" s="284"/>
      <c r="G461" s="284"/>
      <c r="H461" s="284"/>
      <c r="I461" s="284"/>
      <c r="J461" s="284"/>
      <c r="K461" s="284"/>
      <c r="L461" s="284"/>
      <c r="M461" s="284"/>
      <c r="N461" s="284"/>
      <c r="O461" s="284"/>
      <c r="P461" s="284"/>
      <c r="Q461" s="284"/>
      <c r="R461" s="284"/>
      <c r="S461" s="284"/>
      <c r="T461" s="284"/>
      <c r="U461" s="284"/>
      <c r="V461" s="284"/>
      <c r="W461" s="284"/>
      <c r="X461" s="284"/>
      <c r="Y461" s="284"/>
      <c r="Z461" s="284"/>
      <c r="AA461" s="284"/>
      <c r="AB461" s="284"/>
      <c r="AC461" s="284"/>
      <c r="AD461" s="284"/>
      <c r="AE461" s="284"/>
    </row>
    <row r="462">
      <c r="A462" s="284"/>
      <c r="B462" s="284"/>
      <c r="C462" s="284"/>
      <c r="D462" s="284"/>
      <c r="E462" s="284"/>
      <c r="F462" s="284"/>
      <c r="G462" s="284"/>
      <c r="H462" s="284"/>
      <c r="I462" s="284"/>
      <c r="J462" s="284"/>
      <c r="K462" s="284"/>
      <c r="L462" s="284"/>
      <c r="M462" s="284"/>
      <c r="N462" s="284"/>
      <c r="O462" s="284"/>
      <c r="P462" s="284"/>
      <c r="Q462" s="284"/>
      <c r="R462" s="284"/>
      <c r="S462" s="284"/>
      <c r="T462" s="284"/>
      <c r="U462" s="284"/>
      <c r="V462" s="284"/>
      <c r="W462" s="284"/>
      <c r="X462" s="284"/>
      <c r="Y462" s="284"/>
      <c r="Z462" s="284"/>
      <c r="AA462" s="284"/>
      <c r="AB462" s="284"/>
      <c r="AC462" s="284"/>
      <c r="AD462" s="284"/>
      <c r="AE462" s="284"/>
    </row>
    <row r="463">
      <c r="A463" s="284"/>
      <c r="B463" s="284"/>
      <c r="C463" s="284"/>
      <c r="D463" s="284"/>
      <c r="E463" s="284"/>
      <c r="F463" s="284"/>
      <c r="G463" s="284"/>
      <c r="H463" s="284"/>
      <c r="I463" s="284"/>
      <c r="J463" s="284"/>
      <c r="K463" s="284"/>
      <c r="L463" s="284"/>
      <c r="M463" s="284"/>
      <c r="N463" s="284"/>
      <c r="O463" s="284"/>
      <c r="P463" s="284"/>
      <c r="Q463" s="284"/>
      <c r="R463" s="284"/>
      <c r="S463" s="284"/>
      <c r="T463" s="284"/>
      <c r="U463" s="284"/>
      <c r="V463" s="284"/>
      <c r="W463" s="284"/>
      <c r="X463" s="284"/>
      <c r="Y463" s="284"/>
      <c r="Z463" s="284"/>
      <c r="AA463" s="284"/>
      <c r="AB463" s="284"/>
      <c r="AC463" s="284"/>
      <c r="AD463" s="284"/>
      <c r="AE463" s="284"/>
    </row>
    <row r="464">
      <c r="A464" s="284"/>
      <c r="B464" s="284"/>
      <c r="C464" s="284"/>
      <c r="D464" s="284"/>
      <c r="E464" s="284"/>
      <c r="F464" s="284"/>
      <c r="G464" s="284"/>
      <c r="H464" s="284"/>
      <c r="I464" s="284"/>
      <c r="J464" s="284"/>
      <c r="K464" s="284"/>
      <c r="L464" s="284"/>
      <c r="M464" s="284"/>
      <c r="N464" s="284"/>
      <c r="O464" s="284"/>
      <c r="P464" s="284"/>
      <c r="Q464" s="284"/>
      <c r="R464" s="284"/>
      <c r="S464" s="284"/>
      <c r="T464" s="284"/>
      <c r="U464" s="284"/>
      <c r="V464" s="284"/>
      <c r="W464" s="284"/>
      <c r="X464" s="284"/>
      <c r="Y464" s="284"/>
      <c r="Z464" s="284"/>
      <c r="AA464" s="284"/>
      <c r="AB464" s="284"/>
      <c r="AC464" s="284"/>
      <c r="AD464" s="284"/>
      <c r="AE464" s="284"/>
    </row>
    <row r="465">
      <c r="A465" s="284"/>
      <c r="B465" s="284"/>
      <c r="C465" s="284"/>
      <c r="D465" s="284"/>
      <c r="E465" s="284"/>
      <c r="F465" s="284"/>
      <c r="G465" s="284"/>
      <c r="H465" s="284"/>
      <c r="I465" s="284"/>
      <c r="J465" s="284"/>
      <c r="K465" s="284"/>
      <c r="L465" s="284"/>
      <c r="M465" s="284"/>
      <c r="N465" s="284"/>
      <c r="O465" s="284"/>
      <c r="P465" s="284"/>
      <c r="Q465" s="284"/>
      <c r="R465" s="284"/>
      <c r="S465" s="284"/>
      <c r="T465" s="284"/>
      <c r="U465" s="284"/>
      <c r="V465" s="284"/>
      <c r="W465" s="284"/>
      <c r="X465" s="284"/>
      <c r="Y465" s="284"/>
      <c r="Z465" s="284"/>
      <c r="AA465" s="284"/>
      <c r="AB465" s="284"/>
      <c r="AC465" s="284"/>
      <c r="AD465" s="284"/>
      <c r="AE465" s="284"/>
    </row>
    <row r="466">
      <c r="A466" s="284"/>
      <c r="B466" s="284"/>
      <c r="C466" s="284"/>
      <c r="D466" s="284"/>
      <c r="E466" s="284"/>
      <c r="F466" s="284"/>
      <c r="G466" s="284"/>
      <c r="H466" s="284"/>
      <c r="I466" s="284"/>
      <c r="J466" s="284"/>
      <c r="K466" s="284"/>
      <c r="L466" s="284"/>
      <c r="M466" s="284"/>
      <c r="N466" s="284"/>
      <c r="O466" s="284"/>
      <c r="P466" s="284"/>
      <c r="Q466" s="284"/>
      <c r="R466" s="284"/>
      <c r="S466" s="284"/>
      <c r="T466" s="284"/>
      <c r="U466" s="284"/>
      <c r="V466" s="284"/>
      <c r="W466" s="284"/>
      <c r="X466" s="284"/>
      <c r="Y466" s="284"/>
      <c r="Z466" s="284"/>
      <c r="AA466" s="284"/>
      <c r="AB466" s="284"/>
      <c r="AC466" s="284"/>
      <c r="AD466" s="284"/>
      <c r="AE466" s="284"/>
    </row>
    <row r="467">
      <c r="A467" s="284"/>
      <c r="B467" s="284"/>
      <c r="C467" s="284"/>
      <c r="D467" s="284"/>
      <c r="E467" s="284"/>
      <c r="F467" s="284"/>
      <c r="G467" s="284"/>
      <c r="H467" s="284"/>
      <c r="I467" s="284"/>
      <c r="J467" s="284"/>
      <c r="K467" s="284"/>
      <c r="L467" s="284"/>
      <c r="M467" s="284"/>
      <c r="N467" s="284"/>
      <c r="O467" s="284"/>
      <c r="P467" s="284"/>
      <c r="Q467" s="284"/>
      <c r="R467" s="284"/>
      <c r="S467" s="284"/>
      <c r="T467" s="284"/>
      <c r="U467" s="284"/>
      <c r="V467" s="284"/>
      <c r="W467" s="284"/>
      <c r="X467" s="284"/>
      <c r="Y467" s="284"/>
      <c r="Z467" s="284"/>
      <c r="AA467" s="284"/>
      <c r="AB467" s="284"/>
      <c r="AC467" s="284"/>
      <c r="AD467" s="284"/>
      <c r="AE467" s="284"/>
    </row>
    <row r="468">
      <c r="A468" s="284"/>
      <c r="B468" s="284"/>
      <c r="C468" s="284"/>
      <c r="D468" s="284"/>
      <c r="E468" s="284"/>
      <c r="F468" s="284"/>
      <c r="G468" s="284"/>
      <c r="H468" s="284"/>
      <c r="I468" s="284"/>
      <c r="J468" s="284"/>
      <c r="K468" s="284"/>
      <c r="L468" s="284"/>
      <c r="M468" s="284"/>
      <c r="N468" s="284"/>
      <c r="O468" s="284"/>
      <c r="P468" s="284"/>
      <c r="Q468" s="284"/>
      <c r="R468" s="284"/>
      <c r="S468" s="284"/>
      <c r="T468" s="284"/>
      <c r="U468" s="284"/>
      <c r="V468" s="284"/>
      <c r="W468" s="284"/>
      <c r="X468" s="284"/>
      <c r="Y468" s="284"/>
      <c r="Z468" s="284"/>
      <c r="AA468" s="284"/>
      <c r="AB468" s="284"/>
      <c r="AC468" s="284"/>
      <c r="AD468" s="284"/>
      <c r="AE468" s="284"/>
    </row>
    <row r="469">
      <c r="A469" s="284"/>
      <c r="B469" s="284"/>
      <c r="C469" s="284"/>
      <c r="D469" s="284"/>
      <c r="E469" s="284"/>
      <c r="F469" s="284"/>
      <c r="G469" s="284"/>
      <c r="H469" s="284"/>
      <c r="I469" s="284"/>
      <c r="J469" s="284"/>
      <c r="K469" s="284"/>
      <c r="L469" s="284"/>
      <c r="M469" s="284"/>
      <c r="N469" s="284"/>
      <c r="O469" s="284"/>
      <c r="P469" s="284"/>
      <c r="Q469" s="284"/>
      <c r="R469" s="284"/>
      <c r="S469" s="284"/>
      <c r="T469" s="284"/>
      <c r="U469" s="284"/>
      <c r="V469" s="284"/>
      <c r="W469" s="284"/>
      <c r="X469" s="284"/>
      <c r="Y469" s="284"/>
      <c r="Z469" s="284"/>
      <c r="AA469" s="284"/>
      <c r="AB469" s="284"/>
      <c r="AC469" s="284"/>
      <c r="AD469" s="284"/>
      <c r="AE469" s="284"/>
    </row>
    <row r="470">
      <c r="A470" s="284"/>
      <c r="B470" s="284"/>
      <c r="C470" s="284"/>
      <c r="D470" s="284"/>
      <c r="E470" s="284"/>
      <c r="F470" s="284"/>
      <c r="G470" s="284"/>
      <c r="H470" s="284"/>
      <c r="I470" s="284"/>
      <c r="J470" s="284"/>
      <c r="K470" s="284"/>
      <c r="L470" s="284"/>
      <c r="M470" s="284"/>
      <c r="N470" s="284"/>
      <c r="O470" s="284"/>
      <c r="P470" s="284"/>
      <c r="Q470" s="284"/>
      <c r="R470" s="284"/>
      <c r="S470" s="284"/>
      <c r="T470" s="284"/>
      <c r="U470" s="284"/>
      <c r="V470" s="284"/>
      <c r="W470" s="284"/>
      <c r="X470" s="284"/>
      <c r="Y470" s="284"/>
      <c r="Z470" s="284"/>
      <c r="AA470" s="284"/>
      <c r="AB470" s="284"/>
      <c r="AC470" s="284"/>
      <c r="AD470" s="284"/>
      <c r="AE470" s="284"/>
    </row>
    <row r="471">
      <c r="A471" s="284"/>
      <c r="B471" s="284"/>
      <c r="C471" s="284"/>
      <c r="D471" s="284"/>
      <c r="E471" s="284"/>
      <c r="F471" s="284"/>
      <c r="G471" s="284"/>
      <c r="H471" s="284"/>
      <c r="I471" s="284"/>
      <c r="J471" s="284"/>
      <c r="K471" s="284"/>
      <c r="L471" s="284"/>
      <c r="M471" s="284"/>
      <c r="N471" s="284"/>
      <c r="O471" s="284"/>
      <c r="P471" s="284"/>
      <c r="Q471" s="284"/>
      <c r="R471" s="284"/>
      <c r="S471" s="284"/>
      <c r="T471" s="284"/>
      <c r="U471" s="284"/>
      <c r="V471" s="284"/>
      <c r="W471" s="284"/>
      <c r="X471" s="284"/>
      <c r="Y471" s="284"/>
      <c r="Z471" s="284"/>
      <c r="AA471" s="284"/>
      <c r="AB471" s="284"/>
      <c r="AC471" s="284"/>
      <c r="AD471" s="284"/>
      <c r="AE471" s="284"/>
    </row>
    <row r="472">
      <c r="A472" s="284"/>
      <c r="B472" s="284"/>
      <c r="C472" s="284"/>
      <c r="D472" s="284"/>
      <c r="E472" s="284"/>
      <c r="F472" s="284"/>
      <c r="G472" s="284"/>
      <c r="H472" s="284"/>
      <c r="I472" s="284"/>
      <c r="J472" s="284"/>
      <c r="K472" s="284"/>
      <c r="L472" s="284"/>
      <c r="M472" s="284"/>
      <c r="N472" s="284"/>
      <c r="O472" s="284"/>
      <c r="P472" s="284"/>
      <c r="Q472" s="284"/>
      <c r="R472" s="284"/>
      <c r="S472" s="284"/>
      <c r="T472" s="284"/>
      <c r="U472" s="284"/>
      <c r="V472" s="284"/>
      <c r="W472" s="284"/>
      <c r="X472" s="284"/>
      <c r="Y472" s="284"/>
      <c r="Z472" s="284"/>
      <c r="AA472" s="284"/>
      <c r="AB472" s="284"/>
      <c r="AC472" s="284"/>
      <c r="AD472" s="284"/>
      <c r="AE472" s="284"/>
    </row>
    <row r="473">
      <c r="A473" s="284"/>
      <c r="B473" s="284"/>
      <c r="C473" s="284"/>
      <c r="D473" s="284"/>
      <c r="E473" s="284"/>
      <c r="F473" s="284"/>
      <c r="G473" s="284"/>
      <c r="H473" s="284"/>
      <c r="I473" s="284"/>
      <c r="J473" s="284"/>
      <c r="K473" s="284"/>
      <c r="L473" s="284"/>
      <c r="M473" s="284"/>
      <c r="N473" s="284"/>
      <c r="O473" s="284"/>
      <c r="P473" s="284"/>
      <c r="Q473" s="284"/>
      <c r="R473" s="284"/>
      <c r="S473" s="284"/>
      <c r="T473" s="284"/>
      <c r="U473" s="284"/>
      <c r="V473" s="284"/>
      <c r="W473" s="284"/>
      <c r="X473" s="284"/>
      <c r="Y473" s="284"/>
      <c r="Z473" s="284"/>
      <c r="AA473" s="284"/>
      <c r="AB473" s="284"/>
      <c r="AC473" s="284"/>
      <c r="AD473" s="284"/>
      <c r="AE473" s="284"/>
    </row>
    <row r="474">
      <c r="A474" s="284"/>
      <c r="B474" s="284"/>
      <c r="C474" s="284"/>
      <c r="D474" s="284"/>
      <c r="E474" s="284"/>
      <c r="F474" s="284"/>
      <c r="G474" s="284"/>
      <c r="H474" s="284"/>
      <c r="I474" s="284"/>
      <c r="J474" s="284"/>
      <c r="K474" s="284"/>
      <c r="L474" s="284"/>
      <c r="M474" s="284"/>
      <c r="N474" s="284"/>
      <c r="O474" s="284"/>
      <c r="P474" s="284"/>
      <c r="Q474" s="284"/>
      <c r="R474" s="284"/>
      <c r="S474" s="284"/>
      <c r="T474" s="284"/>
      <c r="U474" s="284"/>
      <c r="V474" s="284"/>
      <c r="W474" s="284"/>
      <c r="X474" s="284"/>
      <c r="Y474" s="284"/>
      <c r="Z474" s="284"/>
      <c r="AA474" s="284"/>
      <c r="AB474" s="284"/>
      <c r="AC474" s="284"/>
      <c r="AD474" s="284"/>
      <c r="AE474" s="284"/>
    </row>
    <row r="475">
      <c r="A475" s="284"/>
      <c r="B475" s="284"/>
      <c r="C475" s="284"/>
      <c r="D475" s="284"/>
      <c r="E475" s="284"/>
      <c r="F475" s="284"/>
      <c r="G475" s="284"/>
      <c r="H475" s="284"/>
      <c r="I475" s="284"/>
      <c r="J475" s="284"/>
      <c r="K475" s="284"/>
      <c r="L475" s="284"/>
      <c r="M475" s="284"/>
      <c r="N475" s="284"/>
      <c r="O475" s="284"/>
      <c r="P475" s="284"/>
      <c r="Q475" s="284"/>
      <c r="R475" s="284"/>
      <c r="S475" s="284"/>
      <c r="T475" s="284"/>
      <c r="U475" s="284"/>
      <c r="V475" s="284"/>
      <c r="W475" s="284"/>
      <c r="X475" s="284"/>
      <c r="Y475" s="284"/>
      <c r="Z475" s="284"/>
      <c r="AA475" s="284"/>
      <c r="AB475" s="284"/>
      <c r="AC475" s="284"/>
      <c r="AD475" s="284"/>
      <c r="AE475" s="284"/>
    </row>
    <row r="476">
      <c r="A476" s="284"/>
      <c r="B476" s="284"/>
      <c r="C476" s="284"/>
      <c r="D476" s="284"/>
      <c r="E476" s="284"/>
      <c r="F476" s="284"/>
      <c r="G476" s="284"/>
      <c r="H476" s="284"/>
      <c r="I476" s="284"/>
      <c r="J476" s="284"/>
      <c r="K476" s="284"/>
      <c r="L476" s="284"/>
      <c r="M476" s="284"/>
      <c r="N476" s="284"/>
      <c r="O476" s="284"/>
      <c r="P476" s="284"/>
      <c r="Q476" s="284"/>
      <c r="R476" s="284"/>
      <c r="S476" s="284"/>
      <c r="T476" s="284"/>
      <c r="U476" s="284"/>
      <c r="V476" s="284"/>
      <c r="W476" s="284"/>
      <c r="X476" s="284"/>
      <c r="Y476" s="284"/>
      <c r="Z476" s="284"/>
      <c r="AA476" s="284"/>
      <c r="AB476" s="284"/>
      <c r="AC476" s="284"/>
      <c r="AD476" s="284"/>
      <c r="AE476" s="284"/>
    </row>
    <row r="477">
      <c r="A477" s="284"/>
      <c r="B477" s="284"/>
      <c r="C477" s="284"/>
      <c r="D477" s="284"/>
      <c r="E477" s="284"/>
      <c r="F477" s="284"/>
      <c r="G477" s="284"/>
      <c r="H477" s="284"/>
      <c r="I477" s="284"/>
      <c r="J477" s="284"/>
      <c r="K477" s="284"/>
      <c r="L477" s="284"/>
      <c r="M477" s="284"/>
      <c r="N477" s="284"/>
      <c r="O477" s="284"/>
      <c r="P477" s="284"/>
      <c r="Q477" s="284"/>
      <c r="R477" s="284"/>
      <c r="S477" s="284"/>
      <c r="T477" s="284"/>
      <c r="U477" s="284"/>
      <c r="V477" s="284"/>
      <c r="W477" s="284"/>
      <c r="X477" s="284"/>
      <c r="Y477" s="284"/>
      <c r="Z477" s="284"/>
      <c r="AA477" s="284"/>
      <c r="AB477" s="284"/>
      <c r="AC477" s="284"/>
      <c r="AD477" s="284"/>
      <c r="AE477" s="284"/>
    </row>
    <row r="478">
      <c r="A478" s="284"/>
      <c r="B478" s="284"/>
      <c r="C478" s="284"/>
      <c r="D478" s="284"/>
      <c r="E478" s="284"/>
      <c r="F478" s="284"/>
      <c r="G478" s="284"/>
      <c r="H478" s="284"/>
      <c r="I478" s="284"/>
      <c r="J478" s="284"/>
      <c r="K478" s="284"/>
      <c r="L478" s="284"/>
      <c r="M478" s="284"/>
      <c r="N478" s="284"/>
      <c r="O478" s="284"/>
      <c r="P478" s="284"/>
      <c r="Q478" s="284"/>
      <c r="R478" s="284"/>
      <c r="S478" s="284"/>
      <c r="T478" s="284"/>
      <c r="U478" s="284"/>
      <c r="V478" s="284"/>
      <c r="W478" s="284"/>
      <c r="X478" s="284"/>
      <c r="Y478" s="284"/>
      <c r="Z478" s="284"/>
      <c r="AA478" s="284"/>
      <c r="AB478" s="284"/>
      <c r="AC478" s="284"/>
      <c r="AD478" s="284"/>
      <c r="AE478" s="284"/>
    </row>
    <row r="479">
      <c r="A479" s="284"/>
      <c r="B479" s="284"/>
      <c r="C479" s="284"/>
      <c r="D479" s="284"/>
      <c r="E479" s="284"/>
      <c r="F479" s="284"/>
      <c r="G479" s="284"/>
      <c r="H479" s="284"/>
      <c r="I479" s="284"/>
      <c r="J479" s="284"/>
      <c r="K479" s="284"/>
      <c r="L479" s="284"/>
      <c r="M479" s="284"/>
      <c r="N479" s="284"/>
      <c r="O479" s="284"/>
      <c r="P479" s="284"/>
      <c r="Q479" s="284"/>
      <c r="R479" s="284"/>
      <c r="S479" s="284"/>
      <c r="T479" s="284"/>
      <c r="U479" s="284"/>
      <c r="V479" s="284"/>
      <c r="W479" s="284"/>
      <c r="X479" s="284"/>
      <c r="Y479" s="284"/>
      <c r="Z479" s="284"/>
      <c r="AA479" s="284"/>
      <c r="AB479" s="284"/>
      <c r="AC479" s="284"/>
      <c r="AD479" s="284"/>
      <c r="AE479" s="284"/>
    </row>
    <row r="480">
      <c r="A480" s="284"/>
      <c r="B480" s="284"/>
      <c r="C480" s="284"/>
      <c r="D480" s="284"/>
      <c r="E480" s="284"/>
      <c r="F480" s="284"/>
      <c r="G480" s="284"/>
      <c r="H480" s="284"/>
      <c r="I480" s="284"/>
      <c r="J480" s="284"/>
      <c r="K480" s="284"/>
      <c r="L480" s="284"/>
      <c r="M480" s="284"/>
      <c r="N480" s="284"/>
      <c r="O480" s="284"/>
      <c r="P480" s="284"/>
      <c r="Q480" s="284"/>
      <c r="R480" s="284"/>
      <c r="S480" s="284"/>
      <c r="T480" s="284"/>
      <c r="U480" s="284"/>
      <c r="V480" s="284"/>
      <c r="W480" s="284"/>
      <c r="X480" s="284"/>
      <c r="Y480" s="284"/>
      <c r="Z480" s="284"/>
      <c r="AA480" s="284"/>
      <c r="AB480" s="284"/>
      <c r="AC480" s="284"/>
      <c r="AD480" s="284"/>
      <c r="AE480" s="284"/>
    </row>
    <row r="481">
      <c r="A481" s="284"/>
      <c r="B481" s="284"/>
      <c r="C481" s="284"/>
      <c r="D481" s="284"/>
      <c r="E481" s="284"/>
      <c r="F481" s="284"/>
      <c r="G481" s="284"/>
      <c r="H481" s="284"/>
      <c r="I481" s="284"/>
      <c r="J481" s="284"/>
      <c r="K481" s="284"/>
      <c r="L481" s="284"/>
      <c r="M481" s="284"/>
      <c r="N481" s="284"/>
      <c r="O481" s="284"/>
      <c r="P481" s="284"/>
      <c r="Q481" s="284"/>
      <c r="R481" s="284"/>
      <c r="S481" s="284"/>
      <c r="T481" s="284"/>
      <c r="U481" s="284"/>
      <c r="V481" s="284"/>
      <c r="W481" s="284"/>
      <c r="X481" s="284"/>
      <c r="Y481" s="284"/>
      <c r="Z481" s="284"/>
      <c r="AA481" s="284"/>
      <c r="AB481" s="284"/>
      <c r="AC481" s="284"/>
      <c r="AD481" s="284"/>
      <c r="AE481" s="284"/>
    </row>
    <row r="482">
      <c r="A482" s="284"/>
      <c r="B482" s="284"/>
      <c r="C482" s="284"/>
      <c r="D482" s="284"/>
      <c r="E482" s="284"/>
      <c r="F482" s="284"/>
      <c r="G482" s="284"/>
      <c r="H482" s="284"/>
      <c r="I482" s="284"/>
      <c r="J482" s="284"/>
      <c r="K482" s="284"/>
      <c r="L482" s="284"/>
      <c r="M482" s="284"/>
      <c r="N482" s="284"/>
      <c r="O482" s="284"/>
      <c r="P482" s="284"/>
      <c r="Q482" s="284"/>
      <c r="R482" s="284"/>
      <c r="S482" s="284"/>
      <c r="T482" s="284"/>
      <c r="U482" s="284"/>
      <c r="V482" s="284"/>
      <c r="W482" s="284"/>
      <c r="X482" s="284"/>
      <c r="Y482" s="284"/>
      <c r="Z482" s="284"/>
      <c r="AA482" s="284"/>
      <c r="AB482" s="284"/>
      <c r="AC482" s="284"/>
      <c r="AD482" s="284"/>
      <c r="AE482" s="284"/>
    </row>
    <row r="483">
      <c r="A483" s="284"/>
      <c r="B483" s="284"/>
      <c r="C483" s="284"/>
      <c r="D483" s="284"/>
      <c r="E483" s="284"/>
      <c r="F483" s="284"/>
      <c r="G483" s="284"/>
      <c r="H483" s="284"/>
      <c r="I483" s="284"/>
      <c r="J483" s="284"/>
      <c r="K483" s="284"/>
      <c r="L483" s="284"/>
      <c r="M483" s="284"/>
      <c r="N483" s="284"/>
      <c r="O483" s="284"/>
      <c r="P483" s="284"/>
      <c r="Q483" s="284"/>
      <c r="R483" s="284"/>
      <c r="S483" s="284"/>
      <c r="T483" s="284"/>
      <c r="U483" s="284"/>
      <c r="V483" s="284"/>
      <c r="W483" s="284"/>
      <c r="X483" s="284"/>
      <c r="Y483" s="284"/>
      <c r="Z483" s="284"/>
      <c r="AA483" s="284"/>
      <c r="AB483" s="284"/>
      <c r="AC483" s="284"/>
      <c r="AD483" s="284"/>
      <c r="AE483" s="284"/>
    </row>
    <row r="484">
      <c r="A484" s="284"/>
      <c r="B484" s="284"/>
      <c r="C484" s="284"/>
      <c r="D484" s="284"/>
      <c r="E484" s="284"/>
      <c r="F484" s="284"/>
      <c r="G484" s="284"/>
      <c r="H484" s="284"/>
      <c r="I484" s="284"/>
      <c r="J484" s="284"/>
      <c r="K484" s="284"/>
      <c r="L484" s="284"/>
      <c r="M484" s="284"/>
      <c r="N484" s="284"/>
      <c r="O484" s="284"/>
      <c r="P484" s="284"/>
      <c r="Q484" s="284"/>
      <c r="R484" s="284"/>
      <c r="S484" s="284"/>
      <c r="T484" s="284"/>
      <c r="U484" s="284"/>
      <c r="V484" s="284"/>
      <c r="W484" s="284"/>
      <c r="X484" s="284"/>
      <c r="Y484" s="284"/>
      <c r="Z484" s="284"/>
      <c r="AA484" s="284"/>
      <c r="AB484" s="284"/>
      <c r="AC484" s="284"/>
      <c r="AD484" s="284"/>
      <c r="AE484" s="284"/>
    </row>
    <row r="485">
      <c r="A485" s="284"/>
      <c r="B485" s="284"/>
      <c r="C485" s="284"/>
      <c r="D485" s="284"/>
      <c r="E485" s="284"/>
      <c r="F485" s="284"/>
      <c r="G485" s="284"/>
      <c r="H485" s="284"/>
      <c r="I485" s="284"/>
      <c r="J485" s="284"/>
      <c r="K485" s="284"/>
      <c r="L485" s="284"/>
      <c r="M485" s="284"/>
      <c r="N485" s="284"/>
      <c r="O485" s="284"/>
      <c r="P485" s="284"/>
      <c r="Q485" s="284"/>
      <c r="R485" s="284"/>
      <c r="S485" s="284"/>
      <c r="T485" s="284"/>
      <c r="U485" s="284"/>
      <c r="V485" s="284"/>
      <c r="W485" s="284"/>
      <c r="X485" s="284"/>
      <c r="Y485" s="284"/>
      <c r="Z485" s="284"/>
      <c r="AA485" s="284"/>
      <c r="AB485" s="284"/>
      <c r="AC485" s="284"/>
      <c r="AD485" s="284"/>
      <c r="AE485" s="284"/>
    </row>
    <row r="486">
      <c r="A486" s="284"/>
      <c r="B486" s="284"/>
      <c r="C486" s="284"/>
      <c r="D486" s="284"/>
      <c r="E486" s="284"/>
      <c r="F486" s="284"/>
      <c r="G486" s="284"/>
      <c r="H486" s="284"/>
      <c r="I486" s="284"/>
      <c r="J486" s="284"/>
      <c r="K486" s="284"/>
      <c r="L486" s="284"/>
      <c r="M486" s="284"/>
      <c r="N486" s="284"/>
      <c r="O486" s="284"/>
      <c r="P486" s="284"/>
      <c r="Q486" s="284"/>
      <c r="R486" s="284"/>
      <c r="S486" s="284"/>
      <c r="T486" s="284"/>
      <c r="U486" s="284"/>
      <c r="V486" s="284"/>
      <c r="W486" s="284"/>
      <c r="X486" s="284"/>
      <c r="Y486" s="284"/>
      <c r="Z486" s="284"/>
      <c r="AA486" s="284"/>
      <c r="AB486" s="284"/>
      <c r="AC486" s="284"/>
      <c r="AD486" s="284"/>
      <c r="AE486" s="284"/>
    </row>
    <row r="487">
      <c r="A487" s="284"/>
      <c r="B487" s="284"/>
      <c r="C487" s="284"/>
      <c r="D487" s="284"/>
      <c r="E487" s="284"/>
      <c r="F487" s="284"/>
      <c r="G487" s="284"/>
      <c r="H487" s="284"/>
      <c r="I487" s="284"/>
      <c r="J487" s="284"/>
      <c r="K487" s="284"/>
      <c r="L487" s="284"/>
      <c r="M487" s="284"/>
      <c r="N487" s="284"/>
      <c r="O487" s="284"/>
      <c r="P487" s="284"/>
      <c r="Q487" s="284"/>
      <c r="R487" s="284"/>
      <c r="S487" s="284"/>
      <c r="T487" s="284"/>
      <c r="U487" s="284"/>
      <c r="V487" s="284"/>
      <c r="W487" s="284"/>
      <c r="X487" s="284"/>
      <c r="Y487" s="284"/>
      <c r="Z487" s="284"/>
      <c r="AA487" s="284"/>
      <c r="AB487" s="284"/>
      <c r="AC487" s="284"/>
      <c r="AD487" s="284"/>
      <c r="AE487" s="284"/>
    </row>
    <row r="488">
      <c r="A488" s="284"/>
      <c r="B488" s="284"/>
      <c r="C488" s="284"/>
      <c r="D488" s="284"/>
      <c r="E488" s="284"/>
      <c r="F488" s="284"/>
      <c r="G488" s="284"/>
      <c r="H488" s="284"/>
      <c r="I488" s="284"/>
      <c r="J488" s="284"/>
      <c r="K488" s="284"/>
      <c r="L488" s="284"/>
      <c r="M488" s="284"/>
      <c r="N488" s="284"/>
      <c r="O488" s="284"/>
      <c r="P488" s="284"/>
      <c r="Q488" s="284"/>
      <c r="R488" s="284"/>
      <c r="S488" s="284"/>
      <c r="T488" s="284"/>
      <c r="U488" s="284"/>
      <c r="V488" s="284"/>
      <c r="W488" s="284"/>
      <c r="X488" s="284"/>
      <c r="Y488" s="284"/>
      <c r="Z488" s="284"/>
      <c r="AA488" s="284"/>
      <c r="AB488" s="284"/>
      <c r="AC488" s="284"/>
      <c r="AD488" s="284"/>
      <c r="AE488" s="284"/>
    </row>
    <row r="489">
      <c r="A489" s="284"/>
      <c r="B489" s="284"/>
      <c r="C489" s="284"/>
      <c r="D489" s="284"/>
      <c r="E489" s="284"/>
      <c r="F489" s="284"/>
      <c r="G489" s="284"/>
      <c r="H489" s="284"/>
      <c r="I489" s="284"/>
      <c r="J489" s="284"/>
      <c r="K489" s="284"/>
      <c r="L489" s="284"/>
      <c r="M489" s="284"/>
      <c r="N489" s="284"/>
      <c r="O489" s="284"/>
      <c r="P489" s="284"/>
      <c r="Q489" s="284"/>
      <c r="R489" s="284"/>
      <c r="S489" s="284"/>
      <c r="T489" s="284"/>
      <c r="U489" s="284"/>
      <c r="V489" s="284"/>
      <c r="W489" s="284"/>
      <c r="X489" s="284"/>
      <c r="Y489" s="284"/>
      <c r="Z489" s="284"/>
      <c r="AA489" s="284"/>
      <c r="AB489" s="284"/>
      <c r="AC489" s="284"/>
      <c r="AD489" s="284"/>
      <c r="AE489" s="284"/>
    </row>
    <row r="490">
      <c r="A490" s="284"/>
      <c r="B490" s="284"/>
      <c r="C490" s="284"/>
      <c r="D490" s="284"/>
      <c r="E490" s="284"/>
      <c r="F490" s="284"/>
      <c r="G490" s="284"/>
      <c r="H490" s="284"/>
      <c r="I490" s="284"/>
      <c r="J490" s="284"/>
      <c r="K490" s="284"/>
      <c r="L490" s="284"/>
      <c r="M490" s="284"/>
      <c r="N490" s="284"/>
      <c r="O490" s="284"/>
      <c r="P490" s="284"/>
      <c r="Q490" s="284"/>
      <c r="R490" s="284"/>
      <c r="S490" s="284"/>
      <c r="T490" s="284"/>
      <c r="U490" s="284"/>
      <c r="V490" s="284"/>
      <c r="W490" s="284"/>
      <c r="X490" s="284"/>
      <c r="Y490" s="284"/>
      <c r="Z490" s="284"/>
      <c r="AA490" s="284"/>
      <c r="AB490" s="284"/>
      <c r="AC490" s="284"/>
      <c r="AD490" s="284"/>
      <c r="AE490" s="284"/>
    </row>
    <row r="491">
      <c r="A491" s="284"/>
      <c r="B491" s="284"/>
      <c r="C491" s="284"/>
      <c r="D491" s="284"/>
      <c r="E491" s="284"/>
      <c r="F491" s="284"/>
      <c r="G491" s="284"/>
      <c r="H491" s="284"/>
      <c r="I491" s="284"/>
      <c r="J491" s="284"/>
      <c r="K491" s="284"/>
      <c r="L491" s="284"/>
      <c r="M491" s="284"/>
      <c r="N491" s="284"/>
      <c r="O491" s="284"/>
      <c r="P491" s="284"/>
      <c r="Q491" s="284"/>
      <c r="R491" s="284"/>
      <c r="S491" s="284"/>
      <c r="T491" s="284"/>
      <c r="U491" s="284"/>
      <c r="V491" s="284"/>
      <c r="W491" s="284"/>
      <c r="X491" s="284"/>
      <c r="Y491" s="284"/>
      <c r="Z491" s="284"/>
      <c r="AA491" s="284"/>
      <c r="AB491" s="284"/>
      <c r="AC491" s="284"/>
      <c r="AD491" s="284"/>
      <c r="AE491" s="284"/>
    </row>
    <row r="492">
      <c r="A492" s="284"/>
      <c r="B492" s="284"/>
      <c r="C492" s="284"/>
      <c r="D492" s="284"/>
      <c r="E492" s="284"/>
      <c r="F492" s="284"/>
      <c r="G492" s="284"/>
      <c r="H492" s="284"/>
      <c r="I492" s="284"/>
      <c r="J492" s="284"/>
      <c r="K492" s="284"/>
      <c r="L492" s="284"/>
      <c r="M492" s="284"/>
      <c r="N492" s="284"/>
      <c r="O492" s="284"/>
      <c r="P492" s="284"/>
      <c r="Q492" s="284"/>
      <c r="R492" s="284"/>
      <c r="S492" s="284"/>
      <c r="T492" s="284"/>
      <c r="U492" s="284"/>
      <c r="V492" s="284"/>
      <c r="W492" s="284"/>
      <c r="X492" s="284"/>
      <c r="Y492" s="284"/>
      <c r="Z492" s="284"/>
      <c r="AA492" s="284"/>
      <c r="AB492" s="284"/>
      <c r="AC492" s="284"/>
      <c r="AD492" s="284"/>
      <c r="AE492" s="284"/>
    </row>
    <row r="493">
      <c r="A493" s="284"/>
      <c r="B493" s="284"/>
      <c r="C493" s="284"/>
      <c r="D493" s="284"/>
      <c r="E493" s="284"/>
      <c r="F493" s="284"/>
      <c r="G493" s="284"/>
      <c r="H493" s="284"/>
      <c r="I493" s="284"/>
      <c r="J493" s="284"/>
      <c r="K493" s="284"/>
      <c r="L493" s="284"/>
      <c r="M493" s="284"/>
      <c r="N493" s="284"/>
      <c r="O493" s="284"/>
      <c r="P493" s="284"/>
      <c r="Q493" s="284"/>
      <c r="R493" s="284"/>
      <c r="S493" s="284"/>
      <c r="T493" s="284"/>
      <c r="U493" s="284"/>
      <c r="V493" s="284"/>
      <c r="W493" s="284"/>
      <c r="X493" s="284"/>
      <c r="Y493" s="284"/>
      <c r="Z493" s="284"/>
      <c r="AA493" s="284"/>
      <c r="AB493" s="284"/>
      <c r="AC493" s="284"/>
      <c r="AD493" s="284"/>
      <c r="AE493" s="284"/>
    </row>
    <row r="494">
      <c r="A494" s="284"/>
      <c r="B494" s="284"/>
      <c r="C494" s="284"/>
      <c r="D494" s="284"/>
      <c r="E494" s="284"/>
      <c r="F494" s="284"/>
      <c r="G494" s="284"/>
      <c r="H494" s="284"/>
      <c r="I494" s="284"/>
      <c r="J494" s="284"/>
      <c r="K494" s="284"/>
      <c r="L494" s="284"/>
      <c r="M494" s="284"/>
      <c r="N494" s="284"/>
      <c r="O494" s="284"/>
      <c r="P494" s="284"/>
      <c r="Q494" s="284"/>
      <c r="R494" s="284"/>
      <c r="S494" s="284"/>
      <c r="T494" s="284"/>
      <c r="U494" s="284"/>
      <c r="V494" s="284"/>
      <c r="W494" s="284"/>
      <c r="X494" s="284"/>
      <c r="Y494" s="284"/>
      <c r="Z494" s="284"/>
      <c r="AA494" s="284"/>
      <c r="AB494" s="284"/>
      <c r="AC494" s="284"/>
      <c r="AD494" s="284"/>
      <c r="AE494" s="284"/>
    </row>
    <row r="495">
      <c r="A495" s="284"/>
      <c r="B495" s="284"/>
      <c r="C495" s="284"/>
      <c r="D495" s="284"/>
      <c r="E495" s="284"/>
      <c r="F495" s="284"/>
      <c r="G495" s="284"/>
      <c r="H495" s="284"/>
      <c r="I495" s="284"/>
      <c r="J495" s="284"/>
      <c r="K495" s="284"/>
      <c r="L495" s="284"/>
      <c r="M495" s="284"/>
      <c r="N495" s="284"/>
      <c r="O495" s="284"/>
      <c r="P495" s="284"/>
      <c r="Q495" s="284"/>
      <c r="R495" s="284"/>
      <c r="S495" s="284"/>
      <c r="T495" s="284"/>
      <c r="U495" s="284"/>
      <c r="V495" s="284"/>
      <c r="W495" s="284"/>
      <c r="X495" s="284"/>
      <c r="Y495" s="284"/>
      <c r="Z495" s="284"/>
      <c r="AA495" s="284"/>
      <c r="AB495" s="284"/>
      <c r="AC495" s="284"/>
      <c r="AD495" s="284"/>
      <c r="AE495" s="284"/>
    </row>
    <row r="496">
      <c r="A496" s="284"/>
      <c r="B496" s="284"/>
      <c r="C496" s="284"/>
      <c r="D496" s="284"/>
      <c r="E496" s="284"/>
      <c r="F496" s="284"/>
      <c r="G496" s="284"/>
      <c r="H496" s="284"/>
      <c r="I496" s="284"/>
      <c r="J496" s="284"/>
      <c r="K496" s="284"/>
      <c r="L496" s="284"/>
      <c r="M496" s="284"/>
      <c r="N496" s="284"/>
      <c r="O496" s="284"/>
      <c r="P496" s="284"/>
      <c r="Q496" s="284"/>
      <c r="R496" s="284"/>
      <c r="S496" s="284"/>
      <c r="T496" s="284"/>
      <c r="U496" s="284"/>
      <c r="V496" s="284"/>
      <c r="W496" s="284"/>
      <c r="X496" s="284"/>
      <c r="Y496" s="284"/>
      <c r="Z496" s="284"/>
      <c r="AA496" s="284"/>
      <c r="AB496" s="284"/>
      <c r="AC496" s="284"/>
      <c r="AD496" s="284"/>
      <c r="AE496" s="284"/>
    </row>
    <row r="497">
      <c r="A497" s="284"/>
      <c r="B497" s="284"/>
      <c r="C497" s="284"/>
      <c r="D497" s="284"/>
      <c r="E497" s="284"/>
      <c r="F497" s="284"/>
      <c r="G497" s="284"/>
      <c r="H497" s="284"/>
      <c r="I497" s="284"/>
      <c r="J497" s="284"/>
      <c r="K497" s="284"/>
      <c r="L497" s="284"/>
      <c r="M497" s="284"/>
      <c r="N497" s="284"/>
      <c r="O497" s="284"/>
      <c r="P497" s="284"/>
      <c r="Q497" s="284"/>
      <c r="R497" s="284"/>
      <c r="S497" s="284"/>
      <c r="T497" s="284"/>
      <c r="U497" s="284"/>
      <c r="V497" s="284"/>
      <c r="W497" s="284"/>
      <c r="X497" s="284"/>
      <c r="Y497" s="284"/>
      <c r="Z497" s="284"/>
      <c r="AA497" s="284"/>
      <c r="AB497" s="284"/>
      <c r="AC497" s="284"/>
      <c r="AD497" s="284"/>
      <c r="AE497" s="284"/>
    </row>
    <row r="498">
      <c r="A498" s="284"/>
      <c r="B498" s="284"/>
      <c r="C498" s="284"/>
      <c r="D498" s="284"/>
      <c r="E498" s="284"/>
      <c r="F498" s="284"/>
      <c r="G498" s="284"/>
      <c r="H498" s="284"/>
      <c r="I498" s="284"/>
      <c r="J498" s="284"/>
      <c r="K498" s="284"/>
      <c r="L498" s="284"/>
      <c r="M498" s="284"/>
      <c r="N498" s="284"/>
      <c r="O498" s="284"/>
      <c r="P498" s="284"/>
      <c r="Q498" s="284"/>
      <c r="R498" s="284"/>
      <c r="S498" s="284"/>
      <c r="T498" s="284"/>
      <c r="U498" s="284"/>
      <c r="V498" s="284"/>
      <c r="W498" s="284"/>
      <c r="X498" s="284"/>
      <c r="Y498" s="284"/>
      <c r="Z498" s="284"/>
      <c r="AA498" s="284"/>
      <c r="AB498" s="284"/>
      <c r="AC498" s="284"/>
      <c r="AD498" s="284"/>
      <c r="AE498" s="284"/>
    </row>
    <row r="499">
      <c r="A499" s="284"/>
      <c r="B499" s="284"/>
      <c r="C499" s="284"/>
      <c r="D499" s="284"/>
      <c r="E499" s="284"/>
      <c r="F499" s="284"/>
      <c r="G499" s="284"/>
      <c r="H499" s="284"/>
      <c r="I499" s="284"/>
      <c r="J499" s="284"/>
      <c r="K499" s="284"/>
      <c r="L499" s="284"/>
      <c r="M499" s="284"/>
      <c r="N499" s="284"/>
      <c r="O499" s="284"/>
      <c r="P499" s="284"/>
      <c r="Q499" s="284"/>
      <c r="R499" s="284"/>
      <c r="S499" s="284"/>
      <c r="T499" s="284"/>
      <c r="U499" s="284"/>
      <c r="V499" s="284"/>
      <c r="W499" s="284"/>
      <c r="X499" s="284"/>
      <c r="Y499" s="284"/>
      <c r="Z499" s="284"/>
      <c r="AA499" s="284"/>
      <c r="AB499" s="284"/>
      <c r="AC499" s="284"/>
      <c r="AD499" s="284"/>
      <c r="AE499" s="284"/>
    </row>
    <row r="500">
      <c r="A500" s="284"/>
      <c r="B500" s="284"/>
      <c r="C500" s="284"/>
      <c r="D500" s="284"/>
      <c r="E500" s="284"/>
      <c r="F500" s="284"/>
      <c r="G500" s="284"/>
      <c r="H500" s="284"/>
      <c r="I500" s="284"/>
      <c r="J500" s="284"/>
      <c r="K500" s="284"/>
      <c r="L500" s="284"/>
      <c r="M500" s="284"/>
      <c r="N500" s="284"/>
      <c r="O500" s="284"/>
      <c r="P500" s="284"/>
      <c r="Q500" s="284"/>
      <c r="R500" s="284"/>
      <c r="S500" s="284"/>
      <c r="T500" s="284"/>
      <c r="U500" s="284"/>
      <c r="V500" s="284"/>
      <c r="W500" s="284"/>
      <c r="X500" s="284"/>
      <c r="Y500" s="284"/>
      <c r="Z500" s="284"/>
      <c r="AA500" s="284"/>
      <c r="AB500" s="284"/>
      <c r="AC500" s="284"/>
      <c r="AD500" s="284"/>
      <c r="AE500" s="284"/>
    </row>
    <row r="501">
      <c r="A501" s="284"/>
      <c r="B501" s="284"/>
      <c r="C501" s="284"/>
      <c r="D501" s="284"/>
      <c r="E501" s="284"/>
      <c r="F501" s="284"/>
      <c r="G501" s="284"/>
      <c r="H501" s="284"/>
      <c r="I501" s="284"/>
      <c r="J501" s="284"/>
      <c r="K501" s="284"/>
      <c r="L501" s="284"/>
      <c r="M501" s="284"/>
      <c r="N501" s="284"/>
      <c r="O501" s="284"/>
      <c r="P501" s="284"/>
      <c r="Q501" s="284"/>
      <c r="R501" s="284"/>
      <c r="S501" s="284"/>
      <c r="T501" s="284"/>
      <c r="U501" s="284"/>
      <c r="V501" s="284"/>
      <c r="W501" s="284"/>
      <c r="X501" s="284"/>
      <c r="Y501" s="284"/>
      <c r="Z501" s="284"/>
      <c r="AA501" s="284"/>
      <c r="AB501" s="284"/>
      <c r="AC501" s="284"/>
      <c r="AD501" s="284"/>
      <c r="AE501" s="284"/>
    </row>
    <row r="502">
      <c r="A502" s="284"/>
      <c r="B502" s="284"/>
      <c r="C502" s="284"/>
      <c r="D502" s="284"/>
      <c r="E502" s="284"/>
      <c r="F502" s="284"/>
      <c r="G502" s="284"/>
      <c r="H502" s="284"/>
      <c r="I502" s="284"/>
      <c r="J502" s="284"/>
      <c r="K502" s="284"/>
      <c r="L502" s="284"/>
      <c r="M502" s="284"/>
      <c r="N502" s="284"/>
      <c r="O502" s="284"/>
      <c r="P502" s="284"/>
      <c r="Q502" s="284"/>
      <c r="R502" s="284"/>
      <c r="S502" s="284"/>
      <c r="T502" s="284"/>
      <c r="U502" s="284"/>
      <c r="V502" s="284"/>
      <c r="W502" s="284"/>
      <c r="X502" s="284"/>
      <c r="Y502" s="284"/>
      <c r="Z502" s="284"/>
      <c r="AA502" s="284"/>
      <c r="AB502" s="284"/>
      <c r="AC502" s="284"/>
      <c r="AD502" s="284"/>
      <c r="AE502" s="284"/>
    </row>
    <row r="503">
      <c r="A503" s="284"/>
      <c r="B503" s="284"/>
      <c r="C503" s="284"/>
      <c r="D503" s="284"/>
      <c r="E503" s="284"/>
      <c r="F503" s="284"/>
      <c r="G503" s="284"/>
      <c r="H503" s="284"/>
      <c r="I503" s="284"/>
      <c r="J503" s="284"/>
      <c r="K503" s="284"/>
      <c r="L503" s="284"/>
      <c r="M503" s="284"/>
      <c r="N503" s="284"/>
      <c r="O503" s="284"/>
      <c r="P503" s="284"/>
      <c r="Q503" s="284"/>
      <c r="R503" s="284"/>
      <c r="S503" s="284"/>
      <c r="T503" s="284"/>
      <c r="U503" s="284"/>
      <c r="V503" s="284"/>
      <c r="W503" s="284"/>
      <c r="X503" s="284"/>
      <c r="Y503" s="284"/>
      <c r="Z503" s="284"/>
      <c r="AA503" s="284"/>
      <c r="AB503" s="284"/>
      <c r="AC503" s="284"/>
      <c r="AD503" s="284"/>
      <c r="AE503" s="284"/>
    </row>
    <row r="504">
      <c r="A504" s="284"/>
      <c r="B504" s="284"/>
      <c r="C504" s="284"/>
      <c r="D504" s="284"/>
      <c r="E504" s="284"/>
      <c r="F504" s="284"/>
      <c r="G504" s="284"/>
      <c r="H504" s="284"/>
      <c r="I504" s="284"/>
      <c r="J504" s="284"/>
      <c r="K504" s="284"/>
      <c r="L504" s="284"/>
      <c r="M504" s="284"/>
      <c r="N504" s="284"/>
      <c r="O504" s="284"/>
      <c r="P504" s="284"/>
      <c r="Q504" s="284"/>
      <c r="R504" s="284"/>
      <c r="S504" s="284"/>
      <c r="T504" s="284"/>
      <c r="U504" s="284"/>
      <c r="V504" s="284"/>
      <c r="W504" s="284"/>
      <c r="X504" s="284"/>
      <c r="Y504" s="284"/>
      <c r="Z504" s="284"/>
      <c r="AA504" s="284"/>
      <c r="AB504" s="284"/>
      <c r="AC504" s="284"/>
      <c r="AD504" s="284"/>
      <c r="AE504" s="284"/>
    </row>
    <row r="505">
      <c r="A505" s="284"/>
      <c r="B505" s="284"/>
      <c r="C505" s="284"/>
      <c r="D505" s="284"/>
      <c r="E505" s="284"/>
      <c r="F505" s="284"/>
      <c r="G505" s="284"/>
      <c r="H505" s="284"/>
      <c r="I505" s="284"/>
      <c r="J505" s="284"/>
      <c r="K505" s="284"/>
      <c r="L505" s="284"/>
      <c r="M505" s="284"/>
      <c r="N505" s="284"/>
      <c r="O505" s="284"/>
      <c r="P505" s="284"/>
      <c r="Q505" s="284"/>
      <c r="R505" s="284"/>
      <c r="S505" s="284"/>
      <c r="T505" s="284"/>
      <c r="U505" s="284"/>
      <c r="V505" s="284"/>
      <c r="W505" s="284"/>
      <c r="X505" s="284"/>
      <c r="Y505" s="284"/>
      <c r="Z505" s="284"/>
      <c r="AA505" s="284"/>
      <c r="AB505" s="284"/>
      <c r="AC505" s="284"/>
      <c r="AD505" s="284"/>
      <c r="AE505" s="284"/>
    </row>
    <row r="506">
      <c r="A506" s="284"/>
      <c r="B506" s="284"/>
      <c r="C506" s="284"/>
      <c r="D506" s="284"/>
      <c r="E506" s="284"/>
      <c r="F506" s="284"/>
      <c r="G506" s="284"/>
      <c r="H506" s="284"/>
      <c r="I506" s="284"/>
      <c r="J506" s="284"/>
      <c r="K506" s="284"/>
      <c r="L506" s="284"/>
      <c r="M506" s="284"/>
      <c r="N506" s="284"/>
      <c r="O506" s="284"/>
      <c r="P506" s="284"/>
      <c r="Q506" s="284"/>
      <c r="R506" s="284"/>
      <c r="S506" s="284"/>
      <c r="T506" s="284"/>
      <c r="U506" s="284"/>
      <c r="V506" s="284"/>
      <c r="W506" s="284"/>
      <c r="X506" s="284"/>
      <c r="Y506" s="284"/>
      <c r="Z506" s="284"/>
      <c r="AA506" s="284"/>
      <c r="AB506" s="284"/>
      <c r="AC506" s="284"/>
      <c r="AD506" s="284"/>
      <c r="AE506" s="284"/>
    </row>
    <row r="507">
      <c r="A507" s="284"/>
      <c r="B507" s="284"/>
      <c r="C507" s="284"/>
      <c r="D507" s="284"/>
      <c r="E507" s="284"/>
      <c r="F507" s="284"/>
      <c r="G507" s="284"/>
      <c r="H507" s="284"/>
      <c r="I507" s="284"/>
      <c r="J507" s="284"/>
      <c r="K507" s="284"/>
      <c r="L507" s="284"/>
      <c r="M507" s="284"/>
      <c r="N507" s="284"/>
      <c r="O507" s="284"/>
      <c r="P507" s="284"/>
      <c r="Q507" s="284"/>
      <c r="R507" s="284"/>
      <c r="S507" s="284"/>
      <c r="T507" s="284"/>
      <c r="U507" s="284"/>
      <c r="V507" s="284"/>
      <c r="W507" s="284"/>
      <c r="X507" s="284"/>
      <c r="Y507" s="284"/>
      <c r="Z507" s="284"/>
      <c r="AA507" s="284"/>
      <c r="AB507" s="284"/>
      <c r="AC507" s="284"/>
      <c r="AD507" s="284"/>
      <c r="AE507" s="284"/>
    </row>
    <row r="508">
      <c r="A508" s="284"/>
      <c r="B508" s="284"/>
      <c r="C508" s="284"/>
      <c r="D508" s="284"/>
      <c r="E508" s="284"/>
      <c r="F508" s="284"/>
      <c r="G508" s="284"/>
      <c r="H508" s="284"/>
      <c r="I508" s="284"/>
      <c r="J508" s="284"/>
      <c r="K508" s="284"/>
      <c r="L508" s="284"/>
      <c r="M508" s="284"/>
      <c r="N508" s="284"/>
      <c r="O508" s="284"/>
      <c r="P508" s="284"/>
      <c r="Q508" s="284"/>
      <c r="R508" s="284"/>
      <c r="S508" s="284"/>
      <c r="T508" s="284"/>
      <c r="U508" s="284"/>
      <c r="V508" s="284"/>
      <c r="W508" s="284"/>
      <c r="X508" s="284"/>
      <c r="Y508" s="284"/>
      <c r="Z508" s="284"/>
      <c r="AA508" s="284"/>
      <c r="AB508" s="284"/>
      <c r="AC508" s="284"/>
      <c r="AD508" s="284"/>
      <c r="AE508" s="284"/>
    </row>
    <row r="509">
      <c r="A509" s="284"/>
      <c r="B509" s="284"/>
      <c r="C509" s="284"/>
      <c r="D509" s="284"/>
      <c r="E509" s="284"/>
      <c r="F509" s="284"/>
      <c r="G509" s="284"/>
      <c r="H509" s="284"/>
      <c r="I509" s="284"/>
      <c r="J509" s="284"/>
      <c r="K509" s="284"/>
      <c r="L509" s="284"/>
      <c r="M509" s="284"/>
      <c r="N509" s="284"/>
      <c r="O509" s="284"/>
      <c r="P509" s="284"/>
      <c r="Q509" s="284"/>
      <c r="R509" s="284"/>
      <c r="S509" s="284"/>
      <c r="T509" s="284"/>
      <c r="U509" s="284"/>
      <c r="V509" s="284"/>
      <c r="W509" s="284"/>
      <c r="X509" s="284"/>
      <c r="Y509" s="284"/>
      <c r="Z509" s="284"/>
      <c r="AA509" s="284"/>
      <c r="AB509" s="284"/>
      <c r="AC509" s="284"/>
      <c r="AD509" s="284"/>
      <c r="AE509" s="284"/>
    </row>
    <row r="510">
      <c r="A510" s="284"/>
      <c r="B510" s="284"/>
      <c r="C510" s="284"/>
      <c r="D510" s="284"/>
      <c r="E510" s="284"/>
      <c r="F510" s="284"/>
      <c r="G510" s="284"/>
      <c r="H510" s="284"/>
      <c r="I510" s="284"/>
      <c r="J510" s="284"/>
      <c r="K510" s="284"/>
      <c r="L510" s="284"/>
      <c r="M510" s="284"/>
      <c r="N510" s="284"/>
      <c r="O510" s="284"/>
      <c r="P510" s="284"/>
      <c r="Q510" s="284"/>
      <c r="R510" s="284"/>
      <c r="S510" s="284"/>
      <c r="T510" s="284"/>
      <c r="U510" s="284"/>
      <c r="V510" s="284"/>
      <c r="W510" s="284"/>
      <c r="X510" s="284"/>
      <c r="Y510" s="284"/>
      <c r="Z510" s="284"/>
      <c r="AA510" s="284"/>
      <c r="AB510" s="284"/>
      <c r="AC510" s="284"/>
      <c r="AD510" s="284"/>
      <c r="AE510" s="284"/>
    </row>
    <row r="511">
      <c r="A511" s="284"/>
      <c r="B511" s="284"/>
      <c r="C511" s="284"/>
      <c r="D511" s="284"/>
      <c r="E511" s="284"/>
      <c r="F511" s="284"/>
      <c r="G511" s="284"/>
      <c r="H511" s="284"/>
      <c r="I511" s="284"/>
      <c r="J511" s="284"/>
      <c r="K511" s="284"/>
      <c r="L511" s="284"/>
      <c r="M511" s="284"/>
      <c r="N511" s="284"/>
      <c r="O511" s="284"/>
      <c r="P511" s="284"/>
      <c r="Q511" s="284"/>
      <c r="R511" s="284"/>
      <c r="S511" s="284"/>
      <c r="T511" s="284"/>
      <c r="U511" s="284"/>
      <c r="V511" s="284"/>
      <c r="W511" s="284"/>
      <c r="X511" s="284"/>
      <c r="Y511" s="284"/>
      <c r="Z511" s="284"/>
      <c r="AA511" s="284"/>
      <c r="AB511" s="284"/>
      <c r="AC511" s="284"/>
      <c r="AD511" s="284"/>
      <c r="AE511" s="284"/>
    </row>
    <row r="512">
      <c r="A512" s="284"/>
      <c r="B512" s="284"/>
      <c r="C512" s="284"/>
      <c r="D512" s="284"/>
      <c r="E512" s="284"/>
      <c r="F512" s="284"/>
      <c r="G512" s="284"/>
      <c r="H512" s="284"/>
      <c r="I512" s="284"/>
      <c r="J512" s="284"/>
      <c r="K512" s="284"/>
      <c r="L512" s="284"/>
      <c r="M512" s="284"/>
      <c r="N512" s="284"/>
      <c r="O512" s="284"/>
      <c r="P512" s="284"/>
      <c r="Q512" s="284"/>
      <c r="R512" s="284"/>
      <c r="S512" s="284"/>
      <c r="T512" s="284"/>
      <c r="U512" s="284"/>
      <c r="V512" s="284"/>
      <c r="W512" s="284"/>
      <c r="X512" s="284"/>
      <c r="Y512" s="284"/>
      <c r="Z512" s="284"/>
      <c r="AA512" s="284"/>
      <c r="AB512" s="284"/>
      <c r="AC512" s="284"/>
      <c r="AD512" s="284"/>
      <c r="AE512" s="284"/>
    </row>
    <row r="513">
      <c r="A513" s="284"/>
      <c r="B513" s="284"/>
      <c r="C513" s="284"/>
      <c r="D513" s="284"/>
      <c r="E513" s="284"/>
      <c r="F513" s="284"/>
      <c r="G513" s="284"/>
      <c r="H513" s="284"/>
      <c r="I513" s="284"/>
      <c r="J513" s="284"/>
      <c r="K513" s="284"/>
      <c r="L513" s="284"/>
      <c r="M513" s="284"/>
      <c r="N513" s="284"/>
      <c r="O513" s="284"/>
      <c r="P513" s="284"/>
      <c r="Q513" s="284"/>
      <c r="R513" s="284"/>
      <c r="S513" s="284"/>
      <c r="T513" s="284"/>
      <c r="U513" s="284"/>
      <c r="V513" s="284"/>
      <c r="W513" s="284"/>
      <c r="X513" s="284"/>
      <c r="Y513" s="284"/>
      <c r="Z513" s="284"/>
      <c r="AA513" s="284"/>
      <c r="AB513" s="284"/>
      <c r="AC513" s="284"/>
      <c r="AD513" s="284"/>
      <c r="AE513" s="284"/>
    </row>
    <row r="514">
      <c r="A514" s="284"/>
      <c r="B514" s="284"/>
      <c r="C514" s="284"/>
      <c r="D514" s="284"/>
      <c r="E514" s="284"/>
      <c r="F514" s="284"/>
      <c r="G514" s="284"/>
      <c r="H514" s="284"/>
      <c r="I514" s="284"/>
      <c r="J514" s="284"/>
      <c r="K514" s="284"/>
      <c r="L514" s="284"/>
      <c r="M514" s="284"/>
      <c r="N514" s="284"/>
      <c r="O514" s="284"/>
      <c r="P514" s="284"/>
      <c r="Q514" s="284"/>
      <c r="R514" s="284"/>
      <c r="S514" s="284"/>
      <c r="T514" s="284"/>
      <c r="U514" s="284"/>
      <c r="V514" s="284"/>
      <c r="W514" s="284"/>
      <c r="X514" s="284"/>
      <c r="Y514" s="284"/>
      <c r="Z514" s="284"/>
      <c r="AA514" s="284"/>
      <c r="AB514" s="284"/>
      <c r="AC514" s="284"/>
      <c r="AD514" s="284"/>
      <c r="AE514" s="284"/>
    </row>
    <row r="515">
      <c r="A515" s="284"/>
      <c r="B515" s="284"/>
      <c r="C515" s="284"/>
      <c r="D515" s="284"/>
      <c r="E515" s="284"/>
      <c r="F515" s="284"/>
      <c r="G515" s="284"/>
      <c r="H515" s="284"/>
      <c r="I515" s="284"/>
      <c r="J515" s="284"/>
      <c r="K515" s="284"/>
      <c r="L515" s="284"/>
      <c r="M515" s="284"/>
      <c r="N515" s="284"/>
      <c r="O515" s="284"/>
      <c r="P515" s="284"/>
      <c r="Q515" s="284"/>
      <c r="R515" s="284"/>
      <c r="S515" s="284"/>
      <c r="T515" s="284"/>
      <c r="U515" s="284"/>
      <c r="V515" s="284"/>
      <c r="W515" s="284"/>
      <c r="X515" s="284"/>
      <c r="Y515" s="284"/>
      <c r="Z515" s="284"/>
      <c r="AA515" s="284"/>
      <c r="AB515" s="284"/>
      <c r="AC515" s="284"/>
      <c r="AD515" s="284"/>
      <c r="AE515" s="284"/>
    </row>
    <row r="516">
      <c r="A516" s="284"/>
      <c r="B516" s="284"/>
      <c r="C516" s="284"/>
      <c r="D516" s="284"/>
      <c r="E516" s="284"/>
      <c r="F516" s="284"/>
      <c r="G516" s="284"/>
      <c r="H516" s="284"/>
      <c r="I516" s="284"/>
      <c r="J516" s="284"/>
      <c r="K516" s="284"/>
      <c r="L516" s="284"/>
      <c r="M516" s="284"/>
      <c r="N516" s="284"/>
      <c r="O516" s="284"/>
      <c r="P516" s="284"/>
      <c r="Q516" s="284"/>
      <c r="R516" s="284"/>
      <c r="S516" s="284"/>
      <c r="T516" s="284"/>
      <c r="U516" s="284"/>
      <c r="V516" s="284"/>
      <c r="W516" s="284"/>
      <c r="X516" s="284"/>
      <c r="Y516" s="284"/>
      <c r="Z516" s="284"/>
      <c r="AA516" s="284"/>
      <c r="AB516" s="284"/>
      <c r="AC516" s="284"/>
      <c r="AD516" s="284"/>
      <c r="AE516" s="284"/>
    </row>
    <row r="517">
      <c r="A517" s="284"/>
      <c r="B517" s="284"/>
      <c r="C517" s="284"/>
      <c r="D517" s="284"/>
      <c r="E517" s="284"/>
      <c r="F517" s="284"/>
      <c r="G517" s="284"/>
      <c r="H517" s="284"/>
      <c r="I517" s="284"/>
      <c r="J517" s="284"/>
      <c r="K517" s="284"/>
      <c r="L517" s="284"/>
      <c r="M517" s="284"/>
      <c r="N517" s="284"/>
      <c r="O517" s="284"/>
      <c r="P517" s="284"/>
      <c r="Q517" s="284"/>
      <c r="R517" s="284"/>
      <c r="S517" s="284"/>
      <c r="T517" s="284"/>
      <c r="U517" s="284"/>
      <c r="V517" s="284"/>
      <c r="W517" s="284"/>
      <c r="X517" s="284"/>
      <c r="Y517" s="284"/>
      <c r="Z517" s="284"/>
      <c r="AA517" s="284"/>
      <c r="AB517" s="284"/>
      <c r="AC517" s="284"/>
      <c r="AD517" s="284"/>
      <c r="AE517" s="284"/>
    </row>
    <row r="518">
      <c r="A518" s="284"/>
      <c r="B518" s="284"/>
      <c r="C518" s="284"/>
      <c r="D518" s="284"/>
      <c r="E518" s="284"/>
      <c r="F518" s="284"/>
      <c r="G518" s="284"/>
      <c r="H518" s="284"/>
      <c r="I518" s="284"/>
      <c r="J518" s="284"/>
      <c r="K518" s="284"/>
      <c r="L518" s="284"/>
      <c r="M518" s="284"/>
      <c r="N518" s="284"/>
      <c r="O518" s="284"/>
      <c r="P518" s="284"/>
      <c r="Q518" s="284"/>
      <c r="R518" s="284"/>
      <c r="S518" s="284"/>
      <c r="T518" s="284"/>
      <c r="U518" s="284"/>
      <c r="V518" s="284"/>
      <c r="W518" s="284"/>
      <c r="X518" s="284"/>
      <c r="Y518" s="284"/>
      <c r="Z518" s="284"/>
      <c r="AA518" s="284"/>
      <c r="AB518" s="284"/>
      <c r="AC518" s="284"/>
      <c r="AD518" s="284"/>
      <c r="AE518" s="284"/>
    </row>
    <row r="519">
      <c r="A519" s="284"/>
      <c r="B519" s="284"/>
      <c r="C519" s="284"/>
      <c r="D519" s="284"/>
      <c r="E519" s="284"/>
      <c r="F519" s="284"/>
      <c r="G519" s="284"/>
      <c r="H519" s="284"/>
      <c r="I519" s="284"/>
      <c r="J519" s="284"/>
      <c r="K519" s="284"/>
      <c r="L519" s="284"/>
      <c r="M519" s="284"/>
      <c r="N519" s="284"/>
      <c r="O519" s="284"/>
      <c r="P519" s="284"/>
      <c r="Q519" s="284"/>
      <c r="R519" s="284"/>
      <c r="S519" s="284"/>
      <c r="T519" s="284"/>
      <c r="U519" s="284"/>
      <c r="V519" s="284"/>
      <c r="W519" s="284"/>
      <c r="X519" s="284"/>
      <c r="Y519" s="284"/>
      <c r="Z519" s="284"/>
      <c r="AA519" s="284"/>
      <c r="AB519" s="284"/>
      <c r="AC519" s="284"/>
      <c r="AD519" s="284"/>
      <c r="AE519" s="284"/>
    </row>
    <row r="520">
      <c r="A520" s="284"/>
      <c r="B520" s="284"/>
      <c r="C520" s="284"/>
      <c r="D520" s="284"/>
      <c r="E520" s="284"/>
      <c r="F520" s="284"/>
      <c r="G520" s="284"/>
      <c r="H520" s="284"/>
      <c r="I520" s="284"/>
      <c r="J520" s="284"/>
      <c r="K520" s="284"/>
      <c r="L520" s="284"/>
      <c r="M520" s="284"/>
      <c r="N520" s="284"/>
      <c r="O520" s="284"/>
      <c r="P520" s="284"/>
      <c r="Q520" s="284"/>
      <c r="R520" s="284"/>
      <c r="S520" s="284"/>
      <c r="T520" s="284"/>
      <c r="U520" s="284"/>
      <c r="V520" s="284"/>
      <c r="W520" s="284"/>
      <c r="X520" s="284"/>
      <c r="Y520" s="284"/>
      <c r="Z520" s="284"/>
      <c r="AA520" s="284"/>
      <c r="AB520" s="284"/>
      <c r="AC520" s="284"/>
      <c r="AD520" s="284"/>
      <c r="AE520" s="284"/>
    </row>
    <row r="521">
      <c r="A521" s="284"/>
      <c r="B521" s="284"/>
      <c r="C521" s="284"/>
      <c r="D521" s="284"/>
      <c r="E521" s="284"/>
      <c r="F521" s="284"/>
      <c r="G521" s="284"/>
      <c r="H521" s="284"/>
      <c r="I521" s="284"/>
      <c r="J521" s="284"/>
      <c r="K521" s="284"/>
      <c r="L521" s="284"/>
      <c r="M521" s="284"/>
      <c r="N521" s="284"/>
      <c r="O521" s="284"/>
      <c r="P521" s="284"/>
      <c r="Q521" s="284"/>
      <c r="R521" s="284"/>
      <c r="S521" s="284"/>
      <c r="T521" s="284"/>
      <c r="U521" s="284"/>
      <c r="V521" s="284"/>
      <c r="W521" s="284"/>
      <c r="X521" s="284"/>
      <c r="Y521" s="284"/>
      <c r="Z521" s="284"/>
      <c r="AA521" s="284"/>
      <c r="AB521" s="284"/>
      <c r="AC521" s="284"/>
      <c r="AD521" s="284"/>
      <c r="AE521" s="284"/>
    </row>
    <row r="522">
      <c r="A522" s="284"/>
      <c r="B522" s="284"/>
      <c r="C522" s="284"/>
      <c r="D522" s="284"/>
      <c r="E522" s="284"/>
      <c r="F522" s="284"/>
      <c r="G522" s="284"/>
      <c r="H522" s="284"/>
      <c r="I522" s="284"/>
      <c r="J522" s="284"/>
      <c r="K522" s="284"/>
      <c r="L522" s="284"/>
      <c r="M522" s="284"/>
      <c r="N522" s="284"/>
      <c r="O522" s="284"/>
      <c r="P522" s="284"/>
      <c r="Q522" s="284"/>
      <c r="R522" s="284"/>
      <c r="S522" s="284"/>
      <c r="T522" s="284"/>
      <c r="U522" s="284"/>
      <c r="V522" s="284"/>
      <c r="W522" s="284"/>
      <c r="X522" s="284"/>
      <c r="Y522" s="284"/>
      <c r="Z522" s="284"/>
      <c r="AA522" s="284"/>
      <c r="AB522" s="284"/>
      <c r="AC522" s="284"/>
      <c r="AD522" s="284"/>
      <c r="AE522" s="284"/>
    </row>
    <row r="523">
      <c r="A523" s="284"/>
      <c r="B523" s="284"/>
      <c r="C523" s="284"/>
      <c r="D523" s="284"/>
      <c r="E523" s="284"/>
      <c r="F523" s="284"/>
      <c r="G523" s="284"/>
      <c r="H523" s="284"/>
      <c r="I523" s="284"/>
      <c r="J523" s="284"/>
      <c r="K523" s="284"/>
      <c r="L523" s="284"/>
      <c r="M523" s="284"/>
      <c r="N523" s="284"/>
      <c r="O523" s="284"/>
      <c r="P523" s="284"/>
      <c r="Q523" s="284"/>
      <c r="R523" s="284"/>
      <c r="S523" s="284"/>
      <c r="T523" s="284"/>
      <c r="U523" s="284"/>
      <c r="V523" s="284"/>
      <c r="W523" s="284"/>
      <c r="X523" s="284"/>
      <c r="Y523" s="284"/>
      <c r="Z523" s="284"/>
      <c r="AA523" s="284"/>
      <c r="AB523" s="284"/>
      <c r="AC523" s="284"/>
      <c r="AD523" s="284"/>
      <c r="AE523" s="284"/>
    </row>
    <row r="524">
      <c r="A524" s="284"/>
      <c r="B524" s="284"/>
      <c r="C524" s="284"/>
      <c r="D524" s="284"/>
      <c r="E524" s="284"/>
      <c r="F524" s="284"/>
      <c r="G524" s="284"/>
      <c r="H524" s="284"/>
      <c r="I524" s="284"/>
      <c r="J524" s="284"/>
      <c r="K524" s="284"/>
      <c r="L524" s="284"/>
      <c r="M524" s="284"/>
      <c r="N524" s="284"/>
      <c r="O524" s="284"/>
      <c r="P524" s="284"/>
      <c r="Q524" s="284"/>
      <c r="R524" s="284"/>
      <c r="S524" s="284"/>
      <c r="T524" s="284"/>
      <c r="U524" s="284"/>
      <c r="V524" s="284"/>
      <c r="W524" s="284"/>
      <c r="X524" s="284"/>
      <c r="Y524" s="284"/>
      <c r="Z524" s="284"/>
      <c r="AA524" s="284"/>
      <c r="AB524" s="284"/>
      <c r="AC524" s="284"/>
      <c r="AD524" s="284"/>
      <c r="AE524" s="284"/>
    </row>
    <row r="525">
      <c r="A525" s="284"/>
      <c r="B525" s="284"/>
      <c r="C525" s="284"/>
      <c r="D525" s="284"/>
      <c r="E525" s="284"/>
      <c r="F525" s="284"/>
      <c r="G525" s="284"/>
      <c r="H525" s="284"/>
      <c r="I525" s="284"/>
      <c r="J525" s="284"/>
      <c r="K525" s="284"/>
      <c r="L525" s="284"/>
      <c r="M525" s="284"/>
      <c r="N525" s="284"/>
      <c r="O525" s="284"/>
      <c r="P525" s="284"/>
      <c r="Q525" s="284"/>
      <c r="R525" s="284"/>
      <c r="S525" s="284"/>
      <c r="T525" s="284"/>
      <c r="U525" s="284"/>
      <c r="V525" s="284"/>
      <c r="W525" s="284"/>
      <c r="X525" s="284"/>
      <c r="Y525" s="284"/>
      <c r="Z525" s="284"/>
      <c r="AA525" s="284"/>
      <c r="AB525" s="284"/>
      <c r="AC525" s="284"/>
      <c r="AD525" s="284"/>
      <c r="AE525" s="284"/>
    </row>
    <row r="526">
      <c r="A526" s="284"/>
      <c r="B526" s="284"/>
      <c r="C526" s="284"/>
      <c r="D526" s="284"/>
      <c r="E526" s="284"/>
      <c r="F526" s="284"/>
      <c r="G526" s="284"/>
      <c r="H526" s="284"/>
      <c r="I526" s="284"/>
      <c r="J526" s="284"/>
      <c r="K526" s="284"/>
      <c r="L526" s="284"/>
      <c r="M526" s="284"/>
      <c r="N526" s="284"/>
      <c r="O526" s="284"/>
      <c r="P526" s="284"/>
      <c r="Q526" s="284"/>
      <c r="R526" s="284"/>
      <c r="S526" s="284"/>
      <c r="T526" s="284"/>
      <c r="U526" s="284"/>
      <c r="V526" s="284"/>
      <c r="W526" s="284"/>
      <c r="X526" s="284"/>
      <c r="Y526" s="284"/>
      <c r="Z526" s="284"/>
      <c r="AA526" s="284"/>
      <c r="AB526" s="284"/>
      <c r="AC526" s="284"/>
      <c r="AD526" s="284"/>
      <c r="AE526" s="284"/>
    </row>
    <row r="527">
      <c r="A527" s="284"/>
      <c r="B527" s="284"/>
      <c r="C527" s="284"/>
      <c r="D527" s="284"/>
      <c r="E527" s="284"/>
      <c r="F527" s="284"/>
      <c r="G527" s="284"/>
      <c r="H527" s="284"/>
      <c r="I527" s="284"/>
      <c r="J527" s="284"/>
      <c r="K527" s="284"/>
      <c r="L527" s="284"/>
      <c r="M527" s="284"/>
      <c r="N527" s="284"/>
      <c r="O527" s="284"/>
      <c r="P527" s="284"/>
      <c r="Q527" s="284"/>
      <c r="R527" s="284"/>
      <c r="S527" s="284"/>
      <c r="T527" s="284"/>
      <c r="U527" s="284"/>
      <c r="V527" s="284"/>
      <c r="W527" s="284"/>
      <c r="X527" s="284"/>
      <c r="Y527" s="284"/>
      <c r="Z527" s="284"/>
      <c r="AA527" s="284"/>
      <c r="AB527" s="284"/>
      <c r="AC527" s="284"/>
      <c r="AD527" s="284"/>
      <c r="AE527" s="284"/>
    </row>
    <row r="528">
      <c r="A528" s="284"/>
      <c r="B528" s="284"/>
      <c r="C528" s="284"/>
      <c r="D528" s="284"/>
      <c r="E528" s="284"/>
      <c r="F528" s="284"/>
      <c r="G528" s="284"/>
      <c r="H528" s="284"/>
      <c r="I528" s="284"/>
      <c r="J528" s="284"/>
      <c r="K528" s="284"/>
      <c r="L528" s="284"/>
      <c r="M528" s="284"/>
      <c r="N528" s="284"/>
      <c r="O528" s="284"/>
      <c r="P528" s="284"/>
      <c r="Q528" s="284"/>
      <c r="R528" s="284"/>
      <c r="S528" s="284"/>
      <c r="T528" s="284"/>
      <c r="U528" s="284"/>
      <c r="V528" s="284"/>
      <c r="W528" s="284"/>
      <c r="X528" s="284"/>
      <c r="Y528" s="284"/>
      <c r="Z528" s="284"/>
      <c r="AA528" s="284"/>
      <c r="AB528" s="284"/>
      <c r="AC528" s="284"/>
      <c r="AD528" s="284"/>
      <c r="AE528" s="284"/>
    </row>
    <row r="529">
      <c r="A529" s="284"/>
      <c r="B529" s="284"/>
      <c r="C529" s="284"/>
      <c r="D529" s="284"/>
      <c r="E529" s="284"/>
      <c r="F529" s="284"/>
      <c r="G529" s="284"/>
      <c r="H529" s="284"/>
      <c r="I529" s="284"/>
      <c r="J529" s="284"/>
      <c r="K529" s="284"/>
      <c r="L529" s="284"/>
      <c r="M529" s="284"/>
      <c r="N529" s="284"/>
      <c r="O529" s="284"/>
      <c r="P529" s="284"/>
      <c r="Q529" s="284"/>
      <c r="R529" s="284"/>
      <c r="S529" s="284"/>
      <c r="T529" s="284"/>
      <c r="U529" s="284"/>
      <c r="V529" s="284"/>
      <c r="W529" s="284"/>
      <c r="X529" s="284"/>
      <c r="Y529" s="284"/>
      <c r="Z529" s="284"/>
      <c r="AA529" s="284"/>
      <c r="AB529" s="284"/>
      <c r="AC529" s="284"/>
      <c r="AD529" s="284"/>
      <c r="AE529" s="284"/>
    </row>
    <row r="530">
      <c r="A530" s="284"/>
      <c r="B530" s="284"/>
      <c r="C530" s="284"/>
      <c r="D530" s="284"/>
      <c r="E530" s="284"/>
      <c r="F530" s="284"/>
      <c r="G530" s="284"/>
      <c r="H530" s="284"/>
      <c r="I530" s="284"/>
      <c r="J530" s="284"/>
      <c r="K530" s="284"/>
      <c r="L530" s="284"/>
      <c r="M530" s="284"/>
      <c r="N530" s="284"/>
      <c r="O530" s="284"/>
      <c r="P530" s="284"/>
      <c r="Q530" s="284"/>
      <c r="R530" s="284"/>
      <c r="S530" s="284"/>
      <c r="T530" s="284"/>
      <c r="U530" s="284"/>
      <c r="V530" s="284"/>
      <c r="W530" s="284"/>
      <c r="X530" s="284"/>
      <c r="Y530" s="284"/>
      <c r="Z530" s="284"/>
      <c r="AA530" s="284"/>
      <c r="AB530" s="284"/>
      <c r="AC530" s="284"/>
      <c r="AD530" s="284"/>
      <c r="AE530" s="284"/>
    </row>
    <row r="531">
      <c r="A531" s="284"/>
      <c r="B531" s="284"/>
      <c r="C531" s="284"/>
      <c r="D531" s="284"/>
      <c r="E531" s="284"/>
      <c r="F531" s="284"/>
      <c r="G531" s="284"/>
      <c r="H531" s="284"/>
      <c r="I531" s="284"/>
      <c r="J531" s="284"/>
      <c r="K531" s="284"/>
      <c r="L531" s="284"/>
      <c r="M531" s="284"/>
      <c r="N531" s="284"/>
      <c r="O531" s="284"/>
      <c r="P531" s="284"/>
      <c r="Q531" s="284"/>
      <c r="R531" s="284"/>
      <c r="S531" s="284"/>
      <c r="T531" s="284"/>
      <c r="U531" s="284"/>
      <c r="V531" s="284"/>
      <c r="W531" s="284"/>
      <c r="X531" s="284"/>
      <c r="Y531" s="284"/>
      <c r="Z531" s="284"/>
      <c r="AA531" s="284"/>
      <c r="AB531" s="284"/>
      <c r="AC531" s="284"/>
      <c r="AD531" s="284"/>
      <c r="AE531" s="284"/>
    </row>
    <row r="532">
      <c r="A532" s="284"/>
      <c r="B532" s="284"/>
      <c r="C532" s="284"/>
      <c r="D532" s="284"/>
      <c r="E532" s="284"/>
      <c r="F532" s="284"/>
      <c r="G532" s="284"/>
      <c r="H532" s="284"/>
      <c r="I532" s="284"/>
      <c r="J532" s="284"/>
      <c r="K532" s="284"/>
      <c r="L532" s="284"/>
      <c r="M532" s="284"/>
      <c r="N532" s="284"/>
      <c r="O532" s="284"/>
      <c r="P532" s="284"/>
      <c r="Q532" s="284"/>
      <c r="R532" s="284"/>
      <c r="S532" s="284"/>
      <c r="T532" s="284"/>
      <c r="U532" s="284"/>
      <c r="V532" s="284"/>
      <c r="W532" s="284"/>
      <c r="X532" s="284"/>
      <c r="Y532" s="284"/>
      <c r="Z532" s="284"/>
      <c r="AA532" s="284"/>
      <c r="AB532" s="284"/>
      <c r="AC532" s="284"/>
      <c r="AD532" s="284"/>
      <c r="AE532" s="284"/>
    </row>
    <row r="533">
      <c r="A533" s="284"/>
      <c r="B533" s="284"/>
      <c r="C533" s="284"/>
      <c r="D533" s="284"/>
      <c r="E533" s="284"/>
      <c r="F533" s="284"/>
      <c r="G533" s="284"/>
      <c r="H533" s="284"/>
      <c r="I533" s="284"/>
      <c r="J533" s="284"/>
      <c r="K533" s="284"/>
      <c r="L533" s="284"/>
      <c r="M533" s="284"/>
      <c r="N533" s="284"/>
      <c r="O533" s="284"/>
      <c r="P533" s="284"/>
      <c r="Q533" s="284"/>
      <c r="R533" s="284"/>
      <c r="S533" s="284"/>
      <c r="T533" s="284"/>
      <c r="U533" s="284"/>
      <c r="V533" s="284"/>
      <c r="W533" s="284"/>
      <c r="X533" s="284"/>
      <c r="Y533" s="284"/>
      <c r="Z533" s="284"/>
      <c r="AA533" s="284"/>
      <c r="AB533" s="284"/>
      <c r="AC533" s="284"/>
      <c r="AD533" s="284"/>
      <c r="AE533" s="284"/>
    </row>
    <row r="534">
      <c r="A534" s="284"/>
      <c r="B534" s="284"/>
      <c r="C534" s="284"/>
      <c r="D534" s="284"/>
      <c r="E534" s="284"/>
      <c r="F534" s="284"/>
      <c r="G534" s="284"/>
      <c r="H534" s="284"/>
      <c r="I534" s="284"/>
      <c r="J534" s="284"/>
      <c r="K534" s="284"/>
      <c r="L534" s="284"/>
      <c r="M534" s="284"/>
      <c r="N534" s="284"/>
      <c r="O534" s="284"/>
      <c r="P534" s="284"/>
      <c r="Q534" s="284"/>
      <c r="R534" s="284"/>
      <c r="S534" s="284"/>
      <c r="T534" s="284"/>
      <c r="U534" s="284"/>
      <c r="V534" s="284"/>
      <c r="W534" s="284"/>
      <c r="X534" s="284"/>
      <c r="Y534" s="284"/>
      <c r="Z534" s="284"/>
      <c r="AA534" s="284"/>
      <c r="AB534" s="284"/>
      <c r="AC534" s="284"/>
      <c r="AD534" s="284"/>
      <c r="AE534" s="284"/>
    </row>
    <row r="535">
      <c r="A535" s="284"/>
      <c r="B535" s="284"/>
      <c r="C535" s="284"/>
      <c r="D535" s="284"/>
      <c r="E535" s="284"/>
      <c r="F535" s="284"/>
      <c r="G535" s="284"/>
      <c r="H535" s="284"/>
      <c r="I535" s="284"/>
      <c r="J535" s="284"/>
      <c r="K535" s="284"/>
      <c r="L535" s="284"/>
      <c r="M535" s="284"/>
      <c r="N535" s="284"/>
      <c r="O535" s="284"/>
      <c r="P535" s="284"/>
      <c r="Q535" s="284"/>
      <c r="R535" s="284"/>
      <c r="S535" s="284"/>
      <c r="T535" s="284"/>
      <c r="U535" s="284"/>
      <c r="V535" s="284"/>
      <c r="W535" s="284"/>
      <c r="X535" s="284"/>
      <c r="Y535" s="284"/>
      <c r="Z535" s="284"/>
      <c r="AA535" s="284"/>
      <c r="AB535" s="284"/>
      <c r="AC535" s="284"/>
      <c r="AD535" s="284"/>
      <c r="AE535" s="284"/>
    </row>
    <row r="536">
      <c r="A536" s="284"/>
      <c r="B536" s="284"/>
      <c r="C536" s="284"/>
      <c r="D536" s="284"/>
      <c r="E536" s="284"/>
      <c r="F536" s="284"/>
      <c r="G536" s="284"/>
      <c r="H536" s="284"/>
      <c r="I536" s="284"/>
      <c r="J536" s="284"/>
      <c r="K536" s="284"/>
      <c r="L536" s="284"/>
      <c r="M536" s="284"/>
      <c r="N536" s="284"/>
      <c r="O536" s="284"/>
      <c r="P536" s="284"/>
      <c r="Q536" s="284"/>
      <c r="R536" s="284"/>
      <c r="S536" s="284"/>
      <c r="T536" s="284"/>
      <c r="U536" s="284"/>
      <c r="V536" s="284"/>
      <c r="W536" s="284"/>
      <c r="X536" s="284"/>
      <c r="Y536" s="284"/>
      <c r="Z536" s="284"/>
      <c r="AA536" s="284"/>
      <c r="AB536" s="284"/>
      <c r="AC536" s="284"/>
      <c r="AD536" s="284"/>
      <c r="AE536" s="284"/>
    </row>
    <row r="537">
      <c r="A537" s="284"/>
      <c r="B537" s="284"/>
      <c r="C537" s="284"/>
      <c r="D537" s="284"/>
      <c r="E537" s="284"/>
      <c r="F537" s="284"/>
      <c r="G537" s="284"/>
      <c r="H537" s="284"/>
      <c r="I537" s="284"/>
      <c r="J537" s="284"/>
      <c r="K537" s="284"/>
      <c r="L537" s="284"/>
      <c r="M537" s="284"/>
      <c r="N537" s="284"/>
      <c r="O537" s="284"/>
      <c r="P537" s="284"/>
      <c r="Q537" s="284"/>
      <c r="R537" s="284"/>
      <c r="S537" s="284"/>
      <c r="T537" s="284"/>
      <c r="U537" s="284"/>
      <c r="V537" s="284"/>
      <c r="W537" s="284"/>
      <c r="X537" s="284"/>
      <c r="Y537" s="284"/>
      <c r="Z537" s="284"/>
      <c r="AA537" s="284"/>
      <c r="AB537" s="284"/>
      <c r="AC537" s="284"/>
      <c r="AD537" s="284"/>
      <c r="AE537" s="284"/>
    </row>
    <row r="538">
      <c r="A538" s="284"/>
      <c r="B538" s="284"/>
      <c r="C538" s="284"/>
      <c r="D538" s="284"/>
      <c r="E538" s="284"/>
      <c r="F538" s="284"/>
      <c r="G538" s="284"/>
      <c r="H538" s="284"/>
      <c r="I538" s="284"/>
      <c r="J538" s="284"/>
      <c r="K538" s="284"/>
      <c r="L538" s="284"/>
      <c r="M538" s="284"/>
      <c r="N538" s="284"/>
      <c r="O538" s="284"/>
      <c r="P538" s="284"/>
      <c r="Q538" s="284"/>
      <c r="R538" s="284"/>
      <c r="S538" s="284"/>
      <c r="T538" s="284"/>
      <c r="U538" s="284"/>
      <c r="V538" s="284"/>
      <c r="W538" s="284"/>
      <c r="X538" s="284"/>
      <c r="Y538" s="284"/>
      <c r="Z538" s="284"/>
      <c r="AA538" s="284"/>
      <c r="AB538" s="284"/>
      <c r="AC538" s="284"/>
      <c r="AD538" s="284"/>
      <c r="AE538" s="284"/>
    </row>
    <row r="539">
      <c r="A539" s="284"/>
      <c r="B539" s="284"/>
      <c r="C539" s="284"/>
      <c r="D539" s="284"/>
      <c r="E539" s="284"/>
      <c r="F539" s="284"/>
      <c r="G539" s="284"/>
      <c r="H539" s="284"/>
      <c r="I539" s="284"/>
      <c r="J539" s="284"/>
      <c r="K539" s="284"/>
      <c r="L539" s="284"/>
      <c r="M539" s="284"/>
      <c r="N539" s="284"/>
      <c r="O539" s="284"/>
      <c r="P539" s="284"/>
      <c r="Q539" s="284"/>
      <c r="R539" s="284"/>
      <c r="S539" s="284"/>
      <c r="T539" s="284"/>
      <c r="U539" s="284"/>
      <c r="V539" s="284"/>
      <c r="W539" s="284"/>
      <c r="X539" s="284"/>
      <c r="Y539" s="284"/>
      <c r="Z539" s="284"/>
      <c r="AA539" s="284"/>
      <c r="AB539" s="284"/>
      <c r="AC539" s="284"/>
      <c r="AD539" s="284"/>
      <c r="AE539" s="284"/>
    </row>
    <row r="540">
      <c r="A540" s="284"/>
      <c r="B540" s="284"/>
      <c r="C540" s="284"/>
      <c r="D540" s="284"/>
      <c r="E540" s="284"/>
      <c r="F540" s="284"/>
      <c r="G540" s="284"/>
      <c r="H540" s="284"/>
      <c r="I540" s="284"/>
      <c r="J540" s="284"/>
      <c r="K540" s="284"/>
      <c r="L540" s="284"/>
      <c r="M540" s="284"/>
      <c r="N540" s="284"/>
      <c r="O540" s="284"/>
      <c r="P540" s="284"/>
      <c r="Q540" s="284"/>
      <c r="R540" s="284"/>
      <c r="S540" s="284"/>
      <c r="T540" s="284"/>
      <c r="U540" s="284"/>
      <c r="V540" s="284"/>
      <c r="W540" s="284"/>
      <c r="X540" s="284"/>
      <c r="Y540" s="284"/>
      <c r="Z540" s="284"/>
      <c r="AA540" s="284"/>
      <c r="AB540" s="284"/>
      <c r="AC540" s="284"/>
      <c r="AD540" s="284"/>
      <c r="AE540" s="284"/>
    </row>
    <row r="541">
      <c r="A541" s="284"/>
      <c r="B541" s="284"/>
      <c r="C541" s="284"/>
      <c r="D541" s="284"/>
      <c r="E541" s="284"/>
      <c r="F541" s="284"/>
      <c r="G541" s="284"/>
      <c r="H541" s="284"/>
      <c r="I541" s="284"/>
      <c r="J541" s="284"/>
      <c r="K541" s="284"/>
      <c r="L541" s="284"/>
      <c r="M541" s="284"/>
      <c r="N541" s="284"/>
      <c r="O541" s="284"/>
      <c r="P541" s="284"/>
      <c r="Q541" s="284"/>
      <c r="R541" s="284"/>
      <c r="S541" s="284"/>
      <c r="T541" s="284"/>
      <c r="U541" s="284"/>
      <c r="V541" s="284"/>
      <c r="W541" s="284"/>
      <c r="X541" s="284"/>
      <c r="Y541" s="284"/>
      <c r="Z541" s="284"/>
      <c r="AA541" s="284"/>
      <c r="AB541" s="284"/>
      <c r="AC541" s="284"/>
      <c r="AD541" s="284"/>
      <c r="AE541" s="284"/>
    </row>
    <row r="542">
      <c r="A542" s="284"/>
      <c r="B542" s="284"/>
      <c r="C542" s="284"/>
      <c r="D542" s="284"/>
      <c r="E542" s="284"/>
      <c r="F542" s="284"/>
      <c r="G542" s="284"/>
      <c r="H542" s="284"/>
      <c r="I542" s="284"/>
      <c r="J542" s="284"/>
      <c r="K542" s="284"/>
      <c r="L542" s="284"/>
      <c r="M542" s="284"/>
      <c r="N542" s="284"/>
      <c r="O542" s="284"/>
      <c r="P542" s="284"/>
      <c r="Q542" s="284"/>
      <c r="R542" s="284"/>
      <c r="S542" s="284"/>
      <c r="T542" s="284"/>
      <c r="U542" s="284"/>
      <c r="V542" s="284"/>
      <c r="W542" s="284"/>
      <c r="X542" s="284"/>
      <c r="Y542" s="284"/>
      <c r="Z542" s="284"/>
      <c r="AA542" s="284"/>
      <c r="AB542" s="284"/>
      <c r="AC542" s="284"/>
      <c r="AD542" s="284"/>
      <c r="AE542" s="284"/>
    </row>
    <row r="543">
      <c r="A543" s="284"/>
      <c r="B543" s="284"/>
      <c r="C543" s="284"/>
      <c r="D543" s="284"/>
      <c r="E543" s="284"/>
      <c r="F543" s="284"/>
      <c r="G543" s="284"/>
      <c r="H543" s="284"/>
      <c r="I543" s="284"/>
      <c r="J543" s="284"/>
      <c r="K543" s="284"/>
      <c r="L543" s="284"/>
      <c r="M543" s="284"/>
      <c r="N543" s="284"/>
      <c r="O543" s="284"/>
      <c r="P543" s="284"/>
      <c r="Q543" s="284"/>
      <c r="R543" s="284"/>
      <c r="S543" s="284"/>
      <c r="T543" s="284"/>
      <c r="U543" s="284"/>
      <c r="V543" s="284"/>
      <c r="W543" s="284"/>
      <c r="X543" s="284"/>
      <c r="Y543" s="284"/>
      <c r="Z543" s="284"/>
      <c r="AA543" s="284"/>
      <c r="AB543" s="284"/>
      <c r="AC543" s="284"/>
      <c r="AD543" s="284"/>
      <c r="AE543" s="284"/>
    </row>
    <row r="544">
      <c r="A544" s="284"/>
      <c r="B544" s="284"/>
      <c r="C544" s="284"/>
      <c r="D544" s="284"/>
      <c r="E544" s="284"/>
      <c r="F544" s="284"/>
      <c r="G544" s="284"/>
      <c r="H544" s="284"/>
      <c r="I544" s="284"/>
      <c r="J544" s="284"/>
      <c r="K544" s="284"/>
      <c r="L544" s="284"/>
      <c r="M544" s="284"/>
      <c r="N544" s="284"/>
      <c r="O544" s="284"/>
      <c r="P544" s="284"/>
      <c r="Q544" s="284"/>
      <c r="R544" s="284"/>
      <c r="S544" s="284"/>
      <c r="T544" s="284"/>
      <c r="U544" s="284"/>
      <c r="V544" s="284"/>
      <c r="W544" s="284"/>
      <c r="X544" s="284"/>
      <c r="Y544" s="284"/>
      <c r="Z544" s="284"/>
      <c r="AA544" s="284"/>
      <c r="AB544" s="284"/>
      <c r="AC544" s="284"/>
      <c r="AD544" s="284"/>
      <c r="AE544" s="284"/>
    </row>
    <row r="545">
      <c r="A545" s="284"/>
      <c r="B545" s="284"/>
      <c r="C545" s="284"/>
      <c r="D545" s="284"/>
      <c r="E545" s="284"/>
      <c r="F545" s="284"/>
      <c r="G545" s="284"/>
      <c r="H545" s="284"/>
      <c r="I545" s="284"/>
      <c r="J545" s="284"/>
      <c r="K545" s="284"/>
      <c r="L545" s="284"/>
      <c r="M545" s="284"/>
      <c r="N545" s="284"/>
      <c r="O545" s="284"/>
      <c r="P545" s="284"/>
      <c r="Q545" s="284"/>
      <c r="R545" s="284"/>
      <c r="S545" s="284"/>
      <c r="T545" s="284"/>
      <c r="U545" s="284"/>
      <c r="V545" s="284"/>
      <c r="W545" s="284"/>
      <c r="X545" s="284"/>
      <c r="Y545" s="284"/>
      <c r="Z545" s="284"/>
      <c r="AA545" s="284"/>
      <c r="AB545" s="284"/>
      <c r="AC545" s="284"/>
      <c r="AD545" s="284"/>
      <c r="AE545" s="284"/>
    </row>
    <row r="546">
      <c r="A546" s="284"/>
      <c r="B546" s="284"/>
      <c r="C546" s="284"/>
      <c r="D546" s="284"/>
      <c r="E546" s="284"/>
      <c r="F546" s="284"/>
      <c r="G546" s="284"/>
      <c r="H546" s="284"/>
      <c r="I546" s="284"/>
      <c r="J546" s="284"/>
      <c r="K546" s="284"/>
      <c r="L546" s="284"/>
      <c r="M546" s="284"/>
      <c r="N546" s="284"/>
      <c r="O546" s="284"/>
      <c r="P546" s="284"/>
      <c r="Q546" s="284"/>
      <c r="R546" s="284"/>
      <c r="S546" s="284"/>
      <c r="T546" s="284"/>
      <c r="U546" s="284"/>
      <c r="V546" s="284"/>
      <c r="W546" s="284"/>
      <c r="X546" s="284"/>
      <c r="Y546" s="284"/>
      <c r="Z546" s="284"/>
      <c r="AA546" s="284"/>
      <c r="AB546" s="284"/>
      <c r="AC546" s="284"/>
      <c r="AD546" s="284"/>
      <c r="AE546" s="284"/>
    </row>
    <row r="547">
      <c r="A547" s="284"/>
      <c r="B547" s="284"/>
      <c r="C547" s="284"/>
      <c r="D547" s="284"/>
      <c r="E547" s="284"/>
      <c r="F547" s="284"/>
      <c r="G547" s="284"/>
      <c r="H547" s="284"/>
      <c r="I547" s="284"/>
      <c r="J547" s="284"/>
      <c r="K547" s="284"/>
      <c r="L547" s="284"/>
      <c r="M547" s="284"/>
      <c r="N547" s="284"/>
      <c r="O547" s="284"/>
      <c r="P547" s="284"/>
      <c r="Q547" s="284"/>
      <c r="R547" s="284"/>
      <c r="S547" s="284"/>
      <c r="T547" s="284"/>
      <c r="U547" s="284"/>
      <c r="V547" s="284"/>
      <c r="W547" s="284"/>
      <c r="X547" s="284"/>
      <c r="Y547" s="284"/>
      <c r="Z547" s="284"/>
      <c r="AA547" s="284"/>
      <c r="AB547" s="284"/>
      <c r="AC547" s="284"/>
      <c r="AD547" s="284"/>
      <c r="AE547" s="284"/>
    </row>
    <row r="548">
      <c r="A548" s="284"/>
      <c r="B548" s="284"/>
      <c r="C548" s="284"/>
      <c r="D548" s="284"/>
      <c r="E548" s="284"/>
      <c r="F548" s="284"/>
      <c r="G548" s="284"/>
      <c r="H548" s="284"/>
      <c r="I548" s="284"/>
      <c r="J548" s="284"/>
      <c r="K548" s="284"/>
      <c r="L548" s="284"/>
      <c r="M548" s="284"/>
      <c r="N548" s="284"/>
      <c r="O548" s="284"/>
      <c r="P548" s="284"/>
      <c r="Q548" s="284"/>
      <c r="R548" s="284"/>
      <c r="S548" s="284"/>
      <c r="T548" s="284"/>
      <c r="U548" s="284"/>
      <c r="V548" s="284"/>
      <c r="W548" s="284"/>
      <c r="X548" s="284"/>
      <c r="Y548" s="284"/>
      <c r="Z548" s="284"/>
      <c r="AA548" s="284"/>
      <c r="AB548" s="284"/>
      <c r="AC548" s="284"/>
      <c r="AD548" s="284"/>
      <c r="AE548" s="284"/>
    </row>
    <row r="549">
      <c r="A549" s="284"/>
      <c r="B549" s="284"/>
      <c r="C549" s="284"/>
      <c r="D549" s="284"/>
      <c r="E549" s="284"/>
      <c r="F549" s="284"/>
      <c r="G549" s="284"/>
      <c r="H549" s="284"/>
      <c r="I549" s="284"/>
      <c r="J549" s="284"/>
      <c r="K549" s="284"/>
      <c r="L549" s="284"/>
      <c r="M549" s="284"/>
      <c r="N549" s="284"/>
      <c r="O549" s="284"/>
      <c r="P549" s="284"/>
      <c r="Q549" s="284"/>
      <c r="R549" s="284"/>
      <c r="S549" s="284"/>
      <c r="T549" s="284"/>
      <c r="U549" s="284"/>
      <c r="V549" s="284"/>
      <c r="W549" s="284"/>
      <c r="X549" s="284"/>
      <c r="Y549" s="284"/>
      <c r="Z549" s="284"/>
      <c r="AA549" s="284"/>
      <c r="AB549" s="284"/>
      <c r="AC549" s="284"/>
      <c r="AD549" s="284"/>
      <c r="AE549" s="284"/>
    </row>
    <row r="550">
      <c r="A550" s="284"/>
      <c r="B550" s="284"/>
      <c r="C550" s="284"/>
      <c r="D550" s="284"/>
      <c r="E550" s="284"/>
      <c r="F550" s="284"/>
      <c r="G550" s="284"/>
      <c r="H550" s="284"/>
      <c r="I550" s="284"/>
      <c r="J550" s="284"/>
      <c r="K550" s="284"/>
      <c r="L550" s="284"/>
      <c r="M550" s="284"/>
      <c r="N550" s="284"/>
      <c r="O550" s="284"/>
      <c r="P550" s="284"/>
      <c r="Q550" s="284"/>
      <c r="R550" s="284"/>
      <c r="S550" s="284"/>
      <c r="T550" s="284"/>
      <c r="U550" s="284"/>
      <c r="V550" s="284"/>
      <c r="W550" s="284"/>
      <c r="X550" s="284"/>
      <c r="Y550" s="284"/>
      <c r="Z550" s="284"/>
      <c r="AA550" s="284"/>
      <c r="AB550" s="284"/>
      <c r="AC550" s="284"/>
      <c r="AD550" s="284"/>
      <c r="AE550" s="284"/>
    </row>
    <row r="551">
      <c r="A551" s="284"/>
      <c r="B551" s="284"/>
      <c r="C551" s="284"/>
      <c r="D551" s="284"/>
      <c r="E551" s="284"/>
      <c r="F551" s="284"/>
      <c r="G551" s="284"/>
      <c r="H551" s="284"/>
      <c r="I551" s="284"/>
      <c r="J551" s="284"/>
      <c r="K551" s="284"/>
      <c r="L551" s="284"/>
      <c r="M551" s="284"/>
      <c r="N551" s="284"/>
      <c r="O551" s="284"/>
      <c r="P551" s="284"/>
      <c r="Q551" s="284"/>
      <c r="R551" s="284"/>
      <c r="S551" s="284"/>
      <c r="T551" s="284"/>
      <c r="U551" s="284"/>
      <c r="V551" s="284"/>
      <c r="W551" s="284"/>
      <c r="X551" s="284"/>
      <c r="Y551" s="284"/>
      <c r="Z551" s="284"/>
      <c r="AA551" s="284"/>
      <c r="AB551" s="284"/>
      <c r="AC551" s="284"/>
      <c r="AD551" s="284"/>
      <c r="AE551" s="284"/>
    </row>
    <row r="552">
      <c r="A552" s="284"/>
      <c r="B552" s="284"/>
      <c r="C552" s="284"/>
      <c r="D552" s="284"/>
      <c r="E552" s="284"/>
      <c r="F552" s="284"/>
      <c r="G552" s="284"/>
      <c r="H552" s="284"/>
      <c r="I552" s="284"/>
      <c r="J552" s="284"/>
      <c r="K552" s="284"/>
      <c r="L552" s="284"/>
      <c r="M552" s="284"/>
      <c r="N552" s="284"/>
      <c r="O552" s="284"/>
      <c r="P552" s="284"/>
      <c r="Q552" s="284"/>
      <c r="R552" s="284"/>
      <c r="S552" s="284"/>
      <c r="T552" s="284"/>
      <c r="U552" s="284"/>
      <c r="V552" s="284"/>
      <c r="W552" s="284"/>
      <c r="X552" s="284"/>
      <c r="Y552" s="284"/>
      <c r="Z552" s="284"/>
      <c r="AA552" s="284"/>
      <c r="AB552" s="284"/>
      <c r="AC552" s="284"/>
      <c r="AD552" s="284"/>
      <c r="AE552" s="284"/>
    </row>
    <row r="553">
      <c r="A553" s="284"/>
      <c r="B553" s="284"/>
      <c r="C553" s="284"/>
      <c r="D553" s="284"/>
      <c r="E553" s="284"/>
      <c r="F553" s="284"/>
      <c r="G553" s="284"/>
      <c r="H553" s="284"/>
      <c r="I553" s="284"/>
      <c r="J553" s="284"/>
      <c r="K553" s="284"/>
      <c r="L553" s="284"/>
      <c r="M553" s="284"/>
      <c r="N553" s="284"/>
      <c r="O553" s="284"/>
      <c r="P553" s="284"/>
      <c r="Q553" s="284"/>
      <c r="R553" s="284"/>
      <c r="S553" s="284"/>
      <c r="T553" s="284"/>
      <c r="U553" s="284"/>
      <c r="V553" s="284"/>
      <c r="W553" s="284"/>
      <c r="X553" s="284"/>
      <c r="Y553" s="284"/>
      <c r="Z553" s="284"/>
      <c r="AA553" s="284"/>
      <c r="AB553" s="284"/>
      <c r="AC553" s="284"/>
      <c r="AD553" s="284"/>
      <c r="AE553" s="284"/>
    </row>
    <row r="554">
      <c r="A554" s="284"/>
      <c r="B554" s="284"/>
      <c r="C554" s="284"/>
      <c r="D554" s="284"/>
      <c r="E554" s="284"/>
      <c r="F554" s="284"/>
      <c r="G554" s="284"/>
      <c r="H554" s="284"/>
      <c r="I554" s="284"/>
      <c r="J554" s="284"/>
      <c r="K554" s="284"/>
      <c r="L554" s="284"/>
      <c r="M554" s="284"/>
      <c r="N554" s="284"/>
      <c r="O554" s="284"/>
      <c r="P554" s="284"/>
      <c r="Q554" s="284"/>
      <c r="R554" s="284"/>
      <c r="S554" s="284"/>
      <c r="T554" s="284"/>
      <c r="U554" s="284"/>
      <c r="V554" s="284"/>
      <c r="W554" s="284"/>
      <c r="X554" s="284"/>
      <c r="Y554" s="284"/>
      <c r="Z554" s="284"/>
      <c r="AA554" s="284"/>
      <c r="AB554" s="284"/>
      <c r="AC554" s="284"/>
      <c r="AD554" s="284"/>
      <c r="AE554" s="284"/>
    </row>
    <row r="555">
      <c r="A555" s="284"/>
      <c r="B555" s="284"/>
      <c r="C555" s="284"/>
      <c r="D555" s="284"/>
      <c r="E555" s="284"/>
      <c r="F555" s="284"/>
      <c r="G555" s="284"/>
      <c r="H555" s="284"/>
      <c r="I555" s="284"/>
      <c r="J555" s="284"/>
      <c r="K555" s="284"/>
      <c r="L555" s="284"/>
      <c r="M555" s="284"/>
      <c r="N555" s="284"/>
      <c r="O555" s="284"/>
      <c r="P555" s="284"/>
      <c r="Q555" s="284"/>
      <c r="R555" s="284"/>
      <c r="S555" s="284"/>
      <c r="T555" s="284"/>
      <c r="U555" s="284"/>
      <c r="V555" s="284"/>
      <c r="W555" s="284"/>
      <c r="X555" s="284"/>
      <c r="Y555" s="284"/>
      <c r="Z555" s="284"/>
      <c r="AA555" s="284"/>
      <c r="AB555" s="284"/>
      <c r="AC555" s="284"/>
      <c r="AD555" s="284"/>
      <c r="AE555" s="284"/>
    </row>
    <row r="556">
      <c r="A556" s="284"/>
      <c r="B556" s="284"/>
      <c r="C556" s="284"/>
      <c r="D556" s="284"/>
      <c r="E556" s="284"/>
      <c r="F556" s="284"/>
      <c r="G556" s="284"/>
      <c r="H556" s="284"/>
      <c r="I556" s="284"/>
      <c r="J556" s="284"/>
      <c r="K556" s="284"/>
      <c r="L556" s="284"/>
      <c r="M556" s="284"/>
      <c r="N556" s="284"/>
      <c r="O556" s="284"/>
      <c r="P556" s="284"/>
      <c r="Q556" s="284"/>
      <c r="R556" s="284"/>
      <c r="S556" s="284"/>
      <c r="T556" s="284"/>
      <c r="U556" s="284"/>
      <c r="V556" s="284"/>
      <c r="W556" s="284"/>
      <c r="X556" s="284"/>
      <c r="Y556" s="284"/>
      <c r="Z556" s="284"/>
      <c r="AA556" s="284"/>
      <c r="AB556" s="284"/>
      <c r="AC556" s="284"/>
      <c r="AD556" s="284"/>
      <c r="AE556" s="284"/>
    </row>
    <row r="557">
      <c r="A557" s="284"/>
      <c r="B557" s="284"/>
      <c r="C557" s="284"/>
      <c r="D557" s="284"/>
      <c r="E557" s="284"/>
      <c r="F557" s="284"/>
      <c r="G557" s="284"/>
      <c r="H557" s="284"/>
      <c r="I557" s="284"/>
      <c r="J557" s="284"/>
      <c r="K557" s="284"/>
      <c r="L557" s="284"/>
      <c r="M557" s="284"/>
      <c r="N557" s="284"/>
      <c r="O557" s="284"/>
      <c r="P557" s="284"/>
      <c r="Q557" s="284"/>
      <c r="R557" s="284"/>
      <c r="S557" s="284"/>
      <c r="T557" s="284"/>
      <c r="U557" s="284"/>
      <c r="V557" s="284"/>
      <c r="W557" s="284"/>
      <c r="X557" s="284"/>
      <c r="Y557" s="284"/>
      <c r="Z557" s="284"/>
      <c r="AA557" s="284"/>
      <c r="AB557" s="284"/>
      <c r="AC557" s="284"/>
      <c r="AD557" s="284"/>
      <c r="AE557" s="284"/>
    </row>
    <row r="558">
      <c r="A558" s="284"/>
      <c r="B558" s="284"/>
      <c r="C558" s="284"/>
      <c r="D558" s="284"/>
      <c r="E558" s="284"/>
      <c r="F558" s="284"/>
      <c r="G558" s="284"/>
      <c r="H558" s="284"/>
      <c r="I558" s="284"/>
      <c r="J558" s="284"/>
      <c r="K558" s="284"/>
      <c r="L558" s="284"/>
      <c r="M558" s="284"/>
      <c r="N558" s="284"/>
      <c r="O558" s="284"/>
      <c r="P558" s="284"/>
      <c r="Q558" s="284"/>
      <c r="R558" s="284"/>
      <c r="S558" s="284"/>
      <c r="T558" s="284"/>
      <c r="U558" s="284"/>
      <c r="V558" s="284"/>
      <c r="W558" s="284"/>
      <c r="X558" s="284"/>
      <c r="Y558" s="284"/>
      <c r="Z558" s="284"/>
      <c r="AA558" s="284"/>
      <c r="AB558" s="284"/>
      <c r="AC558" s="284"/>
      <c r="AD558" s="284"/>
      <c r="AE558" s="284"/>
    </row>
    <row r="559">
      <c r="A559" s="284"/>
      <c r="B559" s="284"/>
      <c r="C559" s="284"/>
      <c r="D559" s="284"/>
      <c r="E559" s="284"/>
      <c r="F559" s="284"/>
      <c r="G559" s="284"/>
      <c r="H559" s="284"/>
      <c r="I559" s="284"/>
      <c r="J559" s="284"/>
      <c r="K559" s="284"/>
      <c r="L559" s="284"/>
      <c r="M559" s="284"/>
      <c r="N559" s="284"/>
      <c r="O559" s="284"/>
      <c r="P559" s="284"/>
      <c r="Q559" s="284"/>
      <c r="R559" s="284"/>
      <c r="S559" s="284"/>
      <c r="T559" s="284"/>
      <c r="U559" s="284"/>
      <c r="V559" s="284"/>
      <c r="W559" s="284"/>
      <c r="X559" s="284"/>
      <c r="Y559" s="284"/>
      <c r="Z559" s="284"/>
      <c r="AA559" s="284"/>
      <c r="AB559" s="284"/>
      <c r="AC559" s="284"/>
      <c r="AD559" s="284"/>
      <c r="AE559" s="284"/>
    </row>
    <row r="560">
      <c r="A560" s="284"/>
      <c r="B560" s="284"/>
      <c r="C560" s="284"/>
      <c r="D560" s="284"/>
      <c r="E560" s="284"/>
      <c r="F560" s="284"/>
      <c r="G560" s="284"/>
      <c r="H560" s="284"/>
      <c r="I560" s="284"/>
      <c r="J560" s="284"/>
      <c r="K560" s="284"/>
      <c r="L560" s="284"/>
      <c r="M560" s="284"/>
      <c r="N560" s="284"/>
      <c r="O560" s="284"/>
      <c r="P560" s="284"/>
      <c r="Q560" s="284"/>
      <c r="R560" s="284"/>
      <c r="S560" s="284"/>
      <c r="T560" s="284"/>
      <c r="U560" s="284"/>
      <c r="V560" s="284"/>
      <c r="W560" s="284"/>
      <c r="X560" s="284"/>
      <c r="Y560" s="284"/>
      <c r="Z560" s="284"/>
      <c r="AA560" s="284"/>
      <c r="AB560" s="284"/>
      <c r="AC560" s="284"/>
      <c r="AD560" s="284"/>
      <c r="AE560" s="284"/>
    </row>
    <row r="561">
      <c r="A561" s="284"/>
      <c r="B561" s="284"/>
      <c r="C561" s="284"/>
      <c r="D561" s="284"/>
      <c r="E561" s="284"/>
      <c r="F561" s="284"/>
      <c r="G561" s="284"/>
      <c r="H561" s="284"/>
      <c r="I561" s="284"/>
      <c r="J561" s="284"/>
      <c r="K561" s="284"/>
      <c r="L561" s="284"/>
      <c r="M561" s="284"/>
      <c r="N561" s="284"/>
      <c r="O561" s="284"/>
      <c r="P561" s="284"/>
      <c r="Q561" s="284"/>
      <c r="R561" s="284"/>
      <c r="S561" s="284"/>
      <c r="T561" s="284"/>
      <c r="U561" s="284"/>
      <c r="V561" s="284"/>
      <c r="W561" s="284"/>
      <c r="X561" s="284"/>
      <c r="Y561" s="284"/>
      <c r="Z561" s="284"/>
      <c r="AA561" s="284"/>
      <c r="AB561" s="284"/>
      <c r="AC561" s="284"/>
      <c r="AD561" s="284"/>
      <c r="AE561" s="284"/>
    </row>
    <row r="562">
      <c r="A562" s="284"/>
      <c r="B562" s="284"/>
      <c r="C562" s="284"/>
      <c r="D562" s="284"/>
      <c r="E562" s="284"/>
      <c r="F562" s="284"/>
      <c r="G562" s="284"/>
      <c r="H562" s="284"/>
      <c r="I562" s="284"/>
      <c r="J562" s="284"/>
      <c r="K562" s="284"/>
      <c r="L562" s="284"/>
      <c r="M562" s="284"/>
      <c r="N562" s="284"/>
      <c r="O562" s="284"/>
      <c r="P562" s="284"/>
      <c r="Q562" s="284"/>
      <c r="R562" s="284"/>
      <c r="S562" s="284"/>
      <c r="T562" s="284"/>
      <c r="U562" s="284"/>
      <c r="V562" s="284"/>
      <c r="W562" s="284"/>
      <c r="X562" s="284"/>
      <c r="Y562" s="284"/>
      <c r="Z562" s="284"/>
      <c r="AA562" s="284"/>
      <c r="AB562" s="284"/>
      <c r="AC562" s="284"/>
      <c r="AD562" s="284"/>
      <c r="AE562" s="284"/>
    </row>
    <row r="563">
      <c r="A563" s="284"/>
      <c r="B563" s="284"/>
      <c r="C563" s="284"/>
      <c r="D563" s="284"/>
      <c r="E563" s="284"/>
      <c r="F563" s="284"/>
      <c r="G563" s="284"/>
      <c r="H563" s="284"/>
      <c r="I563" s="284"/>
      <c r="J563" s="284"/>
      <c r="K563" s="284"/>
      <c r="L563" s="284"/>
      <c r="M563" s="284"/>
      <c r="N563" s="284"/>
      <c r="O563" s="284"/>
      <c r="P563" s="284"/>
      <c r="Q563" s="284"/>
      <c r="R563" s="284"/>
      <c r="S563" s="284"/>
      <c r="T563" s="284"/>
      <c r="U563" s="284"/>
      <c r="V563" s="284"/>
      <c r="W563" s="284"/>
      <c r="X563" s="284"/>
      <c r="Y563" s="284"/>
      <c r="Z563" s="284"/>
      <c r="AA563" s="284"/>
      <c r="AB563" s="284"/>
      <c r="AC563" s="284"/>
      <c r="AD563" s="284"/>
      <c r="AE563" s="284"/>
    </row>
    <row r="564">
      <c r="A564" s="284"/>
      <c r="B564" s="284"/>
      <c r="C564" s="284"/>
      <c r="D564" s="284"/>
      <c r="E564" s="284"/>
      <c r="F564" s="284"/>
      <c r="G564" s="284"/>
      <c r="H564" s="284"/>
      <c r="I564" s="284"/>
      <c r="J564" s="284"/>
      <c r="K564" s="284"/>
      <c r="L564" s="284"/>
      <c r="M564" s="284"/>
      <c r="N564" s="284"/>
      <c r="O564" s="284"/>
      <c r="P564" s="284"/>
      <c r="Q564" s="284"/>
      <c r="R564" s="284"/>
      <c r="S564" s="284"/>
      <c r="T564" s="284"/>
      <c r="U564" s="284"/>
      <c r="V564" s="284"/>
      <c r="W564" s="284"/>
      <c r="X564" s="284"/>
      <c r="Y564" s="284"/>
      <c r="Z564" s="284"/>
      <c r="AA564" s="284"/>
      <c r="AB564" s="284"/>
      <c r="AC564" s="284"/>
      <c r="AD564" s="284"/>
      <c r="AE564" s="284"/>
    </row>
    <row r="565">
      <c r="A565" s="284"/>
      <c r="B565" s="284"/>
      <c r="C565" s="284"/>
      <c r="D565" s="284"/>
      <c r="E565" s="284"/>
      <c r="F565" s="284"/>
      <c r="G565" s="284"/>
      <c r="H565" s="284"/>
      <c r="I565" s="284"/>
      <c r="J565" s="284"/>
      <c r="K565" s="284"/>
      <c r="L565" s="284"/>
      <c r="M565" s="284"/>
      <c r="N565" s="284"/>
      <c r="O565" s="284"/>
      <c r="P565" s="284"/>
      <c r="Q565" s="284"/>
      <c r="R565" s="284"/>
      <c r="S565" s="284"/>
      <c r="T565" s="284"/>
      <c r="U565" s="284"/>
      <c r="V565" s="284"/>
      <c r="W565" s="284"/>
      <c r="X565" s="284"/>
      <c r="Y565" s="284"/>
      <c r="Z565" s="284"/>
      <c r="AA565" s="284"/>
      <c r="AB565" s="284"/>
      <c r="AC565" s="284"/>
      <c r="AD565" s="284"/>
      <c r="AE565" s="284"/>
    </row>
    <row r="566">
      <c r="A566" s="284"/>
      <c r="B566" s="284"/>
      <c r="C566" s="284"/>
      <c r="D566" s="284"/>
      <c r="E566" s="284"/>
      <c r="F566" s="284"/>
      <c r="G566" s="284"/>
      <c r="H566" s="284"/>
      <c r="I566" s="284"/>
      <c r="J566" s="284"/>
      <c r="K566" s="284"/>
      <c r="L566" s="284"/>
      <c r="M566" s="284"/>
      <c r="N566" s="284"/>
      <c r="O566" s="284"/>
      <c r="P566" s="284"/>
      <c r="Q566" s="284"/>
      <c r="R566" s="284"/>
      <c r="S566" s="284"/>
      <c r="T566" s="284"/>
      <c r="U566" s="284"/>
      <c r="V566" s="284"/>
      <c r="W566" s="284"/>
      <c r="X566" s="284"/>
      <c r="Y566" s="284"/>
      <c r="Z566" s="284"/>
      <c r="AA566" s="284"/>
      <c r="AB566" s="284"/>
      <c r="AC566" s="284"/>
      <c r="AD566" s="284"/>
      <c r="AE566" s="284"/>
    </row>
    <row r="567">
      <c r="A567" s="284"/>
      <c r="B567" s="284"/>
      <c r="C567" s="284"/>
      <c r="D567" s="284"/>
      <c r="E567" s="284"/>
      <c r="F567" s="284"/>
      <c r="G567" s="284"/>
      <c r="H567" s="284"/>
      <c r="I567" s="284"/>
      <c r="J567" s="284"/>
      <c r="K567" s="284"/>
      <c r="L567" s="284"/>
      <c r="M567" s="284"/>
      <c r="N567" s="284"/>
      <c r="O567" s="284"/>
      <c r="P567" s="284"/>
      <c r="Q567" s="284"/>
      <c r="R567" s="284"/>
      <c r="S567" s="284"/>
      <c r="T567" s="284"/>
      <c r="U567" s="284"/>
      <c r="V567" s="284"/>
      <c r="W567" s="284"/>
      <c r="X567" s="284"/>
      <c r="Y567" s="284"/>
      <c r="Z567" s="284"/>
      <c r="AA567" s="284"/>
      <c r="AB567" s="284"/>
      <c r="AC567" s="284"/>
      <c r="AD567" s="284"/>
      <c r="AE567" s="284"/>
    </row>
    <row r="568">
      <c r="A568" s="284"/>
      <c r="B568" s="284"/>
      <c r="C568" s="284"/>
      <c r="D568" s="284"/>
      <c r="E568" s="284"/>
      <c r="F568" s="284"/>
      <c r="G568" s="284"/>
      <c r="H568" s="284"/>
      <c r="I568" s="284"/>
      <c r="J568" s="284"/>
      <c r="K568" s="284"/>
      <c r="L568" s="284"/>
      <c r="M568" s="284"/>
      <c r="N568" s="284"/>
      <c r="O568" s="284"/>
      <c r="P568" s="284"/>
      <c r="Q568" s="284"/>
      <c r="R568" s="284"/>
      <c r="S568" s="284"/>
      <c r="T568" s="284"/>
      <c r="U568" s="284"/>
      <c r="V568" s="284"/>
      <c r="W568" s="284"/>
      <c r="X568" s="284"/>
      <c r="Y568" s="284"/>
      <c r="Z568" s="284"/>
      <c r="AA568" s="284"/>
      <c r="AB568" s="284"/>
      <c r="AC568" s="284"/>
      <c r="AD568" s="284"/>
      <c r="AE568" s="284"/>
    </row>
    <row r="569">
      <c r="A569" s="284"/>
      <c r="B569" s="284"/>
      <c r="C569" s="284"/>
      <c r="D569" s="284"/>
      <c r="E569" s="284"/>
      <c r="F569" s="284"/>
      <c r="G569" s="284"/>
      <c r="H569" s="284"/>
      <c r="I569" s="284"/>
      <c r="J569" s="284"/>
      <c r="K569" s="284"/>
      <c r="L569" s="284"/>
      <c r="M569" s="284"/>
      <c r="N569" s="284"/>
      <c r="O569" s="284"/>
      <c r="P569" s="284"/>
      <c r="Q569" s="284"/>
      <c r="R569" s="284"/>
      <c r="S569" s="284"/>
      <c r="T569" s="284"/>
      <c r="U569" s="284"/>
      <c r="V569" s="284"/>
      <c r="W569" s="284"/>
      <c r="X569" s="284"/>
      <c r="Y569" s="284"/>
      <c r="Z569" s="284"/>
      <c r="AA569" s="284"/>
      <c r="AB569" s="284"/>
      <c r="AC569" s="284"/>
      <c r="AD569" s="284"/>
      <c r="AE569" s="284"/>
    </row>
    <row r="570">
      <c r="A570" s="284"/>
      <c r="B570" s="284"/>
      <c r="C570" s="284"/>
      <c r="D570" s="284"/>
      <c r="E570" s="284"/>
      <c r="F570" s="284"/>
      <c r="G570" s="284"/>
      <c r="H570" s="284"/>
      <c r="I570" s="284"/>
      <c r="J570" s="284"/>
      <c r="K570" s="284"/>
      <c r="L570" s="284"/>
      <c r="M570" s="284"/>
      <c r="N570" s="284"/>
      <c r="O570" s="284"/>
      <c r="P570" s="284"/>
      <c r="Q570" s="284"/>
      <c r="R570" s="284"/>
      <c r="S570" s="284"/>
      <c r="T570" s="284"/>
      <c r="U570" s="284"/>
      <c r="V570" s="284"/>
      <c r="W570" s="284"/>
      <c r="X570" s="284"/>
      <c r="Y570" s="284"/>
      <c r="Z570" s="284"/>
      <c r="AA570" s="284"/>
      <c r="AB570" s="284"/>
      <c r="AC570" s="284"/>
      <c r="AD570" s="284"/>
      <c r="AE570" s="284"/>
    </row>
    <row r="571">
      <c r="A571" s="284"/>
      <c r="B571" s="284"/>
      <c r="C571" s="284"/>
      <c r="D571" s="284"/>
      <c r="E571" s="284"/>
      <c r="F571" s="284"/>
      <c r="G571" s="284"/>
      <c r="H571" s="284"/>
      <c r="I571" s="284"/>
      <c r="J571" s="284"/>
      <c r="K571" s="284"/>
      <c r="L571" s="284"/>
      <c r="M571" s="284"/>
      <c r="N571" s="284"/>
      <c r="O571" s="284"/>
      <c r="P571" s="284"/>
      <c r="Q571" s="284"/>
      <c r="R571" s="284"/>
      <c r="S571" s="284"/>
      <c r="T571" s="284"/>
      <c r="U571" s="284"/>
      <c r="V571" s="284"/>
      <c r="W571" s="284"/>
      <c r="X571" s="284"/>
      <c r="Y571" s="284"/>
      <c r="Z571" s="284"/>
      <c r="AA571" s="284"/>
      <c r="AB571" s="284"/>
      <c r="AC571" s="284"/>
      <c r="AD571" s="284"/>
      <c r="AE571" s="284"/>
    </row>
    <row r="572">
      <c r="A572" s="284"/>
      <c r="B572" s="284"/>
      <c r="C572" s="284"/>
      <c r="D572" s="284"/>
      <c r="E572" s="284"/>
      <c r="F572" s="284"/>
      <c r="G572" s="284"/>
      <c r="H572" s="284"/>
      <c r="I572" s="284"/>
      <c r="J572" s="284"/>
      <c r="K572" s="284"/>
      <c r="L572" s="284"/>
      <c r="M572" s="284"/>
      <c r="N572" s="284"/>
      <c r="O572" s="284"/>
      <c r="P572" s="284"/>
      <c r="Q572" s="284"/>
      <c r="R572" s="284"/>
      <c r="S572" s="284"/>
      <c r="T572" s="284"/>
      <c r="U572" s="284"/>
      <c r="V572" s="284"/>
      <c r="W572" s="284"/>
      <c r="X572" s="284"/>
      <c r="Y572" s="284"/>
      <c r="Z572" s="284"/>
      <c r="AA572" s="284"/>
      <c r="AB572" s="284"/>
      <c r="AC572" s="284"/>
      <c r="AD572" s="284"/>
      <c r="AE572" s="284"/>
    </row>
    <row r="573">
      <c r="A573" s="284"/>
      <c r="B573" s="284"/>
      <c r="C573" s="284"/>
      <c r="D573" s="284"/>
      <c r="E573" s="284"/>
      <c r="F573" s="284"/>
      <c r="G573" s="284"/>
      <c r="H573" s="284"/>
      <c r="I573" s="284"/>
      <c r="J573" s="284"/>
      <c r="K573" s="284"/>
      <c r="L573" s="284"/>
      <c r="M573" s="284"/>
      <c r="N573" s="284"/>
      <c r="O573" s="284"/>
      <c r="P573" s="284"/>
      <c r="Q573" s="284"/>
      <c r="R573" s="284"/>
      <c r="S573" s="284"/>
      <c r="T573" s="284"/>
      <c r="U573" s="284"/>
      <c r="V573" s="284"/>
      <c r="W573" s="284"/>
      <c r="X573" s="284"/>
      <c r="Y573" s="284"/>
      <c r="Z573" s="284"/>
      <c r="AA573" s="284"/>
      <c r="AB573" s="284"/>
      <c r="AC573" s="284"/>
      <c r="AD573" s="284"/>
      <c r="AE573" s="284"/>
    </row>
    <row r="574">
      <c r="A574" s="284"/>
      <c r="B574" s="284"/>
      <c r="C574" s="284"/>
      <c r="D574" s="284"/>
      <c r="E574" s="284"/>
      <c r="F574" s="284"/>
      <c r="G574" s="284"/>
      <c r="H574" s="284"/>
      <c r="I574" s="284"/>
      <c r="J574" s="284"/>
      <c r="K574" s="284"/>
      <c r="L574" s="284"/>
      <c r="M574" s="284"/>
      <c r="N574" s="284"/>
      <c r="O574" s="284"/>
      <c r="P574" s="284"/>
      <c r="Q574" s="284"/>
      <c r="R574" s="284"/>
      <c r="S574" s="284"/>
      <c r="T574" s="284"/>
      <c r="U574" s="284"/>
      <c r="V574" s="284"/>
      <c r="W574" s="284"/>
      <c r="X574" s="284"/>
      <c r="Y574" s="284"/>
      <c r="Z574" s="284"/>
      <c r="AA574" s="284"/>
      <c r="AB574" s="284"/>
      <c r="AC574" s="284"/>
      <c r="AD574" s="284"/>
      <c r="AE574" s="284"/>
    </row>
    <row r="575">
      <c r="A575" s="284"/>
      <c r="B575" s="284"/>
      <c r="C575" s="284"/>
      <c r="D575" s="284"/>
      <c r="E575" s="284"/>
      <c r="F575" s="284"/>
      <c r="G575" s="284"/>
      <c r="H575" s="284"/>
      <c r="I575" s="284"/>
      <c r="J575" s="284"/>
      <c r="K575" s="284"/>
      <c r="L575" s="284"/>
      <c r="M575" s="284"/>
      <c r="N575" s="284"/>
      <c r="O575" s="284"/>
      <c r="P575" s="284"/>
      <c r="Q575" s="284"/>
      <c r="R575" s="284"/>
      <c r="S575" s="284"/>
      <c r="T575" s="284"/>
      <c r="U575" s="284"/>
      <c r="V575" s="284"/>
      <c r="W575" s="284"/>
      <c r="X575" s="284"/>
      <c r="Y575" s="284"/>
      <c r="Z575" s="284"/>
      <c r="AA575" s="284"/>
      <c r="AB575" s="284"/>
      <c r="AC575" s="284"/>
      <c r="AD575" s="284"/>
      <c r="AE575" s="284"/>
    </row>
    <row r="576">
      <c r="A576" s="284"/>
      <c r="B576" s="284"/>
      <c r="C576" s="284"/>
      <c r="D576" s="284"/>
      <c r="E576" s="284"/>
      <c r="F576" s="284"/>
      <c r="G576" s="284"/>
      <c r="H576" s="284"/>
      <c r="I576" s="284"/>
      <c r="J576" s="284"/>
      <c r="K576" s="284"/>
      <c r="L576" s="284"/>
      <c r="M576" s="284"/>
      <c r="N576" s="284"/>
      <c r="O576" s="284"/>
      <c r="P576" s="284"/>
      <c r="Q576" s="284"/>
      <c r="R576" s="284"/>
      <c r="S576" s="284"/>
      <c r="T576" s="284"/>
      <c r="U576" s="284"/>
      <c r="V576" s="284"/>
      <c r="W576" s="284"/>
      <c r="X576" s="284"/>
      <c r="Y576" s="284"/>
      <c r="Z576" s="284"/>
      <c r="AA576" s="284"/>
      <c r="AB576" s="284"/>
      <c r="AC576" s="284"/>
      <c r="AD576" s="284"/>
      <c r="AE576" s="284"/>
    </row>
    <row r="577">
      <c r="A577" s="284"/>
      <c r="B577" s="284"/>
      <c r="C577" s="284"/>
      <c r="D577" s="284"/>
      <c r="E577" s="284"/>
      <c r="F577" s="284"/>
      <c r="G577" s="284"/>
      <c r="H577" s="284"/>
      <c r="I577" s="284"/>
      <c r="J577" s="284"/>
      <c r="K577" s="284"/>
      <c r="L577" s="284"/>
      <c r="M577" s="284"/>
      <c r="N577" s="284"/>
      <c r="O577" s="284"/>
      <c r="P577" s="284"/>
      <c r="Q577" s="284"/>
      <c r="R577" s="284"/>
      <c r="S577" s="284"/>
      <c r="T577" s="284"/>
      <c r="U577" s="284"/>
      <c r="V577" s="284"/>
      <c r="W577" s="284"/>
      <c r="X577" s="284"/>
      <c r="Y577" s="284"/>
      <c r="Z577" s="284"/>
      <c r="AA577" s="284"/>
      <c r="AB577" s="284"/>
      <c r="AC577" s="284"/>
      <c r="AD577" s="284"/>
      <c r="AE577" s="284"/>
    </row>
    <row r="578">
      <c r="A578" s="284"/>
      <c r="B578" s="284"/>
      <c r="C578" s="284"/>
      <c r="D578" s="284"/>
      <c r="E578" s="284"/>
      <c r="F578" s="284"/>
      <c r="G578" s="284"/>
      <c r="H578" s="284"/>
      <c r="I578" s="284"/>
      <c r="J578" s="284"/>
      <c r="K578" s="284"/>
      <c r="L578" s="284"/>
      <c r="M578" s="284"/>
      <c r="N578" s="284"/>
      <c r="O578" s="284"/>
      <c r="P578" s="284"/>
      <c r="Q578" s="284"/>
      <c r="R578" s="284"/>
      <c r="S578" s="284"/>
      <c r="T578" s="284"/>
      <c r="U578" s="284"/>
      <c r="V578" s="284"/>
      <c r="W578" s="284"/>
      <c r="X578" s="284"/>
      <c r="Y578" s="284"/>
      <c r="Z578" s="284"/>
      <c r="AA578" s="284"/>
      <c r="AB578" s="284"/>
      <c r="AC578" s="284"/>
      <c r="AD578" s="284"/>
      <c r="AE578" s="284"/>
    </row>
    <row r="579">
      <c r="A579" s="284"/>
      <c r="B579" s="284"/>
      <c r="C579" s="284"/>
      <c r="D579" s="284"/>
      <c r="E579" s="284"/>
      <c r="F579" s="284"/>
      <c r="G579" s="284"/>
      <c r="H579" s="284"/>
      <c r="I579" s="284"/>
      <c r="J579" s="284"/>
      <c r="K579" s="284"/>
      <c r="L579" s="284"/>
      <c r="M579" s="284"/>
      <c r="N579" s="284"/>
      <c r="O579" s="284"/>
      <c r="P579" s="284"/>
      <c r="Q579" s="284"/>
      <c r="R579" s="284"/>
      <c r="S579" s="284"/>
      <c r="T579" s="284"/>
      <c r="U579" s="284"/>
      <c r="V579" s="284"/>
      <c r="W579" s="284"/>
      <c r="X579" s="284"/>
      <c r="Y579" s="284"/>
      <c r="Z579" s="284"/>
      <c r="AA579" s="284"/>
      <c r="AB579" s="284"/>
      <c r="AC579" s="284"/>
      <c r="AD579" s="284"/>
      <c r="AE579" s="284"/>
    </row>
    <row r="580">
      <c r="A580" s="284"/>
      <c r="B580" s="284"/>
      <c r="C580" s="284"/>
      <c r="D580" s="284"/>
      <c r="E580" s="284"/>
      <c r="F580" s="284"/>
      <c r="G580" s="284"/>
      <c r="H580" s="284"/>
      <c r="I580" s="284"/>
      <c r="J580" s="284"/>
      <c r="K580" s="284"/>
      <c r="L580" s="284"/>
      <c r="M580" s="284"/>
      <c r="N580" s="284"/>
      <c r="O580" s="284"/>
      <c r="P580" s="284"/>
      <c r="Q580" s="284"/>
      <c r="R580" s="284"/>
      <c r="S580" s="284"/>
      <c r="T580" s="284"/>
      <c r="U580" s="284"/>
      <c r="V580" s="284"/>
      <c r="W580" s="284"/>
      <c r="X580" s="284"/>
      <c r="Y580" s="284"/>
      <c r="Z580" s="284"/>
      <c r="AA580" s="284"/>
      <c r="AB580" s="284"/>
      <c r="AC580" s="284"/>
      <c r="AD580" s="284"/>
      <c r="AE580" s="284"/>
    </row>
    <row r="581">
      <c r="A581" s="284"/>
      <c r="B581" s="284"/>
      <c r="C581" s="284"/>
      <c r="D581" s="284"/>
      <c r="E581" s="284"/>
      <c r="F581" s="284"/>
      <c r="G581" s="284"/>
      <c r="H581" s="284"/>
      <c r="I581" s="284"/>
      <c r="J581" s="284"/>
      <c r="K581" s="284"/>
      <c r="L581" s="284"/>
      <c r="M581" s="284"/>
      <c r="N581" s="284"/>
      <c r="O581" s="284"/>
      <c r="P581" s="284"/>
      <c r="Q581" s="284"/>
      <c r="R581" s="284"/>
      <c r="S581" s="284"/>
      <c r="T581" s="284"/>
      <c r="U581" s="284"/>
      <c r="V581" s="284"/>
      <c r="W581" s="284"/>
      <c r="X581" s="284"/>
      <c r="Y581" s="284"/>
      <c r="Z581" s="284"/>
      <c r="AA581" s="284"/>
      <c r="AB581" s="284"/>
      <c r="AC581" s="284"/>
      <c r="AD581" s="284"/>
      <c r="AE581" s="284"/>
    </row>
    <row r="582">
      <c r="A582" s="284"/>
      <c r="B582" s="284"/>
      <c r="C582" s="284"/>
      <c r="D582" s="284"/>
      <c r="E582" s="284"/>
      <c r="F582" s="284"/>
      <c r="G582" s="284"/>
      <c r="H582" s="284"/>
      <c r="I582" s="284"/>
      <c r="J582" s="284"/>
      <c r="K582" s="284"/>
      <c r="L582" s="284"/>
      <c r="M582" s="284"/>
      <c r="N582" s="284"/>
      <c r="O582" s="284"/>
      <c r="P582" s="284"/>
      <c r="Q582" s="284"/>
      <c r="R582" s="284"/>
      <c r="S582" s="284"/>
      <c r="T582" s="284"/>
      <c r="U582" s="284"/>
      <c r="V582" s="284"/>
      <c r="W582" s="284"/>
      <c r="X582" s="284"/>
      <c r="Y582" s="284"/>
      <c r="Z582" s="284"/>
      <c r="AA582" s="284"/>
      <c r="AB582" s="284"/>
      <c r="AC582" s="284"/>
      <c r="AD582" s="284"/>
      <c r="AE582" s="284"/>
    </row>
    <row r="583">
      <c r="A583" s="284"/>
      <c r="B583" s="284"/>
      <c r="C583" s="284"/>
      <c r="D583" s="284"/>
      <c r="E583" s="284"/>
      <c r="F583" s="284"/>
      <c r="G583" s="284"/>
      <c r="H583" s="284"/>
      <c r="I583" s="284"/>
      <c r="J583" s="284"/>
      <c r="K583" s="284"/>
      <c r="L583" s="284"/>
      <c r="M583" s="284"/>
      <c r="N583" s="284"/>
      <c r="O583" s="284"/>
      <c r="P583" s="284"/>
      <c r="Q583" s="284"/>
      <c r="R583" s="284"/>
      <c r="S583" s="284"/>
      <c r="T583" s="284"/>
      <c r="U583" s="284"/>
      <c r="V583" s="284"/>
      <c r="W583" s="284"/>
      <c r="X583" s="284"/>
      <c r="Y583" s="284"/>
      <c r="Z583" s="284"/>
      <c r="AA583" s="284"/>
      <c r="AB583" s="284"/>
      <c r="AC583" s="284"/>
      <c r="AD583" s="284"/>
      <c r="AE583" s="284"/>
    </row>
    <row r="584">
      <c r="A584" s="284"/>
      <c r="B584" s="284"/>
      <c r="C584" s="284"/>
      <c r="D584" s="284"/>
      <c r="E584" s="284"/>
      <c r="F584" s="284"/>
      <c r="G584" s="284"/>
      <c r="H584" s="284"/>
      <c r="I584" s="284"/>
      <c r="J584" s="284"/>
      <c r="K584" s="284"/>
      <c r="L584" s="284"/>
      <c r="M584" s="284"/>
      <c r="N584" s="284"/>
      <c r="O584" s="284"/>
      <c r="P584" s="284"/>
      <c r="Q584" s="284"/>
      <c r="R584" s="284"/>
      <c r="S584" s="284"/>
      <c r="T584" s="284"/>
      <c r="U584" s="284"/>
      <c r="V584" s="284"/>
      <c r="W584" s="284"/>
      <c r="X584" s="284"/>
      <c r="Y584" s="284"/>
      <c r="Z584" s="284"/>
      <c r="AA584" s="284"/>
      <c r="AB584" s="284"/>
      <c r="AC584" s="284"/>
      <c r="AD584" s="284"/>
      <c r="AE584" s="284"/>
    </row>
    <row r="585">
      <c r="A585" s="284"/>
      <c r="B585" s="284"/>
      <c r="C585" s="284"/>
      <c r="D585" s="284"/>
      <c r="E585" s="284"/>
      <c r="F585" s="284"/>
      <c r="G585" s="284"/>
      <c r="H585" s="284"/>
      <c r="I585" s="284"/>
      <c r="J585" s="284"/>
      <c r="K585" s="284"/>
      <c r="L585" s="284"/>
      <c r="M585" s="284"/>
      <c r="N585" s="284"/>
      <c r="O585" s="284"/>
      <c r="P585" s="284"/>
      <c r="Q585" s="284"/>
      <c r="R585" s="284"/>
      <c r="S585" s="284"/>
      <c r="T585" s="284"/>
      <c r="U585" s="284"/>
      <c r="V585" s="284"/>
      <c r="W585" s="284"/>
      <c r="X585" s="284"/>
      <c r="Y585" s="284"/>
      <c r="Z585" s="284"/>
      <c r="AA585" s="284"/>
      <c r="AB585" s="284"/>
      <c r="AC585" s="284"/>
      <c r="AD585" s="284"/>
      <c r="AE585" s="284"/>
    </row>
    <row r="586">
      <c r="A586" s="284"/>
      <c r="B586" s="284"/>
      <c r="C586" s="284"/>
      <c r="D586" s="284"/>
      <c r="E586" s="284"/>
      <c r="F586" s="284"/>
      <c r="G586" s="284"/>
      <c r="H586" s="284"/>
      <c r="I586" s="284"/>
      <c r="J586" s="284"/>
      <c r="K586" s="284"/>
      <c r="L586" s="284"/>
      <c r="M586" s="284"/>
      <c r="N586" s="284"/>
      <c r="O586" s="284"/>
      <c r="P586" s="284"/>
      <c r="Q586" s="284"/>
      <c r="R586" s="284"/>
      <c r="S586" s="284"/>
      <c r="T586" s="284"/>
      <c r="U586" s="284"/>
      <c r="V586" s="284"/>
      <c r="W586" s="284"/>
      <c r="X586" s="284"/>
      <c r="Y586" s="284"/>
      <c r="Z586" s="284"/>
      <c r="AA586" s="284"/>
      <c r="AB586" s="284"/>
      <c r="AC586" s="284"/>
      <c r="AD586" s="284"/>
      <c r="AE586" s="284"/>
    </row>
    <row r="587">
      <c r="A587" s="284"/>
      <c r="B587" s="284"/>
      <c r="C587" s="284"/>
      <c r="D587" s="284"/>
      <c r="E587" s="284"/>
      <c r="F587" s="284"/>
      <c r="G587" s="284"/>
      <c r="H587" s="284"/>
      <c r="I587" s="284"/>
      <c r="J587" s="284"/>
      <c r="K587" s="284"/>
      <c r="L587" s="284"/>
      <c r="M587" s="284"/>
      <c r="N587" s="284"/>
      <c r="O587" s="284"/>
      <c r="P587" s="284"/>
      <c r="Q587" s="284"/>
      <c r="R587" s="284"/>
      <c r="S587" s="284"/>
      <c r="T587" s="284"/>
      <c r="U587" s="284"/>
      <c r="V587" s="284"/>
      <c r="W587" s="284"/>
      <c r="X587" s="284"/>
      <c r="Y587" s="284"/>
      <c r="Z587" s="284"/>
      <c r="AA587" s="284"/>
      <c r="AB587" s="284"/>
      <c r="AC587" s="284"/>
      <c r="AD587" s="284"/>
      <c r="AE587" s="284"/>
    </row>
    <row r="588">
      <c r="A588" s="284"/>
      <c r="B588" s="284"/>
      <c r="C588" s="284"/>
      <c r="D588" s="284"/>
      <c r="E588" s="284"/>
      <c r="F588" s="284"/>
      <c r="G588" s="284"/>
      <c r="H588" s="284"/>
      <c r="I588" s="284"/>
      <c r="J588" s="284"/>
      <c r="K588" s="284"/>
      <c r="L588" s="284"/>
      <c r="M588" s="284"/>
      <c r="N588" s="284"/>
      <c r="O588" s="284"/>
      <c r="P588" s="284"/>
      <c r="Q588" s="284"/>
      <c r="R588" s="284"/>
      <c r="S588" s="284"/>
      <c r="T588" s="284"/>
      <c r="U588" s="284"/>
      <c r="V588" s="284"/>
      <c r="W588" s="284"/>
      <c r="X588" s="284"/>
      <c r="Y588" s="284"/>
      <c r="Z588" s="284"/>
      <c r="AA588" s="284"/>
      <c r="AB588" s="284"/>
      <c r="AC588" s="284"/>
      <c r="AD588" s="284"/>
      <c r="AE588" s="284"/>
    </row>
    <row r="589">
      <c r="A589" s="284"/>
      <c r="B589" s="284"/>
      <c r="C589" s="284"/>
      <c r="D589" s="284"/>
      <c r="E589" s="284"/>
      <c r="F589" s="284"/>
      <c r="G589" s="284"/>
      <c r="H589" s="284"/>
      <c r="I589" s="284"/>
      <c r="J589" s="284"/>
      <c r="K589" s="284"/>
      <c r="L589" s="284"/>
      <c r="M589" s="284"/>
      <c r="N589" s="284"/>
      <c r="O589" s="284"/>
      <c r="P589" s="284"/>
      <c r="Q589" s="284"/>
      <c r="R589" s="284"/>
      <c r="S589" s="284"/>
      <c r="T589" s="284"/>
      <c r="U589" s="284"/>
      <c r="V589" s="284"/>
      <c r="W589" s="284"/>
      <c r="X589" s="284"/>
      <c r="Y589" s="284"/>
      <c r="Z589" s="284"/>
      <c r="AA589" s="284"/>
      <c r="AB589" s="284"/>
      <c r="AC589" s="284"/>
      <c r="AD589" s="284"/>
      <c r="AE589" s="284"/>
    </row>
    <row r="590">
      <c r="A590" s="284"/>
      <c r="B590" s="284"/>
      <c r="C590" s="284"/>
      <c r="D590" s="284"/>
      <c r="E590" s="284"/>
      <c r="F590" s="284"/>
      <c r="G590" s="284"/>
      <c r="H590" s="284"/>
      <c r="I590" s="284"/>
      <c r="J590" s="284"/>
      <c r="K590" s="284"/>
      <c r="L590" s="284"/>
      <c r="M590" s="284"/>
      <c r="N590" s="284"/>
      <c r="O590" s="284"/>
      <c r="P590" s="284"/>
      <c r="Q590" s="284"/>
      <c r="R590" s="284"/>
      <c r="S590" s="284"/>
      <c r="T590" s="284"/>
      <c r="U590" s="284"/>
      <c r="V590" s="284"/>
      <c r="W590" s="284"/>
      <c r="X590" s="284"/>
      <c r="Y590" s="284"/>
      <c r="Z590" s="284"/>
      <c r="AA590" s="284"/>
      <c r="AB590" s="284"/>
      <c r="AC590" s="284"/>
      <c r="AD590" s="284"/>
      <c r="AE590" s="284"/>
    </row>
    <row r="591">
      <c r="A591" s="284"/>
      <c r="B591" s="284"/>
      <c r="C591" s="284"/>
      <c r="D591" s="284"/>
      <c r="E591" s="284"/>
      <c r="F591" s="284"/>
      <c r="G591" s="284"/>
      <c r="H591" s="284"/>
      <c r="I591" s="284"/>
      <c r="J591" s="284"/>
      <c r="K591" s="284"/>
      <c r="L591" s="284"/>
      <c r="M591" s="284"/>
      <c r="N591" s="284"/>
      <c r="O591" s="284"/>
      <c r="P591" s="284"/>
      <c r="Q591" s="284"/>
      <c r="R591" s="284"/>
      <c r="S591" s="284"/>
      <c r="T591" s="284"/>
      <c r="U591" s="284"/>
      <c r="V591" s="284"/>
      <c r="W591" s="284"/>
      <c r="X591" s="284"/>
      <c r="Y591" s="284"/>
      <c r="Z591" s="284"/>
      <c r="AA591" s="284"/>
      <c r="AB591" s="284"/>
      <c r="AC591" s="284"/>
      <c r="AD591" s="284"/>
      <c r="AE591" s="284"/>
    </row>
    <row r="592">
      <c r="A592" s="284"/>
      <c r="B592" s="284"/>
      <c r="C592" s="284"/>
      <c r="D592" s="284"/>
      <c r="E592" s="284"/>
      <c r="F592" s="284"/>
      <c r="G592" s="284"/>
      <c r="H592" s="284"/>
      <c r="I592" s="284"/>
      <c r="J592" s="284"/>
      <c r="K592" s="284"/>
      <c r="L592" s="284"/>
      <c r="M592" s="284"/>
      <c r="N592" s="284"/>
      <c r="O592" s="284"/>
      <c r="P592" s="284"/>
      <c r="Q592" s="284"/>
      <c r="R592" s="284"/>
      <c r="S592" s="284"/>
      <c r="T592" s="284"/>
      <c r="U592" s="284"/>
      <c r="V592" s="284"/>
      <c r="W592" s="284"/>
      <c r="X592" s="284"/>
      <c r="Y592" s="284"/>
      <c r="Z592" s="284"/>
      <c r="AA592" s="284"/>
      <c r="AB592" s="284"/>
      <c r="AC592" s="284"/>
      <c r="AD592" s="284"/>
      <c r="AE592" s="284"/>
    </row>
    <row r="593">
      <c r="A593" s="284"/>
      <c r="B593" s="284"/>
      <c r="C593" s="284"/>
      <c r="D593" s="284"/>
      <c r="E593" s="284"/>
      <c r="F593" s="284"/>
      <c r="G593" s="284"/>
      <c r="H593" s="284"/>
      <c r="I593" s="284"/>
      <c r="J593" s="284"/>
      <c r="K593" s="284"/>
      <c r="L593" s="284"/>
      <c r="M593" s="284"/>
      <c r="N593" s="284"/>
      <c r="O593" s="284"/>
      <c r="P593" s="284"/>
      <c r="Q593" s="284"/>
      <c r="R593" s="284"/>
      <c r="S593" s="284"/>
      <c r="T593" s="284"/>
      <c r="U593" s="284"/>
      <c r="V593" s="284"/>
      <c r="W593" s="284"/>
      <c r="X593" s="284"/>
      <c r="Y593" s="284"/>
      <c r="Z593" s="284"/>
      <c r="AA593" s="284"/>
      <c r="AB593" s="284"/>
      <c r="AC593" s="284"/>
      <c r="AD593" s="284"/>
      <c r="AE593" s="284"/>
    </row>
    <row r="594">
      <c r="A594" s="284"/>
      <c r="B594" s="284"/>
      <c r="C594" s="284"/>
      <c r="D594" s="284"/>
      <c r="E594" s="284"/>
      <c r="F594" s="284"/>
      <c r="G594" s="284"/>
      <c r="H594" s="284"/>
      <c r="I594" s="284"/>
      <c r="J594" s="284"/>
      <c r="K594" s="284"/>
      <c r="L594" s="284"/>
      <c r="M594" s="284"/>
      <c r="N594" s="284"/>
      <c r="O594" s="284"/>
      <c r="P594" s="284"/>
      <c r="Q594" s="284"/>
      <c r="R594" s="284"/>
      <c r="S594" s="284"/>
      <c r="T594" s="284"/>
      <c r="U594" s="284"/>
      <c r="V594" s="284"/>
      <c r="W594" s="284"/>
      <c r="X594" s="284"/>
      <c r="Y594" s="284"/>
      <c r="Z594" s="284"/>
      <c r="AA594" s="284"/>
      <c r="AB594" s="284"/>
      <c r="AC594" s="284"/>
      <c r="AD594" s="284"/>
      <c r="AE594" s="284"/>
    </row>
    <row r="595">
      <c r="A595" s="284"/>
      <c r="B595" s="284"/>
      <c r="C595" s="284"/>
      <c r="D595" s="284"/>
      <c r="E595" s="284"/>
      <c r="F595" s="284"/>
      <c r="G595" s="284"/>
      <c r="H595" s="284"/>
      <c r="I595" s="284"/>
      <c r="J595" s="284"/>
      <c r="K595" s="284"/>
      <c r="L595" s="284"/>
      <c r="M595" s="284"/>
      <c r="N595" s="284"/>
      <c r="O595" s="284"/>
      <c r="P595" s="284"/>
      <c r="Q595" s="284"/>
      <c r="R595" s="284"/>
      <c r="S595" s="284"/>
      <c r="T595" s="284"/>
      <c r="U595" s="284"/>
      <c r="V595" s="284"/>
      <c r="W595" s="284"/>
      <c r="X595" s="284"/>
      <c r="Y595" s="284"/>
      <c r="Z595" s="284"/>
      <c r="AA595" s="284"/>
      <c r="AB595" s="284"/>
      <c r="AC595" s="284"/>
      <c r="AD595" s="284"/>
      <c r="AE595" s="284"/>
    </row>
    <row r="596">
      <c r="A596" s="284"/>
      <c r="B596" s="284"/>
      <c r="C596" s="284"/>
      <c r="D596" s="284"/>
      <c r="E596" s="284"/>
      <c r="F596" s="284"/>
      <c r="G596" s="284"/>
      <c r="H596" s="284"/>
      <c r="I596" s="284"/>
      <c r="J596" s="284"/>
      <c r="K596" s="284"/>
      <c r="L596" s="284"/>
      <c r="M596" s="284"/>
      <c r="N596" s="284"/>
      <c r="O596" s="284"/>
      <c r="P596" s="284"/>
      <c r="Q596" s="284"/>
      <c r="R596" s="284"/>
      <c r="S596" s="284"/>
      <c r="T596" s="284"/>
      <c r="U596" s="284"/>
      <c r="V596" s="284"/>
      <c r="W596" s="284"/>
      <c r="X596" s="284"/>
      <c r="Y596" s="284"/>
      <c r="Z596" s="284"/>
      <c r="AA596" s="284"/>
      <c r="AB596" s="284"/>
      <c r="AC596" s="284"/>
      <c r="AD596" s="284"/>
      <c r="AE596" s="284"/>
    </row>
    <row r="597">
      <c r="A597" s="284"/>
      <c r="B597" s="284"/>
      <c r="C597" s="284"/>
      <c r="D597" s="284"/>
      <c r="E597" s="284"/>
      <c r="F597" s="284"/>
      <c r="G597" s="284"/>
      <c r="H597" s="284"/>
      <c r="I597" s="284"/>
      <c r="J597" s="284"/>
      <c r="K597" s="284"/>
      <c r="L597" s="284"/>
      <c r="M597" s="284"/>
      <c r="N597" s="284"/>
      <c r="O597" s="284"/>
      <c r="P597" s="284"/>
      <c r="Q597" s="284"/>
      <c r="R597" s="284"/>
      <c r="S597" s="284"/>
      <c r="T597" s="284"/>
      <c r="U597" s="284"/>
      <c r="V597" s="284"/>
      <c r="W597" s="284"/>
      <c r="X597" s="284"/>
      <c r="Y597" s="284"/>
      <c r="Z597" s="284"/>
      <c r="AA597" s="284"/>
      <c r="AB597" s="284"/>
      <c r="AC597" s="284"/>
      <c r="AD597" s="284"/>
      <c r="AE597" s="284"/>
    </row>
    <row r="598">
      <c r="A598" s="284"/>
      <c r="B598" s="284"/>
      <c r="C598" s="284"/>
      <c r="D598" s="284"/>
      <c r="E598" s="284"/>
      <c r="F598" s="284"/>
      <c r="G598" s="284"/>
      <c r="H598" s="284"/>
      <c r="I598" s="284"/>
      <c r="J598" s="284"/>
      <c r="K598" s="284"/>
      <c r="L598" s="284"/>
      <c r="M598" s="284"/>
      <c r="N598" s="284"/>
      <c r="O598" s="284"/>
      <c r="P598" s="284"/>
      <c r="Q598" s="284"/>
      <c r="R598" s="284"/>
      <c r="S598" s="284"/>
      <c r="T598" s="284"/>
      <c r="U598" s="284"/>
      <c r="V598" s="284"/>
      <c r="W598" s="284"/>
      <c r="X598" s="284"/>
      <c r="Y598" s="284"/>
      <c r="Z598" s="284"/>
      <c r="AA598" s="284"/>
      <c r="AB598" s="284"/>
      <c r="AC598" s="284"/>
      <c r="AD598" s="284"/>
      <c r="AE598" s="284"/>
    </row>
    <row r="599">
      <c r="A599" s="284"/>
      <c r="B599" s="284"/>
      <c r="C599" s="284"/>
      <c r="D599" s="284"/>
      <c r="E599" s="284"/>
      <c r="F599" s="284"/>
      <c r="G599" s="284"/>
      <c r="H599" s="284"/>
      <c r="I599" s="284"/>
      <c r="J599" s="284"/>
      <c r="K599" s="284"/>
      <c r="L599" s="284"/>
      <c r="M599" s="284"/>
      <c r="N599" s="284"/>
      <c r="O599" s="284"/>
      <c r="P599" s="284"/>
      <c r="Q599" s="284"/>
      <c r="R599" s="284"/>
      <c r="S599" s="284"/>
      <c r="T599" s="284"/>
      <c r="U599" s="284"/>
      <c r="V599" s="284"/>
      <c r="W599" s="284"/>
      <c r="X599" s="284"/>
      <c r="Y599" s="284"/>
      <c r="Z599" s="284"/>
      <c r="AA599" s="284"/>
      <c r="AB599" s="284"/>
      <c r="AC599" s="284"/>
      <c r="AD599" s="284"/>
      <c r="AE599" s="284"/>
    </row>
    <row r="600">
      <c r="A600" s="284"/>
      <c r="B600" s="284"/>
      <c r="C600" s="284"/>
      <c r="D600" s="284"/>
      <c r="E600" s="284"/>
      <c r="F600" s="284"/>
      <c r="G600" s="284"/>
      <c r="H600" s="284"/>
      <c r="I600" s="284"/>
      <c r="J600" s="284"/>
      <c r="K600" s="284"/>
      <c r="L600" s="284"/>
      <c r="M600" s="284"/>
      <c r="N600" s="284"/>
      <c r="O600" s="284"/>
      <c r="P600" s="284"/>
      <c r="Q600" s="284"/>
      <c r="R600" s="284"/>
      <c r="S600" s="284"/>
      <c r="T600" s="284"/>
      <c r="U600" s="284"/>
      <c r="V600" s="284"/>
      <c r="W600" s="284"/>
      <c r="X600" s="284"/>
      <c r="Y600" s="284"/>
      <c r="Z600" s="284"/>
      <c r="AA600" s="284"/>
      <c r="AB600" s="284"/>
      <c r="AC600" s="284"/>
      <c r="AD600" s="284"/>
      <c r="AE600" s="284"/>
    </row>
    <row r="601">
      <c r="A601" s="284"/>
      <c r="B601" s="284"/>
      <c r="C601" s="284"/>
      <c r="D601" s="284"/>
      <c r="E601" s="284"/>
      <c r="F601" s="284"/>
      <c r="G601" s="284"/>
      <c r="H601" s="284"/>
      <c r="I601" s="284"/>
      <c r="J601" s="284"/>
      <c r="K601" s="284"/>
      <c r="L601" s="284"/>
      <c r="M601" s="284"/>
      <c r="N601" s="284"/>
      <c r="O601" s="284"/>
      <c r="P601" s="284"/>
      <c r="Q601" s="284"/>
      <c r="R601" s="284"/>
      <c r="S601" s="284"/>
      <c r="T601" s="284"/>
      <c r="U601" s="284"/>
      <c r="V601" s="284"/>
      <c r="W601" s="284"/>
      <c r="X601" s="284"/>
      <c r="Y601" s="284"/>
      <c r="Z601" s="284"/>
      <c r="AA601" s="284"/>
      <c r="AB601" s="284"/>
      <c r="AC601" s="284"/>
      <c r="AD601" s="284"/>
      <c r="AE601" s="284"/>
    </row>
    <row r="602">
      <c r="A602" s="284"/>
      <c r="B602" s="284"/>
      <c r="C602" s="284"/>
      <c r="D602" s="284"/>
      <c r="E602" s="284"/>
      <c r="F602" s="284"/>
      <c r="G602" s="284"/>
      <c r="H602" s="284"/>
      <c r="I602" s="284"/>
      <c r="J602" s="284"/>
      <c r="K602" s="284"/>
      <c r="L602" s="284"/>
      <c r="M602" s="284"/>
      <c r="N602" s="284"/>
      <c r="O602" s="284"/>
      <c r="P602" s="284"/>
      <c r="Q602" s="284"/>
      <c r="R602" s="284"/>
      <c r="S602" s="284"/>
      <c r="T602" s="284"/>
      <c r="U602" s="284"/>
      <c r="V602" s="284"/>
      <c r="W602" s="284"/>
      <c r="X602" s="284"/>
      <c r="Y602" s="284"/>
      <c r="Z602" s="284"/>
      <c r="AA602" s="284"/>
      <c r="AB602" s="284"/>
      <c r="AC602" s="284"/>
      <c r="AD602" s="284"/>
      <c r="AE602" s="284"/>
    </row>
    <row r="603">
      <c r="A603" s="284"/>
      <c r="B603" s="284"/>
      <c r="C603" s="284"/>
      <c r="D603" s="284"/>
      <c r="E603" s="284"/>
      <c r="F603" s="284"/>
      <c r="G603" s="284"/>
      <c r="H603" s="284"/>
      <c r="I603" s="284"/>
      <c r="J603" s="284"/>
      <c r="K603" s="284"/>
      <c r="L603" s="284"/>
      <c r="M603" s="284"/>
      <c r="N603" s="284"/>
      <c r="O603" s="284"/>
      <c r="P603" s="284"/>
      <c r="Q603" s="284"/>
      <c r="R603" s="284"/>
      <c r="S603" s="284"/>
      <c r="T603" s="284"/>
      <c r="U603" s="284"/>
      <c r="V603" s="284"/>
      <c r="W603" s="284"/>
      <c r="X603" s="284"/>
      <c r="Y603" s="284"/>
      <c r="Z603" s="284"/>
      <c r="AA603" s="284"/>
      <c r="AB603" s="284"/>
      <c r="AC603" s="284"/>
      <c r="AD603" s="284"/>
      <c r="AE603" s="284"/>
    </row>
    <row r="604">
      <c r="A604" s="284"/>
      <c r="B604" s="284"/>
      <c r="C604" s="284"/>
      <c r="D604" s="284"/>
      <c r="E604" s="284"/>
      <c r="F604" s="284"/>
      <c r="G604" s="284"/>
      <c r="H604" s="284"/>
      <c r="I604" s="284"/>
      <c r="J604" s="284"/>
      <c r="K604" s="284"/>
      <c r="L604" s="284"/>
      <c r="M604" s="284"/>
      <c r="N604" s="284"/>
      <c r="O604" s="284"/>
      <c r="P604" s="284"/>
      <c r="Q604" s="284"/>
      <c r="R604" s="284"/>
      <c r="S604" s="284"/>
      <c r="T604" s="284"/>
      <c r="U604" s="284"/>
      <c r="V604" s="284"/>
      <c r="W604" s="284"/>
      <c r="X604" s="284"/>
      <c r="Y604" s="284"/>
      <c r="Z604" s="284"/>
      <c r="AA604" s="284"/>
      <c r="AB604" s="284"/>
      <c r="AC604" s="284"/>
      <c r="AD604" s="284"/>
      <c r="AE604" s="284"/>
    </row>
    <row r="605">
      <c r="A605" s="284"/>
      <c r="B605" s="284"/>
      <c r="C605" s="284"/>
      <c r="D605" s="284"/>
      <c r="E605" s="284"/>
      <c r="F605" s="284"/>
      <c r="G605" s="284"/>
      <c r="H605" s="284"/>
      <c r="I605" s="284"/>
      <c r="J605" s="284"/>
      <c r="K605" s="284"/>
      <c r="L605" s="284"/>
      <c r="M605" s="284"/>
      <c r="N605" s="284"/>
      <c r="O605" s="284"/>
      <c r="P605" s="284"/>
      <c r="Q605" s="284"/>
      <c r="R605" s="284"/>
      <c r="S605" s="284"/>
      <c r="T605" s="284"/>
      <c r="U605" s="284"/>
      <c r="V605" s="284"/>
      <c r="W605" s="284"/>
      <c r="X605" s="284"/>
      <c r="Y605" s="284"/>
      <c r="Z605" s="284"/>
      <c r="AA605" s="284"/>
      <c r="AB605" s="284"/>
      <c r="AC605" s="284"/>
      <c r="AD605" s="284"/>
      <c r="AE605" s="284"/>
    </row>
    <row r="606">
      <c r="A606" s="284"/>
      <c r="B606" s="284"/>
      <c r="C606" s="284"/>
      <c r="D606" s="284"/>
      <c r="E606" s="284"/>
      <c r="F606" s="284"/>
      <c r="G606" s="284"/>
      <c r="H606" s="284"/>
      <c r="I606" s="284"/>
      <c r="J606" s="284"/>
      <c r="K606" s="284"/>
      <c r="L606" s="284"/>
      <c r="M606" s="284"/>
      <c r="N606" s="284"/>
      <c r="O606" s="284"/>
      <c r="P606" s="284"/>
      <c r="Q606" s="284"/>
      <c r="R606" s="284"/>
      <c r="S606" s="284"/>
      <c r="T606" s="284"/>
      <c r="U606" s="284"/>
      <c r="V606" s="284"/>
      <c r="W606" s="284"/>
      <c r="X606" s="284"/>
      <c r="Y606" s="284"/>
      <c r="Z606" s="284"/>
      <c r="AA606" s="284"/>
      <c r="AB606" s="284"/>
      <c r="AC606" s="284"/>
      <c r="AD606" s="284"/>
      <c r="AE606" s="284"/>
    </row>
    <row r="607">
      <c r="A607" s="284"/>
      <c r="B607" s="284"/>
      <c r="C607" s="284"/>
      <c r="D607" s="284"/>
      <c r="E607" s="284"/>
      <c r="F607" s="284"/>
      <c r="G607" s="284"/>
      <c r="H607" s="284"/>
      <c r="I607" s="284"/>
      <c r="J607" s="284"/>
      <c r="K607" s="284"/>
      <c r="L607" s="284"/>
      <c r="M607" s="284"/>
      <c r="N607" s="284"/>
      <c r="O607" s="284"/>
      <c r="P607" s="284"/>
      <c r="Q607" s="284"/>
      <c r="R607" s="284"/>
      <c r="S607" s="284"/>
      <c r="T607" s="284"/>
      <c r="U607" s="284"/>
      <c r="V607" s="284"/>
      <c r="W607" s="284"/>
      <c r="X607" s="284"/>
      <c r="Y607" s="284"/>
      <c r="Z607" s="284"/>
      <c r="AA607" s="284"/>
      <c r="AB607" s="284"/>
      <c r="AC607" s="284"/>
      <c r="AD607" s="284"/>
      <c r="AE607" s="284"/>
    </row>
    <row r="608">
      <c r="A608" s="284"/>
      <c r="B608" s="284"/>
      <c r="C608" s="284"/>
      <c r="D608" s="284"/>
      <c r="E608" s="284"/>
      <c r="F608" s="284"/>
      <c r="G608" s="284"/>
      <c r="H608" s="284"/>
      <c r="I608" s="284"/>
      <c r="J608" s="284"/>
      <c r="K608" s="284"/>
      <c r="L608" s="284"/>
      <c r="M608" s="284"/>
      <c r="N608" s="284"/>
      <c r="O608" s="284"/>
      <c r="P608" s="284"/>
      <c r="Q608" s="284"/>
      <c r="R608" s="284"/>
      <c r="S608" s="284"/>
      <c r="T608" s="284"/>
      <c r="U608" s="284"/>
      <c r="V608" s="284"/>
      <c r="W608" s="284"/>
      <c r="X608" s="284"/>
      <c r="Y608" s="284"/>
      <c r="Z608" s="284"/>
      <c r="AA608" s="284"/>
      <c r="AB608" s="284"/>
      <c r="AC608" s="284"/>
      <c r="AD608" s="284"/>
      <c r="AE608" s="284"/>
    </row>
    <row r="609">
      <c r="A609" s="284"/>
      <c r="B609" s="284"/>
      <c r="C609" s="284"/>
      <c r="D609" s="284"/>
      <c r="E609" s="284"/>
      <c r="F609" s="284"/>
      <c r="G609" s="284"/>
      <c r="H609" s="284"/>
      <c r="I609" s="284"/>
      <c r="J609" s="284"/>
      <c r="K609" s="284"/>
      <c r="L609" s="284"/>
      <c r="M609" s="284"/>
      <c r="N609" s="284"/>
      <c r="O609" s="284"/>
      <c r="P609" s="284"/>
      <c r="Q609" s="284"/>
      <c r="R609" s="284"/>
      <c r="S609" s="284"/>
      <c r="T609" s="284"/>
      <c r="U609" s="284"/>
      <c r="V609" s="284"/>
      <c r="W609" s="284"/>
      <c r="X609" s="284"/>
      <c r="Y609" s="284"/>
      <c r="Z609" s="284"/>
      <c r="AA609" s="284"/>
      <c r="AB609" s="284"/>
      <c r="AC609" s="284"/>
      <c r="AD609" s="284"/>
      <c r="AE609" s="284"/>
    </row>
    <row r="610">
      <c r="A610" s="284"/>
      <c r="B610" s="284"/>
      <c r="C610" s="284"/>
      <c r="D610" s="284"/>
      <c r="E610" s="284"/>
      <c r="F610" s="284"/>
      <c r="G610" s="284"/>
      <c r="H610" s="284"/>
      <c r="I610" s="284"/>
      <c r="J610" s="284"/>
      <c r="K610" s="284"/>
      <c r="L610" s="284"/>
      <c r="M610" s="284"/>
      <c r="N610" s="284"/>
      <c r="O610" s="284"/>
      <c r="P610" s="284"/>
      <c r="Q610" s="284"/>
      <c r="R610" s="284"/>
      <c r="S610" s="284"/>
      <c r="T610" s="284"/>
      <c r="U610" s="284"/>
      <c r="V610" s="284"/>
      <c r="W610" s="284"/>
      <c r="X610" s="284"/>
      <c r="Y610" s="284"/>
      <c r="Z610" s="284"/>
      <c r="AA610" s="284"/>
      <c r="AB610" s="284"/>
      <c r="AC610" s="284"/>
      <c r="AD610" s="284"/>
      <c r="AE610" s="284"/>
    </row>
    <row r="611">
      <c r="A611" s="284"/>
      <c r="B611" s="284"/>
      <c r="C611" s="284"/>
      <c r="D611" s="284"/>
      <c r="E611" s="284"/>
      <c r="F611" s="284"/>
      <c r="G611" s="284"/>
      <c r="H611" s="284"/>
      <c r="I611" s="284"/>
      <c r="J611" s="284"/>
      <c r="K611" s="284"/>
      <c r="L611" s="284"/>
      <c r="M611" s="284"/>
      <c r="N611" s="284"/>
      <c r="O611" s="284"/>
      <c r="P611" s="284"/>
      <c r="Q611" s="284"/>
      <c r="R611" s="284"/>
      <c r="S611" s="284"/>
      <c r="T611" s="284"/>
      <c r="U611" s="284"/>
      <c r="V611" s="284"/>
      <c r="W611" s="284"/>
      <c r="X611" s="284"/>
      <c r="Y611" s="284"/>
      <c r="Z611" s="284"/>
      <c r="AA611" s="284"/>
      <c r="AB611" s="284"/>
      <c r="AC611" s="284"/>
      <c r="AD611" s="284"/>
      <c r="AE611" s="284"/>
    </row>
    <row r="612">
      <c r="A612" s="284"/>
      <c r="B612" s="284"/>
      <c r="C612" s="284"/>
      <c r="D612" s="284"/>
      <c r="E612" s="284"/>
      <c r="F612" s="284"/>
      <c r="G612" s="284"/>
      <c r="H612" s="284"/>
      <c r="I612" s="284"/>
      <c r="J612" s="284"/>
      <c r="K612" s="284"/>
      <c r="L612" s="284"/>
      <c r="M612" s="284"/>
      <c r="N612" s="284"/>
      <c r="O612" s="284"/>
      <c r="P612" s="284"/>
      <c r="Q612" s="284"/>
      <c r="R612" s="284"/>
      <c r="S612" s="284"/>
      <c r="T612" s="284"/>
      <c r="U612" s="284"/>
      <c r="V612" s="284"/>
      <c r="W612" s="284"/>
      <c r="X612" s="284"/>
      <c r="Y612" s="284"/>
      <c r="Z612" s="284"/>
      <c r="AA612" s="284"/>
      <c r="AB612" s="284"/>
      <c r="AC612" s="284"/>
      <c r="AD612" s="284"/>
      <c r="AE612" s="284"/>
    </row>
    <row r="613">
      <c r="A613" s="284"/>
      <c r="B613" s="284"/>
      <c r="C613" s="284"/>
      <c r="D613" s="284"/>
      <c r="E613" s="284"/>
      <c r="F613" s="284"/>
      <c r="G613" s="284"/>
      <c r="H613" s="284"/>
      <c r="I613" s="284"/>
      <c r="J613" s="284"/>
      <c r="K613" s="284"/>
      <c r="L613" s="284"/>
      <c r="M613" s="284"/>
      <c r="N613" s="284"/>
      <c r="O613" s="284"/>
      <c r="P613" s="284"/>
      <c r="Q613" s="284"/>
      <c r="R613" s="284"/>
      <c r="S613" s="284"/>
      <c r="T613" s="284"/>
      <c r="U613" s="284"/>
      <c r="V613" s="284"/>
      <c r="W613" s="284"/>
      <c r="X613" s="284"/>
      <c r="Y613" s="284"/>
      <c r="Z613" s="284"/>
      <c r="AA613" s="284"/>
      <c r="AB613" s="284"/>
      <c r="AC613" s="284"/>
      <c r="AD613" s="284"/>
      <c r="AE613" s="284"/>
    </row>
    <row r="614">
      <c r="A614" s="284"/>
      <c r="B614" s="284"/>
      <c r="C614" s="284"/>
      <c r="D614" s="284"/>
      <c r="E614" s="284"/>
      <c r="F614" s="284"/>
      <c r="G614" s="284"/>
      <c r="H614" s="284"/>
      <c r="I614" s="284"/>
      <c r="J614" s="284"/>
      <c r="K614" s="284"/>
      <c r="L614" s="284"/>
      <c r="M614" s="284"/>
      <c r="N614" s="284"/>
      <c r="O614" s="284"/>
      <c r="P614" s="284"/>
      <c r="Q614" s="284"/>
      <c r="R614" s="284"/>
      <c r="S614" s="284"/>
      <c r="T614" s="284"/>
      <c r="U614" s="284"/>
      <c r="V614" s="284"/>
      <c r="W614" s="284"/>
      <c r="X614" s="284"/>
      <c r="Y614" s="284"/>
      <c r="Z614" s="284"/>
      <c r="AA614" s="284"/>
      <c r="AB614" s="284"/>
      <c r="AC614" s="284"/>
      <c r="AD614" s="284"/>
      <c r="AE614" s="284"/>
    </row>
    <row r="615">
      <c r="A615" s="284"/>
      <c r="B615" s="284"/>
      <c r="C615" s="284"/>
      <c r="D615" s="284"/>
      <c r="E615" s="284"/>
      <c r="F615" s="284"/>
      <c r="G615" s="284"/>
      <c r="H615" s="284"/>
      <c r="I615" s="284"/>
      <c r="J615" s="284"/>
      <c r="K615" s="284"/>
      <c r="L615" s="284"/>
      <c r="M615" s="284"/>
      <c r="N615" s="284"/>
      <c r="O615" s="284"/>
      <c r="P615" s="284"/>
      <c r="Q615" s="284"/>
      <c r="R615" s="284"/>
      <c r="S615" s="284"/>
      <c r="T615" s="284"/>
      <c r="U615" s="284"/>
      <c r="V615" s="284"/>
      <c r="W615" s="284"/>
      <c r="X615" s="284"/>
      <c r="Y615" s="284"/>
      <c r="Z615" s="284"/>
      <c r="AA615" s="284"/>
      <c r="AB615" s="284"/>
      <c r="AC615" s="284"/>
      <c r="AD615" s="284"/>
      <c r="AE615" s="284"/>
    </row>
    <row r="616">
      <c r="A616" s="284"/>
      <c r="B616" s="284"/>
      <c r="C616" s="284"/>
      <c r="D616" s="284"/>
      <c r="E616" s="284"/>
      <c r="F616" s="284"/>
      <c r="G616" s="284"/>
      <c r="H616" s="284"/>
      <c r="I616" s="284"/>
      <c r="J616" s="284"/>
      <c r="K616" s="284"/>
      <c r="L616" s="284"/>
      <c r="M616" s="284"/>
      <c r="N616" s="284"/>
      <c r="O616" s="284"/>
      <c r="P616" s="284"/>
      <c r="Q616" s="284"/>
      <c r="R616" s="284"/>
      <c r="S616" s="284"/>
      <c r="T616" s="284"/>
      <c r="U616" s="284"/>
      <c r="V616" s="284"/>
      <c r="W616" s="284"/>
      <c r="X616" s="284"/>
      <c r="Y616" s="284"/>
      <c r="Z616" s="284"/>
      <c r="AA616" s="284"/>
      <c r="AB616" s="284"/>
      <c r="AC616" s="284"/>
      <c r="AD616" s="284"/>
      <c r="AE616" s="284"/>
    </row>
    <row r="617">
      <c r="A617" s="284"/>
      <c r="B617" s="284"/>
      <c r="C617" s="284"/>
      <c r="D617" s="284"/>
      <c r="E617" s="284"/>
      <c r="F617" s="284"/>
      <c r="G617" s="284"/>
      <c r="H617" s="284"/>
      <c r="I617" s="284"/>
      <c r="J617" s="284"/>
      <c r="K617" s="284"/>
      <c r="L617" s="284"/>
      <c r="M617" s="284"/>
      <c r="N617" s="284"/>
      <c r="O617" s="284"/>
      <c r="P617" s="284"/>
      <c r="Q617" s="284"/>
      <c r="R617" s="284"/>
      <c r="S617" s="284"/>
      <c r="T617" s="284"/>
      <c r="U617" s="284"/>
      <c r="V617" s="284"/>
      <c r="W617" s="284"/>
      <c r="X617" s="284"/>
      <c r="Y617" s="284"/>
      <c r="Z617" s="284"/>
      <c r="AA617" s="284"/>
      <c r="AB617" s="284"/>
      <c r="AC617" s="284"/>
      <c r="AD617" s="284"/>
      <c r="AE617" s="284"/>
    </row>
    <row r="618">
      <c r="A618" s="284"/>
      <c r="B618" s="284"/>
      <c r="C618" s="284"/>
      <c r="D618" s="284"/>
      <c r="E618" s="284"/>
      <c r="F618" s="284"/>
      <c r="G618" s="284"/>
      <c r="H618" s="284"/>
      <c r="I618" s="284"/>
      <c r="J618" s="284"/>
      <c r="K618" s="284"/>
      <c r="L618" s="284"/>
      <c r="M618" s="284"/>
      <c r="N618" s="284"/>
      <c r="O618" s="284"/>
      <c r="P618" s="284"/>
      <c r="Q618" s="284"/>
      <c r="R618" s="284"/>
      <c r="S618" s="284"/>
      <c r="T618" s="284"/>
      <c r="U618" s="284"/>
      <c r="V618" s="284"/>
      <c r="W618" s="284"/>
      <c r="X618" s="284"/>
      <c r="Y618" s="284"/>
      <c r="Z618" s="284"/>
      <c r="AA618" s="284"/>
      <c r="AB618" s="284"/>
      <c r="AC618" s="284"/>
      <c r="AD618" s="284"/>
      <c r="AE618" s="284"/>
    </row>
    <row r="619">
      <c r="A619" s="284"/>
      <c r="B619" s="284"/>
      <c r="C619" s="284"/>
      <c r="D619" s="284"/>
      <c r="E619" s="284"/>
      <c r="F619" s="284"/>
      <c r="G619" s="284"/>
      <c r="H619" s="284"/>
      <c r="I619" s="284"/>
      <c r="J619" s="284"/>
      <c r="K619" s="284"/>
      <c r="L619" s="284"/>
      <c r="M619" s="284"/>
      <c r="N619" s="284"/>
      <c r="O619" s="284"/>
      <c r="P619" s="284"/>
      <c r="Q619" s="284"/>
      <c r="R619" s="284"/>
      <c r="S619" s="284"/>
      <c r="T619" s="284"/>
      <c r="U619" s="284"/>
      <c r="V619" s="284"/>
      <c r="W619" s="284"/>
      <c r="X619" s="284"/>
      <c r="Y619" s="284"/>
      <c r="Z619" s="284"/>
      <c r="AA619" s="284"/>
      <c r="AB619" s="284"/>
      <c r="AC619" s="284"/>
      <c r="AD619" s="284"/>
      <c r="AE619" s="284"/>
    </row>
    <row r="620">
      <c r="A620" s="284"/>
      <c r="B620" s="284"/>
      <c r="C620" s="284"/>
      <c r="D620" s="284"/>
      <c r="E620" s="284"/>
      <c r="F620" s="284"/>
      <c r="G620" s="284"/>
      <c r="H620" s="284"/>
      <c r="I620" s="284"/>
      <c r="J620" s="284"/>
      <c r="K620" s="284"/>
      <c r="L620" s="284"/>
      <c r="M620" s="284"/>
      <c r="N620" s="284"/>
      <c r="O620" s="284"/>
      <c r="P620" s="284"/>
      <c r="Q620" s="284"/>
      <c r="R620" s="284"/>
      <c r="S620" s="284"/>
      <c r="T620" s="284"/>
      <c r="U620" s="284"/>
      <c r="V620" s="284"/>
      <c r="W620" s="284"/>
      <c r="X620" s="284"/>
      <c r="Y620" s="284"/>
      <c r="Z620" s="284"/>
      <c r="AA620" s="284"/>
      <c r="AB620" s="284"/>
      <c r="AC620" s="284"/>
      <c r="AD620" s="284"/>
      <c r="AE620" s="284"/>
    </row>
    <row r="621">
      <c r="A621" s="284"/>
      <c r="B621" s="284"/>
      <c r="C621" s="284"/>
      <c r="D621" s="284"/>
      <c r="E621" s="284"/>
      <c r="F621" s="284"/>
      <c r="G621" s="284"/>
      <c r="H621" s="284"/>
      <c r="I621" s="284"/>
      <c r="J621" s="284"/>
      <c r="K621" s="284"/>
      <c r="L621" s="284"/>
      <c r="M621" s="284"/>
      <c r="N621" s="284"/>
      <c r="O621" s="284"/>
      <c r="P621" s="284"/>
      <c r="Q621" s="284"/>
      <c r="R621" s="284"/>
      <c r="S621" s="284"/>
      <c r="T621" s="284"/>
      <c r="U621" s="284"/>
      <c r="V621" s="284"/>
      <c r="W621" s="284"/>
      <c r="X621" s="284"/>
      <c r="Y621" s="284"/>
      <c r="Z621" s="284"/>
      <c r="AA621" s="284"/>
      <c r="AB621" s="284"/>
      <c r="AC621" s="284"/>
      <c r="AD621" s="284"/>
      <c r="AE621" s="284"/>
    </row>
    <row r="622">
      <c r="A622" s="284"/>
      <c r="B622" s="284"/>
      <c r="C622" s="284"/>
      <c r="D622" s="284"/>
      <c r="E622" s="284"/>
      <c r="F622" s="284"/>
      <c r="G622" s="284"/>
      <c r="H622" s="284"/>
      <c r="I622" s="284"/>
      <c r="J622" s="284"/>
      <c r="K622" s="284"/>
      <c r="L622" s="284"/>
      <c r="M622" s="284"/>
      <c r="N622" s="284"/>
      <c r="O622" s="284"/>
      <c r="P622" s="284"/>
      <c r="Q622" s="284"/>
      <c r="R622" s="284"/>
      <c r="S622" s="284"/>
      <c r="T622" s="284"/>
      <c r="U622" s="284"/>
      <c r="V622" s="284"/>
      <c r="W622" s="284"/>
      <c r="X622" s="284"/>
      <c r="Y622" s="284"/>
      <c r="Z622" s="284"/>
      <c r="AA622" s="284"/>
      <c r="AB622" s="284"/>
      <c r="AC622" s="284"/>
      <c r="AD622" s="284"/>
      <c r="AE622" s="284"/>
    </row>
    <row r="623">
      <c r="A623" s="284"/>
      <c r="B623" s="284"/>
      <c r="C623" s="284"/>
      <c r="D623" s="284"/>
      <c r="E623" s="284"/>
      <c r="F623" s="284"/>
      <c r="G623" s="284"/>
      <c r="H623" s="284"/>
      <c r="I623" s="284"/>
      <c r="J623" s="284"/>
      <c r="K623" s="284"/>
      <c r="L623" s="284"/>
      <c r="M623" s="284"/>
      <c r="N623" s="284"/>
      <c r="O623" s="284"/>
      <c r="P623" s="284"/>
      <c r="Q623" s="284"/>
      <c r="R623" s="284"/>
      <c r="S623" s="284"/>
      <c r="T623" s="284"/>
      <c r="U623" s="284"/>
      <c r="V623" s="284"/>
      <c r="W623" s="284"/>
      <c r="X623" s="284"/>
      <c r="Y623" s="284"/>
      <c r="Z623" s="284"/>
      <c r="AA623" s="284"/>
      <c r="AB623" s="284"/>
      <c r="AC623" s="284"/>
      <c r="AD623" s="284"/>
      <c r="AE623" s="284"/>
    </row>
    <row r="624">
      <c r="A624" s="284"/>
      <c r="B624" s="284"/>
      <c r="C624" s="284"/>
      <c r="D624" s="284"/>
      <c r="E624" s="284"/>
      <c r="F624" s="284"/>
      <c r="G624" s="284"/>
      <c r="H624" s="284"/>
      <c r="I624" s="284"/>
      <c r="J624" s="284"/>
      <c r="K624" s="284"/>
      <c r="L624" s="284"/>
      <c r="M624" s="284"/>
      <c r="N624" s="284"/>
      <c r="O624" s="284"/>
      <c r="P624" s="284"/>
      <c r="Q624" s="284"/>
      <c r="R624" s="284"/>
      <c r="S624" s="284"/>
      <c r="T624" s="284"/>
      <c r="U624" s="284"/>
      <c r="V624" s="284"/>
      <c r="W624" s="284"/>
      <c r="X624" s="284"/>
      <c r="Y624" s="284"/>
      <c r="Z624" s="284"/>
      <c r="AA624" s="284"/>
      <c r="AB624" s="284"/>
      <c r="AC624" s="284"/>
      <c r="AD624" s="284"/>
      <c r="AE624" s="284"/>
    </row>
    <row r="625">
      <c r="A625" s="284"/>
      <c r="B625" s="284"/>
      <c r="C625" s="284"/>
      <c r="D625" s="284"/>
      <c r="E625" s="284"/>
      <c r="F625" s="284"/>
      <c r="G625" s="284"/>
      <c r="H625" s="284"/>
      <c r="I625" s="284"/>
      <c r="J625" s="284"/>
      <c r="K625" s="284"/>
      <c r="L625" s="284"/>
      <c r="M625" s="284"/>
      <c r="N625" s="284"/>
      <c r="O625" s="284"/>
      <c r="P625" s="284"/>
      <c r="Q625" s="284"/>
      <c r="R625" s="284"/>
      <c r="S625" s="284"/>
      <c r="T625" s="284"/>
      <c r="U625" s="284"/>
      <c r="V625" s="284"/>
      <c r="W625" s="284"/>
      <c r="X625" s="284"/>
      <c r="Y625" s="284"/>
      <c r="Z625" s="284"/>
      <c r="AA625" s="284"/>
      <c r="AB625" s="284"/>
      <c r="AC625" s="284"/>
      <c r="AD625" s="284"/>
      <c r="AE625" s="284"/>
    </row>
    <row r="626">
      <c r="A626" s="284"/>
      <c r="B626" s="284"/>
      <c r="C626" s="284"/>
      <c r="D626" s="284"/>
      <c r="E626" s="284"/>
      <c r="F626" s="284"/>
      <c r="G626" s="284"/>
      <c r="H626" s="284"/>
      <c r="I626" s="284"/>
      <c r="J626" s="284"/>
      <c r="K626" s="284"/>
      <c r="L626" s="284"/>
      <c r="M626" s="284"/>
      <c r="N626" s="284"/>
      <c r="O626" s="284"/>
      <c r="P626" s="284"/>
      <c r="Q626" s="284"/>
      <c r="R626" s="284"/>
      <c r="S626" s="284"/>
      <c r="T626" s="284"/>
      <c r="U626" s="284"/>
      <c r="V626" s="284"/>
      <c r="W626" s="284"/>
      <c r="X626" s="284"/>
      <c r="Y626" s="284"/>
      <c r="Z626" s="284"/>
      <c r="AA626" s="284"/>
      <c r="AB626" s="284"/>
      <c r="AC626" s="284"/>
      <c r="AD626" s="284"/>
      <c r="AE626" s="284"/>
    </row>
    <row r="627">
      <c r="A627" s="284"/>
      <c r="B627" s="284"/>
      <c r="C627" s="284"/>
      <c r="D627" s="284"/>
      <c r="E627" s="284"/>
      <c r="F627" s="284"/>
      <c r="G627" s="284"/>
      <c r="H627" s="284"/>
      <c r="I627" s="284"/>
      <c r="J627" s="284"/>
      <c r="K627" s="284"/>
      <c r="L627" s="284"/>
      <c r="M627" s="284"/>
      <c r="N627" s="284"/>
      <c r="O627" s="284"/>
      <c r="P627" s="284"/>
      <c r="Q627" s="284"/>
      <c r="R627" s="284"/>
      <c r="S627" s="284"/>
      <c r="T627" s="284"/>
      <c r="U627" s="284"/>
      <c r="V627" s="284"/>
      <c r="W627" s="284"/>
      <c r="X627" s="284"/>
      <c r="Y627" s="284"/>
      <c r="Z627" s="284"/>
      <c r="AA627" s="284"/>
      <c r="AB627" s="284"/>
      <c r="AC627" s="284"/>
      <c r="AD627" s="284"/>
      <c r="AE627" s="284"/>
    </row>
    <row r="628">
      <c r="A628" s="284"/>
      <c r="B628" s="284"/>
      <c r="C628" s="284"/>
      <c r="D628" s="284"/>
      <c r="E628" s="284"/>
      <c r="F628" s="284"/>
      <c r="G628" s="284"/>
      <c r="H628" s="284"/>
      <c r="I628" s="284"/>
      <c r="J628" s="284"/>
      <c r="K628" s="284"/>
      <c r="L628" s="284"/>
      <c r="M628" s="284"/>
      <c r="N628" s="284"/>
      <c r="O628" s="284"/>
      <c r="P628" s="284"/>
      <c r="Q628" s="284"/>
      <c r="R628" s="284"/>
      <c r="S628" s="284"/>
      <c r="T628" s="284"/>
      <c r="U628" s="284"/>
      <c r="V628" s="284"/>
      <c r="W628" s="284"/>
      <c r="X628" s="284"/>
      <c r="Y628" s="284"/>
      <c r="Z628" s="284"/>
      <c r="AA628" s="284"/>
      <c r="AB628" s="284"/>
      <c r="AC628" s="284"/>
      <c r="AD628" s="284"/>
      <c r="AE628" s="284"/>
    </row>
    <row r="629">
      <c r="A629" s="284"/>
      <c r="B629" s="284"/>
      <c r="C629" s="284"/>
      <c r="D629" s="284"/>
      <c r="E629" s="284"/>
      <c r="F629" s="284"/>
      <c r="G629" s="284"/>
      <c r="H629" s="284"/>
      <c r="I629" s="284"/>
      <c r="J629" s="284"/>
      <c r="K629" s="284"/>
      <c r="L629" s="284"/>
      <c r="M629" s="284"/>
      <c r="N629" s="284"/>
      <c r="O629" s="284"/>
      <c r="P629" s="284"/>
      <c r="Q629" s="284"/>
      <c r="R629" s="284"/>
      <c r="S629" s="284"/>
      <c r="T629" s="284"/>
      <c r="U629" s="284"/>
      <c r="V629" s="284"/>
      <c r="W629" s="284"/>
      <c r="X629" s="284"/>
      <c r="Y629" s="284"/>
      <c r="Z629" s="284"/>
      <c r="AA629" s="284"/>
      <c r="AB629" s="284"/>
      <c r="AC629" s="284"/>
      <c r="AD629" s="284"/>
      <c r="AE629" s="284"/>
    </row>
    <row r="630">
      <c r="A630" s="284"/>
      <c r="B630" s="284"/>
      <c r="C630" s="284"/>
      <c r="D630" s="284"/>
      <c r="E630" s="284"/>
      <c r="F630" s="284"/>
      <c r="G630" s="284"/>
      <c r="H630" s="284"/>
      <c r="I630" s="284"/>
      <c r="J630" s="284"/>
      <c r="K630" s="284"/>
      <c r="L630" s="284"/>
      <c r="M630" s="284"/>
      <c r="N630" s="284"/>
      <c r="O630" s="284"/>
      <c r="P630" s="284"/>
      <c r="Q630" s="284"/>
      <c r="R630" s="284"/>
      <c r="S630" s="284"/>
      <c r="T630" s="284"/>
      <c r="U630" s="284"/>
      <c r="V630" s="284"/>
      <c r="W630" s="284"/>
      <c r="X630" s="284"/>
      <c r="Y630" s="284"/>
      <c r="Z630" s="284"/>
      <c r="AA630" s="284"/>
      <c r="AB630" s="284"/>
      <c r="AC630" s="284"/>
      <c r="AD630" s="284"/>
      <c r="AE630" s="284"/>
    </row>
    <row r="631">
      <c r="A631" s="284"/>
      <c r="B631" s="284"/>
      <c r="C631" s="284"/>
      <c r="D631" s="284"/>
      <c r="E631" s="284"/>
      <c r="F631" s="284"/>
      <c r="G631" s="284"/>
      <c r="H631" s="284"/>
      <c r="I631" s="284"/>
      <c r="J631" s="284"/>
      <c r="K631" s="284"/>
      <c r="L631" s="284"/>
      <c r="M631" s="284"/>
      <c r="N631" s="284"/>
      <c r="O631" s="284"/>
      <c r="P631" s="284"/>
      <c r="Q631" s="284"/>
      <c r="R631" s="284"/>
      <c r="S631" s="284"/>
      <c r="T631" s="284"/>
      <c r="U631" s="284"/>
      <c r="V631" s="284"/>
      <c r="W631" s="284"/>
      <c r="X631" s="284"/>
      <c r="Y631" s="284"/>
      <c r="Z631" s="284"/>
      <c r="AA631" s="284"/>
      <c r="AB631" s="284"/>
      <c r="AC631" s="284"/>
      <c r="AD631" s="284"/>
      <c r="AE631" s="284"/>
    </row>
    <row r="632">
      <c r="A632" s="284"/>
      <c r="B632" s="284"/>
      <c r="C632" s="284"/>
      <c r="D632" s="284"/>
      <c r="E632" s="284"/>
      <c r="F632" s="284"/>
      <c r="G632" s="284"/>
      <c r="H632" s="284"/>
      <c r="I632" s="284"/>
      <c r="J632" s="284"/>
      <c r="K632" s="284"/>
      <c r="L632" s="284"/>
      <c r="M632" s="284"/>
      <c r="N632" s="284"/>
      <c r="O632" s="284"/>
      <c r="P632" s="284"/>
      <c r="Q632" s="284"/>
      <c r="R632" s="284"/>
      <c r="S632" s="284"/>
      <c r="T632" s="284"/>
      <c r="U632" s="284"/>
      <c r="V632" s="284"/>
      <c r="W632" s="284"/>
      <c r="X632" s="284"/>
      <c r="Y632" s="284"/>
      <c r="Z632" s="284"/>
      <c r="AA632" s="284"/>
      <c r="AB632" s="284"/>
      <c r="AC632" s="284"/>
      <c r="AD632" s="284"/>
      <c r="AE632" s="284"/>
    </row>
    <row r="633">
      <c r="A633" s="284"/>
      <c r="B633" s="284"/>
      <c r="C633" s="284"/>
      <c r="D633" s="284"/>
      <c r="E633" s="284"/>
      <c r="F633" s="284"/>
      <c r="G633" s="284"/>
      <c r="H633" s="284"/>
      <c r="I633" s="284"/>
      <c r="J633" s="284"/>
      <c r="K633" s="284"/>
      <c r="L633" s="284"/>
      <c r="M633" s="284"/>
      <c r="N633" s="284"/>
      <c r="O633" s="284"/>
      <c r="P633" s="284"/>
      <c r="Q633" s="284"/>
      <c r="R633" s="284"/>
      <c r="S633" s="284"/>
      <c r="T633" s="284"/>
      <c r="U633" s="284"/>
      <c r="V633" s="284"/>
      <c r="W633" s="284"/>
      <c r="X633" s="284"/>
      <c r="Y633" s="284"/>
      <c r="Z633" s="284"/>
      <c r="AA633" s="284"/>
      <c r="AB633" s="284"/>
      <c r="AC633" s="284"/>
      <c r="AD633" s="284"/>
      <c r="AE633" s="284"/>
    </row>
    <row r="634">
      <c r="A634" s="284"/>
      <c r="B634" s="284"/>
      <c r="C634" s="284"/>
      <c r="D634" s="284"/>
      <c r="E634" s="284"/>
      <c r="F634" s="284"/>
      <c r="G634" s="284"/>
      <c r="H634" s="284"/>
      <c r="I634" s="284"/>
      <c r="J634" s="284"/>
      <c r="K634" s="284"/>
      <c r="L634" s="284"/>
      <c r="M634" s="284"/>
      <c r="N634" s="284"/>
      <c r="O634" s="284"/>
      <c r="P634" s="284"/>
      <c r="Q634" s="284"/>
      <c r="R634" s="284"/>
      <c r="S634" s="284"/>
      <c r="T634" s="284"/>
      <c r="U634" s="284"/>
      <c r="V634" s="284"/>
      <c r="W634" s="284"/>
      <c r="X634" s="284"/>
      <c r="Y634" s="284"/>
      <c r="Z634" s="284"/>
      <c r="AA634" s="284"/>
      <c r="AB634" s="284"/>
      <c r="AC634" s="284"/>
      <c r="AD634" s="284"/>
      <c r="AE634" s="284"/>
    </row>
    <row r="635">
      <c r="A635" s="284"/>
      <c r="B635" s="284"/>
      <c r="C635" s="284"/>
      <c r="D635" s="284"/>
      <c r="E635" s="284"/>
      <c r="F635" s="284"/>
      <c r="G635" s="284"/>
      <c r="H635" s="284"/>
      <c r="I635" s="284"/>
      <c r="J635" s="284"/>
      <c r="K635" s="284"/>
      <c r="L635" s="284"/>
      <c r="M635" s="284"/>
      <c r="N635" s="284"/>
      <c r="O635" s="284"/>
      <c r="P635" s="284"/>
      <c r="Q635" s="284"/>
      <c r="R635" s="284"/>
      <c r="S635" s="284"/>
      <c r="T635" s="284"/>
      <c r="U635" s="284"/>
      <c r="V635" s="284"/>
      <c r="W635" s="284"/>
      <c r="X635" s="284"/>
      <c r="Y635" s="284"/>
      <c r="Z635" s="284"/>
      <c r="AA635" s="284"/>
      <c r="AB635" s="284"/>
      <c r="AC635" s="284"/>
      <c r="AD635" s="284"/>
      <c r="AE635" s="284"/>
    </row>
    <row r="636">
      <c r="A636" s="284"/>
      <c r="B636" s="284"/>
      <c r="C636" s="284"/>
      <c r="D636" s="284"/>
      <c r="E636" s="284"/>
      <c r="F636" s="284"/>
      <c r="G636" s="284"/>
      <c r="H636" s="284"/>
      <c r="I636" s="284"/>
      <c r="J636" s="284"/>
      <c r="K636" s="284"/>
      <c r="L636" s="284"/>
      <c r="M636" s="284"/>
      <c r="N636" s="284"/>
      <c r="O636" s="284"/>
      <c r="P636" s="284"/>
      <c r="Q636" s="284"/>
      <c r="R636" s="284"/>
      <c r="S636" s="284"/>
      <c r="T636" s="284"/>
      <c r="U636" s="284"/>
      <c r="V636" s="284"/>
      <c r="W636" s="284"/>
      <c r="X636" s="284"/>
      <c r="Y636" s="284"/>
      <c r="Z636" s="284"/>
      <c r="AA636" s="284"/>
      <c r="AB636" s="284"/>
      <c r="AC636" s="284"/>
      <c r="AD636" s="284"/>
      <c r="AE636" s="284"/>
    </row>
    <row r="637">
      <c r="A637" s="284"/>
      <c r="B637" s="284"/>
      <c r="C637" s="284"/>
      <c r="D637" s="284"/>
      <c r="E637" s="284"/>
      <c r="F637" s="284"/>
      <c r="G637" s="284"/>
      <c r="H637" s="284"/>
      <c r="I637" s="284"/>
      <c r="J637" s="284"/>
      <c r="K637" s="284"/>
      <c r="L637" s="284"/>
      <c r="M637" s="284"/>
      <c r="N637" s="284"/>
      <c r="O637" s="284"/>
      <c r="P637" s="284"/>
      <c r="Q637" s="284"/>
      <c r="R637" s="284"/>
      <c r="S637" s="284"/>
      <c r="T637" s="284"/>
      <c r="U637" s="284"/>
      <c r="V637" s="284"/>
      <c r="W637" s="284"/>
      <c r="X637" s="284"/>
      <c r="Y637" s="284"/>
      <c r="Z637" s="284"/>
      <c r="AA637" s="284"/>
      <c r="AB637" s="284"/>
      <c r="AC637" s="284"/>
      <c r="AD637" s="284"/>
      <c r="AE637" s="284"/>
    </row>
    <row r="638">
      <c r="A638" s="284"/>
      <c r="B638" s="284"/>
      <c r="C638" s="284"/>
      <c r="D638" s="284"/>
      <c r="E638" s="284"/>
      <c r="F638" s="284"/>
      <c r="G638" s="284"/>
      <c r="H638" s="284"/>
      <c r="I638" s="284"/>
      <c r="J638" s="284"/>
      <c r="K638" s="284"/>
      <c r="L638" s="284"/>
      <c r="M638" s="284"/>
      <c r="N638" s="284"/>
      <c r="O638" s="284"/>
      <c r="P638" s="284"/>
      <c r="Q638" s="284"/>
      <c r="R638" s="284"/>
      <c r="S638" s="284"/>
      <c r="T638" s="284"/>
      <c r="U638" s="284"/>
      <c r="V638" s="284"/>
      <c r="W638" s="284"/>
      <c r="X638" s="284"/>
      <c r="Y638" s="284"/>
      <c r="Z638" s="284"/>
      <c r="AA638" s="284"/>
      <c r="AB638" s="284"/>
      <c r="AC638" s="284"/>
      <c r="AD638" s="284"/>
      <c r="AE638" s="284"/>
    </row>
    <row r="639">
      <c r="A639" s="284"/>
      <c r="B639" s="284"/>
      <c r="C639" s="284"/>
      <c r="D639" s="284"/>
      <c r="E639" s="284"/>
      <c r="F639" s="284"/>
      <c r="G639" s="284"/>
      <c r="H639" s="284"/>
      <c r="I639" s="284"/>
      <c r="J639" s="284"/>
      <c r="K639" s="284"/>
      <c r="L639" s="284"/>
      <c r="M639" s="284"/>
      <c r="N639" s="284"/>
      <c r="O639" s="284"/>
      <c r="P639" s="284"/>
      <c r="Q639" s="284"/>
      <c r="R639" s="284"/>
      <c r="S639" s="284"/>
      <c r="T639" s="284"/>
      <c r="U639" s="284"/>
      <c r="V639" s="284"/>
      <c r="W639" s="284"/>
      <c r="X639" s="284"/>
      <c r="Y639" s="284"/>
      <c r="Z639" s="284"/>
      <c r="AA639" s="284"/>
      <c r="AB639" s="284"/>
      <c r="AC639" s="284"/>
      <c r="AD639" s="284"/>
      <c r="AE639" s="284"/>
    </row>
    <row r="640">
      <c r="A640" s="284"/>
      <c r="B640" s="284"/>
      <c r="C640" s="284"/>
      <c r="D640" s="284"/>
      <c r="E640" s="284"/>
      <c r="F640" s="284"/>
      <c r="G640" s="284"/>
      <c r="H640" s="284"/>
      <c r="I640" s="284"/>
      <c r="J640" s="284"/>
      <c r="K640" s="284"/>
      <c r="L640" s="284"/>
      <c r="M640" s="284"/>
      <c r="N640" s="284"/>
      <c r="O640" s="284"/>
      <c r="P640" s="284"/>
      <c r="Q640" s="284"/>
      <c r="R640" s="284"/>
      <c r="S640" s="284"/>
      <c r="T640" s="284"/>
      <c r="U640" s="284"/>
      <c r="V640" s="284"/>
      <c r="W640" s="284"/>
      <c r="X640" s="284"/>
      <c r="Y640" s="284"/>
      <c r="Z640" s="284"/>
      <c r="AA640" s="284"/>
      <c r="AB640" s="284"/>
      <c r="AC640" s="284"/>
      <c r="AD640" s="284"/>
      <c r="AE640" s="284"/>
    </row>
    <row r="641">
      <c r="A641" s="284"/>
      <c r="B641" s="284"/>
      <c r="C641" s="284"/>
      <c r="D641" s="284"/>
      <c r="E641" s="284"/>
      <c r="F641" s="284"/>
      <c r="G641" s="284"/>
      <c r="H641" s="284"/>
      <c r="I641" s="284"/>
      <c r="J641" s="284"/>
      <c r="K641" s="284"/>
      <c r="L641" s="284"/>
      <c r="M641" s="284"/>
      <c r="N641" s="284"/>
      <c r="O641" s="284"/>
      <c r="P641" s="284"/>
      <c r="Q641" s="284"/>
      <c r="R641" s="284"/>
      <c r="S641" s="284"/>
      <c r="T641" s="284"/>
      <c r="U641" s="284"/>
      <c r="V641" s="284"/>
      <c r="W641" s="284"/>
      <c r="X641" s="284"/>
      <c r="Y641" s="284"/>
      <c r="Z641" s="284"/>
      <c r="AA641" s="284"/>
      <c r="AB641" s="284"/>
      <c r="AC641" s="284"/>
      <c r="AD641" s="284"/>
      <c r="AE641" s="284"/>
    </row>
    <row r="642">
      <c r="A642" s="284"/>
      <c r="B642" s="284"/>
      <c r="C642" s="284"/>
      <c r="D642" s="284"/>
      <c r="E642" s="284"/>
      <c r="F642" s="284"/>
      <c r="G642" s="284"/>
      <c r="H642" s="284"/>
      <c r="I642" s="284"/>
      <c r="J642" s="284"/>
      <c r="K642" s="284"/>
      <c r="L642" s="284"/>
      <c r="M642" s="284"/>
      <c r="N642" s="284"/>
      <c r="O642" s="284"/>
      <c r="P642" s="284"/>
      <c r="Q642" s="284"/>
      <c r="R642" s="284"/>
      <c r="S642" s="284"/>
      <c r="T642" s="284"/>
      <c r="U642" s="284"/>
      <c r="V642" s="284"/>
      <c r="W642" s="284"/>
      <c r="X642" s="284"/>
      <c r="Y642" s="284"/>
      <c r="Z642" s="284"/>
      <c r="AA642" s="284"/>
      <c r="AB642" s="284"/>
      <c r="AC642" s="284"/>
      <c r="AD642" s="284"/>
      <c r="AE642" s="284"/>
    </row>
    <row r="643">
      <c r="A643" s="284"/>
      <c r="B643" s="284"/>
      <c r="C643" s="284"/>
      <c r="D643" s="284"/>
      <c r="E643" s="284"/>
      <c r="F643" s="284"/>
      <c r="G643" s="284"/>
      <c r="H643" s="284"/>
      <c r="I643" s="284"/>
      <c r="J643" s="284"/>
      <c r="K643" s="284"/>
      <c r="L643" s="284"/>
      <c r="M643" s="284"/>
      <c r="N643" s="284"/>
      <c r="O643" s="284"/>
      <c r="P643" s="284"/>
      <c r="Q643" s="284"/>
      <c r="R643" s="284"/>
      <c r="S643" s="284"/>
      <c r="T643" s="284"/>
      <c r="U643" s="284"/>
      <c r="V643" s="284"/>
      <c r="W643" s="284"/>
      <c r="X643" s="284"/>
      <c r="Y643" s="284"/>
      <c r="Z643" s="284"/>
      <c r="AA643" s="284"/>
      <c r="AB643" s="284"/>
      <c r="AC643" s="284"/>
      <c r="AD643" s="284"/>
      <c r="AE643" s="284"/>
    </row>
    <row r="644">
      <c r="A644" s="284"/>
      <c r="B644" s="284"/>
      <c r="C644" s="284"/>
      <c r="D644" s="284"/>
      <c r="E644" s="284"/>
      <c r="F644" s="284"/>
      <c r="G644" s="284"/>
      <c r="H644" s="284"/>
      <c r="I644" s="284"/>
      <c r="J644" s="284"/>
      <c r="K644" s="284"/>
      <c r="L644" s="284"/>
      <c r="M644" s="284"/>
      <c r="N644" s="284"/>
      <c r="O644" s="284"/>
      <c r="P644" s="284"/>
      <c r="Q644" s="284"/>
      <c r="R644" s="284"/>
      <c r="S644" s="284"/>
      <c r="T644" s="284"/>
      <c r="U644" s="284"/>
      <c r="V644" s="284"/>
      <c r="W644" s="284"/>
      <c r="X644" s="284"/>
      <c r="Y644" s="284"/>
      <c r="Z644" s="284"/>
      <c r="AA644" s="284"/>
      <c r="AB644" s="284"/>
      <c r="AC644" s="284"/>
      <c r="AD644" s="284"/>
      <c r="AE644" s="284"/>
    </row>
    <row r="645">
      <c r="A645" s="284"/>
      <c r="B645" s="284"/>
      <c r="C645" s="284"/>
      <c r="D645" s="284"/>
      <c r="E645" s="284"/>
      <c r="F645" s="284"/>
      <c r="G645" s="284"/>
      <c r="H645" s="284"/>
      <c r="I645" s="284"/>
      <c r="J645" s="284"/>
      <c r="K645" s="284"/>
      <c r="L645" s="284"/>
      <c r="M645" s="284"/>
      <c r="N645" s="284"/>
      <c r="O645" s="284"/>
      <c r="P645" s="284"/>
      <c r="Q645" s="284"/>
      <c r="R645" s="284"/>
      <c r="S645" s="284"/>
      <c r="T645" s="284"/>
      <c r="U645" s="284"/>
      <c r="V645" s="284"/>
      <c r="W645" s="284"/>
      <c r="X645" s="284"/>
      <c r="Y645" s="284"/>
      <c r="Z645" s="284"/>
      <c r="AA645" s="284"/>
      <c r="AB645" s="284"/>
      <c r="AC645" s="284"/>
      <c r="AD645" s="284"/>
      <c r="AE645" s="284"/>
    </row>
    <row r="646">
      <c r="A646" s="284"/>
      <c r="B646" s="284"/>
      <c r="C646" s="284"/>
      <c r="D646" s="284"/>
      <c r="E646" s="284"/>
      <c r="F646" s="284"/>
      <c r="G646" s="284"/>
      <c r="H646" s="284"/>
      <c r="I646" s="284"/>
      <c r="J646" s="284"/>
      <c r="K646" s="284"/>
      <c r="L646" s="284"/>
      <c r="M646" s="284"/>
      <c r="N646" s="284"/>
      <c r="O646" s="284"/>
      <c r="P646" s="284"/>
      <c r="Q646" s="284"/>
      <c r="R646" s="284"/>
      <c r="S646" s="284"/>
      <c r="T646" s="284"/>
      <c r="U646" s="284"/>
      <c r="V646" s="284"/>
      <c r="W646" s="284"/>
      <c r="X646" s="284"/>
      <c r="Y646" s="284"/>
      <c r="Z646" s="284"/>
      <c r="AA646" s="284"/>
      <c r="AB646" s="284"/>
      <c r="AC646" s="284"/>
      <c r="AD646" s="284"/>
      <c r="AE646" s="284"/>
    </row>
    <row r="647">
      <c r="A647" s="284"/>
      <c r="B647" s="284"/>
      <c r="C647" s="284"/>
      <c r="D647" s="284"/>
      <c r="E647" s="284"/>
      <c r="F647" s="284"/>
      <c r="G647" s="284"/>
      <c r="H647" s="284"/>
      <c r="I647" s="284"/>
      <c r="J647" s="284"/>
      <c r="K647" s="284"/>
      <c r="L647" s="284"/>
      <c r="M647" s="284"/>
      <c r="N647" s="284"/>
      <c r="O647" s="284"/>
      <c r="P647" s="284"/>
      <c r="Q647" s="284"/>
      <c r="R647" s="284"/>
      <c r="S647" s="284"/>
      <c r="T647" s="284"/>
      <c r="U647" s="284"/>
      <c r="V647" s="284"/>
      <c r="W647" s="284"/>
      <c r="X647" s="284"/>
      <c r="Y647" s="284"/>
      <c r="Z647" s="284"/>
      <c r="AA647" s="284"/>
      <c r="AB647" s="284"/>
      <c r="AC647" s="284"/>
      <c r="AD647" s="284"/>
      <c r="AE647" s="284"/>
    </row>
    <row r="648">
      <c r="A648" s="284"/>
      <c r="B648" s="284"/>
      <c r="C648" s="284"/>
      <c r="D648" s="284"/>
      <c r="E648" s="284"/>
      <c r="F648" s="284"/>
      <c r="G648" s="284"/>
      <c r="H648" s="284"/>
      <c r="I648" s="284"/>
      <c r="J648" s="284"/>
      <c r="K648" s="284"/>
      <c r="L648" s="284"/>
      <c r="M648" s="284"/>
      <c r="N648" s="284"/>
      <c r="O648" s="284"/>
      <c r="P648" s="284"/>
      <c r="Q648" s="284"/>
      <c r="R648" s="284"/>
      <c r="S648" s="284"/>
      <c r="T648" s="284"/>
      <c r="U648" s="284"/>
      <c r="V648" s="284"/>
      <c r="W648" s="284"/>
      <c r="X648" s="284"/>
      <c r="Y648" s="284"/>
      <c r="Z648" s="284"/>
      <c r="AA648" s="284"/>
      <c r="AB648" s="284"/>
      <c r="AC648" s="284"/>
      <c r="AD648" s="284"/>
      <c r="AE648" s="284"/>
    </row>
    <row r="649">
      <c r="A649" s="284"/>
      <c r="B649" s="284"/>
      <c r="C649" s="284"/>
      <c r="D649" s="284"/>
      <c r="E649" s="284"/>
      <c r="F649" s="284"/>
      <c r="G649" s="284"/>
      <c r="H649" s="284"/>
      <c r="I649" s="284"/>
      <c r="J649" s="284"/>
      <c r="K649" s="284"/>
      <c r="L649" s="284"/>
      <c r="M649" s="284"/>
      <c r="N649" s="284"/>
      <c r="O649" s="284"/>
      <c r="P649" s="284"/>
      <c r="Q649" s="284"/>
      <c r="R649" s="284"/>
      <c r="S649" s="284"/>
      <c r="T649" s="284"/>
      <c r="U649" s="284"/>
      <c r="V649" s="284"/>
      <c r="W649" s="284"/>
      <c r="X649" s="284"/>
      <c r="Y649" s="284"/>
      <c r="Z649" s="284"/>
      <c r="AA649" s="284"/>
      <c r="AB649" s="284"/>
      <c r="AC649" s="284"/>
      <c r="AD649" s="284"/>
      <c r="AE649" s="284"/>
    </row>
    <row r="650">
      <c r="A650" s="284"/>
      <c r="B650" s="284"/>
      <c r="C650" s="284"/>
      <c r="D650" s="284"/>
      <c r="E650" s="284"/>
      <c r="F650" s="284"/>
      <c r="G650" s="284"/>
      <c r="H650" s="284"/>
      <c r="I650" s="284"/>
      <c r="J650" s="284"/>
      <c r="K650" s="284"/>
      <c r="L650" s="284"/>
      <c r="M650" s="284"/>
      <c r="N650" s="284"/>
      <c r="O650" s="284"/>
      <c r="P650" s="284"/>
      <c r="Q650" s="284"/>
      <c r="R650" s="284"/>
      <c r="S650" s="284"/>
      <c r="T650" s="284"/>
      <c r="U650" s="284"/>
      <c r="V650" s="284"/>
      <c r="W650" s="284"/>
      <c r="X650" s="284"/>
      <c r="Y650" s="284"/>
      <c r="Z650" s="284"/>
      <c r="AA650" s="284"/>
      <c r="AB650" s="284"/>
      <c r="AC650" s="284"/>
      <c r="AD650" s="284"/>
      <c r="AE650" s="284"/>
    </row>
    <row r="651">
      <c r="A651" s="284"/>
      <c r="B651" s="284"/>
      <c r="C651" s="284"/>
      <c r="D651" s="284"/>
      <c r="E651" s="284"/>
      <c r="F651" s="284"/>
      <c r="G651" s="284"/>
      <c r="H651" s="284"/>
      <c r="I651" s="284"/>
      <c r="J651" s="284"/>
      <c r="K651" s="284"/>
      <c r="L651" s="284"/>
      <c r="M651" s="284"/>
      <c r="N651" s="284"/>
      <c r="O651" s="284"/>
      <c r="P651" s="284"/>
      <c r="Q651" s="284"/>
      <c r="R651" s="284"/>
      <c r="S651" s="284"/>
      <c r="T651" s="284"/>
      <c r="U651" s="284"/>
      <c r="V651" s="284"/>
      <c r="W651" s="284"/>
      <c r="X651" s="284"/>
      <c r="Y651" s="284"/>
      <c r="Z651" s="284"/>
      <c r="AA651" s="284"/>
      <c r="AB651" s="284"/>
      <c r="AC651" s="284"/>
      <c r="AD651" s="284"/>
      <c r="AE651" s="284"/>
    </row>
    <row r="652">
      <c r="A652" s="284"/>
      <c r="B652" s="284"/>
      <c r="C652" s="284"/>
      <c r="D652" s="284"/>
      <c r="E652" s="284"/>
      <c r="F652" s="284"/>
      <c r="G652" s="284"/>
      <c r="H652" s="284"/>
      <c r="I652" s="284"/>
      <c r="J652" s="284"/>
      <c r="K652" s="284"/>
      <c r="L652" s="284"/>
      <c r="M652" s="284"/>
      <c r="N652" s="284"/>
      <c r="O652" s="284"/>
      <c r="P652" s="284"/>
      <c r="Q652" s="284"/>
      <c r="R652" s="284"/>
      <c r="S652" s="284"/>
      <c r="T652" s="284"/>
      <c r="U652" s="284"/>
      <c r="V652" s="284"/>
      <c r="W652" s="284"/>
      <c r="X652" s="284"/>
      <c r="Y652" s="284"/>
      <c r="Z652" s="284"/>
      <c r="AA652" s="284"/>
      <c r="AB652" s="284"/>
      <c r="AC652" s="284"/>
      <c r="AD652" s="284"/>
      <c r="AE652" s="284"/>
    </row>
    <row r="653">
      <c r="A653" s="284"/>
      <c r="B653" s="284"/>
      <c r="C653" s="284"/>
      <c r="D653" s="284"/>
      <c r="E653" s="284"/>
      <c r="F653" s="284"/>
      <c r="G653" s="284"/>
      <c r="H653" s="284"/>
      <c r="I653" s="284"/>
      <c r="J653" s="284"/>
      <c r="K653" s="284"/>
      <c r="L653" s="284"/>
      <c r="M653" s="284"/>
      <c r="N653" s="284"/>
      <c r="O653" s="284"/>
      <c r="P653" s="284"/>
      <c r="Q653" s="284"/>
      <c r="R653" s="284"/>
      <c r="S653" s="284"/>
      <c r="T653" s="284"/>
      <c r="U653" s="284"/>
      <c r="V653" s="284"/>
      <c r="W653" s="284"/>
      <c r="X653" s="284"/>
      <c r="Y653" s="284"/>
      <c r="Z653" s="284"/>
      <c r="AA653" s="284"/>
      <c r="AB653" s="284"/>
      <c r="AC653" s="284"/>
      <c r="AD653" s="284"/>
      <c r="AE653" s="284"/>
    </row>
    <row r="654">
      <c r="A654" s="284"/>
      <c r="B654" s="284"/>
      <c r="C654" s="284"/>
      <c r="D654" s="284"/>
      <c r="E654" s="284"/>
      <c r="F654" s="284"/>
      <c r="G654" s="284"/>
      <c r="H654" s="284"/>
      <c r="I654" s="284"/>
      <c r="J654" s="284"/>
      <c r="K654" s="284"/>
      <c r="L654" s="284"/>
      <c r="M654" s="284"/>
      <c r="N654" s="284"/>
      <c r="O654" s="284"/>
      <c r="P654" s="284"/>
      <c r="Q654" s="284"/>
      <c r="R654" s="284"/>
      <c r="S654" s="284"/>
      <c r="T654" s="284"/>
      <c r="U654" s="284"/>
      <c r="V654" s="284"/>
      <c r="W654" s="284"/>
      <c r="X654" s="284"/>
      <c r="Y654" s="284"/>
      <c r="Z654" s="284"/>
      <c r="AA654" s="284"/>
      <c r="AB654" s="284"/>
      <c r="AC654" s="284"/>
      <c r="AD654" s="284"/>
      <c r="AE654" s="284"/>
    </row>
    <row r="655">
      <c r="A655" s="284"/>
      <c r="B655" s="284"/>
      <c r="C655" s="284"/>
      <c r="D655" s="284"/>
      <c r="E655" s="284"/>
      <c r="F655" s="284"/>
      <c r="G655" s="284"/>
      <c r="H655" s="284"/>
      <c r="I655" s="284"/>
      <c r="J655" s="284"/>
      <c r="K655" s="284"/>
      <c r="L655" s="284"/>
      <c r="M655" s="284"/>
      <c r="N655" s="284"/>
      <c r="O655" s="284"/>
      <c r="P655" s="284"/>
      <c r="Q655" s="284"/>
      <c r="R655" s="284"/>
      <c r="S655" s="284"/>
      <c r="T655" s="284"/>
      <c r="U655" s="284"/>
      <c r="V655" s="284"/>
      <c r="W655" s="284"/>
      <c r="X655" s="284"/>
      <c r="Y655" s="284"/>
      <c r="Z655" s="284"/>
      <c r="AA655" s="284"/>
      <c r="AB655" s="284"/>
      <c r="AC655" s="284"/>
      <c r="AD655" s="284"/>
      <c r="AE655" s="284"/>
    </row>
    <row r="656">
      <c r="A656" s="284"/>
      <c r="B656" s="284"/>
      <c r="C656" s="284"/>
      <c r="D656" s="284"/>
      <c r="E656" s="284"/>
      <c r="F656" s="284"/>
      <c r="G656" s="284"/>
      <c r="H656" s="284"/>
      <c r="I656" s="284"/>
      <c r="J656" s="284"/>
      <c r="K656" s="284"/>
      <c r="L656" s="284"/>
      <c r="M656" s="284"/>
      <c r="N656" s="284"/>
      <c r="O656" s="284"/>
      <c r="P656" s="284"/>
      <c r="Q656" s="284"/>
      <c r="R656" s="284"/>
      <c r="S656" s="284"/>
      <c r="T656" s="284"/>
      <c r="U656" s="284"/>
      <c r="V656" s="284"/>
      <c r="W656" s="284"/>
      <c r="X656" s="284"/>
      <c r="Y656" s="284"/>
      <c r="Z656" s="284"/>
      <c r="AA656" s="284"/>
      <c r="AB656" s="284"/>
      <c r="AC656" s="284"/>
      <c r="AD656" s="284"/>
      <c r="AE656" s="284"/>
    </row>
    <row r="657">
      <c r="A657" s="284"/>
      <c r="B657" s="284"/>
      <c r="C657" s="284"/>
      <c r="D657" s="284"/>
      <c r="E657" s="284"/>
      <c r="F657" s="284"/>
      <c r="G657" s="284"/>
      <c r="H657" s="284"/>
      <c r="I657" s="284"/>
      <c r="J657" s="284"/>
      <c r="K657" s="284"/>
      <c r="L657" s="284"/>
      <c r="M657" s="284"/>
      <c r="N657" s="284"/>
      <c r="O657" s="284"/>
      <c r="P657" s="284"/>
      <c r="Q657" s="284"/>
      <c r="R657" s="284"/>
      <c r="S657" s="284"/>
      <c r="T657" s="284"/>
      <c r="U657" s="284"/>
      <c r="V657" s="284"/>
      <c r="W657" s="284"/>
      <c r="X657" s="284"/>
      <c r="Y657" s="284"/>
      <c r="Z657" s="284"/>
      <c r="AA657" s="284"/>
      <c r="AB657" s="284"/>
      <c r="AC657" s="284"/>
      <c r="AD657" s="284"/>
      <c r="AE657" s="284"/>
    </row>
    <row r="658">
      <c r="A658" s="284"/>
      <c r="B658" s="284"/>
      <c r="C658" s="284"/>
      <c r="D658" s="284"/>
      <c r="E658" s="284"/>
      <c r="F658" s="284"/>
      <c r="G658" s="284"/>
      <c r="H658" s="284"/>
      <c r="I658" s="284"/>
      <c r="J658" s="284"/>
      <c r="K658" s="284"/>
      <c r="L658" s="284"/>
      <c r="M658" s="284"/>
      <c r="N658" s="284"/>
      <c r="O658" s="284"/>
      <c r="P658" s="284"/>
      <c r="Q658" s="284"/>
      <c r="R658" s="284"/>
      <c r="S658" s="284"/>
      <c r="T658" s="284"/>
      <c r="U658" s="284"/>
      <c r="V658" s="284"/>
      <c r="W658" s="284"/>
      <c r="X658" s="284"/>
      <c r="Y658" s="284"/>
      <c r="Z658" s="284"/>
      <c r="AA658" s="284"/>
      <c r="AB658" s="284"/>
      <c r="AC658" s="284"/>
      <c r="AD658" s="284"/>
      <c r="AE658" s="284"/>
    </row>
    <row r="659">
      <c r="A659" s="284"/>
      <c r="B659" s="284"/>
      <c r="C659" s="284"/>
      <c r="D659" s="284"/>
      <c r="E659" s="284"/>
      <c r="F659" s="284"/>
      <c r="G659" s="284"/>
      <c r="H659" s="284"/>
      <c r="I659" s="284"/>
      <c r="J659" s="284"/>
      <c r="K659" s="284"/>
      <c r="L659" s="284"/>
      <c r="M659" s="284"/>
      <c r="N659" s="284"/>
      <c r="O659" s="284"/>
      <c r="P659" s="284"/>
      <c r="Q659" s="284"/>
      <c r="R659" s="284"/>
      <c r="S659" s="284"/>
      <c r="T659" s="284"/>
      <c r="U659" s="284"/>
      <c r="V659" s="284"/>
      <c r="W659" s="284"/>
      <c r="X659" s="284"/>
      <c r="Y659" s="284"/>
      <c r="Z659" s="284"/>
      <c r="AA659" s="284"/>
      <c r="AB659" s="284"/>
      <c r="AC659" s="284"/>
      <c r="AD659" s="284"/>
      <c r="AE659" s="284"/>
    </row>
    <row r="660">
      <c r="A660" s="284"/>
      <c r="B660" s="284"/>
      <c r="C660" s="284"/>
      <c r="D660" s="284"/>
      <c r="E660" s="284"/>
      <c r="F660" s="284"/>
      <c r="G660" s="284"/>
      <c r="H660" s="284"/>
      <c r="I660" s="284"/>
      <c r="J660" s="284"/>
      <c r="K660" s="284"/>
      <c r="L660" s="284"/>
      <c r="M660" s="284"/>
      <c r="N660" s="284"/>
      <c r="O660" s="284"/>
      <c r="P660" s="284"/>
      <c r="Q660" s="284"/>
      <c r="R660" s="284"/>
      <c r="S660" s="284"/>
      <c r="T660" s="284"/>
      <c r="U660" s="284"/>
      <c r="V660" s="284"/>
      <c r="W660" s="284"/>
      <c r="X660" s="284"/>
      <c r="Y660" s="284"/>
      <c r="Z660" s="284"/>
      <c r="AA660" s="284"/>
      <c r="AB660" s="284"/>
      <c r="AC660" s="284"/>
      <c r="AD660" s="284"/>
      <c r="AE660" s="284"/>
    </row>
    <row r="661">
      <c r="A661" s="284"/>
      <c r="B661" s="284"/>
      <c r="C661" s="284"/>
      <c r="D661" s="284"/>
      <c r="E661" s="284"/>
      <c r="F661" s="284"/>
      <c r="G661" s="284"/>
      <c r="H661" s="284"/>
      <c r="I661" s="284"/>
      <c r="J661" s="284"/>
      <c r="K661" s="284"/>
      <c r="L661" s="284"/>
      <c r="M661" s="284"/>
      <c r="N661" s="284"/>
      <c r="O661" s="284"/>
      <c r="P661" s="284"/>
      <c r="Q661" s="284"/>
      <c r="R661" s="284"/>
      <c r="S661" s="284"/>
      <c r="T661" s="284"/>
      <c r="U661" s="284"/>
      <c r="V661" s="284"/>
      <c r="W661" s="284"/>
      <c r="X661" s="284"/>
      <c r="Y661" s="284"/>
      <c r="Z661" s="284"/>
      <c r="AA661" s="284"/>
      <c r="AB661" s="284"/>
      <c r="AC661" s="284"/>
      <c r="AD661" s="284"/>
      <c r="AE661" s="284"/>
    </row>
    <row r="662">
      <c r="A662" s="284"/>
      <c r="B662" s="284"/>
      <c r="C662" s="284"/>
      <c r="D662" s="284"/>
      <c r="E662" s="284"/>
      <c r="F662" s="284"/>
      <c r="G662" s="284"/>
      <c r="H662" s="284"/>
      <c r="I662" s="284"/>
      <c r="J662" s="284"/>
      <c r="K662" s="284"/>
      <c r="L662" s="284"/>
      <c r="M662" s="284"/>
      <c r="N662" s="284"/>
      <c r="O662" s="284"/>
      <c r="P662" s="284"/>
      <c r="Q662" s="284"/>
      <c r="R662" s="284"/>
      <c r="S662" s="284"/>
      <c r="T662" s="284"/>
      <c r="U662" s="284"/>
      <c r="V662" s="284"/>
      <c r="W662" s="284"/>
      <c r="X662" s="284"/>
      <c r="Y662" s="284"/>
      <c r="Z662" s="284"/>
      <c r="AA662" s="284"/>
      <c r="AB662" s="284"/>
      <c r="AC662" s="284"/>
      <c r="AD662" s="284"/>
      <c r="AE662" s="284"/>
    </row>
    <row r="663">
      <c r="A663" s="284"/>
      <c r="B663" s="284"/>
      <c r="C663" s="284"/>
      <c r="D663" s="284"/>
      <c r="E663" s="284"/>
      <c r="F663" s="284"/>
      <c r="G663" s="284"/>
      <c r="H663" s="284"/>
      <c r="I663" s="284"/>
      <c r="J663" s="284"/>
      <c r="K663" s="284"/>
      <c r="L663" s="284"/>
      <c r="M663" s="284"/>
      <c r="N663" s="284"/>
      <c r="O663" s="284"/>
      <c r="P663" s="284"/>
      <c r="Q663" s="284"/>
      <c r="R663" s="284"/>
      <c r="S663" s="284"/>
      <c r="T663" s="284"/>
      <c r="U663" s="284"/>
      <c r="V663" s="284"/>
      <c r="W663" s="284"/>
      <c r="X663" s="284"/>
      <c r="Y663" s="284"/>
      <c r="Z663" s="284"/>
      <c r="AA663" s="284"/>
      <c r="AB663" s="284"/>
      <c r="AC663" s="284"/>
      <c r="AD663" s="284"/>
      <c r="AE663" s="284"/>
    </row>
    <row r="664">
      <c r="A664" s="284"/>
      <c r="B664" s="284"/>
      <c r="C664" s="284"/>
      <c r="D664" s="284"/>
      <c r="E664" s="284"/>
      <c r="F664" s="284"/>
      <c r="G664" s="284"/>
      <c r="H664" s="284"/>
      <c r="I664" s="284"/>
      <c r="J664" s="284"/>
      <c r="K664" s="284"/>
      <c r="L664" s="284"/>
      <c r="M664" s="284"/>
      <c r="N664" s="284"/>
      <c r="O664" s="284"/>
      <c r="P664" s="284"/>
      <c r="Q664" s="284"/>
      <c r="R664" s="284"/>
      <c r="S664" s="284"/>
      <c r="T664" s="284"/>
      <c r="U664" s="284"/>
      <c r="V664" s="284"/>
      <c r="W664" s="284"/>
      <c r="X664" s="284"/>
      <c r="Y664" s="284"/>
      <c r="Z664" s="284"/>
      <c r="AA664" s="284"/>
      <c r="AB664" s="284"/>
      <c r="AC664" s="284"/>
      <c r="AD664" s="284"/>
      <c r="AE664" s="284"/>
    </row>
    <row r="665">
      <c r="A665" s="284"/>
      <c r="B665" s="284"/>
      <c r="C665" s="284"/>
      <c r="D665" s="284"/>
      <c r="E665" s="284"/>
      <c r="F665" s="284"/>
      <c r="G665" s="284"/>
      <c r="H665" s="284"/>
      <c r="I665" s="284"/>
      <c r="J665" s="284"/>
      <c r="K665" s="284"/>
      <c r="L665" s="284"/>
      <c r="M665" s="284"/>
      <c r="N665" s="284"/>
      <c r="O665" s="284"/>
      <c r="P665" s="284"/>
      <c r="Q665" s="284"/>
      <c r="R665" s="284"/>
      <c r="S665" s="284"/>
      <c r="T665" s="284"/>
      <c r="U665" s="284"/>
      <c r="V665" s="284"/>
      <c r="W665" s="284"/>
      <c r="X665" s="284"/>
      <c r="Y665" s="284"/>
      <c r="Z665" s="284"/>
      <c r="AA665" s="284"/>
      <c r="AB665" s="284"/>
      <c r="AC665" s="284"/>
      <c r="AD665" s="284"/>
      <c r="AE665" s="284"/>
    </row>
    <row r="666">
      <c r="A666" s="284"/>
      <c r="B666" s="284"/>
      <c r="C666" s="284"/>
      <c r="D666" s="284"/>
      <c r="E666" s="284"/>
      <c r="F666" s="284"/>
      <c r="G666" s="284"/>
      <c r="H666" s="284"/>
      <c r="I666" s="284"/>
      <c r="J666" s="284"/>
      <c r="K666" s="284"/>
      <c r="L666" s="284"/>
      <c r="M666" s="284"/>
      <c r="N666" s="284"/>
      <c r="O666" s="284"/>
      <c r="P666" s="284"/>
      <c r="Q666" s="284"/>
      <c r="R666" s="284"/>
      <c r="S666" s="284"/>
      <c r="T666" s="284"/>
      <c r="U666" s="284"/>
      <c r="V666" s="284"/>
      <c r="W666" s="284"/>
      <c r="X666" s="284"/>
      <c r="Y666" s="284"/>
      <c r="Z666" s="284"/>
      <c r="AA666" s="284"/>
      <c r="AB666" s="284"/>
      <c r="AC666" s="284"/>
      <c r="AD666" s="284"/>
      <c r="AE666" s="284"/>
    </row>
    <row r="667">
      <c r="A667" s="284"/>
      <c r="B667" s="284"/>
      <c r="C667" s="284"/>
      <c r="D667" s="284"/>
      <c r="E667" s="284"/>
      <c r="F667" s="284"/>
      <c r="G667" s="284"/>
      <c r="H667" s="284"/>
      <c r="I667" s="284"/>
      <c r="J667" s="284"/>
      <c r="K667" s="284"/>
      <c r="L667" s="284"/>
      <c r="M667" s="284"/>
      <c r="N667" s="284"/>
      <c r="O667" s="284"/>
      <c r="P667" s="284"/>
      <c r="Q667" s="284"/>
      <c r="R667" s="284"/>
      <c r="S667" s="284"/>
      <c r="T667" s="284"/>
      <c r="U667" s="284"/>
      <c r="V667" s="284"/>
      <c r="W667" s="284"/>
      <c r="X667" s="284"/>
      <c r="Y667" s="284"/>
      <c r="Z667" s="284"/>
      <c r="AA667" s="284"/>
      <c r="AB667" s="284"/>
      <c r="AC667" s="284"/>
      <c r="AD667" s="284"/>
      <c r="AE667" s="284"/>
    </row>
    <row r="668">
      <c r="A668" s="284"/>
      <c r="B668" s="284"/>
      <c r="C668" s="284"/>
      <c r="D668" s="284"/>
      <c r="E668" s="284"/>
      <c r="F668" s="284"/>
      <c r="G668" s="284"/>
      <c r="H668" s="284"/>
      <c r="I668" s="284"/>
      <c r="J668" s="284"/>
      <c r="K668" s="284"/>
      <c r="L668" s="284"/>
      <c r="M668" s="284"/>
      <c r="N668" s="284"/>
      <c r="O668" s="284"/>
      <c r="P668" s="284"/>
      <c r="Q668" s="284"/>
      <c r="R668" s="284"/>
      <c r="S668" s="284"/>
      <c r="T668" s="284"/>
      <c r="U668" s="284"/>
      <c r="V668" s="284"/>
      <c r="W668" s="284"/>
      <c r="X668" s="284"/>
      <c r="Y668" s="284"/>
      <c r="Z668" s="284"/>
      <c r="AA668" s="284"/>
      <c r="AB668" s="284"/>
      <c r="AC668" s="284"/>
      <c r="AD668" s="284"/>
      <c r="AE668" s="284"/>
    </row>
    <row r="669">
      <c r="A669" s="284"/>
      <c r="B669" s="284"/>
      <c r="C669" s="284"/>
      <c r="D669" s="284"/>
      <c r="E669" s="284"/>
      <c r="F669" s="284"/>
      <c r="G669" s="284"/>
      <c r="H669" s="284"/>
      <c r="I669" s="284"/>
      <c r="J669" s="284"/>
      <c r="K669" s="284"/>
      <c r="L669" s="284"/>
      <c r="M669" s="284"/>
      <c r="N669" s="284"/>
      <c r="O669" s="284"/>
      <c r="P669" s="284"/>
      <c r="Q669" s="284"/>
      <c r="R669" s="284"/>
      <c r="S669" s="284"/>
      <c r="T669" s="284"/>
      <c r="U669" s="284"/>
      <c r="V669" s="284"/>
      <c r="W669" s="284"/>
      <c r="X669" s="284"/>
      <c r="Y669" s="284"/>
      <c r="Z669" s="284"/>
      <c r="AA669" s="284"/>
      <c r="AB669" s="284"/>
      <c r="AC669" s="284"/>
      <c r="AD669" s="284"/>
      <c r="AE669" s="284"/>
    </row>
    <row r="670">
      <c r="A670" s="284"/>
      <c r="B670" s="284"/>
      <c r="C670" s="284"/>
      <c r="D670" s="284"/>
      <c r="E670" s="284"/>
      <c r="F670" s="284"/>
      <c r="G670" s="284"/>
      <c r="H670" s="284"/>
      <c r="I670" s="284"/>
      <c r="J670" s="284"/>
      <c r="K670" s="284"/>
      <c r="L670" s="284"/>
      <c r="M670" s="284"/>
      <c r="N670" s="284"/>
      <c r="O670" s="284"/>
      <c r="P670" s="284"/>
      <c r="Q670" s="284"/>
      <c r="R670" s="284"/>
      <c r="S670" s="284"/>
      <c r="T670" s="284"/>
      <c r="U670" s="284"/>
      <c r="V670" s="284"/>
      <c r="W670" s="284"/>
      <c r="X670" s="284"/>
      <c r="Y670" s="284"/>
      <c r="Z670" s="284"/>
      <c r="AA670" s="284"/>
      <c r="AB670" s="284"/>
      <c r="AC670" s="284"/>
      <c r="AD670" s="284"/>
      <c r="AE670" s="284"/>
    </row>
    <row r="671">
      <c r="A671" s="284"/>
      <c r="B671" s="284"/>
      <c r="C671" s="284"/>
      <c r="D671" s="284"/>
      <c r="E671" s="284"/>
      <c r="F671" s="284"/>
      <c r="G671" s="284"/>
      <c r="H671" s="284"/>
      <c r="I671" s="284"/>
      <c r="J671" s="284"/>
      <c r="K671" s="284"/>
      <c r="L671" s="284"/>
      <c r="M671" s="284"/>
      <c r="N671" s="284"/>
      <c r="O671" s="284"/>
      <c r="P671" s="284"/>
      <c r="Q671" s="284"/>
      <c r="R671" s="284"/>
      <c r="S671" s="284"/>
      <c r="T671" s="284"/>
      <c r="U671" s="284"/>
      <c r="V671" s="284"/>
      <c r="W671" s="284"/>
      <c r="X671" s="284"/>
      <c r="Y671" s="284"/>
      <c r="Z671" s="284"/>
      <c r="AA671" s="284"/>
      <c r="AB671" s="284"/>
      <c r="AC671" s="284"/>
      <c r="AD671" s="284"/>
      <c r="AE671" s="284"/>
    </row>
    <row r="672">
      <c r="A672" s="284"/>
      <c r="B672" s="284"/>
      <c r="C672" s="284"/>
      <c r="D672" s="284"/>
      <c r="E672" s="284"/>
      <c r="F672" s="284"/>
      <c r="G672" s="284"/>
      <c r="H672" s="284"/>
      <c r="I672" s="284"/>
      <c r="J672" s="284"/>
      <c r="K672" s="284"/>
      <c r="L672" s="284"/>
      <c r="M672" s="284"/>
      <c r="N672" s="284"/>
      <c r="O672" s="284"/>
      <c r="P672" s="284"/>
      <c r="Q672" s="284"/>
      <c r="R672" s="284"/>
      <c r="S672" s="284"/>
      <c r="T672" s="284"/>
      <c r="U672" s="284"/>
      <c r="V672" s="284"/>
      <c r="W672" s="284"/>
      <c r="X672" s="284"/>
      <c r="Y672" s="284"/>
      <c r="Z672" s="284"/>
      <c r="AA672" s="284"/>
      <c r="AB672" s="284"/>
      <c r="AC672" s="284"/>
      <c r="AD672" s="284"/>
      <c r="AE672" s="284"/>
    </row>
    <row r="673">
      <c r="A673" s="284"/>
      <c r="B673" s="284"/>
      <c r="C673" s="284"/>
      <c r="D673" s="284"/>
      <c r="E673" s="284"/>
      <c r="F673" s="284"/>
      <c r="G673" s="284"/>
      <c r="H673" s="284"/>
      <c r="I673" s="284"/>
      <c r="J673" s="284"/>
      <c r="K673" s="284"/>
      <c r="L673" s="284"/>
      <c r="M673" s="284"/>
      <c r="N673" s="284"/>
      <c r="O673" s="284"/>
      <c r="P673" s="284"/>
      <c r="Q673" s="284"/>
      <c r="R673" s="284"/>
      <c r="S673" s="284"/>
      <c r="T673" s="284"/>
      <c r="U673" s="284"/>
      <c r="V673" s="284"/>
      <c r="W673" s="284"/>
      <c r="X673" s="284"/>
      <c r="Y673" s="284"/>
      <c r="Z673" s="284"/>
      <c r="AA673" s="284"/>
      <c r="AB673" s="284"/>
      <c r="AC673" s="284"/>
      <c r="AD673" s="284"/>
      <c r="AE673" s="284"/>
    </row>
    <row r="674">
      <c r="A674" s="284"/>
      <c r="B674" s="284"/>
      <c r="C674" s="284"/>
      <c r="D674" s="284"/>
      <c r="E674" s="284"/>
      <c r="F674" s="284"/>
      <c r="G674" s="284"/>
      <c r="H674" s="284"/>
      <c r="I674" s="284"/>
      <c r="J674" s="284"/>
      <c r="K674" s="284"/>
      <c r="L674" s="284"/>
      <c r="M674" s="284"/>
      <c r="N674" s="284"/>
      <c r="O674" s="284"/>
      <c r="P674" s="284"/>
      <c r="Q674" s="284"/>
      <c r="R674" s="284"/>
      <c r="S674" s="284"/>
      <c r="T674" s="284"/>
      <c r="U674" s="284"/>
      <c r="V674" s="284"/>
      <c r="W674" s="284"/>
      <c r="X674" s="284"/>
      <c r="Y674" s="284"/>
      <c r="Z674" s="284"/>
      <c r="AA674" s="284"/>
      <c r="AB674" s="284"/>
      <c r="AC674" s="284"/>
      <c r="AD674" s="284"/>
      <c r="AE674" s="284"/>
    </row>
    <row r="675">
      <c r="A675" s="284"/>
      <c r="B675" s="284"/>
      <c r="C675" s="284"/>
      <c r="D675" s="284"/>
      <c r="E675" s="284"/>
      <c r="F675" s="284"/>
      <c r="G675" s="284"/>
      <c r="H675" s="284"/>
      <c r="I675" s="284"/>
      <c r="J675" s="284"/>
      <c r="K675" s="284"/>
      <c r="L675" s="284"/>
      <c r="M675" s="284"/>
      <c r="N675" s="284"/>
      <c r="O675" s="284"/>
      <c r="P675" s="284"/>
      <c r="Q675" s="284"/>
      <c r="R675" s="284"/>
      <c r="S675" s="284"/>
      <c r="T675" s="284"/>
      <c r="U675" s="284"/>
      <c r="V675" s="284"/>
      <c r="W675" s="284"/>
      <c r="X675" s="284"/>
      <c r="Y675" s="284"/>
      <c r="Z675" s="284"/>
      <c r="AA675" s="284"/>
      <c r="AB675" s="284"/>
      <c r="AC675" s="284"/>
      <c r="AD675" s="284"/>
      <c r="AE675" s="284"/>
    </row>
    <row r="676">
      <c r="A676" s="284"/>
      <c r="B676" s="284"/>
      <c r="C676" s="284"/>
      <c r="D676" s="284"/>
      <c r="E676" s="284"/>
      <c r="F676" s="284"/>
      <c r="G676" s="284"/>
      <c r="H676" s="284"/>
      <c r="I676" s="284"/>
      <c r="J676" s="284"/>
      <c r="K676" s="284"/>
      <c r="L676" s="284"/>
      <c r="M676" s="284"/>
      <c r="N676" s="284"/>
      <c r="O676" s="284"/>
      <c r="P676" s="284"/>
      <c r="Q676" s="284"/>
      <c r="R676" s="284"/>
      <c r="S676" s="284"/>
      <c r="T676" s="284"/>
      <c r="U676" s="284"/>
      <c r="V676" s="284"/>
      <c r="W676" s="284"/>
      <c r="X676" s="284"/>
      <c r="Y676" s="284"/>
      <c r="Z676" s="284"/>
      <c r="AA676" s="284"/>
      <c r="AB676" s="284"/>
      <c r="AC676" s="284"/>
      <c r="AD676" s="284"/>
      <c r="AE676" s="284"/>
    </row>
    <row r="677">
      <c r="A677" s="284"/>
      <c r="B677" s="284"/>
      <c r="C677" s="284"/>
      <c r="D677" s="284"/>
      <c r="E677" s="284"/>
      <c r="F677" s="284"/>
      <c r="G677" s="284"/>
      <c r="H677" s="284"/>
      <c r="I677" s="284"/>
      <c r="J677" s="284"/>
      <c r="K677" s="284"/>
      <c r="L677" s="284"/>
      <c r="M677" s="284"/>
      <c r="N677" s="284"/>
      <c r="O677" s="284"/>
      <c r="P677" s="284"/>
      <c r="Q677" s="284"/>
      <c r="R677" s="284"/>
      <c r="S677" s="284"/>
      <c r="T677" s="284"/>
      <c r="U677" s="284"/>
      <c r="V677" s="284"/>
      <c r="W677" s="284"/>
      <c r="X677" s="284"/>
      <c r="Y677" s="284"/>
      <c r="Z677" s="284"/>
      <c r="AA677" s="284"/>
      <c r="AB677" s="284"/>
      <c r="AC677" s="284"/>
      <c r="AD677" s="284"/>
      <c r="AE677" s="284"/>
    </row>
    <row r="678">
      <c r="A678" s="284"/>
      <c r="B678" s="284"/>
      <c r="C678" s="284"/>
      <c r="D678" s="284"/>
      <c r="E678" s="284"/>
      <c r="F678" s="284"/>
      <c r="G678" s="284"/>
      <c r="H678" s="284"/>
      <c r="I678" s="284"/>
      <c r="J678" s="284"/>
      <c r="K678" s="284"/>
      <c r="L678" s="284"/>
      <c r="M678" s="284"/>
      <c r="N678" s="284"/>
      <c r="O678" s="284"/>
      <c r="P678" s="284"/>
      <c r="Q678" s="284"/>
      <c r="R678" s="284"/>
      <c r="S678" s="284"/>
      <c r="T678" s="284"/>
      <c r="U678" s="284"/>
      <c r="V678" s="284"/>
      <c r="W678" s="284"/>
      <c r="X678" s="284"/>
      <c r="Y678" s="284"/>
      <c r="Z678" s="284"/>
      <c r="AA678" s="284"/>
      <c r="AB678" s="284"/>
      <c r="AC678" s="284"/>
      <c r="AD678" s="284"/>
      <c r="AE678" s="284"/>
    </row>
    <row r="679">
      <c r="A679" s="284"/>
      <c r="B679" s="284"/>
      <c r="C679" s="284"/>
      <c r="D679" s="284"/>
      <c r="E679" s="284"/>
      <c r="F679" s="284"/>
      <c r="G679" s="284"/>
      <c r="H679" s="284"/>
      <c r="I679" s="284"/>
      <c r="J679" s="284"/>
      <c r="K679" s="284"/>
      <c r="L679" s="284"/>
      <c r="M679" s="284"/>
      <c r="N679" s="284"/>
      <c r="O679" s="284"/>
      <c r="P679" s="284"/>
      <c r="Q679" s="284"/>
      <c r="R679" s="284"/>
      <c r="S679" s="284"/>
      <c r="T679" s="284"/>
      <c r="U679" s="284"/>
      <c r="V679" s="284"/>
      <c r="W679" s="284"/>
      <c r="X679" s="284"/>
      <c r="Y679" s="284"/>
      <c r="Z679" s="284"/>
      <c r="AA679" s="284"/>
      <c r="AB679" s="284"/>
      <c r="AC679" s="284"/>
      <c r="AD679" s="284"/>
      <c r="AE679" s="284"/>
    </row>
    <row r="680">
      <c r="A680" s="284"/>
      <c r="B680" s="284"/>
      <c r="C680" s="284"/>
      <c r="D680" s="284"/>
      <c r="E680" s="284"/>
      <c r="F680" s="284"/>
      <c r="G680" s="284"/>
      <c r="H680" s="284"/>
      <c r="I680" s="284"/>
      <c r="J680" s="284"/>
      <c r="K680" s="284"/>
      <c r="L680" s="284"/>
      <c r="M680" s="284"/>
      <c r="N680" s="284"/>
      <c r="O680" s="284"/>
      <c r="P680" s="284"/>
      <c r="Q680" s="284"/>
      <c r="R680" s="284"/>
      <c r="S680" s="284"/>
      <c r="T680" s="284"/>
      <c r="U680" s="284"/>
      <c r="V680" s="284"/>
      <c r="W680" s="284"/>
      <c r="X680" s="284"/>
      <c r="Y680" s="284"/>
      <c r="Z680" s="284"/>
      <c r="AA680" s="284"/>
      <c r="AB680" s="284"/>
      <c r="AC680" s="284"/>
      <c r="AD680" s="284"/>
      <c r="AE680" s="284"/>
    </row>
    <row r="681">
      <c r="A681" s="284"/>
      <c r="B681" s="284"/>
      <c r="C681" s="284"/>
      <c r="D681" s="284"/>
      <c r="E681" s="284"/>
      <c r="F681" s="284"/>
      <c r="G681" s="284"/>
      <c r="H681" s="284"/>
      <c r="I681" s="284"/>
      <c r="J681" s="284"/>
      <c r="K681" s="284"/>
      <c r="L681" s="284"/>
      <c r="M681" s="284"/>
      <c r="N681" s="284"/>
      <c r="O681" s="284"/>
      <c r="P681" s="284"/>
      <c r="Q681" s="284"/>
      <c r="R681" s="284"/>
      <c r="S681" s="284"/>
      <c r="T681" s="284"/>
      <c r="U681" s="284"/>
      <c r="V681" s="284"/>
      <c r="W681" s="284"/>
      <c r="X681" s="284"/>
      <c r="Y681" s="284"/>
      <c r="Z681" s="284"/>
      <c r="AA681" s="284"/>
      <c r="AB681" s="284"/>
      <c r="AC681" s="284"/>
      <c r="AD681" s="284"/>
      <c r="AE681" s="284"/>
    </row>
    <row r="682">
      <c r="A682" s="284"/>
      <c r="B682" s="284"/>
      <c r="C682" s="284"/>
      <c r="D682" s="284"/>
      <c r="E682" s="284"/>
      <c r="F682" s="284"/>
      <c r="G682" s="284"/>
      <c r="H682" s="284"/>
      <c r="I682" s="284"/>
      <c r="J682" s="284"/>
      <c r="K682" s="284"/>
      <c r="L682" s="284"/>
      <c r="M682" s="284"/>
      <c r="N682" s="284"/>
      <c r="O682" s="284"/>
      <c r="P682" s="284"/>
      <c r="Q682" s="284"/>
      <c r="R682" s="284"/>
      <c r="S682" s="284"/>
      <c r="T682" s="284"/>
      <c r="U682" s="284"/>
      <c r="V682" s="284"/>
      <c r="W682" s="284"/>
      <c r="X682" s="284"/>
      <c r="Y682" s="284"/>
      <c r="Z682" s="284"/>
      <c r="AA682" s="284"/>
      <c r="AB682" s="284"/>
      <c r="AC682" s="284"/>
      <c r="AD682" s="284"/>
      <c r="AE682" s="284"/>
    </row>
    <row r="683">
      <c r="A683" s="284"/>
      <c r="B683" s="284"/>
      <c r="C683" s="284"/>
      <c r="D683" s="284"/>
      <c r="E683" s="284"/>
      <c r="F683" s="284"/>
      <c r="G683" s="284"/>
      <c r="H683" s="284"/>
      <c r="I683" s="284"/>
      <c r="J683" s="284"/>
      <c r="K683" s="284"/>
      <c r="L683" s="284"/>
      <c r="M683" s="284"/>
      <c r="N683" s="284"/>
      <c r="O683" s="284"/>
      <c r="P683" s="284"/>
      <c r="Q683" s="284"/>
      <c r="R683" s="284"/>
      <c r="S683" s="284"/>
      <c r="T683" s="284"/>
      <c r="U683" s="284"/>
      <c r="V683" s="284"/>
      <c r="W683" s="284"/>
      <c r="X683" s="284"/>
      <c r="Y683" s="284"/>
      <c r="Z683" s="284"/>
      <c r="AA683" s="284"/>
      <c r="AB683" s="284"/>
      <c r="AC683" s="284"/>
      <c r="AD683" s="284"/>
      <c r="AE683" s="284"/>
    </row>
    <row r="684">
      <c r="A684" s="284"/>
      <c r="B684" s="284"/>
      <c r="C684" s="284"/>
      <c r="D684" s="284"/>
      <c r="E684" s="284"/>
      <c r="F684" s="284"/>
      <c r="G684" s="284"/>
      <c r="H684" s="284"/>
      <c r="I684" s="284"/>
      <c r="J684" s="284"/>
      <c r="K684" s="284"/>
      <c r="L684" s="284"/>
      <c r="M684" s="284"/>
      <c r="N684" s="284"/>
      <c r="O684" s="284"/>
      <c r="P684" s="284"/>
      <c r="Q684" s="284"/>
      <c r="R684" s="284"/>
      <c r="S684" s="284"/>
      <c r="T684" s="284"/>
      <c r="U684" s="284"/>
      <c r="V684" s="284"/>
      <c r="W684" s="284"/>
      <c r="X684" s="284"/>
      <c r="Y684" s="284"/>
      <c r="Z684" s="284"/>
      <c r="AA684" s="284"/>
      <c r="AB684" s="284"/>
      <c r="AC684" s="284"/>
      <c r="AD684" s="284"/>
      <c r="AE684" s="284"/>
    </row>
    <row r="685">
      <c r="A685" s="284"/>
      <c r="B685" s="284"/>
      <c r="C685" s="284"/>
      <c r="D685" s="284"/>
      <c r="E685" s="284"/>
      <c r="F685" s="284"/>
      <c r="G685" s="284"/>
      <c r="H685" s="284"/>
      <c r="I685" s="284"/>
      <c r="J685" s="284"/>
      <c r="K685" s="284"/>
      <c r="L685" s="284"/>
      <c r="M685" s="284"/>
      <c r="N685" s="284"/>
      <c r="O685" s="284"/>
      <c r="P685" s="284"/>
      <c r="Q685" s="284"/>
      <c r="R685" s="284"/>
      <c r="S685" s="284"/>
      <c r="T685" s="284"/>
      <c r="U685" s="284"/>
      <c r="V685" s="284"/>
      <c r="W685" s="284"/>
      <c r="X685" s="284"/>
      <c r="Y685" s="284"/>
      <c r="Z685" s="284"/>
      <c r="AA685" s="284"/>
      <c r="AB685" s="284"/>
      <c r="AC685" s="284"/>
      <c r="AD685" s="284"/>
      <c r="AE685" s="284"/>
    </row>
    <row r="686">
      <c r="A686" s="284"/>
      <c r="B686" s="284"/>
      <c r="C686" s="284"/>
      <c r="D686" s="284"/>
      <c r="E686" s="284"/>
      <c r="F686" s="284"/>
      <c r="G686" s="284"/>
      <c r="H686" s="284"/>
      <c r="I686" s="284"/>
      <c r="J686" s="284"/>
      <c r="K686" s="284"/>
      <c r="L686" s="284"/>
      <c r="M686" s="284"/>
      <c r="N686" s="284"/>
      <c r="O686" s="284"/>
      <c r="P686" s="284"/>
      <c r="Q686" s="284"/>
      <c r="R686" s="284"/>
      <c r="S686" s="284"/>
      <c r="T686" s="284"/>
      <c r="U686" s="284"/>
      <c r="V686" s="284"/>
      <c r="W686" s="284"/>
      <c r="X686" s="284"/>
      <c r="Y686" s="284"/>
      <c r="Z686" s="284"/>
      <c r="AA686" s="284"/>
      <c r="AB686" s="284"/>
      <c r="AC686" s="284"/>
      <c r="AD686" s="284"/>
      <c r="AE686" s="284"/>
    </row>
    <row r="687">
      <c r="A687" s="284"/>
      <c r="B687" s="284"/>
      <c r="C687" s="284"/>
      <c r="D687" s="284"/>
      <c r="E687" s="284"/>
      <c r="F687" s="284"/>
      <c r="G687" s="284"/>
      <c r="H687" s="284"/>
      <c r="I687" s="284"/>
      <c r="J687" s="284"/>
      <c r="K687" s="284"/>
      <c r="L687" s="284"/>
      <c r="M687" s="284"/>
      <c r="N687" s="284"/>
      <c r="O687" s="284"/>
      <c r="P687" s="284"/>
      <c r="Q687" s="284"/>
      <c r="R687" s="284"/>
      <c r="S687" s="284"/>
      <c r="T687" s="284"/>
      <c r="U687" s="284"/>
      <c r="V687" s="284"/>
      <c r="W687" s="284"/>
      <c r="X687" s="284"/>
      <c r="Y687" s="284"/>
      <c r="Z687" s="284"/>
      <c r="AA687" s="284"/>
      <c r="AB687" s="284"/>
      <c r="AC687" s="284"/>
      <c r="AD687" s="284"/>
      <c r="AE687" s="284"/>
    </row>
    <row r="688">
      <c r="A688" s="284"/>
      <c r="B688" s="284"/>
      <c r="C688" s="284"/>
      <c r="D688" s="284"/>
      <c r="E688" s="284"/>
      <c r="F688" s="284"/>
      <c r="G688" s="284"/>
      <c r="H688" s="284"/>
      <c r="I688" s="284"/>
      <c r="J688" s="284"/>
      <c r="K688" s="284"/>
      <c r="L688" s="284"/>
      <c r="M688" s="284"/>
      <c r="N688" s="284"/>
      <c r="O688" s="284"/>
      <c r="P688" s="284"/>
      <c r="Q688" s="284"/>
      <c r="R688" s="284"/>
      <c r="S688" s="284"/>
      <c r="T688" s="284"/>
      <c r="U688" s="284"/>
      <c r="V688" s="284"/>
      <c r="W688" s="284"/>
      <c r="X688" s="284"/>
      <c r="Y688" s="284"/>
      <c r="Z688" s="284"/>
      <c r="AA688" s="284"/>
      <c r="AB688" s="284"/>
      <c r="AC688" s="284"/>
      <c r="AD688" s="284"/>
      <c r="AE688" s="284"/>
    </row>
    <row r="689">
      <c r="A689" s="284"/>
      <c r="B689" s="284"/>
      <c r="C689" s="284"/>
      <c r="D689" s="284"/>
      <c r="E689" s="284"/>
      <c r="F689" s="284"/>
      <c r="G689" s="284"/>
      <c r="H689" s="284"/>
      <c r="I689" s="284"/>
      <c r="J689" s="284"/>
      <c r="K689" s="284"/>
      <c r="L689" s="284"/>
      <c r="M689" s="284"/>
      <c r="N689" s="284"/>
      <c r="O689" s="284"/>
      <c r="P689" s="284"/>
      <c r="Q689" s="284"/>
      <c r="R689" s="284"/>
      <c r="S689" s="284"/>
      <c r="T689" s="284"/>
      <c r="U689" s="284"/>
      <c r="V689" s="284"/>
      <c r="W689" s="284"/>
      <c r="X689" s="284"/>
      <c r="Y689" s="284"/>
      <c r="Z689" s="284"/>
      <c r="AA689" s="284"/>
      <c r="AB689" s="284"/>
      <c r="AC689" s="284"/>
      <c r="AD689" s="284"/>
      <c r="AE689" s="284"/>
    </row>
    <row r="690">
      <c r="A690" s="284"/>
      <c r="B690" s="284"/>
      <c r="C690" s="284"/>
      <c r="D690" s="284"/>
      <c r="E690" s="284"/>
      <c r="F690" s="284"/>
      <c r="G690" s="284"/>
      <c r="H690" s="284"/>
      <c r="I690" s="284"/>
      <c r="J690" s="284"/>
      <c r="K690" s="284"/>
      <c r="L690" s="284"/>
      <c r="M690" s="284"/>
      <c r="N690" s="284"/>
      <c r="O690" s="284"/>
      <c r="P690" s="284"/>
      <c r="Q690" s="284"/>
      <c r="R690" s="284"/>
      <c r="S690" s="284"/>
      <c r="T690" s="284"/>
      <c r="U690" s="284"/>
      <c r="V690" s="284"/>
      <c r="W690" s="284"/>
      <c r="X690" s="284"/>
      <c r="Y690" s="284"/>
      <c r="Z690" s="284"/>
      <c r="AA690" s="284"/>
      <c r="AB690" s="284"/>
      <c r="AC690" s="284"/>
      <c r="AD690" s="284"/>
      <c r="AE690" s="284"/>
    </row>
    <row r="691">
      <c r="A691" s="284"/>
      <c r="B691" s="284"/>
      <c r="C691" s="284"/>
      <c r="D691" s="284"/>
      <c r="E691" s="284"/>
      <c r="F691" s="284"/>
      <c r="G691" s="284"/>
      <c r="H691" s="284"/>
      <c r="I691" s="284"/>
      <c r="J691" s="284"/>
      <c r="K691" s="284"/>
      <c r="L691" s="284"/>
      <c r="M691" s="284"/>
      <c r="N691" s="284"/>
      <c r="O691" s="284"/>
      <c r="P691" s="284"/>
      <c r="Q691" s="284"/>
      <c r="R691" s="284"/>
      <c r="S691" s="284"/>
      <c r="T691" s="284"/>
      <c r="U691" s="284"/>
      <c r="V691" s="284"/>
      <c r="W691" s="284"/>
      <c r="X691" s="284"/>
      <c r="Y691" s="284"/>
      <c r="Z691" s="284"/>
      <c r="AA691" s="284"/>
      <c r="AB691" s="284"/>
      <c r="AC691" s="284"/>
      <c r="AD691" s="284"/>
      <c r="AE691" s="284"/>
    </row>
    <row r="692">
      <c r="A692" s="284"/>
      <c r="B692" s="284"/>
      <c r="C692" s="284"/>
      <c r="D692" s="284"/>
      <c r="E692" s="284"/>
      <c r="F692" s="284"/>
      <c r="G692" s="284"/>
      <c r="H692" s="284"/>
      <c r="I692" s="284"/>
      <c r="J692" s="284"/>
      <c r="K692" s="284"/>
      <c r="L692" s="284"/>
      <c r="M692" s="284"/>
      <c r="N692" s="284"/>
      <c r="O692" s="284"/>
      <c r="P692" s="284"/>
      <c r="Q692" s="284"/>
      <c r="R692" s="284"/>
      <c r="S692" s="284"/>
      <c r="T692" s="284"/>
      <c r="U692" s="284"/>
      <c r="V692" s="284"/>
      <c r="W692" s="284"/>
      <c r="X692" s="284"/>
      <c r="Y692" s="284"/>
      <c r="Z692" s="284"/>
      <c r="AA692" s="284"/>
      <c r="AB692" s="284"/>
      <c r="AC692" s="284"/>
      <c r="AD692" s="284"/>
      <c r="AE692" s="284"/>
    </row>
    <row r="693">
      <c r="A693" s="284"/>
      <c r="B693" s="284"/>
      <c r="C693" s="284"/>
      <c r="D693" s="284"/>
      <c r="E693" s="284"/>
      <c r="F693" s="284"/>
      <c r="G693" s="284"/>
      <c r="H693" s="284"/>
      <c r="I693" s="284"/>
      <c r="J693" s="284"/>
      <c r="K693" s="284"/>
      <c r="L693" s="284"/>
      <c r="M693" s="284"/>
      <c r="N693" s="284"/>
      <c r="O693" s="284"/>
      <c r="P693" s="284"/>
      <c r="Q693" s="284"/>
      <c r="R693" s="284"/>
      <c r="S693" s="284"/>
      <c r="T693" s="284"/>
      <c r="U693" s="284"/>
      <c r="V693" s="284"/>
      <c r="W693" s="284"/>
      <c r="X693" s="284"/>
      <c r="Y693" s="284"/>
      <c r="Z693" s="284"/>
      <c r="AA693" s="284"/>
      <c r="AB693" s="284"/>
      <c r="AC693" s="284"/>
      <c r="AD693" s="284"/>
      <c r="AE693" s="284"/>
    </row>
    <row r="694">
      <c r="A694" s="284"/>
      <c r="B694" s="284"/>
      <c r="C694" s="284"/>
      <c r="D694" s="284"/>
      <c r="E694" s="284"/>
      <c r="F694" s="284"/>
      <c r="G694" s="284"/>
      <c r="H694" s="284"/>
      <c r="I694" s="284"/>
      <c r="J694" s="284"/>
      <c r="K694" s="284"/>
      <c r="L694" s="284"/>
      <c r="M694" s="284"/>
      <c r="N694" s="284"/>
      <c r="O694" s="284"/>
      <c r="P694" s="284"/>
      <c r="Q694" s="284"/>
      <c r="R694" s="284"/>
      <c r="S694" s="284"/>
      <c r="T694" s="284"/>
      <c r="U694" s="284"/>
      <c r="V694" s="284"/>
      <c r="W694" s="284"/>
      <c r="X694" s="284"/>
      <c r="Y694" s="284"/>
      <c r="Z694" s="284"/>
      <c r="AA694" s="284"/>
      <c r="AB694" s="284"/>
      <c r="AC694" s="284"/>
      <c r="AD694" s="284"/>
      <c r="AE694" s="284"/>
    </row>
    <row r="695">
      <c r="A695" s="284"/>
      <c r="B695" s="284"/>
      <c r="C695" s="284"/>
      <c r="D695" s="284"/>
      <c r="E695" s="284"/>
      <c r="F695" s="284"/>
      <c r="G695" s="284"/>
      <c r="H695" s="284"/>
      <c r="I695" s="284"/>
      <c r="J695" s="284"/>
      <c r="K695" s="284"/>
      <c r="L695" s="284"/>
      <c r="M695" s="284"/>
      <c r="N695" s="284"/>
      <c r="O695" s="284"/>
      <c r="P695" s="284"/>
      <c r="Q695" s="284"/>
      <c r="R695" s="284"/>
      <c r="S695" s="284"/>
      <c r="T695" s="284"/>
      <c r="U695" s="284"/>
      <c r="V695" s="284"/>
      <c r="W695" s="284"/>
      <c r="X695" s="284"/>
      <c r="Y695" s="284"/>
      <c r="Z695" s="284"/>
      <c r="AA695" s="284"/>
      <c r="AB695" s="284"/>
      <c r="AC695" s="284"/>
      <c r="AD695" s="284"/>
      <c r="AE695" s="284"/>
    </row>
    <row r="696">
      <c r="A696" s="284"/>
      <c r="B696" s="284"/>
      <c r="C696" s="284"/>
      <c r="D696" s="284"/>
      <c r="E696" s="284"/>
      <c r="F696" s="284"/>
      <c r="G696" s="284"/>
      <c r="H696" s="284"/>
      <c r="I696" s="284"/>
      <c r="J696" s="284"/>
      <c r="K696" s="284"/>
      <c r="L696" s="284"/>
      <c r="M696" s="284"/>
      <c r="N696" s="284"/>
      <c r="O696" s="284"/>
      <c r="P696" s="284"/>
      <c r="Q696" s="284"/>
      <c r="R696" s="284"/>
      <c r="S696" s="284"/>
      <c r="T696" s="284"/>
      <c r="U696" s="284"/>
      <c r="V696" s="284"/>
      <c r="W696" s="284"/>
      <c r="X696" s="284"/>
      <c r="Y696" s="284"/>
      <c r="Z696" s="284"/>
      <c r="AA696" s="284"/>
      <c r="AB696" s="284"/>
      <c r="AC696" s="284"/>
      <c r="AD696" s="284"/>
      <c r="AE696" s="284"/>
    </row>
    <row r="697">
      <c r="A697" s="284"/>
      <c r="B697" s="284"/>
      <c r="C697" s="284"/>
      <c r="D697" s="284"/>
      <c r="E697" s="284"/>
      <c r="F697" s="284"/>
      <c r="G697" s="284"/>
      <c r="H697" s="284"/>
      <c r="I697" s="284"/>
      <c r="J697" s="284"/>
      <c r="K697" s="284"/>
      <c r="L697" s="284"/>
      <c r="M697" s="284"/>
      <c r="N697" s="284"/>
      <c r="O697" s="284"/>
      <c r="P697" s="284"/>
      <c r="Q697" s="284"/>
      <c r="R697" s="284"/>
      <c r="S697" s="284"/>
      <c r="T697" s="284"/>
      <c r="U697" s="284"/>
      <c r="V697" s="284"/>
      <c r="W697" s="284"/>
      <c r="X697" s="284"/>
      <c r="Y697" s="284"/>
      <c r="Z697" s="284"/>
      <c r="AA697" s="284"/>
      <c r="AB697" s="284"/>
      <c r="AC697" s="284"/>
      <c r="AD697" s="284"/>
      <c r="AE697" s="284"/>
    </row>
    <row r="698">
      <c r="A698" s="284"/>
      <c r="B698" s="284"/>
      <c r="C698" s="284"/>
      <c r="D698" s="284"/>
      <c r="E698" s="284"/>
      <c r="F698" s="284"/>
      <c r="G698" s="284"/>
      <c r="H698" s="284"/>
      <c r="I698" s="284"/>
      <c r="J698" s="284"/>
      <c r="K698" s="284"/>
      <c r="L698" s="284"/>
      <c r="M698" s="284"/>
      <c r="N698" s="284"/>
      <c r="O698" s="284"/>
      <c r="P698" s="284"/>
      <c r="Q698" s="284"/>
      <c r="R698" s="284"/>
      <c r="S698" s="284"/>
      <c r="T698" s="284"/>
      <c r="U698" s="284"/>
      <c r="V698" s="284"/>
      <c r="W698" s="284"/>
      <c r="X698" s="284"/>
      <c r="Y698" s="284"/>
      <c r="Z698" s="284"/>
      <c r="AA698" s="284"/>
      <c r="AB698" s="284"/>
      <c r="AC698" s="284"/>
      <c r="AD698" s="284"/>
      <c r="AE698" s="284"/>
    </row>
    <row r="699">
      <c r="A699" s="284"/>
      <c r="B699" s="284"/>
      <c r="C699" s="284"/>
      <c r="D699" s="284"/>
      <c r="E699" s="284"/>
      <c r="F699" s="284"/>
      <c r="G699" s="284"/>
      <c r="H699" s="284"/>
      <c r="I699" s="284"/>
      <c r="J699" s="284"/>
      <c r="K699" s="284"/>
      <c r="L699" s="284"/>
      <c r="M699" s="284"/>
      <c r="N699" s="284"/>
      <c r="O699" s="284"/>
      <c r="P699" s="284"/>
      <c r="Q699" s="284"/>
      <c r="R699" s="284"/>
      <c r="S699" s="284"/>
      <c r="T699" s="284"/>
      <c r="U699" s="284"/>
      <c r="V699" s="284"/>
      <c r="W699" s="284"/>
      <c r="X699" s="284"/>
      <c r="Y699" s="284"/>
      <c r="Z699" s="284"/>
      <c r="AA699" s="284"/>
      <c r="AB699" s="284"/>
      <c r="AC699" s="284"/>
      <c r="AD699" s="284"/>
      <c r="AE699" s="284"/>
    </row>
    <row r="700">
      <c r="A700" s="284"/>
      <c r="B700" s="284"/>
      <c r="C700" s="284"/>
      <c r="D700" s="284"/>
      <c r="E700" s="284"/>
      <c r="F700" s="284"/>
      <c r="G700" s="284"/>
      <c r="H700" s="284"/>
      <c r="I700" s="284"/>
      <c r="J700" s="284"/>
      <c r="K700" s="284"/>
      <c r="L700" s="284"/>
      <c r="M700" s="284"/>
      <c r="N700" s="284"/>
      <c r="O700" s="284"/>
      <c r="P700" s="284"/>
      <c r="Q700" s="284"/>
      <c r="R700" s="284"/>
      <c r="S700" s="284"/>
      <c r="T700" s="284"/>
      <c r="U700" s="284"/>
      <c r="V700" s="284"/>
      <c r="W700" s="284"/>
      <c r="X700" s="284"/>
      <c r="Y700" s="284"/>
      <c r="Z700" s="284"/>
      <c r="AA700" s="284"/>
      <c r="AB700" s="284"/>
      <c r="AC700" s="284"/>
      <c r="AD700" s="284"/>
      <c r="AE700" s="284"/>
    </row>
    <row r="701">
      <c r="A701" s="284"/>
      <c r="B701" s="284"/>
      <c r="C701" s="284"/>
      <c r="D701" s="284"/>
      <c r="E701" s="284"/>
      <c r="F701" s="284"/>
      <c r="G701" s="284"/>
      <c r="H701" s="284"/>
      <c r="I701" s="284"/>
      <c r="J701" s="284"/>
      <c r="K701" s="284"/>
      <c r="L701" s="284"/>
      <c r="M701" s="284"/>
      <c r="N701" s="284"/>
      <c r="O701" s="284"/>
      <c r="P701" s="284"/>
      <c r="Q701" s="284"/>
      <c r="R701" s="284"/>
      <c r="S701" s="284"/>
      <c r="T701" s="284"/>
      <c r="U701" s="284"/>
      <c r="V701" s="284"/>
      <c r="W701" s="284"/>
      <c r="X701" s="284"/>
      <c r="Y701" s="284"/>
      <c r="Z701" s="284"/>
      <c r="AA701" s="284"/>
      <c r="AB701" s="284"/>
      <c r="AC701" s="284"/>
      <c r="AD701" s="284"/>
      <c r="AE701" s="284"/>
    </row>
    <row r="702">
      <c r="A702" s="284"/>
      <c r="B702" s="284"/>
      <c r="C702" s="284"/>
      <c r="D702" s="284"/>
      <c r="E702" s="284"/>
      <c r="F702" s="284"/>
      <c r="G702" s="284"/>
      <c r="H702" s="284"/>
      <c r="I702" s="284"/>
      <c r="J702" s="284"/>
      <c r="K702" s="284"/>
      <c r="L702" s="284"/>
      <c r="M702" s="284"/>
      <c r="N702" s="284"/>
      <c r="O702" s="284"/>
      <c r="P702" s="284"/>
      <c r="Q702" s="284"/>
      <c r="R702" s="284"/>
      <c r="S702" s="284"/>
      <c r="T702" s="284"/>
      <c r="U702" s="284"/>
      <c r="V702" s="284"/>
      <c r="W702" s="284"/>
      <c r="X702" s="284"/>
      <c r="Y702" s="284"/>
      <c r="Z702" s="284"/>
      <c r="AA702" s="284"/>
      <c r="AB702" s="284"/>
      <c r="AC702" s="284"/>
      <c r="AD702" s="284"/>
      <c r="AE702" s="284"/>
    </row>
    <row r="703">
      <c r="A703" s="284"/>
      <c r="B703" s="284"/>
      <c r="C703" s="284"/>
      <c r="D703" s="284"/>
      <c r="E703" s="284"/>
      <c r="F703" s="284"/>
      <c r="G703" s="284"/>
      <c r="H703" s="284"/>
      <c r="I703" s="284"/>
      <c r="J703" s="284"/>
      <c r="K703" s="284"/>
      <c r="L703" s="284"/>
      <c r="M703" s="284"/>
      <c r="N703" s="284"/>
      <c r="O703" s="284"/>
      <c r="P703" s="284"/>
      <c r="Q703" s="284"/>
      <c r="R703" s="284"/>
      <c r="S703" s="284"/>
      <c r="T703" s="284"/>
      <c r="U703" s="284"/>
      <c r="V703" s="284"/>
      <c r="W703" s="284"/>
      <c r="X703" s="284"/>
      <c r="Y703" s="284"/>
      <c r="Z703" s="284"/>
      <c r="AA703" s="284"/>
      <c r="AB703" s="284"/>
      <c r="AC703" s="284"/>
      <c r="AD703" s="284"/>
      <c r="AE703" s="284"/>
    </row>
    <row r="704">
      <c r="A704" s="284"/>
      <c r="B704" s="284"/>
      <c r="C704" s="284"/>
      <c r="D704" s="284"/>
      <c r="E704" s="284"/>
      <c r="F704" s="284"/>
      <c r="G704" s="284"/>
      <c r="H704" s="284"/>
      <c r="I704" s="284"/>
      <c r="J704" s="284"/>
      <c r="K704" s="284"/>
      <c r="L704" s="284"/>
      <c r="M704" s="284"/>
      <c r="N704" s="284"/>
      <c r="O704" s="284"/>
      <c r="P704" s="284"/>
      <c r="Q704" s="284"/>
      <c r="R704" s="284"/>
      <c r="S704" s="284"/>
      <c r="T704" s="284"/>
      <c r="U704" s="284"/>
      <c r="V704" s="284"/>
      <c r="W704" s="284"/>
      <c r="X704" s="284"/>
      <c r="Y704" s="284"/>
      <c r="Z704" s="284"/>
      <c r="AA704" s="284"/>
      <c r="AB704" s="284"/>
      <c r="AC704" s="284"/>
      <c r="AD704" s="284"/>
      <c r="AE704" s="284"/>
    </row>
    <row r="705">
      <c r="A705" s="284"/>
      <c r="B705" s="284"/>
      <c r="C705" s="284"/>
      <c r="D705" s="284"/>
      <c r="E705" s="284"/>
      <c r="F705" s="284"/>
      <c r="G705" s="284"/>
      <c r="H705" s="284"/>
      <c r="I705" s="284"/>
      <c r="J705" s="284"/>
      <c r="K705" s="284"/>
      <c r="L705" s="284"/>
      <c r="M705" s="284"/>
      <c r="N705" s="284"/>
      <c r="O705" s="284"/>
      <c r="P705" s="284"/>
      <c r="Q705" s="284"/>
      <c r="R705" s="284"/>
      <c r="S705" s="284"/>
      <c r="T705" s="284"/>
      <c r="U705" s="284"/>
      <c r="V705" s="284"/>
      <c r="W705" s="284"/>
      <c r="X705" s="284"/>
      <c r="Y705" s="284"/>
      <c r="Z705" s="284"/>
      <c r="AA705" s="284"/>
      <c r="AB705" s="284"/>
      <c r="AC705" s="284"/>
      <c r="AD705" s="284"/>
      <c r="AE705" s="284"/>
    </row>
    <row r="706">
      <c r="A706" s="284"/>
      <c r="B706" s="284"/>
      <c r="C706" s="284"/>
      <c r="D706" s="284"/>
      <c r="E706" s="284"/>
      <c r="F706" s="284"/>
      <c r="G706" s="284"/>
      <c r="H706" s="284"/>
      <c r="I706" s="284"/>
      <c r="J706" s="284"/>
      <c r="K706" s="284"/>
      <c r="L706" s="284"/>
      <c r="M706" s="284"/>
      <c r="N706" s="284"/>
      <c r="O706" s="284"/>
      <c r="P706" s="284"/>
      <c r="Q706" s="284"/>
      <c r="R706" s="284"/>
      <c r="S706" s="284"/>
      <c r="T706" s="284"/>
      <c r="U706" s="284"/>
      <c r="V706" s="284"/>
      <c r="W706" s="284"/>
      <c r="X706" s="284"/>
      <c r="Y706" s="284"/>
      <c r="Z706" s="284"/>
      <c r="AA706" s="284"/>
      <c r="AB706" s="284"/>
      <c r="AC706" s="284"/>
      <c r="AD706" s="284"/>
      <c r="AE706" s="284"/>
    </row>
    <row r="707">
      <c r="A707" s="284"/>
      <c r="B707" s="284"/>
      <c r="C707" s="284"/>
      <c r="D707" s="284"/>
      <c r="E707" s="284"/>
      <c r="F707" s="284"/>
      <c r="G707" s="284"/>
      <c r="H707" s="284"/>
      <c r="I707" s="284"/>
      <c r="J707" s="284"/>
      <c r="K707" s="284"/>
      <c r="L707" s="284"/>
      <c r="M707" s="284"/>
      <c r="N707" s="284"/>
      <c r="O707" s="284"/>
      <c r="P707" s="284"/>
      <c r="Q707" s="284"/>
      <c r="R707" s="284"/>
      <c r="S707" s="284"/>
      <c r="T707" s="284"/>
      <c r="U707" s="284"/>
      <c r="V707" s="284"/>
      <c r="W707" s="284"/>
      <c r="X707" s="284"/>
      <c r="Y707" s="284"/>
      <c r="Z707" s="284"/>
      <c r="AA707" s="284"/>
      <c r="AB707" s="284"/>
      <c r="AC707" s="284"/>
      <c r="AD707" s="284"/>
      <c r="AE707" s="284"/>
    </row>
    <row r="708">
      <c r="A708" s="284"/>
      <c r="B708" s="284"/>
      <c r="C708" s="284"/>
      <c r="D708" s="284"/>
      <c r="E708" s="284"/>
      <c r="F708" s="284"/>
      <c r="G708" s="284"/>
      <c r="H708" s="284"/>
      <c r="I708" s="284"/>
      <c r="J708" s="284"/>
      <c r="K708" s="284"/>
      <c r="L708" s="284"/>
      <c r="M708" s="284"/>
      <c r="N708" s="284"/>
      <c r="O708" s="284"/>
      <c r="P708" s="284"/>
      <c r="Q708" s="284"/>
      <c r="R708" s="284"/>
      <c r="S708" s="284"/>
      <c r="T708" s="284"/>
      <c r="U708" s="284"/>
      <c r="V708" s="284"/>
      <c r="W708" s="284"/>
      <c r="X708" s="284"/>
      <c r="Y708" s="284"/>
      <c r="Z708" s="284"/>
      <c r="AA708" s="284"/>
      <c r="AB708" s="284"/>
      <c r="AC708" s="284"/>
      <c r="AD708" s="284"/>
      <c r="AE708" s="284"/>
    </row>
    <row r="709">
      <c r="A709" s="284"/>
      <c r="B709" s="284"/>
      <c r="C709" s="284"/>
      <c r="D709" s="284"/>
      <c r="E709" s="284"/>
      <c r="F709" s="284"/>
      <c r="G709" s="284"/>
      <c r="H709" s="284"/>
      <c r="I709" s="284"/>
      <c r="J709" s="284"/>
      <c r="K709" s="284"/>
      <c r="L709" s="284"/>
      <c r="M709" s="284"/>
      <c r="N709" s="284"/>
      <c r="O709" s="284"/>
      <c r="P709" s="284"/>
      <c r="Q709" s="284"/>
      <c r="R709" s="284"/>
      <c r="S709" s="284"/>
      <c r="T709" s="284"/>
      <c r="U709" s="284"/>
      <c r="V709" s="284"/>
      <c r="W709" s="284"/>
      <c r="X709" s="284"/>
      <c r="Y709" s="284"/>
      <c r="Z709" s="284"/>
      <c r="AA709" s="284"/>
      <c r="AB709" s="284"/>
      <c r="AC709" s="284"/>
      <c r="AD709" s="284"/>
      <c r="AE709" s="284"/>
    </row>
    <row r="710">
      <c r="A710" s="284"/>
      <c r="B710" s="284"/>
      <c r="C710" s="284"/>
      <c r="D710" s="284"/>
      <c r="E710" s="284"/>
      <c r="F710" s="284"/>
      <c r="G710" s="284"/>
      <c r="H710" s="284"/>
      <c r="I710" s="284"/>
      <c r="J710" s="284"/>
      <c r="K710" s="284"/>
      <c r="L710" s="284"/>
      <c r="M710" s="284"/>
      <c r="N710" s="284"/>
      <c r="O710" s="284"/>
      <c r="P710" s="284"/>
      <c r="Q710" s="284"/>
      <c r="R710" s="284"/>
      <c r="S710" s="284"/>
      <c r="T710" s="284"/>
      <c r="U710" s="284"/>
      <c r="V710" s="284"/>
      <c r="W710" s="284"/>
      <c r="X710" s="284"/>
      <c r="Y710" s="284"/>
      <c r="Z710" s="284"/>
      <c r="AA710" s="284"/>
      <c r="AB710" s="284"/>
      <c r="AC710" s="284"/>
      <c r="AD710" s="284"/>
      <c r="AE710" s="284"/>
    </row>
    <row r="711">
      <c r="A711" s="284"/>
      <c r="B711" s="284"/>
      <c r="C711" s="284"/>
      <c r="D711" s="284"/>
      <c r="E711" s="284"/>
      <c r="F711" s="284"/>
      <c r="G711" s="284"/>
      <c r="H711" s="284"/>
      <c r="I711" s="284"/>
      <c r="J711" s="284"/>
      <c r="K711" s="284"/>
      <c r="L711" s="284"/>
      <c r="M711" s="284"/>
      <c r="N711" s="284"/>
      <c r="O711" s="284"/>
      <c r="P711" s="284"/>
      <c r="Q711" s="284"/>
      <c r="R711" s="284"/>
      <c r="S711" s="284"/>
      <c r="T711" s="284"/>
      <c r="U711" s="284"/>
      <c r="V711" s="284"/>
      <c r="W711" s="284"/>
      <c r="X711" s="284"/>
      <c r="Y711" s="284"/>
      <c r="Z711" s="284"/>
      <c r="AA711" s="284"/>
      <c r="AB711" s="284"/>
      <c r="AC711" s="284"/>
      <c r="AD711" s="284"/>
      <c r="AE711" s="284"/>
    </row>
    <row r="712">
      <c r="A712" s="284"/>
      <c r="B712" s="284"/>
      <c r="C712" s="284"/>
      <c r="D712" s="284"/>
      <c r="E712" s="284"/>
      <c r="F712" s="284"/>
      <c r="G712" s="284"/>
      <c r="H712" s="284"/>
      <c r="I712" s="284"/>
      <c r="J712" s="284"/>
      <c r="K712" s="284"/>
      <c r="L712" s="284"/>
      <c r="M712" s="284"/>
      <c r="N712" s="284"/>
      <c r="O712" s="284"/>
      <c r="P712" s="284"/>
      <c r="Q712" s="284"/>
      <c r="R712" s="284"/>
      <c r="S712" s="284"/>
      <c r="T712" s="284"/>
      <c r="U712" s="284"/>
      <c r="V712" s="284"/>
      <c r="W712" s="284"/>
      <c r="X712" s="284"/>
      <c r="Y712" s="284"/>
      <c r="Z712" s="284"/>
      <c r="AA712" s="284"/>
      <c r="AB712" s="284"/>
      <c r="AC712" s="284"/>
      <c r="AD712" s="284"/>
      <c r="AE712" s="284"/>
    </row>
    <row r="713">
      <c r="A713" s="284"/>
      <c r="B713" s="284"/>
      <c r="C713" s="284"/>
      <c r="D713" s="284"/>
      <c r="E713" s="284"/>
      <c r="F713" s="284"/>
      <c r="G713" s="284"/>
      <c r="H713" s="284"/>
      <c r="I713" s="284"/>
      <c r="J713" s="284"/>
      <c r="K713" s="284"/>
      <c r="L713" s="284"/>
      <c r="M713" s="284"/>
      <c r="N713" s="284"/>
      <c r="O713" s="284"/>
      <c r="P713" s="284"/>
      <c r="Q713" s="284"/>
      <c r="R713" s="284"/>
      <c r="S713" s="284"/>
      <c r="T713" s="284"/>
      <c r="U713" s="284"/>
      <c r="V713" s="284"/>
      <c r="W713" s="284"/>
      <c r="X713" s="284"/>
      <c r="Y713" s="284"/>
      <c r="Z713" s="284"/>
      <c r="AA713" s="284"/>
      <c r="AB713" s="284"/>
      <c r="AC713" s="284"/>
      <c r="AD713" s="284"/>
      <c r="AE713" s="284"/>
    </row>
    <row r="714">
      <c r="A714" s="284"/>
      <c r="B714" s="284"/>
      <c r="C714" s="284"/>
      <c r="D714" s="284"/>
      <c r="E714" s="284"/>
      <c r="F714" s="284"/>
      <c r="G714" s="284"/>
      <c r="H714" s="284"/>
      <c r="I714" s="284"/>
      <c r="J714" s="284"/>
      <c r="K714" s="284"/>
      <c r="L714" s="284"/>
      <c r="M714" s="284"/>
      <c r="N714" s="284"/>
      <c r="O714" s="284"/>
      <c r="P714" s="284"/>
      <c r="Q714" s="284"/>
      <c r="R714" s="284"/>
      <c r="S714" s="284"/>
      <c r="T714" s="284"/>
      <c r="U714" s="284"/>
      <c r="V714" s="284"/>
      <c r="W714" s="284"/>
      <c r="X714" s="284"/>
      <c r="Y714" s="284"/>
      <c r="Z714" s="284"/>
      <c r="AA714" s="284"/>
      <c r="AB714" s="284"/>
      <c r="AC714" s="284"/>
      <c r="AD714" s="284"/>
      <c r="AE714" s="284"/>
    </row>
    <row r="715">
      <c r="A715" s="284"/>
      <c r="B715" s="284"/>
      <c r="C715" s="284"/>
      <c r="D715" s="284"/>
      <c r="E715" s="284"/>
      <c r="F715" s="284"/>
      <c r="G715" s="284"/>
      <c r="H715" s="284"/>
      <c r="I715" s="284"/>
      <c r="J715" s="284"/>
      <c r="K715" s="284"/>
      <c r="L715" s="284"/>
      <c r="M715" s="284"/>
      <c r="N715" s="284"/>
      <c r="O715" s="284"/>
      <c r="P715" s="284"/>
      <c r="Q715" s="284"/>
      <c r="R715" s="284"/>
      <c r="S715" s="284"/>
      <c r="T715" s="284"/>
      <c r="U715" s="284"/>
      <c r="V715" s="284"/>
      <c r="W715" s="284"/>
      <c r="X715" s="284"/>
      <c r="Y715" s="284"/>
      <c r="Z715" s="284"/>
      <c r="AA715" s="284"/>
      <c r="AB715" s="284"/>
      <c r="AC715" s="284"/>
      <c r="AD715" s="284"/>
      <c r="AE715" s="284"/>
    </row>
    <row r="716">
      <c r="A716" s="284"/>
      <c r="B716" s="284"/>
      <c r="C716" s="284"/>
      <c r="D716" s="284"/>
      <c r="E716" s="284"/>
      <c r="F716" s="284"/>
      <c r="G716" s="284"/>
      <c r="H716" s="284"/>
      <c r="I716" s="284"/>
      <c r="J716" s="284"/>
      <c r="K716" s="284"/>
      <c r="L716" s="284"/>
      <c r="M716" s="284"/>
      <c r="N716" s="284"/>
      <c r="O716" s="284"/>
      <c r="P716" s="284"/>
      <c r="Q716" s="284"/>
      <c r="R716" s="284"/>
      <c r="S716" s="284"/>
      <c r="T716" s="284"/>
      <c r="U716" s="284"/>
      <c r="V716" s="284"/>
      <c r="W716" s="284"/>
      <c r="X716" s="284"/>
      <c r="Y716" s="284"/>
      <c r="Z716" s="284"/>
      <c r="AA716" s="284"/>
      <c r="AB716" s="284"/>
      <c r="AC716" s="284"/>
      <c r="AD716" s="284"/>
      <c r="AE716" s="284"/>
    </row>
    <row r="717">
      <c r="A717" s="284"/>
      <c r="B717" s="284"/>
      <c r="C717" s="284"/>
      <c r="D717" s="284"/>
      <c r="E717" s="284"/>
      <c r="F717" s="284"/>
      <c r="G717" s="284"/>
      <c r="H717" s="284"/>
      <c r="I717" s="284"/>
      <c r="J717" s="284"/>
      <c r="K717" s="284"/>
      <c r="L717" s="284"/>
      <c r="M717" s="284"/>
      <c r="N717" s="284"/>
      <c r="O717" s="284"/>
      <c r="P717" s="284"/>
      <c r="Q717" s="284"/>
      <c r="R717" s="284"/>
      <c r="S717" s="284"/>
      <c r="T717" s="284"/>
      <c r="U717" s="284"/>
      <c r="V717" s="284"/>
      <c r="W717" s="284"/>
      <c r="X717" s="284"/>
      <c r="Y717" s="284"/>
      <c r="Z717" s="284"/>
      <c r="AA717" s="284"/>
      <c r="AB717" s="284"/>
      <c r="AC717" s="284"/>
      <c r="AD717" s="284"/>
      <c r="AE717" s="284"/>
    </row>
    <row r="718">
      <c r="A718" s="284"/>
      <c r="B718" s="284"/>
      <c r="C718" s="284"/>
      <c r="D718" s="284"/>
      <c r="E718" s="284"/>
      <c r="F718" s="284"/>
      <c r="G718" s="284"/>
      <c r="H718" s="284"/>
      <c r="I718" s="284"/>
      <c r="J718" s="284"/>
      <c r="K718" s="284"/>
      <c r="L718" s="284"/>
      <c r="M718" s="284"/>
      <c r="N718" s="284"/>
      <c r="O718" s="284"/>
      <c r="P718" s="284"/>
      <c r="Q718" s="284"/>
      <c r="R718" s="284"/>
      <c r="S718" s="284"/>
      <c r="T718" s="284"/>
      <c r="U718" s="284"/>
      <c r="V718" s="284"/>
      <c r="W718" s="284"/>
      <c r="X718" s="284"/>
      <c r="Y718" s="284"/>
      <c r="Z718" s="284"/>
      <c r="AA718" s="284"/>
      <c r="AB718" s="284"/>
      <c r="AC718" s="284"/>
      <c r="AD718" s="284"/>
      <c r="AE718" s="284"/>
    </row>
    <row r="719">
      <c r="A719" s="284"/>
      <c r="B719" s="284"/>
      <c r="C719" s="284"/>
      <c r="D719" s="284"/>
      <c r="E719" s="284"/>
      <c r="F719" s="284"/>
      <c r="G719" s="284"/>
      <c r="H719" s="284"/>
      <c r="I719" s="284"/>
      <c r="J719" s="284"/>
      <c r="K719" s="284"/>
      <c r="L719" s="284"/>
      <c r="M719" s="284"/>
      <c r="N719" s="284"/>
      <c r="O719" s="284"/>
      <c r="P719" s="284"/>
      <c r="Q719" s="284"/>
      <c r="R719" s="284"/>
      <c r="S719" s="284"/>
      <c r="T719" s="284"/>
      <c r="U719" s="284"/>
      <c r="V719" s="284"/>
      <c r="W719" s="284"/>
      <c r="X719" s="284"/>
      <c r="Y719" s="284"/>
      <c r="Z719" s="284"/>
      <c r="AA719" s="284"/>
      <c r="AB719" s="284"/>
      <c r="AC719" s="284"/>
      <c r="AD719" s="284"/>
      <c r="AE719" s="284"/>
    </row>
    <row r="720">
      <c r="A720" s="284"/>
      <c r="B720" s="284"/>
      <c r="C720" s="284"/>
      <c r="D720" s="284"/>
      <c r="E720" s="284"/>
      <c r="F720" s="284"/>
      <c r="G720" s="284"/>
      <c r="H720" s="284"/>
      <c r="I720" s="284"/>
      <c r="J720" s="284"/>
      <c r="K720" s="284"/>
      <c r="L720" s="284"/>
      <c r="M720" s="284"/>
      <c r="N720" s="284"/>
      <c r="O720" s="284"/>
      <c r="P720" s="284"/>
      <c r="Q720" s="284"/>
      <c r="R720" s="284"/>
      <c r="S720" s="284"/>
      <c r="T720" s="284"/>
      <c r="U720" s="284"/>
      <c r="V720" s="284"/>
      <c r="W720" s="284"/>
      <c r="X720" s="284"/>
      <c r="Y720" s="284"/>
      <c r="Z720" s="284"/>
      <c r="AA720" s="284"/>
      <c r="AB720" s="284"/>
      <c r="AC720" s="284"/>
      <c r="AD720" s="284"/>
      <c r="AE720" s="284"/>
    </row>
    <row r="721">
      <c r="A721" s="284"/>
      <c r="B721" s="284"/>
      <c r="C721" s="284"/>
      <c r="D721" s="284"/>
      <c r="E721" s="284"/>
      <c r="F721" s="284"/>
      <c r="G721" s="284"/>
      <c r="H721" s="284"/>
      <c r="I721" s="284"/>
      <c r="J721" s="284"/>
      <c r="K721" s="284"/>
      <c r="L721" s="284"/>
      <c r="M721" s="284"/>
      <c r="N721" s="284"/>
      <c r="O721" s="284"/>
      <c r="P721" s="284"/>
      <c r="Q721" s="284"/>
      <c r="R721" s="284"/>
      <c r="S721" s="284"/>
      <c r="T721" s="284"/>
      <c r="U721" s="284"/>
      <c r="V721" s="284"/>
      <c r="W721" s="284"/>
      <c r="X721" s="284"/>
      <c r="Y721" s="284"/>
      <c r="Z721" s="284"/>
      <c r="AA721" s="284"/>
      <c r="AB721" s="284"/>
      <c r="AC721" s="284"/>
      <c r="AD721" s="284"/>
      <c r="AE721" s="284"/>
    </row>
    <row r="722">
      <c r="A722" s="284"/>
      <c r="B722" s="284"/>
      <c r="C722" s="284"/>
      <c r="D722" s="284"/>
      <c r="E722" s="284"/>
      <c r="F722" s="284"/>
      <c r="G722" s="284"/>
      <c r="H722" s="284"/>
      <c r="I722" s="284"/>
      <c r="J722" s="284"/>
      <c r="K722" s="284"/>
      <c r="L722" s="284"/>
      <c r="M722" s="284"/>
      <c r="N722" s="284"/>
      <c r="O722" s="284"/>
      <c r="P722" s="284"/>
      <c r="Q722" s="284"/>
      <c r="R722" s="284"/>
      <c r="S722" s="284"/>
      <c r="T722" s="284"/>
      <c r="U722" s="284"/>
      <c r="V722" s="284"/>
      <c r="W722" s="284"/>
      <c r="X722" s="284"/>
      <c r="Y722" s="284"/>
      <c r="Z722" s="284"/>
      <c r="AA722" s="284"/>
      <c r="AB722" s="284"/>
      <c r="AC722" s="284"/>
      <c r="AD722" s="284"/>
      <c r="AE722" s="284"/>
    </row>
    <row r="723">
      <c r="A723" s="284"/>
      <c r="B723" s="284"/>
      <c r="C723" s="284"/>
      <c r="D723" s="284"/>
      <c r="E723" s="284"/>
      <c r="F723" s="284"/>
      <c r="G723" s="284"/>
      <c r="H723" s="284"/>
      <c r="I723" s="284"/>
      <c r="J723" s="284"/>
      <c r="K723" s="284"/>
      <c r="L723" s="284"/>
      <c r="M723" s="284"/>
      <c r="N723" s="284"/>
      <c r="O723" s="284"/>
      <c r="P723" s="284"/>
      <c r="Q723" s="284"/>
      <c r="R723" s="284"/>
      <c r="S723" s="284"/>
      <c r="T723" s="284"/>
      <c r="U723" s="284"/>
      <c r="V723" s="284"/>
      <c r="W723" s="284"/>
      <c r="X723" s="284"/>
      <c r="Y723" s="284"/>
      <c r="Z723" s="284"/>
      <c r="AA723" s="284"/>
      <c r="AB723" s="284"/>
      <c r="AC723" s="284"/>
      <c r="AD723" s="284"/>
      <c r="AE723" s="284"/>
    </row>
    <row r="724">
      <c r="A724" s="284"/>
      <c r="B724" s="284"/>
      <c r="C724" s="284"/>
      <c r="D724" s="284"/>
      <c r="E724" s="284"/>
      <c r="F724" s="284"/>
      <c r="G724" s="284"/>
      <c r="H724" s="284"/>
      <c r="I724" s="284"/>
      <c r="J724" s="284"/>
      <c r="K724" s="284"/>
      <c r="L724" s="284"/>
      <c r="M724" s="284"/>
      <c r="N724" s="284"/>
      <c r="O724" s="284"/>
      <c r="P724" s="284"/>
      <c r="Q724" s="284"/>
      <c r="R724" s="284"/>
      <c r="S724" s="284"/>
      <c r="T724" s="284"/>
      <c r="U724" s="284"/>
      <c r="V724" s="284"/>
      <c r="W724" s="284"/>
      <c r="X724" s="284"/>
      <c r="Y724" s="284"/>
      <c r="Z724" s="284"/>
      <c r="AA724" s="284"/>
      <c r="AB724" s="284"/>
      <c r="AC724" s="284"/>
      <c r="AD724" s="284"/>
      <c r="AE724" s="284"/>
    </row>
    <row r="725">
      <c r="A725" s="284"/>
      <c r="B725" s="284"/>
      <c r="C725" s="284"/>
      <c r="D725" s="284"/>
      <c r="E725" s="284"/>
      <c r="F725" s="284"/>
      <c r="G725" s="284"/>
      <c r="H725" s="284"/>
      <c r="I725" s="284"/>
      <c r="J725" s="284"/>
      <c r="K725" s="284"/>
      <c r="L725" s="284"/>
      <c r="M725" s="284"/>
      <c r="N725" s="284"/>
      <c r="O725" s="284"/>
      <c r="P725" s="284"/>
      <c r="Q725" s="284"/>
      <c r="R725" s="284"/>
      <c r="S725" s="284"/>
      <c r="T725" s="284"/>
      <c r="U725" s="284"/>
      <c r="V725" s="284"/>
      <c r="W725" s="284"/>
      <c r="X725" s="284"/>
      <c r="Y725" s="284"/>
      <c r="Z725" s="284"/>
      <c r="AA725" s="284"/>
      <c r="AB725" s="284"/>
      <c r="AC725" s="284"/>
      <c r="AD725" s="284"/>
      <c r="AE725" s="284"/>
    </row>
    <row r="726">
      <c r="A726" s="284"/>
      <c r="B726" s="284"/>
      <c r="C726" s="284"/>
      <c r="D726" s="284"/>
      <c r="E726" s="284"/>
      <c r="F726" s="284"/>
      <c r="G726" s="284"/>
      <c r="H726" s="284"/>
      <c r="I726" s="284"/>
      <c r="J726" s="284"/>
      <c r="K726" s="284"/>
      <c r="L726" s="284"/>
      <c r="M726" s="284"/>
      <c r="N726" s="284"/>
      <c r="O726" s="284"/>
      <c r="P726" s="284"/>
      <c r="Q726" s="284"/>
      <c r="R726" s="284"/>
      <c r="S726" s="284"/>
      <c r="T726" s="284"/>
      <c r="U726" s="284"/>
      <c r="V726" s="284"/>
      <c r="W726" s="284"/>
      <c r="X726" s="284"/>
      <c r="Y726" s="284"/>
      <c r="Z726" s="284"/>
      <c r="AA726" s="284"/>
      <c r="AB726" s="284"/>
      <c r="AC726" s="284"/>
      <c r="AD726" s="284"/>
      <c r="AE726" s="284"/>
    </row>
    <row r="727">
      <c r="A727" s="284"/>
      <c r="B727" s="284"/>
      <c r="C727" s="284"/>
      <c r="D727" s="284"/>
      <c r="E727" s="284"/>
      <c r="F727" s="284"/>
      <c r="G727" s="284"/>
      <c r="H727" s="284"/>
      <c r="I727" s="284"/>
      <c r="J727" s="284"/>
      <c r="K727" s="284"/>
      <c r="L727" s="284"/>
      <c r="M727" s="284"/>
      <c r="N727" s="284"/>
      <c r="O727" s="284"/>
      <c r="P727" s="284"/>
      <c r="Q727" s="284"/>
      <c r="R727" s="284"/>
      <c r="S727" s="284"/>
      <c r="T727" s="284"/>
      <c r="U727" s="284"/>
      <c r="V727" s="284"/>
      <c r="W727" s="284"/>
      <c r="X727" s="284"/>
      <c r="Y727" s="284"/>
      <c r="Z727" s="284"/>
      <c r="AA727" s="284"/>
      <c r="AB727" s="284"/>
      <c r="AC727" s="284"/>
      <c r="AD727" s="284"/>
      <c r="AE727" s="284"/>
    </row>
    <row r="728">
      <c r="A728" s="284"/>
      <c r="B728" s="284"/>
      <c r="C728" s="284"/>
      <c r="D728" s="284"/>
      <c r="E728" s="284"/>
      <c r="F728" s="284"/>
      <c r="G728" s="284"/>
      <c r="H728" s="284"/>
      <c r="I728" s="284"/>
      <c r="J728" s="284"/>
      <c r="K728" s="284"/>
      <c r="L728" s="284"/>
      <c r="M728" s="284"/>
      <c r="N728" s="284"/>
      <c r="O728" s="284"/>
      <c r="P728" s="284"/>
      <c r="Q728" s="284"/>
      <c r="R728" s="284"/>
      <c r="S728" s="284"/>
      <c r="T728" s="284"/>
      <c r="U728" s="284"/>
      <c r="V728" s="284"/>
      <c r="W728" s="284"/>
      <c r="X728" s="284"/>
      <c r="Y728" s="284"/>
      <c r="Z728" s="284"/>
      <c r="AA728" s="284"/>
      <c r="AB728" s="284"/>
      <c r="AC728" s="284"/>
      <c r="AD728" s="284"/>
      <c r="AE728" s="284"/>
    </row>
    <row r="729">
      <c r="A729" s="284"/>
      <c r="B729" s="284"/>
      <c r="C729" s="284"/>
      <c r="D729" s="284"/>
      <c r="E729" s="284"/>
      <c r="F729" s="284"/>
      <c r="G729" s="284"/>
      <c r="H729" s="284"/>
      <c r="I729" s="284"/>
      <c r="J729" s="284"/>
      <c r="K729" s="284"/>
      <c r="L729" s="284"/>
      <c r="M729" s="284"/>
      <c r="N729" s="284"/>
      <c r="O729" s="284"/>
      <c r="P729" s="284"/>
      <c r="Q729" s="284"/>
      <c r="R729" s="284"/>
      <c r="S729" s="284"/>
      <c r="T729" s="284"/>
      <c r="U729" s="284"/>
      <c r="V729" s="284"/>
      <c r="W729" s="284"/>
      <c r="X729" s="284"/>
      <c r="Y729" s="284"/>
      <c r="Z729" s="284"/>
      <c r="AA729" s="284"/>
      <c r="AB729" s="284"/>
      <c r="AC729" s="284"/>
      <c r="AD729" s="284"/>
      <c r="AE729" s="284"/>
    </row>
    <row r="730">
      <c r="A730" s="284"/>
      <c r="B730" s="284"/>
      <c r="C730" s="284"/>
      <c r="D730" s="284"/>
      <c r="E730" s="284"/>
      <c r="F730" s="284"/>
      <c r="G730" s="284"/>
      <c r="H730" s="284"/>
      <c r="I730" s="284"/>
      <c r="J730" s="284"/>
      <c r="K730" s="284"/>
      <c r="L730" s="284"/>
      <c r="M730" s="284"/>
      <c r="N730" s="284"/>
      <c r="O730" s="284"/>
      <c r="P730" s="284"/>
      <c r="Q730" s="284"/>
      <c r="R730" s="284"/>
      <c r="S730" s="284"/>
      <c r="T730" s="284"/>
      <c r="U730" s="284"/>
      <c r="V730" s="284"/>
      <c r="W730" s="284"/>
      <c r="X730" s="284"/>
      <c r="Y730" s="284"/>
      <c r="Z730" s="284"/>
      <c r="AA730" s="284"/>
      <c r="AB730" s="284"/>
      <c r="AC730" s="284"/>
      <c r="AD730" s="284"/>
      <c r="AE730" s="284"/>
    </row>
    <row r="731">
      <c r="A731" s="284"/>
      <c r="B731" s="284"/>
      <c r="C731" s="284"/>
      <c r="D731" s="284"/>
      <c r="E731" s="284"/>
      <c r="F731" s="284"/>
      <c r="G731" s="284"/>
      <c r="H731" s="284"/>
      <c r="I731" s="284"/>
      <c r="J731" s="284"/>
      <c r="K731" s="284"/>
      <c r="L731" s="284"/>
      <c r="M731" s="284"/>
      <c r="N731" s="284"/>
      <c r="O731" s="284"/>
      <c r="P731" s="284"/>
      <c r="Q731" s="284"/>
      <c r="R731" s="284"/>
      <c r="S731" s="284"/>
      <c r="T731" s="284"/>
      <c r="U731" s="284"/>
      <c r="V731" s="284"/>
      <c r="W731" s="284"/>
      <c r="X731" s="284"/>
      <c r="Y731" s="284"/>
      <c r="Z731" s="284"/>
      <c r="AA731" s="284"/>
      <c r="AB731" s="284"/>
      <c r="AC731" s="284"/>
      <c r="AD731" s="284"/>
      <c r="AE731" s="284"/>
    </row>
    <row r="732">
      <c r="A732" s="284"/>
      <c r="B732" s="284"/>
      <c r="C732" s="284"/>
      <c r="D732" s="284"/>
      <c r="E732" s="284"/>
      <c r="F732" s="284"/>
      <c r="G732" s="284"/>
      <c r="H732" s="284"/>
      <c r="I732" s="284"/>
      <c r="J732" s="284"/>
      <c r="K732" s="284"/>
      <c r="L732" s="284"/>
      <c r="M732" s="284"/>
      <c r="N732" s="284"/>
      <c r="O732" s="284"/>
      <c r="P732" s="284"/>
      <c r="Q732" s="284"/>
      <c r="R732" s="284"/>
      <c r="S732" s="284"/>
      <c r="T732" s="284"/>
      <c r="U732" s="284"/>
      <c r="V732" s="284"/>
      <c r="W732" s="284"/>
      <c r="X732" s="284"/>
      <c r="Y732" s="284"/>
      <c r="Z732" s="284"/>
      <c r="AA732" s="284"/>
      <c r="AB732" s="284"/>
      <c r="AC732" s="284"/>
      <c r="AD732" s="284"/>
      <c r="AE732" s="284"/>
    </row>
    <row r="733">
      <c r="A733" s="284"/>
      <c r="B733" s="284"/>
      <c r="C733" s="284"/>
      <c r="D733" s="284"/>
      <c r="E733" s="284"/>
      <c r="F733" s="284"/>
      <c r="G733" s="284"/>
      <c r="H733" s="284"/>
      <c r="I733" s="284"/>
      <c r="J733" s="284"/>
      <c r="K733" s="284"/>
      <c r="L733" s="284"/>
      <c r="M733" s="284"/>
      <c r="N733" s="284"/>
      <c r="O733" s="284"/>
      <c r="P733" s="284"/>
      <c r="Q733" s="284"/>
      <c r="R733" s="284"/>
      <c r="S733" s="284"/>
      <c r="T733" s="284"/>
      <c r="U733" s="284"/>
      <c r="V733" s="284"/>
      <c r="W733" s="284"/>
      <c r="X733" s="284"/>
      <c r="Y733" s="284"/>
      <c r="Z733" s="284"/>
      <c r="AA733" s="284"/>
      <c r="AB733" s="284"/>
      <c r="AC733" s="284"/>
      <c r="AD733" s="284"/>
      <c r="AE733" s="284"/>
    </row>
    <row r="734">
      <c r="A734" s="284"/>
      <c r="B734" s="284"/>
      <c r="C734" s="284"/>
      <c r="D734" s="284"/>
      <c r="E734" s="284"/>
      <c r="F734" s="284"/>
      <c r="G734" s="284"/>
      <c r="H734" s="284"/>
      <c r="I734" s="284"/>
      <c r="J734" s="284"/>
      <c r="K734" s="284"/>
      <c r="L734" s="284"/>
      <c r="M734" s="284"/>
      <c r="N734" s="284"/>
      <c r="O734" s="284"/>
      <c r="P734" s="284"/>
      <c r="Q734" s="284"/>
      <c r="R734" s="284"/>
      <c r="S734" s="284"/>
      <c r="T734" s="284"/>
      <c r="U734" s="284"/>
      <c r="V734" s="284"/>
      <c r="W734" s="284"/>
      <c r="X734" s="284"/>
      <c r="Y734" s="284"/>
      <c r="Z734" s="284"/>
      <c r="AA734" s="284"/>
      <c r="AB734" s="284"/>
      <c r="AC734" s="284"/>
      <c r="AD734" s="284"/>
      <c r="AE734" s="284"/>
    </row>
    <row r="735">
      <c r="A735" s="284"/>
      <c r="B735" s="284"/>
      <c r="C735" s="284"/>
      <c r="D735" s="284"/>
      <c r="E735" s="284"/>
      <c r="F735" s="284"/>
      <c r="G735" s="284"/>
      <c r="H735" s="284"/>
      <c r="I735" s="284"/>
      <c r="J735" s="284"/>
      <c r="K735" s="284"/>
      <c r="L735" s="284"/>
      <c r="M735" s="284"/>
      <c r="N735" s="284"/>
      <c r="O735" s="284"/>
      <c r="P735" s="284"/>
      <c r="Q735" s="284"/>
      <c r="R735" s="284"/>
      <c r="S735" s="284"/>
      <c r="T735" s="284"/>
      <c r="U735" s="284"/>
      <c r="V735" s="284"/>
      <c r="W735" s="284"/>
      <c r="X735" s="284"/>
      <c r="Y735" s="284"/>
      <c r="Z735" s="284"/>
      <c r="AA735" s="284"/>
      <c r="AB735" s="284"/>
      <c r="AC735" s="284"/>
      <c r="AD735" s="284"/>
      <c r="AE735" s="284"/>
    </row>
    <row r="736">
      <c r="A736" s="284"/>
      <c r="B736" s="284"/>
      <c r="C736" s="284"/>
      <c r="D736" s="284"/>
      <c r="E736" s="284"/>
      <c r="F736" s="284"/>
      <c r="G736" s="284"/>
      <c r="H736" s="284"/>
      <c r="I736" s="284"/>
      <c r="J736" s="284"/>
      <c r="K736" s="284"/>
      <c r="L736" s="284"/>
      <c r="M736" s="284"/>
      <c r="N736" s="284"/>
      <c r="O736" s="284"/>
      <c r="P736" s="284"/>
      <c r="Q736" s="284"/>
      <c r="R736" s="284"/>
      <c r="S736" s="284"/>
      <c r="T736" s="284"/>
      <c r="U736" s="284"/>
      <c r="V736" s="284"/>
      <c r="W736" s="284"/>
      <c r="X736" s="284"/>
      <c r="Y736" s="284"/>
      <c r="Z736" s="284"/>
      <c r="AA736" s="284"/>
      <c r="AB736" s="284"/>
      <c r="AC736" s="284"/>
      <c r="AD736" s="284"/>
      <c r="AE736" s="284"/>
    </row>
    <row r="737">
      <c r="A737" s="284"/>
      <c r="B737" s="284"/>
      <c r="C737" s="284"/>
      <c r="D737" s="284"/>
      <c r="E737" s="284"/>
      <c r="F737" s="284"/>
      <c r="G737" s="284"/>
      <c r="H737" s="284"/>
      <c r="I737" s="284"/>
      <c r="J737" s="284"/>
      <c r="K737" s="284"/>
      <c r="L737" s="284"/>
      <c r="M737" s="284"/>
      <c r="N737" s="284"/>
      <c r="O737" s="284"/>
      <c r="P737" s="284"/>
      <c r="Q737" s="284"/>
      <c r="R737" s="284"/>
      <c r="S737" s="284"/>
      <c r="T737" s="284"/>
      <c r="U737" s="284"/>
      <c r="V737" s="284"/>
      <c r="W737" s="284"/>
      <c r="X737" s="284"/>
      <c r="Y737" s="284"/>
      <c r="Z737" s="284"/>
      <c r="AA737" s="284"/>
      <c r="AB737" s="284"/>
      <c r="AC737" s="284"/>
      <c r="AD737" s="284"/>
      <c r="AE737" s="284"/>
    </row>
    <row r="738">
      <c r="A738" s="284"/>
      <c r="B738" s="284"/>
      <c r="C738" s="284"/>
      <c r="D738" s="284"/>
      <c r="E738" s="284"/>
      <c r="F738" s="284"/>
      <c r="G738" s="284"/>
      <c r="H738" s="284"/>
      <c r="I738" s="284"/>
      <c r="J738" s="284"/>
      <c r="K738" s="284"/>
      <c r="L738" s="284"/>
      <c r="M738" s="284"/>
      <c r="N738" s="284"/>
      <c r="O738" s="284"/>
      <c r="P738" s="284"/>
      <c r="Q738" s="284"/>
      <c r="R738" s="284"/>
      <c r="S738" s="284"/>
      <c r="T738" s="284"/>
      <c r="U738" s="284"/>
      <c r="V738" s="284"/>
      <c r="W738" s="284"/>
      <c r="X738" s="284"/>
      <c r="Y738" s="284"/>
      <c r="Z738" s="284"/>
      <c r="AA738" s="284"/>
      <c r="AB738" s="284"/>
      <c r="AC738" s="284"/>
      <c r="AD738" s="284"/>
      <c r="AE738" s="284"/>
    </row>
    <row r="739">
      <c r="A739" s="284"/>
      <c r="B739" s="284"/>
      <c r="C739" s="284"/>
      <c r="D739" s="284"/>
      <c r="E739" s="284"/>
      <c r="F739" s="284"/>
      <c r="G739" s="284"/>
      <c r="H739" s="284"/>
      <c r="I739" s="284"/>
      <c r="J739" s="284"/>
      <c r="K739" s="284"/>
      <c r="L739" s="284"/>
      <c r="M739" s="284"/>
      <c r="N739" s="284"/>
      <c r="O739" s="284"/>
      <c r="P739" s="284"/>
      <c r="Q739" s="284"/>
      <c r="R739" s="284"/>
      <c r="S739" s="284"/>
      <c r="T739" s="284"/>
      <c r="U739" s="284"/>
      <c r="V739" s="284"/>
      <c r="W739" s="284"/>
      <c r="X739" s="284"/>
      <c r="Y739" s="284"/>
      <c r="Z739" s="284"/>
      <c r="AA739" s="284"/>
      <c r="AB739" s="284"/>
      <c r="AC739" s="284"/>
      <c r="AD739" s="284"/>
      <c r="AE739" s="284"/>
    </row>
    <row r="740">
      <c r="A740" s="284"/>
      <c r="B740" s="284"/>
      <c r="C740" s="284"/>
      <c r="D740" s="284"/>
      <c r="E740" s="284"/>
      <c r="F740" s="284"/>
      <c r="G740" s="284"/>
      <c r="H740" s="284"/>
      <c r="I740" s="284"/>
      <c r="J740" s="284"/>
      <c r="K740" s="284"/>
      <c r="L740" s="284"/>
      <c r="M740" s="284"/>
      <c r="N740" s="284"/>
      <c r="O740" s="284"/>
      <c r="P740" s="284"/>
      <c r="Q740" s="284"/>
      <c r="R740" s="284"/>
      <c r="S740" s="284"/>
      <c r="T740" s="284"/>
      <c r="U740" s="284"/>
      <c r="V740" s="284"/>
      <c r="W740" s="284"/>
      <c r="X740" s="284"/>
      <c r="Y740" s="284"/>
      <c r="Z740" s="284"/>
      <c r="AA740" s="284"/>
      <c r="AB740" s="284"/>
      <c r="AC740" s="284"/>
      <c r="AD740" s="284"/>
      <c r="AE740" s="284"/>
    </row>
    <row r="741">
      <c r="A741" s="284"/>
      <c r="B741" s="284"/>
      <c r="C741" s="284"/>
      <c r="D741" s="284"/>
      <c r="E741" s="284"/>
      <c r="F741" s="284"/>
      <c r="G741" s="284"/>
      <c r="H741" s="284"/>
      <c r="I741" s="284"/>
      <c r="J741" s="284"/>
      <c r="K741" s="284"/>
      <c r="L741" s="284"/>
      <c r="M741" s="284"/>
      <c r="N741" s="284"/>
      <c r="O741" s="284"/>
      <c r="P741" s="284"/>
      <c r="Q741" s="284"/>
      <c r="R741" s="284"/>
      <c r="S741" s="284"/>
      <c r="T741" s="284"/>
      <c r="U741" s="284"/>
      <c r="V741" s="284"/>
      <c r="W741" s="284"/>
      <c r="X741" s="284"/>
      <c r="Y741" s="284"/>
      <c r="Z741" s="284"/>
      <c r="AA741" s="284"/>
      <c r="AB741" s="284"/>
      <c r="AC741" s="284"/>
      <c r="AD741" s="284"/>
      <c r="AE741" s="284"/>
    </row>
    <row r="742">
      <c r="A742" s="284"/>
      <c r="B742" s="284"/>
      <c r="C742" s="284"/>
      <c r="D742" s="284"/>
      <c r="E742" s="284"/>
      <c r="F742" s="284"/>
      <c r="G742" s="284"/>
      <c r="H742" s="284"/>
      <c r="I742" s="284"/>
      <c r="J742" s="284"/>
      <c r="K742" s="284"/>
      <c r="L742" s="284"/>
      <c r="M742" s="284"/>
      <c r="N742" s="284"/>
      <c r="O742" s="284"/>
      <c r="P742" s="284"/>
      <c r="Q742" s="284"/>
      <c r="R742" s="284"/>
      <c r="S742" s="284"/>
      <c r="T742" s="284"/>
      <c r="U742" s="284"/>
      <c r="V742" s="284"/>
      <c r="W742" s="284"/>
      <c r="X742" s="284"/>
      <c r="Y742" s="284"/>
      <c r="Z742" s="284"/>
      <c r="AA742" s="284"/>
      <c r="AB742" s="284"/>
      <c r="AC742" s="284"/>
      <c r="AD742" s="284"/>
      <c r="AE742" s="284"/>
    </row>
    <row r="743">
      <c r="A743" s="284"/>
      <c r="B743" s="284"/>
      <c r="C743" s="284"/>
      <c r="D743" s="284"/>
      <c r="E743" s="284"/>
      <c r="F743" s="284"/>
      <c r="G743" s="284"/>
      <c r="H743" s="284"/>
      <c r="I743" s="284"/>
      <c r="J743" s="284"/>
      <c r="K743" s="284"/>
      <c r="L743" s="284"/>
      <c r="M743" s="284"/>
      <c r="N743" s="284"/>
      <c r="O743" s="284"/>
      <c r="P743" s="284"/>
      <c r="Q743" s="284"/>
      <c r="R743" s="284"/>
      <c r="S743" s="284"/>
      <c r="T743" s="284"/>
      <c r="U743" s="284"/>
      <c r="V743" s="284"/>
      <c r="W743" s="284"/>
      <c r="X743" s="284"/>
      <c r="Y743" s="284"/>
      <c r="Z743" s="284"/>
      <c r="AA743" s="284"/>
      <c r="AB743" s="284"/>
      <c r="AC743" s="284"/>
      <c r="AD743" s="284"/>
      <c r="AE743" s="284"/>
    </row>
    <row r="744">
      <c r="A744" s="284"/>
      <c r="B744" s="284"/>
      <c r="C744" s="284"/>
      <c r="D744" s="284"/>
      <c r="E744" s="284"/>
      <c r="F744" s="284"/>
      <c r="G744" s="284"/>
      <c r="H744" s="284"/>
      <c r="I744" s="284"/>
      <c r="J744" s="284"/>
      <c r="K744" s="284"/>
      <c r="L744" s="284"/>
      <c r="M744" s="284"/>
      <c r="N744" s="284"/>
      <c r="O744" s="284"/>
      <c r="P744" s="284"/>
      <c r="Q744" s="284"/>
      <c r="R744" s="284"/>
      <c r="S744" s="284"/>
      <c r="T744" s="284"/>
      <c r="U744" s="284"/>
      <c r="V744" s="284"/>
      <c r="W744" s="284"/>
      <c r="X744" s="284"/>
      <c r="Y744" s="284"/>
      <c r="Z744" s="284"/>
      <c r="AA744" s="284"/>
      <c r="AB744" s="284"/>
      <c r="AC744" s="284"/>
      <c r="AD744" s="284"/>
      <c r="AE744" s="284"/>
    </row>
    <row r="745">
      <c r="A745" s="284"/>
      <c r="B745" s="284"/>
      <c r="C745" s="284"/>
      <c r="D745" s="284"/>
      <c r="E745" s="284"/>
      <c r="F745" s="284"/>
      <c r="G745" s="284"/>
      <c r="H745" s="284"/>
      <c r="I745" s="284"/>
      <c r="J745" s="284"/>
      <c r="K745" s="284"/>
      <c r="L745" s="284"/>
      <c r="M745" s="284"/>
      <c r="N745" s="284"/>
      <c r="O745" s="284"/>
      <c r="P745" s="284"/>
      <c r="Q745" s="284"/>
      <c r="R745" s="284"/>
      <c r="S745" s="284"/>
      <c r="T745" s="284"/>
      <c r="U745" s="284"/>
      <c r="V745" s="284"/>
      <c r="W745" s="284"/>
      <c r="X745" s="284"/>
      <c r="Y745" s="284"/>
      <c r="Z745" s="284"/>
      <c r="AA745" s="284"/>
      <c r="AB745" s="284"/>
      <c r="AC745" s="284"/>
      <c r="AD745" s="284"/>
      <c r="AE745" s="284"/>
    </row>
    <row r="746">
      <c r="A746" s="284"/>
      <c r="B746" s="284"/>
      <c r="C746" s="284"/>
      <c r="D746" s="284"/>
      <c r="E746" s="284"/>
      <c r="F746" s="284"/>
      <c r="G746" s="284"/>
      <c r="H746" s="284"/>
      <c r="I746" s="284"/>
      <c r="J746" s="284"/>
      <c r="K746" s="284"/>
      <c r="L746" s="284"/>
      <c r="M746" s="284"/>
      <c r="N746" s="284"/>
      <c r="O746" s="284"/>
      <c r="P746" s="284"/>
      <c r="Q746" s="284"/>
      <c r="R746" s="284"/>
      <c r="S746" s="284"/>
      <c r="T746" s="284"/>
      <c r="U746" s="284"/>
      <c r="V746" s="284"/>
      <c r="W746" s="284"/>
      <c r="X746" s="284"/>
      <c r="Y746" s="284"/>
      <c r="Z746" s="284"/>
      <c r="AA746" s="284"/>
      <c r="AB746" s="284"/>
      <c r="AC746" s="284"/>
      <c r="AD746" s="284"/>
      <c r="AE746" s="284"/>
    </row>
    <row r="747">
      <c r="A747" s="284"/>
      <c r="B747" s="284"/>
      <c r="C747" s="284"/>
      <c r="D747" s="284"/>
      <c r="E747" s="284"/>
      <c r="F747" s="284"/>
      <c r="G747" s="284"/>
      <c r="H747" s="284"/>
      <c r="I747" s="284"/>
      <c r="J747" s="284"/>
      <c r="K747" s="284"/>
      <c r="L747" s="284"/>
      <c r="M747" s="284"/>
      <c r="N747" s="284"/>
      <c r="O747" s="284"/>
      <c r="P747" s="284"/>
      <c r="Q747" s="284"/>
      <c r="R747" s="284"/>
      <c r="S747" s="284"/>
      <c r="T747" s="284"/>
      <c r="U747" s="284"/>
      <c r="V747" s="284"/>
      <c r="W747" s="284"/>
      <c r="X747" s="284"/>
      <c r="Y747" s="284"/>
      <c r="Z747" s="284"/>
      <c r="AA747" s="284"/>
      <c r="AB747" s="284"/>
      <c r="AC747" s="284"/>
      <c r="AD747" s="284"/>
      <c r="AE747" s="284"/>
    </row>
    <row r="748">
      <c r="A748" s="284"/>
      <c r="B748" s="284"/>
      <c r="C748" s="284"/>
      <c r="D748" s="284"/>
      <c r="E748" s="284"/>
      <c r="F748" s="284"/>
      <c r="G748" s="284"/>
      <c r="H748" s="284"/>
      <c r="I748" s="284"/>
      <c r="J748" s="284"/>
      <c r="K748" s="284"/>
      <c r="L748" s="284"/>
      <c r="M748" s="284"/>
      <c r="N748" s="284"/>
      <c r="O748" s="284"/>
      <c r="P748" s="284"/>
      <c r="Q748" s="284"/>
      <c r="R748" s="284"/>
      <c r="S748" s="284"/>
      <c r="T748" s="284"/>
      <c r="U748" s="284"/>
      <c r="V748" s="284"/>
      <c r="W748" s="284"/>
      <c r="X748" s="284"/>
      <c r="Y748" s="284"/>
      <c r="Z748" s="284"/>
      <c r="AA748" s="284"/>
      <c r="AB748" s="284"/>
      <c r="AC748" s="284"/>
      <c r="AD748" s="284"/>
      <c r="AE748" s="284"/>
    </row>
    <row r="749">
      <c r="A749" s="284"/>
      <c r="B749" s="284"/>
      <c r="C749" s="284"/>
      <c r="D749" s="284"/>
      <c r="E749" s="284"/>
      <c r="F749" s="284"/>
      <c r="G749" s="284"/>
      <c r="H749" s="284"/>
      <c r="I749" s="284"/>
      <c r="J749" s="284"/>
      <c r="K749" s="284"/>
      <c r="L749" s="284"/>
      <c r="M749" s="284"/>
      <c r="N749" s="284"/>
      <c r="O749" s="284"/>
      <c r="P749" s="284"/>
      <c r="Q749" s="284"/>
      <c r="R749" s="284"/>
      <c r="S749" s="284"/>
      <c r="T749" s="284"/>
      <c r="U749" s="284"/>
      <c r="V749" s="284"/>
      <c r="W749" s="284"/>
      <c r="X749" s="284"/>
      <c r="Y749" s="284"/>
      <c r="Z749" s="284"/>
      <c r="AA749" s="284"/>
      <c r="AB749" s="284"/>
      <c r="AC749" s="284"/>
      <c r="AD749" s="284"/>
      <c r="AE749" s="284"/>
    </row>
    <row r="750">
      <c r="A750" s="284"/>
      <c r="B750" s="284"/>
      <c r="C750" s="284"/>
      <c r="D750" s="284"/>
      <c r="E750" s="284"/>
      <c r="F750" s="284"/>
      <c r="G750" s="284"/>
      <c r="H750" s="284"/>
      <c r="I750" s="284"/>
      <c r="J750" s="284"/>
      <c r="K750" s="284"/>
      <c r="L750" s="284"/>
      <c r="M750" s="284"/>
      <c r="N750" s="284"/>
      <c r="O750" s="284"/>
      <c r="P750" s="284"/>
      <c r="Q750" s="284"/>
      <c r="R750" s="284"/>
      <c r="S750" s="284"/>
      <c r="T750" s="284"/>
      <c r="U750" s="284"/>
      <c r="V750" s="284"/>
      <c r="W750" s="284"/>
      <c r="X750" s="284"/>
      <c r="Y750" s="284"/>
      <c r="Z750" s="284"/>
      <c r="AA750" s="284"/>
      <c r="AB750" s="284"/>
      <c r="AC750" s="284"/>
      <c r="AD750" s="284"/>
      <c r="AE750" s="284"/>
    </row>
    <row r="751">
      <c r="A751" s="284"/>
      <c r="B751" s="284"/>
      <c r="C751" s="284"/>
      <c r="D751" s="284"/>
      <c r="E751" s="284"/>
      <c r="F751" s="284"/>
      <c r="G751" s="284"/>
      <c r="H751" s="284"/>
      <c r="I751" s="284"/>
      <c r="J751" s="284"/>
      <c r="K751" s="284"/>
      <c r="L751" s="284"/>
      <c r="M751" s="284"/>
      <c r="N751" s="284"/>
      <c r="O751" s="284"/>
      <c r="P751" s="284"/>
      <c r="Q751" s="284"/>
      <c r="R751" s="284"/>
      <c r="S751" s="284"/>
      <c r="T751" s="284"/>
      <c r="U751" s="284"/>
      <c r="V751" s="284"/>
      <c r="W751" s="284"/>
      <c r="X751" s="284"/>
      <c r="Y751" s="284"/>
      <c r="Z751" s="284"/>
      <c r="AA751" s="284"/>
      <c r="AB751" s="284"/>
      <c r="AC751" s="284"/>
      <c r="AD751" s="284"/>
      <c r="AE751" s="284"/>
    </row>
    <row r="752">
      <c r="A752" s="284"/>
      <c r="B752" s="284"/>
      <c r="C752" s="284"/>
      <c r="D752" s="284"/>
      <c r="E752" s="284"/>
      <c r="F752" s="284"/>
      <c r="G752" s="284"/>
      <c r="H752" s="284"/>
      <c r="I752" s="284"/>
      <c r="J752" s="284"/>
      <c r="K752" s="284"/>
      <c r="L752" s="284"/>
      <c r="M752" s="284"/>
      <c r="N752" s="284"/>
      <c r="O752" s="284"/>
      <c r="P752" s="284"/>
      <c r="Q752" s="284"/>
      <c r="R752" s="284"/>
      <c r="S752" s="284"/>
      <c r="T752" s="284"/>
      <c r="U752" s="284"/>
      <c r="V752" s="284"/>
      <c r="W752" s="284"/>
      <c r="X752" s="284"/>
      <c r="Y752" s="284"/>
      <c r="Z752" s="284"/>
      <c r="AA752" s="284"/>
      <c r="AB752" s="284"/>
      <c r="AC752" s="284"/>
      <c r="AD752" s="284"/>
      <c r="AE752" s="284"/>
    </row>
    <row r="753">
      <c r="A753" s="284"/>
      <c r="B753" s="284"/>
      <c r="C753" s="284"/>
      <c r="D753" s="284"/>
      <c r="E753" s="284"/>
      <c r="F753" s="284"/>
      <c r="G753" s="284"/>
      <c r="H753" s="284"/>
      <c r="I753" s="284"/>
      <c r="J753" s="284"/>
      <c r="K753" s="284"/>
      <c r="L753" s="284"/>
      <c r="M753" s="284"/>
      <c r="N753" s="284"/>
      <c r="O753" s="284"/>
      <c r="P753" s="284"/>
      <c r="Q753" s="284"/>
      <c r="R753" s="284"/>
      <c r="S753" s="284"/>
      <c r="T753" s="284"/>
      <c r="U753" s="284"/>
      <c r="V753" s="284"/>
      <c r="W753" s="284"/>
      <c r="X753" s="284"/>
      <c r="Y753" s="284"/>
      <c r="Z753" s="284"/>
      <c r="AA753" s="284"/>
      <c r="AB753" s="284"/>
      <c r="AC753" s="284"/>
      <c r="AD753" s="284"/>
      <c r="AE753" s="284"/>
    </row>
    <row r="754">
      <c r="A754" s="284"/>
      <c r="B754" s="284"/>
      <c r="C754" s="284"/>
      <c r="D754" s="284"/>
      <c r="E754" s="284"/>
      <c r="F754" s="284"/>
      <c r="G754" s="284"/>
      <c r="H754" s="284"/>
      <c r="I754" s="284"/>
      <c r="J754" s="284"/>
      <c r="K754" s="284"/>
      <c r="L754" s="284"/>
      <c r="M754" s="284"/>
      <c r="N754" s="284"/>
      <c r="O754" s="284"/>
      <c r="P754" s="284"/>
      <c r="Q754" s="284"/>
      <c r="R754" s="284"/>
      <c r="S754" s="284"/>
      <c r="T754" s="284"/>
      <c r="U754" s="284"/>
      <c r="V754" s="284"/>
      <c r="W754" s="284"/>
      <c r="X754" s="284"/>
      <c r="Y754" s="284"/>
      <c r="Z754" s="284"/>
      <c r="AA754" s="284"/>
      <c r="AB754" s="284"/>
      <c r="AC754" s="284"/>
      <c r="AD754" s="284"/>
      <c r="AE754" s="284"/>
    </row>
    <row r="755">
      <c r="A755" s="284"/>
      <c r="B755" s="284"/>
      <c r="C755" s="284"/>
      <c r="D755" s="284"/>
      <c r="E755" s="284"/>
      <c r="F755" s="284"/>
      <c r="G755" s="284"/>
      <c r="H755" s="284"/>
      <c r="I755" s="284"/>
      <c r="J755" s="284"/>
      <c r="K755" s="284"/>
      <c r="L755" s="284"/>
      <c r="M755" s="284"/>
      <c r="N755" s="284"/>
      <c r="O755" s="284"/>
      <c r="P755" s="284"/>
      <c r="Q755" s="284"/>
      <c r="R755" s="284"/>
      <c r="S755" s="284"/>
      <c r="T755" s="284"/>
      <c r="U755" s="284"/>
      <c r="V755" s="284"/>
      <c r="W755" s="284"/>
      <c r="X755" s="284"/>
      <c r="Y755" s="284"/>
      <c r="Z755" s="284"/>
      <c r="AA755" s="284"/>
      <c r="AB755" s="284"/>
      <c r="AC755" s="284"/>
      <c r="AD755" s="284"/>
      <c r="AE755" s="284"/>
    </row>
    <row r="756">
      <c r="A756" s="284"/>
      <c r="B756" s="284"/>
      <c r="C756" s="284"/>
      <c r="D756" s="284"/>
      <c r="E756" s="284"/>
      <c r="F756" s="284"/>
      <c r="G756" s="284"/>
      <c r="H756" s="284"/>
      <c r="I756" s="284"/>
      <c r="J756" s="284"/>
      <c r="K756" s="284"/>
      <c r="L756" s="284"/>
      <c r="M756" s="284"/>
      <c r="N756" s="284"/>
      <c r="O756" s="284"/>
      <c r="P756" s="284"/>
      <c r="Q756" s="284"/>
      <c r="R756" s="284"/>
      <c r="S756" s="284"/>
      <c r="T756" s="284"/>
      <c r="U756" s="284"/>
      <c r="V756" s="284"/>
      <c r="W756" s="284"/>
      <c r="X756" s="284"/>
      <c r="Y756" s="284"/>
      <c r="Z756" s="284"/>
      <c r="AA756" s="284"/>
      <c r="AB756" s="284"/>
      <c r="AC756" s="284"/>
      <c r="AD756" s="284"/>
      <c r="AE756" s="284"/>
    </row>
    <row r="757">
      <c r="A757" s="284"/>
      <c r="B757" s="284"/>
      <c r="C757" s="284"/>
      <c r="D757" s="284"/>
      <c r="E757" s="284"/>
      <c r="F757" s="284"/>
      <c r="G757" s="284"/>
      <c r="H757" s="284"/>
      <c r="I757" s="284"/>
      <c r="J757" s="284"/>
      <c r="K757" s="284"/>
      <c r="L757" s="284"/>
      <c r="M757" s="284"/>
      <c r="N757" s="284"/>
      <c r="O757" s="284"/>
      <c r="P757" s="284"/>
      <c r="Q757" s="284"/>
      <c r="R757" s="284"/>
      <c r="S757" s="284"/>
      <c r="T757" s="284"/>
      <c r="U757" s="284"/>
      <c r="V757" s="284"/>
      <c r="W757" s="284"/>
      <c r="X757" s="284"/>
      <c r="Y757" s="284"/>
      <c r="Z757" s="284"/>
      <c r="AA757" s="284"/>
      <c r="AB757" s="284"/>
      <c r="AC757" s="284"/>
      <c r="AD757" s="284"/>
      <c r="AE757" s="284"/>
    </row>
    <row r="758">
      <c r="A758" s="284"/>
      <c r="B758" s="284"/>
      <c r="C758" s="284"/>
      <c r="D758" s="284"/>
      <c r="E758" s="284"/>
      <c r="F758" s="284"/>
      <c r="G758" s="284"/>
      <c r="H758" s="284"/>
      <c r="I758" s="284"/>
      <c r="J758" s="284"/>
      <c r="K758" s="284"/>
      <c r="L758" s="284"/>
      <c r="M758" s="284"/>
      <c r="N758" s="284"/>
      <c r="O758" s="284"/>
      <c r="P758" s="284"/>
      <c r="Q758" s="284"/>
      <c r="R758" s="284"/>
      <c r="S758" s="284"/>
      <c r="T758" s="284"/>
      <c r="U758" s="284"/>
      <c r="V758" s="284"/>
      <c r="W758" s="284"/>
      <c r="X758" s="284"/>
      <c r="Y758" s="284"/>
      <c r="Z758" s="284"/>
      <c r="AA758" s="284"/>
      <c r="AB758" s="284"/>
      <c r="AC758" s="284"/>
      <c r="AD758" s="284"/>
      <c r="AE758" s="284"/>
    </row>
    <row r="759">
      <c r="A759" s="284"/>
      <c r="B759" s="284"/>
      <c r="C759" s="284"/>
      <c r="D759" s="284"/>
      <c r="E759" s="284"/>
      <c r="F759" s="284"/>
      <c r="G759" s="284"/>
      <c r="H759" s="284"/>
      <c r="I759" s="284"/>
      <c r="J759" s="284"/>
      <c r="K759" s="284"/>
      <c r="L759" s="284"/>
      <c r="M759" s="284"/>
      <c r="N759" s="284"/>
      <c r="O759" s="284"/>
      <c r="P759" s="284"/>
      <c r="Q759" s="284"/>
      <c r="R759" s="284"/>
      <c r="S759" s="284"/>
      <c r="T759" s="284"/>
      <c r="U759" s="284"/>
      <c r="V759" s="284"/>
      <c r="W759" s="284"/>
      <c r="X759" s="284"/>
      <c r="Y759" s="284"/>
      <c r="Z759" s="284"/>
      <c r="AA759" s="284"/>
      <c r="AB759" s="284"/>
      <c r="AC759" s="284"/>
      <c r="AD759" s="284"/>
      <c r="AE759" s="284"/>
    </row>
    <row r="760">
      <c r="A760" s="284"/>
      <c r="B760" s="284"/>
      <c r="C760" s="284"/>
      <c r="D760" s="284"/>
      <c r="E760" s="284"/>
      <c r="F760" s="284"/>
      <c r="G760" s="284"/>
      <c r="H760" s="284"/>
      <c r="I760" s="284"/>
      <c r="J760" s="284"/>
      <c r="K760" s="284"/>
      <c r="L760" s="284"/>
      <c r="M760" s="284"/>
      <c r="N760" s="284"/>
      <c r="O760" s="284"/>
      <c r="P760" s="284"/>
      <c r="Q760" s="284"/>
      <c r="R760" s="284"/>
      <c r="S760" s="284"/>
      <c r="T760" s="284"/>
      <c r="U760" s="284"/>
      <c r="V760" s="284"/>
      <c r="W760" s="284"/>
      <c r="X760" s="284"/>
      <c r="Y760" s="284"/>
      <c r="Z760" s="284"/>
      <c r="AA760" s="284"/>
      <c r="AB760" s="284"/>
      <c r="AC760" s="284"/>
      <c r="AD760" s="284"/>
      <c r="AE760" s="284"/>
    </row>
    <row r="761">
      <c r="A761" s="284"/>
      <c r="B761" s="284"/>
      <c r="C761" s="284"/>
      <c r="D761" s="284"/>
      <c r="E761" s="284"/>
      <c r="F761" s="284"/>
      <c r="G761" s="284"/>
      <c r="H761" s="284"/>
      <c r="I761" s="284"/>
      <c r="J761" s="284"/>
      <c r="K761" s="284"/>
      <c r="L761" s="284"/>
      <c r="M761" s="284"/>
      <c r="N761" s="284"/>
      <c r="O761" s="284"/>
      <c r="P761" s="284"/>
      <c r="Q761" s="284"/>
      <c r="R761" s="284"/>
      <c r="S761" s="284"/>
      <c r="T761" s="284"/>
      <c r="U761" s="284"/>
      <c r="V761" s="284"/>
      <c r="W761" s="284"/>
      <c r="X761" s="284"/>
      <c r="Y761" s="284"/>
      <c r="Z761" s="284"/>
      <c r="AA761" s="284"/>
      <c r="AB761" s="284"/>
      <c r="AC761" s="284"/>
      <c r="AD761" s="284"/>
      <c r="AE761" s="284"/>
    </row>
    <row r="762">
      <c r="A762" s="284"/>
      <c r="B762" s="284"/>
      <c r="C762" s="284"/>
      <c r="D762" s="284"/>
      <c r="E762" s="284"/>
      <c r="F762" s="284"/>
      <c r="G762" s="284"/>
      <c r="H762" s="284"/>
      <c r="I762" s="284"/>
      <c r="J762" s="284"/>
      <c r="K762" s="284"/>
      <c r="L762" s="284"/>
      <c r="M762" s="284"/>
      <c r="N762" s="284"/>
      <c r="O762" s="284"/>
      <c r="P762" s="284"/>
      <c r="Q762" s="284"/>
      <c r="R762" s="284"/>
      <c r="S762" s="284"/>
      <c r="T762" s="284"/>
      <c r="U762" s="284"/>
      <c r="V762" s="284"/>
      <c r="W762" s="284"/>
      <c r="X762" s="284"/>
      <c r="Y762" s="284"/>
      <c r="Z762" s="284"/>
      <c r="AA762" s="284"/>
      <c r="AB762" s="284"/>
      <c r="AC762" s="284"/>
      <c r="AD762" s="284"/>
      <c r="AE762" s="284"/>
    </row>
    <row r="763">
      <c r="A763" s="284"/>
      <c r="B763" s="284"/>
      <c r="C763" s="284"/>
      <c r="D763" s="284"/>
      <c r="E763" s="284"/>
      <c r="F763" s="284"/>
      <c r="G763" s="284"/>
      <c r="H763" s="284"/>
      <c r="I763" s="284"/>
      <c r="J763" s="284"/>
      <c r="K763" s="284"/>
      <c r="L763" s="284"/>
      <c r="M763" s="284"/>
      <c r="N763" s="284"/>
      <c r="O763" s="284"/>
      <c r="P763" s="284"/>
      <c r="Q763" s="284"/>
      <c r="R763" s="284"/>
      <c r="S763" s="284"/>
      <c r="T763" s="284"/>
      <c r="U763" s="284"/>
      <c r="V763" s="284"/>
      <c r="W763" s="284"/>
      <c r="X763" s="284"/>
      <c r="Y763" s="284"/>
      <c r="Z763" s="284"/>
      <c r="AA763" s="284"/>
      <c r="AB763" s="284"/>
      <c r="AC763" s="284"/>
      <c r="AD763" s="284"/>
      <c r="AE763" s="284"/>
    </row>
    <row r="764">
      <c r="A764" s="284"/>
      <c r="B764" s="284"/>
      <c r="C764" s="284"/>
      <c r="D764" s="284"/>
      <c r="E764" s="284"/>
      <c r="F764" s="284"/>
      <c r="G764" s="284"/>
      <c r="H764" s="284"/>
      <c r="I764" s="284"/>
      <c r="J764" s="284"/>
      <c r="K764" s="284"/>
      <c r="L764" s="284"/>
      <c r="M764" s="284"/>
      <c r="N764" s="284"/>
      <c r="O764" s="284"/>
      <c r="P764" s="284"/>
      <c r="Q764" s="284"/>
      <c r="R764" s="284"/>
      <c r="S764" s="284"/>
      <c r="T764" s="284"/>
      <c r="U764" s="284"/>
      <c r="V764" s="284"/>
      <c r="W764" s="284"/>
      <c r="X764" s="284"/>
      <c r="Y764" s="284"/>
      <c r="Z764" s="284"/>
      <c r="AA764" s="284"/>
      <c r="AB764" s="284"/>
      <c r="AC764" s="284"/>
      <c r="AD764" s="284"/>
      <c r="AE764" s="284"/>
    </row>
    <row r="765">
      <c r="A765" s="284"/>
      <c r="B765" s="284"/>
      <c r="C765" s="284"/>
      <c r="D765" s="284"/>
      <c r="E765" s="284"/>
      <c r="F765" s="284"/>
      <c r="G765" s="284"/>
      <c r="H765" s="284"/>
      <c r="I765" s="284"/>
      <c r="J765" s="284"/>
      <c r="K765" s="284"/>
      <c r="L765" s="284"/>
      <c r="M765" s="284"/>
      <c r="N765" s="284"/>
      <c r="O765" s="284"/>
      <c r="P765" s="284"/>
      <c r="Q765" s="284"/>
      <c r="R765" s="284"/>
      <c r="S765" s="284"/>
      <c r="T765" s="284"/>
      <c r="U765" s="284"/>
      <c r="V765" s="284"/>
      <c r="W765" s="284"/>
      <c r="X765" s="284"/>
      <c r="Y765" s="284"/>
      <c r="Z765" s="284"/>
      <c r="AA765" s="284"/>
      <c r="AB765" s="284"/>
      <c r="AC765" s="284"/>
      <c r="AD765" s="284"/>
      <c r="AE765" s="284"/>
    </row>
    <row r="766">
      <c r="A766" s="284"/>
      <c r="B766" s="284"/>
      <c r="C766" s="284"/>
      <c r="D766" s="284"/>
      <c r="E766" s="284"/>
      <c r="F766" s="284"/>
      <c r="G766" s="284"/>
      <c r="H766" s="284"/>
      <c r="I766" s="284"/>
      <c r="J766" s="284"/>
      <c r="K766" s="284"/>
      <c r="L766" s="284"/>
      <c r="M766" s="284"/>
      <c r="N766" s="284"/>
      <c r="O766" s="284"/>
      <c r="P766" s="284"/>
      <c r="Q766" s="284"/>
      <c r="R766" s="284"/>
      <c r="S766" s="284"/>
      <c r="T766" s="284"/>
      <c r="U766" s="284"/>
      <c r="V766" s="284"/>
      <c r="W766" s="284"/>
      <c r="X766" s="284"/>
      <c r="Y766" s="284"/>
      <c r="Z766" s="284"/>
      <c r="AA766" s="284"/>
      <c r="AB766" s="284"/>
      <c r="AC766" s="284"/>
      <c r="AD766" s="284"/>
      <c r="AE766" s="284"/>
    </row>
    <row r="767">
      <c r="A767" s="284"/>
      <c r="B767" s="284"/>
      <c r="C767" s="284"/>
      <c r="D767" s="284"/>
      <c r="E767" s="284"/>
      <c r="F767" s="284"/>
      <c r="G767" s="284"/>
      <c r="H767" s="284"/>
      <c r="I767" s="284"/>
      <c r="J767" s="284"/>
      <c r="K767" s="284"/>
      <c r="L767" s="284"/>
      <c r="M767" s="284"/>
      <c r="N767" s="284"/>
      <c r="O767" s="284"/>
      <c r="P767" s="284"/>
      <c r="Q767" s="284"/>
      <c r="R767" s="284"/>
      <c r="S767" s="284"/>
      <c r="T767" s="284"/>
      <c r="U767" s="284"/>
      <c r="V767" s="284"/>
      <c r="W767" s="284"/>
      <c r="X767" s="284"/>
      <c r="Y767" s="284"/>
      <c r="Z767" s="284"/>
      <c r="AA767" s="284"/>
      <c r="AB767" s="284"/>
      <c r="AC767" s="284"/>
      <c r="AD767" s="284"/>
      <c r="AE767" s="284"/>
    </row>
    <row r="768">
      <c r="A768" s="284"/>
      <c r="B768" s="284"/>
      <c r="C768" s="284"/>
      <c r="D768" s="284"/>
      <c r="E768" s="284"/>
      <c r="F768" s="284"/>
      <c r="G768" s="284"/>
      <c r="H768" s="284"/>
      <c r="I768" s="284"/>
      <c r="J768" s="284"/>
      <c r="K768" s="284"/>
      <c r="L768" s="284"/>
      <c r="M768" s="284"/>
      <c r="N768" s="284"/>
      <c r="O768" s="284"/>
      <c r="P768" s="284"/>
      <c r="Q768" s="284"/>
      <c r="R768" s="284"/>
      <c r="S768" s="284"/>
      <c r="T768" s="284"/>
      <c r="U768" s="284"/>
      <c r="V768" s="284"/>
      <c r="W768" s="284"/>
      <c r="X768" s="284"/>
      <c r="Y768" s="284"/>
      <c r="Z768" s="284"/>
      <c r="AA768" s="284"/>
      <c r="AB768" s="284"/>
      <c r="AC768" s="284"/>
      <c r="AD768" s="284"/>
      <c r="AE768" s="284"/>
    </row>
    <row r="769">
      <c r="A769" s="284"/>
      <c r="B769" s="284"/>
      <c r="C769" s="284"/>
      <c r="D769" s="284"/>
      <c r="E769" s="284"/>
      <c r="F769" s="284"/>
      <c r="G769" s="284"/>
      <c r="H769" s="284"/>
      <c r="I769" s="284"/>
      <c r="J769" s="284"/>
      <c r="K769" s="284"/>
      <c r="L769" s="284"/>
      <c r="M769" s="284"/>
      <c r="N769" s="284"/>
      <c r="O769" s="284"/>
      <c r="P769" s="284"/>
      <c r="Q769" s="284"/>
      <c r="R769" s="284"/>
      <c r="S769" s="284"/>
      <c r="T769" s="284"/>
      <c r="U769" s="284"/>
      <c r="V769" s="284"/>
      <c r="W769" s="284"/>
      <c r="X769" s="284"/>
      <c r="Y769" s="284"/>
      <c r="Z769" s="284"/>
      <c r="AA769" s="284"/>
      <c r="AB769" s="284"/>
      <c r="AC769" s="284"/>
      <c r="AD769" s="284"/>
      <c r="AE769" s="284"/>
    </row>
    <row r="770">
      <c r="A770" s="284"/>
      <c r="B770" s="284"/>
      <c r="C770" s="284"/>
      <c r="D770" s="284"/>
      <c r="E770" s="284"/>
      <c r="F770" s="284"/>
      <c r="G770" s="284"/>
      <c r="H770" s="284"/>
      <c r="I770" s="284"/>
      <c r="J770" s="284"/>
      <c r="K770" s="284"/>
      <c r="L770" s="284"/>
      <c r="M770" s="284"/>
      <c r="N770" s="284"/>
      <c r="O770" s="284"/>
      <c r="P770" s="284"/>
      <c r="Q770" s="284"/>
      <c r="R770" s="284"/>
      <c r="S770" s="284"/>
      <c r="T770" s="284"/>
      <c r="U770" s="284"/>
      <c r="V770" s="284"/>
      <c r="W770" s="284"/>
      <c r="X770" s="284"/>
      <c r="Y770" s="284"/>
      <c r="Z770" s="284"/>
      <c r="AA770" s="284"/>
      <c r="AB770" s="284"/>
      <c r="AC770" s="284"/>
      <c r="AD770" s="284"/>
      <c r="AE770" s="284"/>
    </row>
    <row r="771">
      <c r="A771" s="284"/>
      <c r="B771" s="284"/>
      <c r="C771" s="284"/>
      <c r="D771" s="284"/>
      <c r="E771" s="284"/>
      <c r="F771" s="284"/>
      <c r="G771" s="284"/>
      <c r="H771" s="284"/>
      <c r="I771" s="284"/>
      <c r="J771" s="284"/>
      <c r="K771" s="284"/>
      <c r="L771" s="284"/>
      <c r="M771" s="284"/>
      <c r="N771" s="284"/>
      <c r="O771" s="284"/>
      <c r="P771" s="284"/>
      <c r="Q771" s="284"/>
      <c r="R771" s="284"/>
      <c r="S771" s="284"/>
      <c r="T771" s="284"/>
      <c r="U771" s="284"/>
      <c r="V771" s="284"/>
      <c r="W771" s="284"/>
      <c r="X771" s="284"/>
      <c r="Y771" s="284"/>
      <c r="Z771" s="284"/>
      <c r="AA771" s="284"/>
      <c r="AB771" s="284"/>
      <c r="AC771" s="284"/>
      <c r="AD771" s="284"/>
      <c r="AE771" s="284"/>
    </row>
    <row r="772">
      <c r="A772" s="284"/>
      <c r="B772" s="284"/>
      <c r="C772" s="284"/>
      <c r="D772" s="284"/>
      <c r="E772" s="284"/>
      <c r="F772" s="284"/>
      <c r="G772" s="284"/>
      <c r="H772" s="284"/>
      <c r="I772" s="284"/>
      <c r="J772" s="284"/>
      <c r="K772" s="284"/>
      <c r="L772" s="284"/>
      <c r="M772" s="284"/>
      <c r="N772" s="284"/>
      <c r="O772" s="284"/>
      <c r="P772" s="284"/>
      <c r="Q772" s="284"/>
      <c r="R772" s="284"/>
      <c r="S772" s="284"/>
      <c r="T772" s="284"/>
      <c r="U772" s="284"/>
      <c r="V772" s="284"/>
      <c r="W772" s="284"/>
      <c r="X772" s="284"/>
      <c r="Y772" s="284"/>
      <c r="Z772" s="284"/>
      <c r="AA772" s="284"/>
      <c r="AB772" s="284"/>
      <c r="AC772" s="284"/>
      <c r="AD772" s="284"/>
      <c r="AE772" s="284"/>
    </row>
    <row r="773">
      <c r="A773" s="284"/>
      <c r="B773" s="284"/>
      <c r="C773" s="284"/>
      <c r="D773" s="284"/>
      <c r="E773" s="284"/>
      <c r="F773" s="284"/>
      <c r="G773" s="284"/>
      <c r="H773" s="284"/>
      <c r="I773" s="284"/>
      <c r="J773" s="284"/>
      <c r="K773" s="284"/>
      <c r="L773" s="284"/>
      <c r="M773" s="284"/>
      <c r="N773" s="284"/>
      <c r="O773" s="284"/>
      <c r="P773" s="284"/>
      <c r="Q773" s="284"/>
      <c r="R773" s="284"/>
      <c r="S773" s="284"/>
      <c r="T773" s="284"/>
      <c r="U773" s="284"/>
      <c r="V773" s="284"/>
      <c r="W773" s="284"/>
      <c r="X773" s="284"/>
      <c r="Y773" s="284"/>
      <c r="Z773" s="284"/>
      <c r="AA773" s="284"/>
      <c r="AB773" s="284"/>
      <c r="AC773" s="284"/>
      <c r="AD773" s="284"/>
      <c r="AE773" s="284"/>
    </row>
    <row r="774">
      <c r="A774" s="284"/>
      <c r="B774" s="284"/>
      <c r="C774" s="284"/>
      <c r="D774" s="284"/>
      <c r="E774" s="284"/>
      <c r="F774" s="284"/>
      <c r="G774" s="284"/>
      <c r="H774" s="284"/>
      <c r="I774" s="284"/>
      <c r="J774" s="284"/>
      <c r="K774" s="284"/>
      <c r="L774" s="284"/>
      <c r="M774" s="284"/>
      <c r="N774" s="284"/>
      <c r="O774" s="284"/>
      <c r="P774" s="284"/>
      <c r="Q774" s="284"/>
      <c r="R774" s="284"/>
      <c r="S774" s="284"/>
      <c r="T774" s="284"/>
      <c r="U774" s="284"/>
      <c r="V774" s="284"/>
      <c r="W774" s="284"/>
      <c r="X774" s="284"/>
      <c r="Y774" s="284"/>
      <c r="Z774" s="284"/>
      <c r="AA774" s="284"/>
      <c r="AB774" s="284"/>
      <c r="AC774" s="284"/>
      <c r="AD774" s="284"/>
      <c r="AE774" s="284"/>
    </row>
    <row r="775">
      <c r="A775" s="284"/>
      <c r="B775" s="284"/>
      <c r="C775" s="284"/>
      <c r="D775" s="284"/>
      <c r="E775" s="284"/>
      <c r="F775" s="284"/>
      <c r="G775" s="284"/>
      <c r="H775" s="284"/>
      <c r="I775" s="284"/>
      <c r="J775" s="284"/>
      <c r="K775" s="284"/>
      <c r="L775" s="284"/>
      <c r="M775" s="284"/>
      <c r="N775" s="284"/>
      <c r="O775" s="284"/>
      <c r="P775" s="284"/>
      <c r="Q775" s="284"/>
      <c r="R775" s="284"/>
      <c r="S775" s="284"/>
      <c r="T775" s="284"/>
      <c r="U775" s="284"/>
      <c r="V775" s="284"/>
      <c r="W775" s="284"/>
      <c r="X775" s="284"/>
      <c r="Y775" s="284"/>
      <c r="Z775" s="284"/>
      <c r="AA775" s="284"/>
      <c r="AB775" s="284"/>
      <c r="AC775" s="284"/>
      <c r="AD775" s="284"/>
      <c r="AE775" s="284"/>
    </row>
    <row r="776">
      <c r="A776" s="284"/>
      <c r="B776" s="284"/>
      <c r="C776" s="284"/>
      <c r="D776" s="284"/>
      <c r="E776" s="284"/>
      <c r="F776" s="284"/>
      <c r="G776" s="284"/>
      <c r="H776" s="284"/>
      <c r="I776" s="284"/>
      <c r="J776" s="284"/>
      <c r="K776" s="284"/>
      <c r="L776" s="284"/>
      <c r="M776" s="284"/>
      <c r="N776" s="284"/>
      <c r="O776" s="284"/>
      <c r="P776" s="284"/>
      <c r="Q776" s="284"/>
      <c r="R776" s="284"/>
      <c r="S776" s="284"/>
      <c r="T776" s="284"/>
      <c r="U776" s="284"/>
      <c r="V776" s="284"/>
      <c r="W776" s="284"/>
      <c r="X776" s="284"/>
      <c r="Y776" s="284"/>
      <c r="Z776" s="284"/>
      <c r="AA776" s="284"/>
      <c r="AB776" s="284"/>
      <c r="AC776" s="284"/>
      <c r="AD776" s="284"/>
      <c r="AE776" s="284"/>
    </row>
    <row r="777">
      <c r="A777" s="284"/>
      <c r="B777" s="284"/>
      <c r="C777" s="284"/>
      <c r="D777" s="284"/>
      <c r="E777" s="284"/>
      <c r="F777" s="284"/>
      <c r="G777" s="284"/>
      <c r="H777" s="284"/>
      <c r="I777" s="284"/>
      <c r="J777" s="284"/>
      <c r="K777" s="284"/>
      <c r="L777" s="284"/>
      <c r="M777" s="284"/>
      <c r="N777" s="284"/>
      <c r="O777" s="284"/>
      <c r="P777" s="284"/>
      <c r="Q777" s="284"/>
      <c r="R777" s="284"/>
      <c r="S777" s="284"/>
      <c r="T777" s="284"/>
      <c r="U777" s="284"/>
      <c r="V777" s="284"/>
      <c r="W777" s="284"/>
      <c r="X777" s="284"/>
      <c r="Y777" s="284"/>
      <c r="Z777" s="284"/>
      <c r="AA777" s="284"/>
      <c r="AB777" s="284"/>
      <c r="AC777" s="284"/>
      <c r="AD777" s="284"/>
      <c r="AE777" s="284"/>
    </row>
    <row r="778">
      <c r="A778" s="284"/>
      <c r="B778" s="284"/>
      <c r="C778" s="284"/>
      <c r="D778" s="284"/>
      <c r="E778" s="284"/>
      <c r="F778" s="284"/>
      <c r="G778" s="284"/>
      <c r="H778" s="284"/>
      <c r="I778" s="284"/>
      <c r="J778" s="284"/>
      <c r="K778" s="284"/>
      <c r="L778" s="284"/>
      <c r="M778" s="284"/>
      <c r="N778" s="284"/>
      <c r="O778" s="284"/>
      <c r="P778" s="284"/>
      <c r="Q778" s="284"/>
      <c r="R778" s="284"/>
      <c r="S778" s="284"/>
      <c r="T778" s="284"/>
      <c r="U778" s="284"/>
      <c r="V778" s="284"/>
      <c r="W778" s="284"/>
      <c r="X778" s="284"/>
      <c r="Y778" s="284"/>
      <c r="Z778" s="284"/>
      <c r="AA778" s="284"/>
      <c r="AB778" s="284"/>
      <c r="AC778" s="284"/>
      <c r="AD778" s="284"/>
      <c r="AE778" s="284"/>
    </row>
    <row r="779">
      <c r="A779" s="284"/>
      <c r="B779" s="284"/>
      <c r="C779" s="284"/>
      <c r="D779" s="284"/>
      <c r="E779" s="284"/>
      <c r="F779" s="284"/>
      <c r="G779" s="284"/>
      <c r="H779" s="284"/>
      <c r="I779" s="284"/>
      <c r="J779" s="284"/>
      <c r="K779" s="284"/>
      <c r="L779" s="284"/>
      <c r="M779" s="284"/>
      <c r="N779" s="284"/>
      <c r="O779" s="284"/>
      <c r="P779" s="284"/>
      <c r="Q779" s="284"/>
      <c r="R779" s="284"/>
      <c r="S779" s="284"/>
      <c r="T779" s="284"/>
      <c r="U779" s="284"/>
      <c r="V779" s="284"/>
      <c r="W779" s="284"/>
      <c r="X779" s="284"/>
      <c r="Y779" s="284"/>
      <c r="Z779" s="284"/>
      <c r="AA779" s="284"/>
      <c r="AB779" s="284"/>
      <c r="AC779" s="284"/>
      <c r="AD779" s="284"/>
      <c r="AE779" s="284"/>
    </row>
    <row r="780">
      <c r="A780" s="284"/>
      <c r="B780" s="284"/>
      <c r="C780" s="284"/>
      <c r="D780" s="284"/>
      <c r="E780" s="284"/>
      <c r="F780" s="284"/>
      <c r="G780" s="284"/>
      <c r="H780" s="284"/>
      <c r="I780" s="284"/>
      <c r="J780" s="284"/>
      <c r="K780" s="284"/>
      <c r="L780" s="284"/>
      <c r="M780" s="284"/>
      <c r="N780" s="284"/>
      <c r="O780" s="284"/>
      <c r="P780" s="284"/>
      <c r="Q780" s="284"/>
      <c r="R780" s="284"/>
      <c r="S780" s="284"/>
      <c r="T780" s="284"/>
      <c r="U780" s="284"/>
      <c r="V780" s="284"/>
      <c r="W780" s="284"/>
      <c r="X780" s="284"/>
      <c r="Y780" s="284"/>
      <c r="Z780" s="284"/>
      <c r="AA780" s="284"/>
      <c r="AB780" s="284"/>
      <c r="AC780" s="284"/>
      <c r="AD780" s="284"/>
      <c r="AE780" s="284"/>
    </row>
    <row r="781">
      <c r="A781" s="284"/>
      <c r="B781" s="284"/>
      <c r="C781" s="284"/>
      <c r="D781" s="284"/>
      <c r="E781" s="284"/>
      <c r="F781" s="284"/>
      <c r="G781" s="284"/>
      <c r="H781" s="284"/>
      <c r="I781" s="284"/>
      <c r="J781" s="284"/>
      <c r="K781" s="284"/>
      <c r="L781" s="284"/>
      <c r="M781" s="284"/>
      <c r="N781" s="284"/>
      <c r="O781" s="284"/>
      <c r="P781" s="284"/>
      <c r="Q781" s="284"/>
      <c r="R781" s="284"/>
      <c r="S781" s="284"/>
      <c r="T781" s="284"/>
      <c r="U781" s="284"/>
      <c r="V781" s="284"/>
      <c r="W781" s="284"/>
      <c r="X781" s="284"/>
      <c r="Y781" s="284"/>
      <c r="Z781" s="284"/>
      <c r="AA781" s="284"/>
      <c r="AB781" s="284"/>
      <c r="AC781" s="284"/>
      <c r="AD781" s="284"/>
      <c r="AE781" s="284"/>
    </row>
    <row r="782">
      <c r="A782" s="284"/>
      <c r="B782" s="284"/>
      <c r="C782" s="284"/>
      <c r="D782" s="284"/>
      <c r="E782" s="284"/>
      <c r="F782" s="284"/>
      <c r="G782" s="284"/>
      <c r="H782" s="284"/>
      <c r="I782" s="284"/>
      <c r="J782" s="284"/>
      <c r="K782" s="284"/>
      <c r="L782" s="284"/>
      <c r="M782" s="284"/>
      <c r="N782" s="284"/>
      <c r="O782" s="284"/>
      <c r="P782" s="284"/>
      <c r="Q782" s="284"/>
      <c r="R782" s="284"/>
      <c r="S782" s="284"/>
      <c r="T782" s="284"/>
      <c r="U782" s="284"/>
      <c r="V782" s="284"/>
      <c r="W782" s="284"/>
      <c r="X782" s="284"/>
      <c r="Y782" s="284"/>
      <c r="Z782" s="284"/>
      <c r="AA782" s="284"/>
      <c r="AB782" s="284"/>
      <c r="AC782" s="284"/>
      <c r="AD782" s="284"/>
      <c r="AE782" s="284"/>
    </row>
    <row r="783">
      <c r="A783" s="284"/>
      <c r="B783" s="284"/>
      <c r="C783" s="284"/>
      <c r="D783" s="284"/>
      <c r="E783" s="284"/>
      <c r="F783" s="284"/>
      <c r="G783" s="284"/>
      <c r="H783" s="284"/>
      <c r="I783" s="284"/>
      <c r="J783" s="284"/>
      <c r="K783" s="284"/>
      <c r="L783" s="284"/>
      <c r="M783" s="284"/>
      <c r="N783" s="284"/>
      <c r="O783" s="284"/>
      <c r="P783" s="284"/>
      <c r="Q783" s="284"/>
      <c r="R783" s="284"/>
      <c r="S783" s="284"/>
      <c r="T783" s="284"/>
      <c r="U783" s="284"/>
      <c r="V783" s="284"/>
      <c r="W783" s="284"/>
      <c r="X783" s="284"/>
      <c r="Y783" s="284"/>
      <c r="Z783" s="284"/>
      <c r="AA783" s="284"/>
      <c r="AB783" s="284"/>
      <c r="AC783" s="284"/>
      <c r="AD783" s="284"/>
      <c r="AE783" s="284"/>
    </row>
    <row r="784">
      <c r="A784" s="284"/>
      <c r="B784" s="284"/>
      <c r="C784" s="284"/>
      <c r="D784" s="284"/>
      <c r="E784" s="284"/>
      <c r="F784" s="284"/>
      <c r="G784" s="284"/>
      <c r="H784" s="284"/>
      <c r="I784" s="284"/>
      <c r="J784" s="284"/>
      <c r="K784" s="284"/>
      <c r="L784" s="284"/>
      <c r="M784" s="284"/>
      <c r="N784" s="284"/>
      <c r="O784" s="284"/>
      <c r="P784" s="284"/>
      <c r="Q784" s="284"/>
      <c r="R784" s="284"/>
      <c r="S784" s="284"/>
      <c r="T784" s="284"/>
      <c r="U784" s="284"/>
      <c r="V784" s="284"/>
      <c r="W784" s="284"/>
      <c r="X784" s="284"/>
      <c r="Y784" s="284"/>
      <c r="Z784" s="284"/>
      <c r="AA784" s="284"/>
      <c r="AB784" s="284"/>
      <c r="AC784" s="284"/>
      <c r="AD784" s="284"/>
      <c r="AE784" s="284"/>
    </row>
    <row r="785">
      <c r="A785" s="284"/>
      <c r="B785" s="284"/>
      <c r="C785" s="284"/>
      <c r="D785" s="284"/>
      <c r="E785" s="284"/>
      <c r="F785" s="284"/>
      <c r="G785" s="284"/>
      <c r="H785" s="284"/>
      <c r="I785" s="284"/>
      <c r="J785" s="284"/>
      <c r="K785" s="284"/>
      <c r="L785" s="284"/>
      <c r="M785" s="284"/>
      <c r="N785" s="284"/>
      <c r="O785" s="284"/>
      <c r="P785" s="284"/>
      <c r="Q785" s="284"/>
      <c r="R785" s="284"/>
      <c r="S785" s="284"/>
      <c r="T785" s="284"/>
      <c r="U785" s="284"/>
      <c r="V785" s="284"/>
      <c r="W785" s="284"/>
      <c r="X785" s="284"/>
      <c r="Y785" s="284"/>
      <c r="Z785" s="284"/>
      <c r="AA785" s="284"/>
      <c r="AB785" s="284"/>
      <c r="AC785" s="284"/>
      <c r="AD785" s="284"/>
      <c r="AE785" s="284"/>
    </row>
    <row r="786">
      <c r="A786" s="284"/>
      <c r="B786" s="284"/>
      <c r="C786" s="284"/>
      <c r="D786" s="284"/>
      <c r="E786" s="284"/>
      <c r="F786" s="284"/>
      <c r="G786" s="284"/>
      <c r="H786" s="284"/>
      <c r="I786" s="284"/>
      <c r="J786" s="284"/>
      <c r="K786" s="284"/>
      <c r="L786" s="284"/>
      <c r="M786" s="284"/>
      <c r="N786" s="284"/>
      <c r="O786" s="284"/>
      <c r="P786" s="284"/>
      <c r="Q786" s="284"/>
      <c r="R786" s="284"/>
      <c r="S786" s="284"/>
      <c r="T786" s="284"/>
      <c r="U786" s="284"/>
      <c r="V786" s="284"/>
      <c r="W786" s="284"/>
      <c r="X786" s="284"/>
      <c r="Y786" s="284"/>
      <c r="Z786" s="284"/>
      <c r="AA786" s="284"/>
      <c r="AB786" s="284"/>
      <c r="AC786" s="284"/>
      <c r="AD786" s="284"/>
      <c r="AE786" s="284"/>
    </row>
    <row r="787">
      <c r="A787" s="284"/>
      <c r="B787" s="284"/>
      <c r="C787" s="284"/>
      <c r="D787" s="284"/>
      <c r="E787" s="284"/>
      <c r="F787" s="284"/>
      <c r="G787" s="284"/>
      <c r="H787" s="284"/>
      <c r="I787" s="284"/>
      <c r="J787" s="284"/>
      <c r="K787" s="284"/>
      <c r="L787" s="284"/>
      <c r="M787" s="284"/>
      <c r="N787" s="284"/>
      <c r="O787" s="284"/>
      <c r="P787" s="284"/>
      <c r="Q787" s="284"/>
      <c r="R787" s="284"/>
      <c r="S787" s="284"/>
      <c r="T787" s="284"/>
      <c r="U787" s="284"/>
      <c r="V787" s="284"/>
      <c r="W787" s="284"/>
      <c r="X787" s="284"/>
      <c r="Y787" s="284"/>
      <c r="Z787" s="284"/>
      <c r="AA787" s="284"/>
      <c r="AB787" s="284"/>
      <c r="AC787" s="284"/>
      <c r="AD787" s="284"/>
      <c r="AE787" s="284"/>
    </row>
    <row r="788">
      <c r="A788" s="284"/>
      <c r="B788" s="284"/>
      <c r="C788" s="284"/>
      <c r="D788" s="284"/>
      <c r="E788" s="284"/>
      <c r="F788" s="284"/>
      <c r="G788" s="284"/>
      <c r="H788" s="284"/>
      <c r="I788" s="284"/>
      <c r="J788" s="284"/>
      <c r="K788" s="284"/>
      <c r="L788" s="284"/>
      <c r="M788" s="284"/>
      <c r="N788" s="284"/>
      <c r="O788" s="284"/>
      <c r="P788" s="284"/>
      <c r="Q788" s="284"/>
      <c r="R788" s="284"/>
      <c r="S788" s="284"/>
      <c r="T788" s="284"/>
      <c r="U788" s="284"/>
      <c r="V788" s="284"/>
      <c r="W788" s="284"/>
      <c r="X788" s="284"/>
      <c r="Y788" s="284"/>
      <c r="Z788" s="284"/>
      <c r="AA788" s="284"/>
      <c r="AB788" s="284"/>
      <c r="AC788" s="284"/>
      <c r="AD788" s="284"/>
      <c r="AE788" s="284"/>
    </row>
    <row r="789">
      <c r="A789" s="284"/>
      <c r="B789" s="284"/>
      <c r="C789" s="284"/>
      <c r="D789" s="284"/>
      <c r="E789" s="284"/>
      <c r="F789" s="284"/>
      <c r="G789" s="284"/>
      <c r="H789" s="284"/>
      <c r="I789" s="284"/>
      <c r="J789" s="284"/>
      <c r="K789" s="284"/>
      <c r="L789" s="284"/>
      <c r="M789" s="284"/>
      <c r="N789" s="284"/>
      <c r="O789" s="284"/>
      <c r="P789" s="284"/>
      <c r="Q789" s="284"/>
      <c r="R789" s="284"/>
      <c r="S789" s="284"/>
      <c r="T789" s="284"/>
      <c r="U789" s="284"/>
      <c r="V789" s="284"/>
      <c r="W789" s="284"/>
      <c r="X789" s="284"/>
      <c r="Y789" s="284"/>
      <c r="Z789" s="284"/>
      <c r="AA789" s="284"/>
      <c r="AB789" s="284"/>
      <c r="AC789" s="284"/>
      <c r="AD789" s="284"/>
      <c r="AE789" s="284"/>
    </row>
    <row r="790">
      <c r="A790" s="284"/>
      <c r="B790" s="284"/>
      <c r="C790" s="284"/>
      <c r="D790" s="284"/>
      <c r="E790" s="284"/>
      <c r="F790" s="284"/>
      <c r="G790" s="284"/>
      <c r="H790" s="284"/>
      <c r="I790" s="284"/>
      <c r="J790" s="284"/>
      <c r="K790" s="284"/>
      <c r="L790" s="284"/>
      <c r="M790" s="284"/>
      <c r="N790" s="284"/>
      <c r="O790" s="284"/>
      <c r="P790" s="284"/>
      <c r="Q790" s="284"/>
      <c r="R790" s="284"/>
      <c r="S790" s="284"/>
      <c r="T790" s="284"/>
      <c r="U790" s="284"/>
      <c r="V790" s="284"/>
      <c r="W790" s="284"/>
      <c r="X790" s="284"/>
      <c r="Y790" s="284"/>
      <c r="Z790" s="284"/>
      <c r="AA790" s="284"/>
      <c r="AB790" s="284"/>
      <c r="AC790" s="284"/>
      <c r="AD790" s="284"/>
      <c r="AE790" s="284"/>
    </row>
    <row r="791">
      <c r="A791" s="284"/>
      <c r="B791" s="284"/>
      <c r="C791" s="284"/>
      <c r="D791" s="284"/>
      <c r="E791" s="284"/>
      <c r="F791" s="284"/>
      <c r="G791" s="284"/>
      <c r="H791" s="284"/>
      <c r="I791" s="284"/>
      <c r="J791" s="284"/>
      <c r="K791" s="284"/>
      <c r="L791" s="284"/>
      <c r="M791" s="284"/>
      <c r="N791" s="284"/>
      <c r="O791" s="284"/>
      <c r="P791" s="284"/>
      <c r="Q791" s="284"/>
      <c r="R791" s="284"/>
      <c r="S791" s="284"/>
      <c r="T791" s="284"/>
      <c r="U791" s="284"/>
      <c r="V791" s="284"/>
      <c r="W791" s="284"/>
      <c r="X791" s="284"/>
      <c r="Y791" s="284"/>
      <c r="Z791" s="284"/>
      <c r="AA791" s="284"/>
      <c r="AB791" s="284"/>
      <c r="AC791" s="284"/>
      <c r="AD791" s="284"/>
      <c r="AE791" s="284"/>
    </row>
    <row r="792">
      <c r="A792" s="284"/>
      <c r="B792" s="284"/>
      <c r="C792" s="284"/>
      <c r="D792" s="284"/>
      <c r="E792" s="284"/>
      <c r="F792" s="284"/>
      <c r="G792" s="284"/>
      <c r="H792" s="284"/>
      <c r="I792" s="284"/>
      <c r="J792" s="284"/>
      <c r="K792" s="284"/>
      <c r="L792" s="284"/>
      <c r="M792" s="284"/>
      <c r="N792" s="284"/>
      <c r="O792" s="284"/>
      <c r="P792" s="284"/>
      <c r="Q792" s="284"/>
      <c r="R792" s="284"/>
      <c r="S792" s="284"/>
      <c r="T792" s="284"/>
      <c r="U792" s="284"/>
      <c r="V792" s="284"/>
      <c r="W792" s="284"/>
      <c r="X792" s="284"/>
      <c r="Y792" s="284"/>
      <c r="Z792" s="284"/>
      <c r="AA792" s="284"/>
      <c r="AB792" s="284"/>
      <c r="AC792" s="284"/>
      <c r="AD792" s="284"/>
      <c r="AE792" s="284"/>
    </row>
    <row r="793">
      <c r="A793" s="284"/>
      <c r="B793" s="284"/>
      <c r="C793" s="284"/>
      <c r="D793" s="284"/>
      <c r="E793" s="284"/>
      <c r="F793" s="284"/>
      <c r="G793" s="284"/>
      <c r="H793" s="284"/>
      <c r="I793" s="284"/>
      <c r="J793" s="284"/>
      <c r="K793" s="284"/>
      <c r="L793" s="284"/>
      <c r="M793" s="284"/>
      <c r="N793" s="284"/>
      <c r="O793" s="284"/>
      <c r="P793" s="284"/>
      <c r="Q793" s="284"/>
      <c r="R793" s="284"/>
      <c r="S793" s="284"/>
      <c r="T793" s="284"/>
      <c r="U793" s="284"/>
      <c r="V793" s="284"/>
      <c r="W793" s="284"/>
      <c r="X793" s="284"/>
      <c r="Y793" s="284"/>
      <c r="Z793" s="284"/>
      <c r="AA793" s="284"/>
      <c r="AB793" s="284"/>
      <c r="AC793" s="284"/>
      <c r="AD793" s="284"/>
      <c r="AE793" s="284"/>
    </row>
    <row r="794">
      <c r="A794" s="284"/>
      <c r="B794" s="284"/>
      <c r="C794" s="284"/>
      <c r="D794" s="284"/>
      <c r="E794" s="284"/>
      <c r="F794" s="284"/>
      <c r="G794" s="284"/>
      <c r="H794" s="284"/>
      <c r="I794" s="284"/>
      <c r="J794" s="284"/>
      <c r="K794" s="284"/>
      <c r="L794" s="284"/>
      <c r="M794" s="284"/>
      <c r="N794" s="284"/>
      <c r="O794" s="284"/>
      <c r="P794" s="284"/>
      <c r="Q794" s="284"/>
      <c r="R794" s="284"/>
      <c r="S794" s="284"/>
      <c r="T794" s="284"/>
      <c r="U794" s="284"/>
      <c r="V794" s="284"/>
      <c r="W794" s="284"/>
      <c r="X794" s="284"/>
      <c r="Y794" s="284"/>
      <c r="Z794" s="284"/>
      <c r="AA794" s="284"/>
      <c r="AB794" s="284"/>
      <c r="AC794" s="284"/>
      <c r="AD794" s="284"/>
      <c r="AE794" s="284"/>
    </row>
    <row r="795">
      <c r="A795" s="284"/>
      <c r="B795" s="284"/>
      <c r="C795" s="284"/>
      <c r="D795" s="284"/>
      <c r="E795" s="284"/>
      <c r="F795" s="284"/>
      <c r="G795" s="284"/>
      <c r="H795" s="284"/>
      <c r="I795" s="284"/>
      <c r="J795" s="284"/>
      <c r="K795" s="284"/>
      <c r="L795" s="284"/>
      <c r="M795" s="284"/>
      <c r="N795" s="284"/>
      <c r="O795" s="284"/>
      <c r="P795" s="284"/>
      <c r="Q795" s="284"/>
      <c r="R795" s="284"/>
      <c r="S795" s="284"/>
      <c r="T795" s="284"/>
      <c r="U795" s="284"/>
      <c r="V795" s="284"/>
      <c r="W795" s="284"/>
      <c r="X795" s="284"/>
      <c r="Y795" s="284"/>
      <c r="Z795" s="284"/>
      <c r="AA795" s="284"/>
      <c r="AB795" s="284"/>
      <c r="AC795" s="284"/>
      <c r="AD795" s="284"/>
      <c r="AE795" s="284"/>
    </row>
    <row r="796">
      <c r="A796" s="284"/>
      <c r="B796" s="284"/>
      <c r="C796" s="284"/>
      <c r="D796" s="284"/>
      <c r="E796" s="284"/>
      <c r="F796" s="284"/>
      <c r="G796" s="284"/>
      <c r="H796" s="284"/>
      <c r="I796" s="284"/>
      <c r="J796" s="284"/>
      <c r="K796" s="284"/>
      <c r="L796" s="284"/>
      <c r="M796" s="284"/>
      <c r="N796" s="284"/>
      <c r="O796" s="284"/>
      <c r="P796" s="284"/>
      <c r="Q796" s="284"/>
      <c r="R796" s="284"/>
      <c r="S796" s="284"/>
      <c r="T796" s="284"/>
      <c r="U796" s="284"/>
      <c r="V796" s="284"/>
      <c r="W796" s="284"/>
      <c r="X796" s="284"/>
      <c r="Y796" s="284"/>
      <c r="Z796" s="284"/>
      <c r="AA796" s="284"/>
      <c r="AB796" s="284"/>
      <c r="AC796" s="284"/>
      <c r="AD796" s="284"/>
      <c r="AE796" s="284"/>
    </row>
    <row r="797">
      <c r="A797" s="284"/>
      <c r="B797" s="284"/>
      <c r="C797" s="284"/>
      <c r="D797" s="284"/>
      <c r="E797" s="284"/>
      <c r="F797" s="284"/>
      <c r="G797" s="284"/>
      <c r="H797" s="284"/>
      <c r="I797" s="284"/>
      <c r="J797" s="284"/>
      <c r="K797" s="284"/>
      <c r="L797" s="284"/>
      <c r="M797" s="284"/>
      <c r="N797" s="284"/>
      <c r="O797" s="284"/>
      <c r="P797" s="284"/>
      <c r="Q797" s="284"/>
      <c r="R797" s="284"/>
      <c r="S797" s="284"/>
      <c r="T797" s="284"/>
      <c r="U797" s="284"/>
      <c r="V797" s="284"/>
      <c r="W797" s="284"/>
      <c r="X797" s="284"/>
      <c r="Y797" s="284"/>
      <c r="Z797" s="284"/>
      <c r="AA797" s="284"/>
      <c r="AB797" s="284"/>
      <c r="AC797" s="284"/>
      <c r="AD797" s="284"/>
      <c r="AE797" s="284"/>
    </row>
    <row r="798">
      <c r="A798" s="284"/>
      <c r="B798" s="284"/>
      <c r="C798" s="284"/>
      <c r="D798" s="284"/>
      <c r="E798" s="284"/>
      <c r="F798" s="284"/>
      <c r="G798" s="284"/>
      <c r="H798" s="284"/>
      <c r="I798" s="284"/>
      <c r="J798" s="284"/>
      <c r="K798" s="284"/>
      <c r="L798" s="284"/>
      <c r="M798" s="284"/>
      <c r="N798" s="284"/>
      <c r="O798" s="284"/>
      <c r="P798" s="284"/>
      <c r="Q798" s="284"/>
      <c r="R798" s="284"/>
      <c r="S798" s="284"/>
      <c r="T798" s="284"/>
      <c r="U798" s="284"/>
      <c r="V798" s="284"/>
      <c r="W798" s="284"/>
      <c r="X798" s="284"/>
      <c r="Y798" s="284"/>
      <c r="Z798" s="284"/>
      <c r="AA798" s="284"/>
      <c r="AB798" s="284"/>
      <c r="AC798" s="284"/>
      <c r="AD798" s="284"/>
      <c r="AE798" s="284"/>
    </row>
    <row r="799">
      <c r="A799" s="284"/>
      <c r="B799" s="284"/>
      <c r="C799" s="284"/>
      <c r="D799" s="284"/>
      <c r="E799" s="284"/>
      <c r="F799" s="284"/>
      <c r="G799" s="284"/>
      <c r="H799" s="284"/>
      <c r="I799" s="284"/>
      <c r="J799" s="284"/>
      <c r="K799" s="284"/>
      <c r="L799" s="284"/>
      <c r="M799" s="284"/>
      <c r="N799" s="284"/>
      <c r="O799" s="284"/>
      <c r="P799" s="284"/>
      <c r="Q799" s="284"/>
      <c r="R799" s="284"/>
      <c r="S799" s="284"/>
      <c r="T799" s="284"/>
      <c r="U799" s="284"/>
      <c r="V799" s="284"/>
      <c r="W799" s="284"/>
      <c r="X799" s="284"/>
      <c r="Y799" s="284"/>
      <c r="Z799" s="284"/>
      <c r="AA799" s="284"/>
      <c r="AB799" s="284"/>
      <c r="AC799" s="284"/>
      <c r="AD799" s="284"/>
      <c r="AE799" s="284"/>
    </row>
    <row r="800">
      <c r="A800" s="284"/>
      <c r="B800" s="284"/>
      <c r="C800" s="284"/>
      <c r="D800" s="284"/>
      <c r="E800" s="284"/>
      <c r="F800" s="284"/>
      <c r="G800" s="284"/>
      <c r="H800" s="284"/>
      <c r="I800" s="284"/>
      <c r="J800" s="284"/>
      <c r="K800" s="284"/>
      <c r="L800" s="284"/>
      <c r="M800" s="284"/>
      <c r="N800" s="284"/>
      <c r="O800" s="284"/>
      <c r="P800" s="284"/>
      <c r="Q800" s="284"/>
      <c r="R800" s="284"/>
      <c r="S800" s="284"/>
      <c r="T800" s="284"/>
      <c r="U800" s="284"/>
      <c r="V800" s="284"/>
      <c r="W800" s="284"/>
      <c r="X800" s="284"/>
      <c r="Y800" s="284"/>
      <c r="Z800" s="284"/>
      <c r="AA800" s="284"/>
      <c r="AB800" s="284"/>
      <c r="AC800" s="284"/>
      <c r="AD800" s="284"/>
      <c r="AE800" s="284"/>
    </row>
    <row r="801">
      <c r="A801" s="284"/>
      <c r="B801" s="284"/>
      <c r="C801" s="284"/>
      <c r="D801" s="284"/>
      <c r="E801" s="284"/>
      <c r="F801" s="284"/>
      <c r="G801" s="284"/>
      <c r="H801" s="284"/>
      <c r="I801" s="284"/>
      <c r="J801" s="284"/>
      <c r="K801" s="284"/>
      <c r="L801" s="284"/>
      <c r="M801" s="284"/>
      <c r="N801" s="284"/>
      <c r="O801" s="284"/>
      <c r="P801" s="284"/>
      <c r="Q801" s="284"/>
      <c r="R801" s="284"/>
      <c r="S801" s="284"/>
      <c r="T801" s="284"/>
      <c r="U801" s="284"/>
      <c r="V801" s="284"/>
      <c r="W801" s="284"/>
      <c r="X801" s="284"/>
      <c r="Y801" s="284"/>
      <c r="Z801" s="284"/>
      <c r="AA801" s="284"/>
      <c r="AB801" s="284"/>
      <c r="AC801" s="284"/>
      <c r="AD801" s="284"/>
      <c r="AE801" s="284"/>
    </row>
    <row r="802">
      <c r="A802" s="284"/>
      <c r="B802" s="284"/>
      <c r="C802" s="284"/>
      <c r="D802" s="284"/>
      <c r="E802" s="284"/>
      <c r="F802" s="284"/>
      <c r="G802" s="284"/>
      <c r="H802" s="284"/>
      <c r="I802" s="284"/>
      <c r="J802" s="284"/>
      <c r="K802" s="284"/>
      <c r="L802" s="284"/>
      <c r="M802" s="284"/>
      <c r="N802" s="284"/>
      <c r="O802" s="284"/>
      <c r="P802" s="284"/>
      <c r="Q802" s="284"/>
      <c r="R802" s="284"/>
      <c r="S802" s="284"/>
      <c r="T802" s="284"/>
      <c r="U802" s="284"/>
      <c r="V802" s="284"/>
      <c r="W802" s="284"/>
      <c r="X802" s="284"/>
      <c r="Y802" s="284"/>
      <c r="Z802" s="284"/>
      <c r="AA802" s="284"/>
      <c r="AB802" s="284"/>
      <c r="AC802" s="284"/>
      <c r="AD802" s="284"/>
      <c r="AE802" s="284"/>
    </row>
    <row r="803">
      <c r="A803" s="284"/>
      <c r="B803" s="284"/>
      <c r="C803" s="284"/>
      <c r="D803" s="284"/>
      <c r="E803" s="284"/>
      <c r="F803" s="284"/>
      <c r="G803" s="284"/>
      <c r="H803" s="284"/>
      <c r="I803" s="284"/>
      <c r="J803" s="284"/>
      <c r="K803" s="284"/>
      <c r="L803" s="284"/>
      <c r="M803" s="284"/>
      <c r="N803" s="284"/>
      <c r="O803" s="284"/>
      <c r="P803" s="284"/>
      <c r="Q803" s="284"/>
      <c r="R803" s="284"/>
      <c r="S803" s="284"/>
      <c r="T803" s="284"/>
      <c r="U803" s="284"/>
      <c r="V803" s="284"/>
      <c r="W803" s="284"/>
      <c r="X803" s="284"/>
      <c r="Y803" s="284"/>
      <c r="Z803" s="284"/>
      <c r="AA803" s="284"/>
      <c r="AB803" s="284"/>
      <c r="AC803" s="284"/>
      <c r="AD803" s="284"/>
      <c r="AE803" s="284"/>
    </row>
    <row r="804">
      <c r="A804" s="284"/>
      <c r="B804" s="284"/>
      <c r="C804" s="284"/>
      <c r="D804" s="284"/>
      <c r="E804" s="284"/>
      <c r="F804" s="284"/>
      <c r="G804" s="284"/>
      <c r="H804" s="284"/>
      <c r="I804" s="284"/>
      <c r="J804" s="284"/>
      <c r="K804" s="284"/>
      <c r="L804" s="284"/>
      <c r="M804" s="284"/>
      <c r="N804" s="284"/>
      <c r="O804" s="284"/>
      <c r="P804" s="284"/>
      <c r="Q804" s="284"/>
      <c r="R804" s="284"/>
      <c r="S804" s="284"/>
      <c r="T804" s="284"/>
      <c r="U804" s="284"/>
      <c r="V804" s="284"/>
      <c r="W804" s="284"/>
      <c r="X804" s="284"/>
      <c r="Y804" s="284"/>
      <c r="Z804" s="284"/>
      <c r="AA804" s="284"/>
      <c r="AB804" s="284"/>
      <c r="AC804" s="284"/>
      <c r="AD804" s="284"/>
      <c r="AE804" s="284"/>
    </row>
    <row r="805">
      <c r="A805" s="284"/>
      <c r="B805" s="284"/>
      <c r="C805" s="284"/>
      <c r="D805" s="284"/>
      <c r="E805" s="284"/>
      <c r="F805" s="284"/>
      <c r="G805" s="284"/>
      <c r="H805" s="284"/>
      <c r="I805" s="284"/>
      <c r="J805" s="284"/>
      <c r="K805" s="284"/>
      <c r="L805" s="284"/>
      <c r="M805" s="284"/>
      <c r="N805" s="284"/>
      <c r="O805" s="284"/>
      <c r="P805" s="284"/>
      <c r="Q805" s="284"/>
      <c r="R805" s="284"/>
      <c r="S805" s="284"/>
      <c r="T805" s="284"/>
      <c r="U805" s="284"/>
      <c r="V805" s="284"/>
      <c r="W805" s="284"/>
      <c r="X805" s="284"/>
      <c r="Y805" s="284"/>
      <c r="Z805" s="284"/>
      <c r="AA805" s="284"/>
      <c r="AB805" s="284"/>
      <c r="AC805" s="284"/>
      <c r="AD805" s="284"/>
      <c r="AE805" s="284"/>
    </row>
    <row r="806">
      <c r="A806" s="284"/>
      <c r="B806" s="284"/>
      <c r="C806" s="284"/>
      <c r="D806" s="284"/>
      <c r="E806" s="284"/>
      <c r="F806" s="284"/>
      <c r="G806" s="284"/>
      <c r="H806" s="284"/>
      <c r="I806" s="284"/>
      <c r="J806" s="284"/>
      <c r="K806" s="284"/>
      <c r="L806" s="284"/>
      <c r="M806" s="284"/>
      <c r="N806" s="284"/>
      <c r="O806" s="284"/>
      <c r="P806" s="284"/>
      <c r="Q806" s="284"/>
      <c r="R806" s="284"/>
      <c r="S806" s="284"/>
      <c r="T806" s="284"/>
      <c r="U806" s="284"/>
      <c r="V806" s="284"/>
      <c r="W806" s="284"/>
      <c r="X806" s="284"/>
      <c r="Y806" s="284"/>
      <c r="Z806" s="284"/>
      <c r="AA806" s="284"/>
      <c r="AB806" s="284"/>
      <c r="AC806" s="284"/>
      <c r="AD806" s="284"/>
      <c r="AE806" s="284"/>
    </row>
    <row r="807">
      <c r="A807" s="284"/>
      <c r="B807" s="284"/>
      <c r="C807" s="284"/>
      <c r="D807" s="284"/>
      <c r="E807" s="284"/>
      <c r="F807" s="284"/>
      <c r="G807" s="284"/>
      <c r="H807" s="284"/>
      <c r="I807" s="284"/>
      <c r="J807" s="284"/>
      <c r="K807" s="284"/>
      <c r="L807" s="284"/>
      <c r="M807" s="284"/>
      <c r="N807" s="284"/>
      <c r="O807" s="284"/>
      <c r="P807" s="284"/>
      <c r="Q807" s="284"/>
      <c r="R807" s="284"/>
      <c r="S807" s="284"/>
      <c r="T807" s="284"/>
      <c r="U807" s="284"/>
      <c r="V807" s="284"/>
      <c r="W807" s="284"/>
      <c r="X807" s="284"/>
      <c r="Y807" s="284"/>
      <c r="Z807" s="284"/>
      <c r="AA807" s="284"/>
      <c r="AB807" s="284"/>
      <c r="AC807" s="284"/>
      <c r="AD807" s="284"/>
      <c r="AE807" s="284"/>
    </row>
    <row r="808">
      <c r="A808" s="284"/>
      <c r="B808" s="284"/>
      <c r="C808" s="284"/>
      <c r="D808" s="284"/>
      <c r="E808" s="284"/>
      <c r="F808" s="284"/>
      <c r="G808" s="284"/>
      <c r="H808" s="284"/>
      <c r="I808" s="284"/>
      <c r="J808" s="284"/>
      <c r="K808" s="284"/>
      <c r="L808" s="284"/>
      <c r="M808" s="284"/>
      <c r="N808" s="284"/>
      <c r="O808" s="284"/>
      <c r="P808" s="284"/>
      <c r="Q808" s="284"/>
      <c r="R808" s="284"/>
      <c r="S808" s="284"/>
      <c r="T808" s="284"/>
      <c r="U808" s="284"/>
      <c r="V808" s="284"/>
      <c r="W808" s="284"/>
      <c r="X808" s="284"/>
      <c r="Y808" s="284"/>
      <c r="Z808" s="284"/>
      <c r="AA808" s="284"/>
      <c r="AB808" s="284"/>
      <c r="AC808" s="284"/>
      <c r="AD808" s="284"/>
      <c r="AE808" s="284"/>
    </row>
    <row r="809">
      <c r="A809" s="284"/>
      <c r="B809" s="284"/>
      <c r="C809" s="284"/>
      <c r="D809" s="284"/>
      <c r="E809" s="284"/>
      <c r="F809" s="284"/>
      <c r="G809" s="284"/>
      <c r="H809" s="284"/>
      <c r="I809" s="284"/>
      <c r="J809" s="284"/>
      <c r="K809" s="284"/>
      <c r="L809" s="284"/>
      <c r="M809" s="284"/>
      <c r="N809" s="284"/>
      <c r="O809" s="284"/>
      <c r="P809" s="284"/>
      <c r="Q809" s="284"/>
      <c r="R809" s="284"/>
      <c r="S809" s="284"/>
      <c r="T809" s="284"/>
      <c r="U809" s="284"/>
      <c r="V809" s="284"/>
      <c r="W809" s="284"/>
      <c r="X809" s="284"/>
      <c r="Y809" s="284"/>
      <c r="Z809" s="284"/>
      <c r="AA809" s="284"/>
      <c r="AB809" s="284"/>
      <c r="AC809" s="284"/>
      <c r="AD809" s="284"/>
      <c r="AE809" s="284"/>
    </row>
    <row r="810">
      <c r="A810" s="284"/>
      <c r="B810" s="284"/>
      <c r="C810" s="284"/>
      <c r="D810" s="284"/>
      <c r="E810" s="284"/>
      <c r="F810" s="284"/>
      <c r="G810" s="284"/>
      <c r="H810" s="284"/>
      <c r="I810" s="284"/>
      <c r="J810" s="284"/>
      <c r="K810" s="284"/>
      <c r="L810" s="284"/>
      <c r="M810" s="284"/>
      <c r="N810" s="284"/>
      <c r="O810" s="284"/>
      <c r="P810" s="284"/>
      <c r="Q810" s="284"/>
      <c r="R810" s="284"/>
      <c r="S810" s="284"/>
      <c r="T810" s="284"/>
      <c r="U810" s="284"/>
      <c r="V810" s="284"/>
      <c r="W810" s="284"/>
      <c r="X810" s="284"/>
      <c r="Y810" s="284"/>
      <c r="Z810" s="284"/>
      <c r="AA810" s="284"/>
      <c r="AB810" s="284"/>
      <c r="AC810" s="284"/>
      <c r="AD810" s="284"/>
      <c r="AE810" s="284"/>
    </row>
    <row r="811">
      <c r="A811" s="284"/>
      <c r="B811" s="284"/>
      <c r="C811" s="284"/>
      <c r="D811" s="284"/>
      <c r="E811" s="284"/>
      <c r="F811" s="284"/>
      <c r="G811" s="284"/>
      <c r="H811" s="284"/>
      <c r="I811" s="284"/>
      <c r="J811" s="284"/>
      <c r="K811" s="284"/>
      <c r="L811" s="284"/>
      <c r="M811" s="284"/>
      <c r="N811" s="284"/>
      <c r="O811" s="284"/>
      <c r="P811" s="284"/>
      <c r="Q811" s="284"/>
      <c r="R811" s="284"/>
      <c r="S811" s="284"/>
      <c r="T811" s="284"/>
      <c r="U811" s="284"/>
      <c r="V811" s="284"/>
      <c r="W811" s="284"/>
      <c r="X811" s="284"/>
      <c r="Y811" s="284"/>
      <c r="Z811" s="284"/>
      <c r="AA811" s="284"/>
      <c r="AB811" s="284"/>
      <c r="AC811" s="284"/>
      <c r="AD811" s="284"/>
      <c r="AE811" s="284"/>
    </row>
    <row r="812">
      <c r="A812" s="284"/>
      <c r="B812" s="284"/>
      <c r="C812" s="284"/>
      <c r="D812" s="284"/>
      <c r="E812" s="284"/>
      <c r="F812" s="284"/>
      <c r="G812" s="284"/>
      <c r="H812" s="284"/>
      <c r="I812" s="284"/>
      <c r="J812" s="284"/>
      <c r="K812" s="284"/>
      <c r="L812" s="284"/>
      <c r="M812" s="284"/>
      <c r="N812" s="284"/>
      <c r="O812" s="284"/>
      <c r="P812" s="284"/>
      <c r="Q812" s="284"/>
      <c r="R812" s="284"/>
      <c r="S812" s="284"/>
      <c r="T812" s="284"/>
      <c r="U812" s="284"/>
      <c r="V812" s="284"/>
      <c r="W812" s="284"/>
      <c r="X812" s="284"/>
      <c r="Y812" s="284"/>
      <c r="Z812" s="284"/>
      <c r="AA812" s="284"/>
      <c r="AB812" s="284"/>
      <c r="AC812" s="284"/>
      <c r="AD812" s="284"/>
      <c r="AE812" s="284"/>
    </row>
    <row r="813">
      <c r="A813" s="284"/>
      <c r="B813" s="284"/>
      <c r="C813" s="284"/>
      <c r="D813" s="284"/>
      <c r="E813" s="284"/>
      <c r="F813" s="284"/>
      <c r="G813" s="284"/>
      <c r="H813" s="284"/>
      <c r="I813" s="284"/>
      <c r="J813" s="284"/>
      <c r="K813" s="284"/>
      <c r="L813" s="284"/>
      <c r="M813" s="284"/>
      <c r="N813" s="284"/>
      <c r="O813" s="284"/>
      <c r="P813" s="284"/>
      <c r="Q813" s="284"/>
      <c r="R813" s="284"/>
      <c r="S813" s="284"/>
      <c r="T813" s="284"/>
      <c r="U813" s="284"/>
      <c r="V813" s="284"/>
      <c r="W813" s="284"/>
      <c r="X813" s="284"/>
      <c r="Y813" s="284"/>
      <c r="Z813" s="284"/>
      <c r="AA813" s="284"/>
      <c r="AB813" s="284"/>
      <c r="AC813" s="284"/>
      <c r="AD813" s="284"/>
      <c r="AE813" s="284"/>
    </row>
    <row r="814">
      <c r="A814" s="284"/>
      <c r="B814" s="284"/>
      <c r="C814" s="284"/>
      <c r="D814" s="284"/>
      <c r="E814" s="284"/>
      <c r="F814" s="284"/>
      <c r="G814" s="284"/>
      <c r="H814" s="284"/>
      <c r="I814" s="284"/>
      <c r="J814" s="284"/>
      <c r="K814" s="284"/>
      <c r="L814" s="284"/>
      <c r="M814" s="284"/>
      <c r="N814" s="284"/>
      <c r="O814" s="284"/>
      <c r="P814" s="284"/>
      <c r="Q814" s="284"/>
      <c r="R814" s="284"/>
      <c r="S814" s="284"/>
      <c r="T814" s="284"/>
      <c r="U814" s="284"/>
      <c r="V814" s="284"/>
      <c r="W814" s="284"/>
      <c r="X814" s="284"/>
      <c r="Y814" s="284"/>
      <c r="Z814" s="284"/>
      <c r="AA814" s="284"/>
      <c r="AB814" s="284"/>
      <c r="AC814" s="284"/>
      <c r="AD814" s="284"/>
      <c r="AE814" s="284"/>
    </row>
    <row r="815">
      <c r="A815" s="284"/>
      <c r="B815" s="284"/>
      <c r="C815" s="284"/>
      <c r="D815" s="284"/>
      <c r="E815" s="284"/>
      <c r="F815" s="284"/>
      <c r="G815" s="284"/>
      <c r="H815" s="284"/>
      <c r="I815" s="284"/>
      <c r="J815" s="284"/>
      <c r="K815" s="284"/>
      <c r="L815" s="284"/>
      <c r="M815" s="284"/>
      <c r="N815" s="284"/>
      <c r="O815" s="284"/>
      <c r="P815" s="284"/>
      <c r="Q815" s="284"/>
      <c r="R815" s="284"/>
      <c r="S815" s="284"/>
      <c r="T815" s="284"/>
      <c r="U815" s="284"/>
      <c r="V815" s="284"/>
      <c r="W815" s="284"/>
      <c r="X815" s="284"/>
      <c r="Y815" s="284"/>
      <c r="Z815" s="284"/>
      <c r="AA815" s="284"/>
      <c r="AB815" s="284"/>
      <c r="AC815" s="284"/>
      <c r="AD815" s="284"/>
      <c r="AE815" s="284"/>
    </row>
    <row r="816">
      <c r="A816" s="284"/>
      <c r="B816" s="284"/>
      <c r="C816" s="284"/>
      <c r="D816" s="284"/>
      <c r="E816" s="284"/>
      <c r="F816" s="284"/>
      <c r="G816" s="284"/>
      <c r="H816" s="284"/>
      <c r="I816" s="284"/>
      <c r="J816" s="284"/>
      <c r="K816" s="284"/>
      <c r="L816" s="284"/>
      <c r="M816" s="284"/>
      <c r="N816" s="284"/>
      <c r="O816" s="284"/>
      <c r="P816" s="284"/>
      <c r="Q816" s="284"/>
      <c r="R816" s="284"/>
      <c r="S816" s="284"/>
      <c r="T816" s="284"/>
      <c r="U816" s="284"/>
      <c r="V816" s="284"/>
      <c r="W816" s="284"/>
      <c r="X816" s="284"/>
      <c r="Y816" s="284"/>
      <c r="Z816" s="284"/>
      <c r="AA816" s="284"/>
      <c r="AB816" s="284"/>
      <c r="AC816" s="284"/>
      <c r="AD816" s="284"/>
      <c r="AE816" s="284"/>
    </row>
    <row r="817">
      <c r="A817" s="284"/>
      <c r="B817" s="284"/>
      <c r="C817" s="284"/>
      <c r="D817" s="284"/>
      <c r="E817" s="284"/>
      <c r="F817" s="284"/>
      <c r="G817" s="284"/>
      <c r="H817" s="284"/>
      <c r="I817" s="284"/>
      <c r="J817" s="284"/>
      <c r="K817" s="284"/>
      <c r="L817" s="284"/>
      <c r="M817" s="284"/>
      <c r="N817" s="284"/>
      <c r="O817" s="284"/>
      <c r="P817" s="284"/>
      <c r="Q817" s="284"/>
      <c r="R817" s="284"/>
      <c r="S817" s="284"/>
      <c r="T817" s="284"/>
      <c r="U817" s="284"/>
      <c r="V817" s="284"/>
      <c r="W817" s="284"/>
      <c r="X817" s="284"/>
      <c r="Y817" s="284"/>
      <c r="Z817" s="284"/>
      <c r="AA817" s="284"/>
      <c r="AB817" s="284"/>
      <c r="AC817" s="284"/>
      <c r="AD817" s="284"/>
      <c r="AE817" s="284"/>
    </row>
    <row r="818">
      <c r="A818" s="284"/>
      <c r="B818" s="284"/>
      <c r="C818" s="284"/>
      <c r="D818" s="284"/>
      <c r="E818" s="284"/>
      <c r="F818" s="284"/>
      <c r="G818" s="284"/>
      <c r="H818" s="284"/>
      <c r="I818" s="284"/>
      <c r="J818" s="284"/>
      <c r="K818" s="284"/>
      <c r="L818" s="284"/>
      <c r="M818" s="284"/>
      <c r="N818" s="284"/>
      <c r="O818" s="284"/>
      <c r="P818" s="284"/>
      <c r="Q818" s="284"/>
      <c r="R818" s="284"/>
      <c r="S818" s="284"/>
      <c r="T818" s="284"/>
      <c r="U818" s="284"/>
      <c r="V818" s="284"/>
      <c r="W818" s="284"/>
      <c r="X818" s="284"/>
      <c r="Y818" s="284"/>
      <c r="Z818" s="284"/>
      <c r="AA818" s="284"/>
      <c r="AB818" s="284"/>
      <c r="AC818" s="284"/>
      <c r="AD818" s="284"/>
      <c r="AE818" s="284"/>
    </row>
    <row r="819">
      <c r="A819" s="284"/>
      <c r="B819" s="284"/>
      <c r="C819" s="284"/>
      <c r="D819" s="284"/>
      <c r="E819" s="284"/>
      <c r="F819" s="284"/>
      <c r="G819" s="284"/>
      <c r="H819" s="284"/>
      <c r="I819" s="284"/>
      <c r="J819" s="284"/>
      <c r="K819" s="284"/>
      <c r="L819" s="284"/>
      <c r="M819" s="284"/>
      <c r="N819" s="284"/>
      <c r="O819" s="284"/>
      <c r="P819" s="284"/>
      <c r="Q819" s="284"/>
      <c r="R819" s="284"/>
      <c r="S819" s="284"/>
      <c r="T819" s="284"/>
      <c r="U819" s="284"/>
      <c r="V819" s="284"/>
      <c r="W819" s="284"/>
      <c r="X819" s="284"/>
      <c r="Y819" s="284"/>
      <c r="Z819" s="284"/>
      <c r="AA819" s="284"/>
      <c r="AB819" s="284"/>
      <c r="AC819" s="284"/>
      <c r="AD819" s="284"/>
      <c r="AE819" s="284"/>
    </row>
    <row r="820">
      <c r="A820" s="284"/>
      <c r="B820" s="284"/>
      <c r="C820" s="284"/>
      <c r="D820" s="284"/>
      <c r="E820" s="284"/>
      <c r="F820" s="284"/>
      <c r="G820" s="284"/>
      <c r="H820" s="284"/>
      <c r="I820" s="284"/>
      <c r="J820" s="284"/>
      <c r="K820" s="284"/>
      <c r="L820" s="284"/>
      <c r="M820" s="284"/>
      <c r="N820" s="284"/>
      <c r="O820" s="284"/>
      <c r="P820" s="284"/>
      <c r="Q820" s="284"/>
      <c r="R820" s="284"/>
      <c r="S820" s="284"/>
      <c r="T820" s="284"/>
      <c r="U820" s="284"/>
      <c r="V820" s="284"/>
      <c r="W820" s="284"/>
      <c r="X820" s="284"/>
      <c r="Y820" s="284"/>
      <c r="Z820" s="284"/>
      <c r="AA820" s="284"/>
      <c r="AB820" s="284"/>
      <c r="AC820" s="284"/>
      <c r="AD820" s="284"/>
      <c r="AE820" s="284"/>
    </row>
    <row r="821">
      <c r="A821" s="284"/>
      <c r="B821" s="284"/>
      <c r="C821" s="284"/>
      <c r="D821" s="284"/>
      <c r="E821" s="284"/>
      <c r="F821" s="284"/>
      <c r="G821" s="284"/>
      <c r="H821" s="284"/>
      <c r="I821" s="284"/>
      <c r="J821" s="284"/>
      <c r="K821" s="284"/>
      <c r="L821" s="284"/>
      <c r="M821" s="284"/>
      <c r="N821" s="284"/>
      <c r="O821" s="284"/>
      <c r="P821" s="284"/>
      <c r="Q821" s="284"/>
      <c r="R821" s="284"/>
      <c r="S821" s="284"/>
      <c r="T821" s="284"/>
      <c r="U821" s="284"/>
      <c r="V821" s="284"/>
      <c r="W821" s="284"/>
      <c r="X821" s="284"/>
      <c r="Y821" s="284"/>
      <c r="Z821" s="284"/>
      <c r="AA821" s="284"/>
      <c r="AB821" s="284"/>
      <c r="AC821" s="284"/>
      <c r="AD821" s="284"/>
      <c r="AE821" s="284"/>
    </row>
    <row r="822">
      <c r="A822" s="284"/>
      <c r="B822" s="284"/>
      <c r="C822" s="284"/>
      <c r="D822" s="284"/>
      <c r="E822" s="284"/>
      <c r="F822" s="284"/>
      <c r="G822" s="284"/>
      <c r="H822" s="284"/>
      <c r="I822" s="284"/>
      <c r="J822" s="284"/>
      <c r="K822" s="284"/>
      <c r="L822" s="284"/>
      <c r="M822" s="284"/>
      <c r="N822" s="284"/>
      <c r="O822" s="284"/>
      <c r="P822" s="284"/>
      <c r="Q822" s="284"/>
      <c r="R822" s="284"/>
      <c r="S822" s="284"/>
      <c r="T822" s="284"/>
      <c r="U822" s="284"/>
      <c r="V822" s="284"/>
      <c r="W822" s="284"/>
      <c r="X822" s="284"/>
      <c r="Y822" s="284"/>
      <c r="Z822" s="284"/>
      <c r="AA822" s="284"/>
      <c r="AB822" s="284"/>
      <c r="AC822" s="284"/>
      <c r="AD822" s="284"/>
      <c r="AE822" s="284"/>
    </row>
    <row r="823">
      <c r="A823" s="284"/>
      <c r="B823" s="284"/>
      <c r="C823" s="284"/>
      <c r="D823" s="284"/>
      <c r="E823" s="284"/>
      <c r="F823" s="284"/>
      <c r="G823" s="284"/>
      <c r="H823" s="284"/>
      <c r="I823" s="284"/>
      <c r="J823" s="284"/>
      <c r="K823" s="284"/>
      <c r="L823" s="284"/>
      <c r="M823" s="284"/>
      <c r="N823" s="284"/>
      <c r="O823" s="284"/>
      <c r="P823" s="284"/>
      <c r="Q823" s="284"/>
      <c r="R823" s="284"/>
      <c r="S823" s="284"/>
      <c r="T823" s="284"/>
      <c r="U823" s="284"/>
      <c r="V823" s="284"/>
      <c r="W823" s="284"/>
      <c r="X823" s="284"/>
      <c r="Y823" s="284"/>
      <c r="Z823" s="284"/>
      <c r="AA823" s="284"/>
      <c r="AB823" s="284"/>
      <c r="AC823" s="284"/>
      <c r="AD823" s="284"/>
      <c r="AE823" s="284"/>
    </row>
    <row r="824">
      <c r="A824" s="284"/>
      <c r="B824" s="284"/>
      <c r="C824" s="284"/>
      <c r="D824" s="284"/>
      <c r="E824" s="284"/>
      <c r="F824" s="284"/>
      <c r="G824" s="284"/>
      <c r="H824" s="284"/>
      <c r="I824" s="284"/>
      <c r="J824" s="284"/>
      <c r="K824" s="284"/>
      <c r="L824" s="284"/>
      <c r="M824" s="284"/>
      <c r="N824" s="284"/>
      <c r="O824" s="284"/>
      <c r="P824" s="284"/>
      <c r="Q824" s="284"/>
      <c r="R824" s="284"/>
      <c r="S824" s="284"/>
      <c r="T824" s="284"/>
      <c r="U824" s="284"/>
      <c r="V824" s="284"/>
      <c r="W824" s="284"/>
      <c r="X824" s="284"/>
      <c r="Y824" s="284"/>
      <c r="Z824" s="284"/>
      <c r="AA824" s="284"/>
      <c r="AB824" s="284"/>
      <c r="AC824" s="284"/>
      <c r="AD824" s="284"/>
      <c r="AE824" s="284"/>
    </row>
    <row r="825">
      <c r="A825" s="284"/>
      <c r="B825" s="284"/>
      <c r="C825" s="284"/>
      <c r="D825" s="284"/>
      <c r="E825" s="284"/>
      <c r="F825" s="284"/>
      <c r="G825" s="284"/>
      <c r="H825" s="284"/>
      <c r="I825" s="284"/>
      <c r="J825" s="284"/>
      <c r="K825" s="284"/>
      <c r="L825" s="284"/>
      <c r="M825" s="284"/>
      <c r="N825" s="284"/>
      <c r="O825" s="284"/>
      <c r="P825" s="284"/>
      <c r="Q825" s="284"/>
      <c r="R825" s="284"/>
      <c r="S825" s="284"/>
      <c r="T825" s="284"/>
      <c r="U825" s="284"/>
      <c r="V825" s="284"/>
      <c r="W825" s="284"/>
      <c r="X825" s="284"/>
      <c r="Y825" s="284"/>
      <c r="Z825" s="284"/>
      <c r="AA825" s="284"/>
      <c r="AB825" s="284"/>
      <c r="AC825" s="284"/>
      <c r="AD825" s="284"/>
      <c r="AE825" s="284"/>
    </row>
    <row r="826">
      <c r="A826" s="284"/>
      <c r="B826" s="284"/>
      <c r="C826" s="284"/>
      <c r="D826" s="284"/>
      <c r="E826" s="284"/>
      <c r="F826" s="284"/>
      <c r="G826" s="284"/>
      <c r="H826" s="284"/>
      <c r="I826" s="284"/>
      <c r="J826" s="284"/>
      <c r="K826" s="284"/>
      <c r="L826" s="284"/>
      <c r="M826" s="284"/>
      <c r="N826" s="284"/>
      <c r="O826" s="284"/>
      <c r="P826" s="284"/>
      <c r="Q826" s="284"/>
      <c r="R826" s="284"/>
      <c r="S826" s="284"/>
      <c r="T826" s="284"/>
      <c r="U826" s="284"/>
      <c r="V826" s="284"/>
      <c r="W826" s="284"/>
      <c r="X826" s="284"/>
      <c r="Y826" s="284"/>
      <c r="Z826" s="284"/>
      <c r="AA826" s="284"/>
      <c r="AB826" s="284"/>
      <c r="AC826" s="284"/>
      <c r="AD826" s="284"/>
      <c r="AE826" s="284"/>
    </row>
    <row r="827">
      <c r="A827" s="284"/>
      <c r="B827" s="284"/>
      <c r="C827" s="284"/>
      <c r="D827" s="284"/>
      <c r="E827" s="284"/>
      <c r="F827" s="284"/>
      <c r="G827" s="284"/>
      <c r="H827" s="284"/>
      <c r="I827" s="284"/>
      <c r="J827" s="284"/>
      <c r="K827" s="284"/>
      <c r="L827" s="284"/>
      <c r="M827" s="284"/>
      <c r="N827" s="284"/>
      <c r="O827" s="284"/>
      <c r="P827" s="284"/>
      <c r="Q827" s="284"/>
      <c r="R827" s="284"/>
      <c r="S827" s="284"/>
      <c r="T827" s="284"/>
      <c r="U827" s="284"/>
      <c r="V827" s="284"/>
      <c r="W827" s="284"/>
      <c r="X827" s="284"/>
      <c r="Y827" s="284"/>
      <c r="Z827" s="284"/>
      <c r="AA827" s="284"/>
      <c r="AB827" s="284"/>
      <c r="AC827" s="284"/>
      <c r="AD827" s="284"/>
      <c r="AE827" s="284"/>
    </row>
    <row r="828">
      <c r="A828" s="284"/>
      <c r="B828" s="284"/>
      <c r="C828" s="284"/>
      <c r="D828" s="284"/>
      <c r="E828" s="284"/>
      <c r="F828" s="284"/>
      <c r="G828" s="284"/>
      <c r="H828" s="284"/>
      <c r="I828" s="284"/>
      <c r="J828" s="284"/>
      <c r="K828" s="284"/>
      <c r="L828" s="284"/>
      <c r="M828" s="284"/>
      <c r="N828" s="284"/>
      <c r="O828" s="284"/>
      <c r="P828" s="284"/>
      <c r="Q828" s="284"/>
      <c r="R828" s="284"/>
      <c r="S828" s="284"/>
      <c r="T828" s="284"/>
      <c r="U828" s="284"/>
      <c r="V828" s="284"/>
      <c r="W828" s="284"/>
      <c r="X828" s="284"/>
      <c r="Y828" s="284"/>
      <c r="Z828" s="284"/>
      <c r="AA828" s="284"/>
      <c r="AB828" s="284"/>
      <c r="AC828" s="284"/>
      <c r="AD828" s="284"/>
      <c r="AE828" s="284"/>
    </row>
    <row r="829">
      <c r="A829" s="284"/>
      <c r="B829" s="284"/>
      <c r="C829" s="284"/>
      <c r="D829" s="284"/>
      <c r="E829" s="284"/>
      <c r="F829" s="284"/>
      <c r="G829" s="284"/>
      <c r="H829" s="284"/>
      <c r="I829" s="284"/>
      <c r="J829" s="284"/>
      <c r="K829" s="284"/>
      <c r="L829" s="284"/>
      <c r="M829" s="284"/>
      <c r="N829" s="284"/>
      <c r="O829" s="284"/>
      <c r="P829" s="284"/>
      <c r="Q829" s="284"/>
      <c r="R829" s="284"/>
      <c r="S829" s="284"/>
      <c r="T829" s="284"/>
      <c r="U829" s="284"/>
      <c r="V829" s="284"/>
      <c r="W829" s="284"/>
      <c r="X829" s="284"/>
      <c r="Y829" s="284"/>
      <c r="Z829" s="284"/>
      <c r="AA829" s="284"/>
      <c r="AB829" s="284"/>
      <c r="AC829" s="284"/>
      <c r="AD829" s="284"/>
      <c r="AE829" s="284"/>
    </row>
    <row r="830">
      <c r="A830" s="284"/>
      <c r="B830" s="284"/>
      <c r="C830" s="284"/>
      <c r="D830" s="284"/>
      <c r="E830" s="284"/>
      <c r="F830" s="284"/>
      <c r="G830" s="284"/>
      <c r="H830" s="284"/>
      <c r="I830" s="284"/>
      <c r="J830" s="284"/>
      <c r="K830" s="284"/>
      <c r="L830" s="284"/>
      <c r="M830" s="284"/>
      <c r="N830" s="284"/>
      <c r="O830" s="284"/>
      <c r="P830" s="284"/>
      <c r="Q830" s="284"/>
      <c r="R830" s="284"/>
      <c r="S830" s="284"/>
      <c r="T830" s="284"/>
      <c r="U830" s="284"/>
      <c r="V830" s="284"/>
      <c r="W830" s="284"/>
      <c r="X830" s="284"/>
      <c r="Y830" s="284"/>
      <c r="Z830" s="284"/>
      <c r="AA830" s="284"/>
      <c r="AB830" s="284"/>
      <c r="AC830" s="284"/>
      <c r="AD830" s="284"/>
      <c r="AE830" s="284"/>
    </row>
    <row r="831">
      <c r="A831" s="284"/>
      <c r="B831" s="284"/>
      <c r="C831" s="284"/>
      <c r="D831" s="284"/>
      <c r="E831" s="284"/>
      <c r="F831" s="284"/>
      <c r="G831" s="284"/>
      <c r="H831" s="284"/>
      <c r="I831" s="284"/>
      <c r="J831" s="284"/>
      <c r="K831" s="284"/>
      <c r="L831" s="284"/>
      <c r="M831" s="284"/>
      <c r="N831" s="284"/>
      <c r="O831" s="284"/>
      <c r="P831" s="284"/>
      <c r="Q831" s="284"/>
      <c r="R831" s="284"/>
      <c r="S831" s="284"/>
      <c r="T831" s="284"/>
      <c r="U831" s="284"/>
      <c r="V831" s="284"/>
      <c r="W831" s="284"/>
      <c r="X831" s="284"/>
      <c r="Y831" s="284"/>
      <c r="Z831" s="284"/>
      <c r="AA831" s="284"/>
      <c r="AB831" s="284"/>
      <c r="AC831" s="284"/>
      <c r="AD831" s="284"/>
      <c r="AE831" s="284"/>
    </row>
    <row r="832">
      <c r="A832" s="284"/>
      <c r="B832" s="284"/>
      <c r="C832" s="284"/>
      <c r="D832" s="284"/>
      <c r="E832" s="284"/>
      <c r="F832" s="284"/>
      <c r="G832" s="284"/>
      <c r="H832" s="284"/>
      <c r="I832" s="284"/>
      <c r="J832" s="284"/>
      <c r="K832" s="284"/>
      <c r="L832" s="284"/>
      <c r="M832" s="284"/>
      <c r="N832" s="284"/>
      <c r="O832" s="284"/>
      <c r="P832" s="284"/>
      <c r="Q832" s="284"/>
      <c r="R832" s="284"/>
      <c r="S832" s="284"/>
      <c r="T832" s="284"/>
      <c r="U832" s="284"/>
      <c r="V832" s="284"/>
      <c r="W832" s="284"/>
      <c r="X832" s="284"/>
      <c r="Y832" s="284"/>
      <c r="Z832" s="284"/>
      <c r="AA832" s="284"/>
      <c r="AB832" s="284"/>
      <c r="AC832" s="284"/>
      <c r="AD832" s="284"/>
      <c r="AE832" s="284"/>
    </row>
    <row r="833">
      <c r="A833" s="284"/>
      <c r="B833" s="284"/>
      <c r="C833" s="284"/>
      <c r="D833" s="284"/>
      <c r="E833" s="284"/>
      <c r="F833" s="284"/>
      <c r="G833" s="284"/>
      <c r="H833" s="284"/>
      <c r="I833" s="284"/>
      <c r="J833" s="284"/>
      <c r="K833" s="284"/>
      <c r="L833" s="284"/>
      <c r="M833" s="284"/>
      <c r="N833" s="284"/>
      <c r="O833" s="284"/>
      <c r="P833" s="284"/>
      <c r="Q833" s="284"/>
      <c r="R833" s="284"/>
      <c r="S833" s="284"/>
      <c r="T833" s="284"/>
      <c r="U833" s="284"/>
      <c r="V833" s="284"/>
      <c r="W833" s="284"/>
      <c r="X833" s="284"/>
      <c r="Y833" s="284"/>
      <c r="Z833" s="284"/>
      <c r="AA833" s="284"/>
      <c r="AB833" s="284"/>
      <c r="AC833" s="284"/>
      <c r="AD833" s="284"/>
      <c r="AE833" s="284"/>
    </row>
    <row r="834">
      <c r="A834" s="284"/>
      <c r="B834" s="284"/>
      <c r="C834" s="284"/>
      <c r="D834" s="284"/>
      <c r="E834" s="284"/>
      <c r="F834" s="284"/>
      <c r="G834" s="284"/>
      <c r="H834" s="284"/>
      <c r="I834" s="284"/>
      <c r="J834" s="284"/>
      <c r="K834" s="284"/>
      <c r="L834" s="284"/>
      <c r="M834" s="284"/>
      <c r="N834" s="284"/>
      <c r="O834" s="284"/>
      <c r="P834" s="284"/>
      <c r="Q834" s="284"/>
      <c r="R834" s="284"/>
      <c r="S834" s="284"/>
      <c r="T834" s="284"/>
      <c r="U834" s="284"/>
      <c r="V834" s="284"/>
      <c r="W834" s="284"/>
      <c r="X834" s="284"/>
      <c r="Y834" s="284"/>
      <c r="Z834" s="284"/>
      <c r="AA834" s="284"/>
      <c r="AB834" s="284"/>
      <c r="AC834" s="284"/>
      <c r="AD834" s="284"/>
      <c r="AE834" s="284"/>
    </row>
    <row r="835">
      <c r="A835" s="284"/>
      <c r="B835" s="284"/>
      <c r="C835" s="284"/>
      <c r="D835" s="284"/>
      <c r="E835" s="284"/>
      <c r="F835" s="284"/>
      <c r="G835" s="284"/>
      <c r="H835" s="284"/>
      <c r="I835" s="284"/>
      <c r="J835" s="284"/>
      <c r="K835" s="284"/>
      <c r="L835" s="284"/>
      <c r="M835" s="284"/>
      <c r="N835" s="284"/>
      <c r="O835" s="284"/>
      <c r="P835" s="284"/>
      <c r="Q835" s="284"/>
      <c r="R835" s="284"/>
      <c r="S835" s="284"/>
      <c r="T835" s="284"/>
      <c r="U835" s="284"/>
      <c r="V835" s="284"/>
      <c r="W835" s="284"/>
      <c r="X835" s="284"/>
      <c r="Y835" s="284"/>
      <c r="Z835" s="284"/>
      <c r="AA835" s="284"/>
      <c r="AB835" s="284"/>
      <c r="AC835" s="284"/>
      <c r="AD835" s="284"/>
      <c r="AE835" s="284"/>
    </row>
    <row r="836">
      <c r="A836" s="284"/>
      <c r="B836" s="284"/>
      <c r="C836" s="284"/>
      <c r="D836" s="284"/>
      <c r="E836" s="284"/>
      <c r="F836" s="284"/>
      <c r="G836" s="284"/>
      <c r="H836" s="284"/>
      <c r="I836" s="284"/>
      <c r="J836" s="284"/>
      <c r="K836" s="284"/>
      <c r="L836" s="284"/>
      <c r="M836" s="284"/>
      <c r="N836" s="284"/>
      <c r="O836" s="284"/>
      <c r="P836" s="284"/>
      <c r="Q836" s="284"/>
      <c r="R836" s="284"/>
      <c r="S836" s="284"/>
      <c r="T836" s="284"/>
      <c r="U836" s="284"/>
      <c r="V836" s="284"/>
      <c r="W836" s="284"/>
      <c r="X836" s="284"/>
      <c r="Y836" s="284"/>
      <c r="Z836" s="284"/>
      <c r="AA836" s="284"/>
      <c r="AB836" s="284"/>
      <c r="AC836" s="284"/>
      <c r="AD836" s="284"/>
      <c r="AE836" s="284"/>
    </row>
    <row r="837">
      <c r="A837" s="284"/>
      <c r="B837" s="284"/>
      <c r="C837" s="284"/>
      <c r="D837" s="284"/>
      <c r="E837" s="284"/>
      <c r="F837" s="284"/>
      <c r="G837" s="284"/>
      <c r="H837" s="284"/>
      <c r="I837" s="284"/>
      <c r="J837" s="284"/>
      <c r="K837" s="284"/>
      <c r="L837" s="284"/>
      <c r="M837" s="284"/>
      <c r="N837" s="284"/>
      <c r="O837" s="284"/>
      <c r="P837" s="284"/>
      <c r="Q837" s="284"/>
      <c r="R837" s="284"/>
      <c r="S837" s="284"/>
      <c r="T837" s="284"/>
      <c r="U837" s="284"/>
      <c r="V837" s="284"/>
      <c r="W837" s="284"/>
      <c r="X837" s="284"/>
      <c r="Y837" s="284"/>
      <c r="Z837" s="284"/>
      <c r="AA837" s="284"/>
      <c r="AB837" s="284"/>
      <c r="AC837" s="284"/>
      <c r="AD837" s="284"/>
      <c r="AE837" s="284"/>
    </row>
    <row r="838">
      <c r="A838" s="284"/>
      <c r="B838" s="284"/>
      <c r="C838" s="284"/>
      <c r="D838" s="284"/>
      <c r="E838" s="284"/>
      <c r="F838" s="284"/>
      <c r="G838" s="284"/>
      <c r="H838" s="284"/>
      <c r="I838" s="284"/>
      <c r="J838" s="284"/>
      <c r="K838" s="284"/>
      <c r="L838" s="284"/>
      <c r="M838" s="284"/>
      <c r="N838" s="284"/>
      <c r="O838" s="284"/>
      <c r="P838" s="284"/>
      <c r="Q838" s="284"/>
      <c r="R838" s="284"/>
      <c r="S838" s="284"/>
      <c r="T838" s="284"/>
      <c r="U838" s="284"/>
      <c r="V838" s="284"/>
      <c r="W838" s="284"/>
      <c r="X838" s="284"/>
      <c r="Y838" s="284"/>
      <c r="Z838" s="284"/>
      <c r="AA838" s="284"/>
      <c r="AB838" s="284"/>
      <c r="AC838" s="284"/>
      <c r="AD838" s="284"/>
      <c r="AE838" s="284"/>
    </row>
    <row r="839">
      <c r="A839" s="284"/>
      <c r="B839" s="284"/>
      <c r="C839" s="284"/>
      <c r="D839" s="284"/>
      <c r="E839" s="284"/>
      <c r="F839" s="284"/>
      <c r="G839" s="284"/>
      <c r="H839" s="284"/>
      <c r="I839" s="284"/>
      <c r="J839" s="284"/>
      <c r="K839" s="284"/>
      <c r="L839" s="284"/>
      <c r="M839" s="284"/>
      <c r="N839" s="284"/>
      <c r="O839" s="284"/>
      <c r="P839" s="284"/>
      <c r="Q839" s="284"/>
      <c r="R839" s="284"/>
      <c r="S839" s="284"/>
      <c r="T839" s="284"/>
      <c r="U839" s="284"/>
      <c r="V839" s="284"/>
      <c r="W839" s="284"/>
      <c r="X839" s="284"/>
      <c r="Y839" s="284"/>
      <c r="Z839" s="284"/>
      <c r="AA839" s="284"/>
      <c r="AB839" s="284"/>
      <c r="AC839" s="284"/>
      <c r="AD839" s="284"/>
      <c r="AE839" s="284"/>
    </row>
    <row r="840">
      <c r="A840" s="284"/>
      <c r="B840" s="284"/>
      <c r="C840" s="284"/>
      <c r="D840" s="284"/>
      <c r="E840" s="284"/>
      <c r="F840" s="284"/>
      <c r="G840" s="284"/>
      <c r="H840" s="284"/>
      <c r="I840" s="284"/>
      <c r="J840" s="284"/>
      <c r="K840" s="284"/>
      <c r="L840" s="284"/>
      <c r="M840" s="284"/>
      <c r="N840" s="284"/>
      <c r="O840" s="284"/>
      <c r="P840" s="284"/>
      <c r="Q840" s="284"/>
      <c r="R840" s="284"/>
      <c r="S840" s="284"/>
      <c r="T840" s="284"/>
      <c r="U840" s="284"/>
      <c r="V840" s="284"/>
      <c r="W840" s="284"/>
      <c r="X840" s="284"/>
      <c r="Y840" s="284"/>
      <c r="Z840" s="284"/>
      <c r="AA840" s="284"/>
      <c r="AB840" s="284"/>
      <c r="AC840" s="284"/>
      <c r="AD840" s="284"/>
      <c r="AE840" s="284"/>
    </row>
    <row r="841">
      <c r="A841" s="284"/>
      <c r="B841" s="284"/>
      <c r="C841" s="284"/>
      <c r="D841" s="284"/>
      <c r="E841" s="284"/>
      <c r="F841" s="284"/>
      <c r="G841" s="284"/>
      <c r="H841" s="284"/>
      <c r="I841" s="284"/>
      <c r="J841" s="284"/>
      <c r="K841" s="284"/>
      <c r="L841" s="284"/>
      <c r="M841" s="284"/>
      <c r="N841" s="284"/>
      <c r="O841" s="284"/>
      <c r="P841" s="284"/>
      <c r="Q841" s="284"/>
      <c r="R841" s="284"/>
      <c r="S841" s="284"/>
      <c r="T841" s="284"/>
      <c r="U841" s="284"/>
      <c r="V841" s="284"/>
      <c r="W841" s="284"/>
      <c r="X841" s="284"/>
      <c r="Y841" s="284"/>
      <c r="Z841" s="284"/>
      <c r="AA841" s="284"/>
      <c r="AB841" s="284"/>
      <c r="AC841" s="284"/>
      <c r="AD841" s="284"/>
      <c r="AE841" s="284"/>
    </row>
    <row r="842">
      <c r="A842" s="284"/>
      <c r="B842" s="284"/>
      <c r="C842" s="284"/>
      <c r="D842" s="284"/>
      <c r="E842" s="284"/>
      <c r="F842" s="284"/>
      <c r="G842" s="284"/>
      <c r="H842" s="284"/>
      <c r="I842" s="284"/>
      <c r="J842" s="284"/>
      <c r="K842" s="284"/>
      <c r="L842" s="284"/>
      <c r="M842" s="284"/>
      <c r="N842" s="284"/>
      <c r="O842" s="284"/>
      <c r="P842" s="284"/>
      <c r="Q842" s="284"/>
      <c r="R842" s="284"/>
      <c r="S842" s="284"/>
      <c r="T842" s="284"/>
      <c r="U842" s="284"/>
      <c r="V842" s="284"/>
      <c r="W842" s="284"/>
      <c r="X842" s="284"/>
      <c r="Y842" s="284"/>
      <c r="Z842" s="284"/>
      <c r="AA842" s="284"/>
      <c r="AB842" s="284"/>
      <c r="AC842" s="284"/>
      <c r="AD842" s="284"/>
      <c r="AE842" s="284"/>
    </row>
    <row r="843">
      <c r="A843" s="284"/>
      <c r="B843" s="284"/>
      <c r="C843" s="284"/>
      <c r="D843" s="284"/>
      <c r="E843" s="284"/>
      <c r="F843" s="284"/>
      <c r="G843" s="284"/>
      <c r="H843" s="284"/>
      <c r="I843" s="284"/>
      <c r="J843" s="284"/>
      <c r="K843" s="284"/>
      <c r="L843" s="284"/>
      <c r="M843" s="284"/>
      <c r="N843" s="284"/>
      <c r="O843" s="284"/>
      <c r="P843" s="284"/>
      <c r="Q843" s="284"/>
      <c r="R843" s="284"/>
      <c r="S843" s="284"/>
      <c r="T843" s="284"/>
      <c r="U843" s="284"/>
      <c r="V843" s="284"/>
      <c r="W843" s="284"/>
      <c r="X843" s="284"/>
      <c r="Y843" s="284"/>
      <c r="Z843" s="284"/>
      <c r="AA843" s="284"/>
      <c r="AB843" s="284"/>
      <c r="AC843" s="284"/>
      <c r="AD843" s="284"/>
      <c r="AE843" s="284"/>
    </row>
    <row r="844">
      <c r="A844" s="284"/>
      <c r="B844" s="284"/>
      <c r="C844" s="284"/>
      <c r="D844" s="284"/>
      <c r="E844" s="284"/>
      <c r="F844" s="284"/>
      <c r="G844" s="284"/>
      <c r="H844" s="284"/>
      <c r="I844" s="284"/>
      <c r="J844" s="284"/>
      <c r="K844" s="284"/>
      <c r="L844" s="284"/>
      <c r="M844" s="284"/>
      <c r="N844" s="284"/>
      <c r="O844" s="284"/>
      <c r="P844" s="284"/>
      <c r="Q844" s="284"/>
      <c r="R844" s="284"/>
      <c r="S844" s="284"/>
      <c r="T844" s="284"/>
      <c r="U844" s="284"/>
      <c r="V844" s="284"/>
      <c r="W844" s="284"/>
      <c r="X844" s="284"/>
      <c r="Y844" s="284"/>
      <c r="Z844" s="284"/>
      <c r="AA844" s="284"/>
      <c r="AB844" s="284"/>
      <c r="AC844" s="284"/>
      <c r="AD844" s="284"/>
      <c r="AE844" s="284"/>
    </row>
    <row r="845">
      <c r="A845" s="284"/>
      <c r="B845" s="284"/>
      <c r="C845" s="284"/>
      <c r="D845" s="284"/>
      <c r="E845" s="284"/>
      <c r="F845" s="284"/>
      <c r="G845" s="284"/>
      <c r="H845" s="284"/>
      <c r="I845" s="284"/>
      <c r="J845" s="284"/>
      <c r="K845" s="284"/>
      <c r="L845" s="284"/>
      <c r="M845" s="284"/>
      <c r="N845" s="284"/>
      <c r="O845" s="284"/>
      <c r="P845" s="284"/>
      <c r="Q845" s="284"/>
      <c r="R845" s="284"/>
      <c r="S845" s="284"/>
      <c r="T845" s="284"/>
      <c r="U845" s="284"/>
      <c r="V845" s="284"/>
      <c r="W845" s="284"/>
      <c r="X845" s="284"/>
      <c r="Y845" s="284"/>
      <c r="Z845" s="284"/>
      <c r="AA845" s="284"/>
      <c r="AB845" s="284"/>
      <c r="AC845" s="284"/>
      <c r="AD845" s="284"/>
      <c r="AE845" s="284"/>
    </row>
    <row r="846">
      <c r="A846" s="284"/>
      <c r="B846" s="284"/>
      <c r="C846" s="284"/>
      <c r="D846" s="284"/>
      <c r="E846" s="284"/>
      <c r="F846" s="284"/>
      <c r="G846" s="284"/>
      <c r="H846" s="284"/>
      <c r="I846" s="284"/>
      <c r="J846" s="284"/>
      <c r="K846" s="284"/>
      <c r="L846" s="284"/>
      <c r="M846" s="284"/>
      <c r="N846" s="284"/>
      <c r="O846" s="284"/>
      <c r="P846" s="284"/>
      <c r="Q846" s="284"/>
      <c r="R846" s="284"/>
      <c r="S846" s="284"/>
      <c r="T846" s="284"/>
      <c r="U846" s="284"/>
      <c r="V846" s="284"/>
      <c r="W846" s="284"/>
      <c r="X846" s="284"/>
      <c r="Y846" s="284"/>
      <c r="Z846" s="284"/>
      <c r="AA846" s="284"/>
      <c r="AB846" s="284"/>
      <c r="AC846" s="284"/>
      <c r="AD846" s="284"/>
      <c r="AE846" s="284"/>
    </row>
    <row r="847">
      <c r="A847" s="284"/>
      <c r="B847" s="284"/>
      <c r="C847" s="284"/>
      <c r="D847" s="284"/>
      <c r="E847" s="284"/>
      <c r="F847" s="284"/>
      <c r="G847" s="284"/>
      <c r="H847" s="284"/>
      <c r="I847" s="284"/>
      <c r="J847" s="284"/>
      <c r="K847" s="284"/>
      <c r="L847" s="284"/>
      <c r="M847" s="284"/>
      <c r="N847" s="284"/>
      <c r="O847" s="284"/>
      <c r="P847" s="284"/>
      <c r="Q847" s="284"/>
      <c r="R847" s="284"/>
      <c r="S847" s="284"/>
      <c r="T847" s="284"/>
      <c r="U847" s="284"/>
      <c r="V847" s="284"/>
      <c r="W847" s="284"/>
      <c r="X847" s="284"/>
      <c r="Y847" s="284"/>
      <c r="Z847" s="284"/>
      <c r="AA847" s="284"/>
      <c r="AB847" s="284"/>
      <c r="AC847" s="284"/>
      <c r="AD847" s="284"/>
      <c r="AE847" s="284"/>
    </row>
    <row r="848">
      <c r="A848" s="284"/>
      <c r="B848" s="284"/>
      <c r="C848" s="284"/>
      <c r="D848" s="284"/>
      <c r="E848" s="284"/>
      <c r="F848" s="284"/>
      <c r="G848" s="284"/>
      <c r="H848" s="284"/>
      <c r="I848" s="284"/>
      <c r="J848" s="284"/>
      <c r="K848" s="284"/>
      <c r="L848" s="284"/>
      <c r="M848" s="284"/>
      <c r="N848" s="284"/>
      <c r="O848" s="284"/>
      <c r="P848" s="284"/>
      <c r="Q848" s="284"/>
      <c r="R848" s="284"/>
      <c r="S848" s="284"/>
      <c r="T848" s="284"/>
      <c r="U848" s="284"/>
      <c r="V848" s="284"/>
      <c r="W848" s="284"/>
      <c r="X848" s="284"/>
      <c r="Y848" s="284"/>
      <c r="Z848" s="284"/>
      <c r="AA848" s="284"/>
      <c r="AB848" s="284"/>
      <c r="AC848" s="284"/>
      <c r="AD848" s="284"/>
      <c r="AE848" s="284"/>
    </row>
    <row r="849">
      <c r="A849" s="284"/>
      <c r="B849" s="284"/>
      <c r="C849" s="284"/>
      <c r="D849" s="284"/>
      <c r="E849" s="284"/>
      <c r="F849" s="284"/>
      <c r="G849" s="284"/>
      <c r="H849" s="284"/>
      <c r="I849" s="284"/>
      <c r="J849" s="284"/>
      <c r="K849" s="284"/>
      <c r="L849" s="284"/>
      <c r="M849" s="284"/>
      <c r="N849" s="284"/>
      <c r="O849" s="284"/>
      <c r="P849" s="284"/>
      <c r="Q849" s="284"/>
      <c r="R849" s="284"/>
      <c r="S849" s="284"/>
      <c r="T849" s="284"/>
      <c r="U849" s="284"/>
      <c r="V849" s="284"/>
      <c r="W849" s="284"/>
      <c r="X849" s="284"/>
      <c r="Y849" s="284"/>
      <c r="Z849" s="284"/>
      <c r="AA849" s="284"/>
      <c r="AB849" s="284"/>
      <c r="AC849" s="284"/>
      <c r="AD849" s="284"/>
      <c r="AE849" s="284"/>
    </row>
    <row r="850">
      <c r="A850" s="284"/>
      <c r="B850" s="284"/>
      <c r="C850" s="284"/>
      <c r="D850" s="284"/>
      <c r="E850" s="284"/>
      <c r="F850" s="284"/>
      <c r="G850" s="284"/>
      <c r="H850" s="284"/>
      <c r="I850" s="284"/>
      <c r="J850" s="284"/>
      <c r="K850" s="284"/>
      <c r="L850" s="284"/>
      <c r="M850" s="284"/>
      <c r="N850" s="284"/>
      <c r="O850" s="284"/>
      <c r="P850" s="284"/>
      <c r="Q850" s="284"/>
      <c r="R850" s="284"/>
      <c r="S850" s="284"/>
      <c r="T850" s="284"/>
      <c r="U850" s="284"/>
      <c r="V850" s="284"/>
      <c r="W850" s="284"/>
      <c r="X850" s="284"/>
      <c r="Y850" s="284"/>
      <c r="Z850" s="284"/>
      <c r="AA850" s="284"/>
      <c r="AB850" s="284"/>
      <c r="AC850" s="284"/>
      <c r="AD850" s="284"/>
      <c r="AE850" s="284"/>
    </row>
    <row r="851">
      <c r="A851" s="284"/>
      <c r="B851" s="284"/>
      <c r="C851" s="284"/>
      <c r="D851" s="284"/>
      <c r="E851" s="284"/>
      <c r="F851" s="284"/>
      <c r="G851" s="284"/>
      <c r="H851" s="284"/>
      <c r="I851" s="284"/>
      <c r="J851" s="284"/>
      <c r="K851" s="284"/>
      <c r="L851" s="284"/>
      <c r="M851" s="284"/>
      <c r="N851" s="284"/>
      <c r="O851" s="284"/>
      <c r="P851" s="284"/>
      <c r="Q851" s="284"/>
      <c r="R851" s="284"/>
      <c r="S851" s="284"/>
      <c r="T851" s="284"/>
      <c r="U851" s="284"/>
      <c r="V851" s="284"/>
      <c r="W851" s="284"/>
      <c r="X851" s="284"/>
      <c r="Y851" s="284"/>
      <c r="Z851" s="284"/>
      <c r="AA851" s="284"/>
      <c r="AB851" s="284"/>
      <c r="AC851" s="284"/>
      <c r="AD851" s="284"/>
      <c r="AE851" s="284"/>
    </row>
    <row r="852">
      <c r="A852" s="284"/>
      <c r="B852" s="284"/>
      <c r="C852" s="284"/>
      <c r="D852" s="284"/>
      <c r="E852" s="284"/>
      <c r="F852" s="284"/>
      <c r="G852" s="284"/>
      <c r="H852" s="284"/>
      <c r="I852" s="284"/>
      <c r="J852" s="284"/>
      <c r="K852" s="284"/>
      <c r="L852" s="284"/>
      <c r="M852" s="284"/>
      <c r="N852" s="284"/>
      <c r="O852" s="284"/>
      <c r="P852" s="284"/>
      <c r="Q852" s="284"/>
      <c r="R852" s="284"/>
      <c r="S852" s="284"/>
      <c r="T852" s="284"/>
      <c r="U852" s="284"/>
      <c r="V852" s="284"/>
      <c r="W852" s="284"/>
      <c r="X852" s="284"/>
      <c r="Y852" s="284"/>
      <c r="Z852" s="284"/>
      <c r="AA852" s="284"/>
      <c r="AB852" s="284"/>
      <c r="AC852" s="284"/>
      <c r="AD852" s="284"/>
      <c r="AE852" s="284"/>
    </row>
    <row r="853">
      <c r="A853" s="284"/>
      <c r="B853" s="284"/>
      <c r="C853" s="284"/>
      <c r="D853" s="284"/>
      <c r="E853" s="284"/>
      <c r="F853" s="284"/>
      <c r="G853" s="284"/>
      <c r="H853" s="284"/>
      <c r="I853" s="284"/>
      <c r="J853" s="284"/>
      <c r="K853" s="284"/>
      <c r="L853" s="284"/>
      <c r="M853" s="284"/>
      <c r="N853" s="284"/>
      <c r="O853" s="284"/>
      <c r="P853" s="284"/>
      <c r="Q853" s="284"/>
      <c r="R853" s="284"/>
      <c r="S853" s="284"/>
      <c r="T853" s="284"/>
      <c r="U853" s="284"/>
      <c r="V853" s="284"/>
      <c r="W853" s="284"/>
      <c r="X853" s="284"/>
      <c r="Y853" s="284"/>
      <c r="Z853" s="284"/>
      <c r="AA853" s="284"/>
      <c r="AB853" s="284"/>
      <c r="AC853" s="284"/>
      <c r="AD853" s="284"/>
      <c r="AE853" s="284"/>
    </row>
    <row r="854">
      <c r="A854" s="284"/>
      <c r="B854" s="284"/>
      <c r="C854" s="284"/>
      <c r="D854" s="284"/>
      <c r="E854" s="284"/>
      <c r="F854" s="284"/>
      <c r="G854" s="284"/>
      <c r="H854" s="284"/>
      <c r="I854" s="284"/>
      <c r="J854" s="284"/>
      <c r="K854" s="284"/>
      <c r="L854" s="284"/>
      <c r="M854" s="284"/>
      <c r="N854" s="284"/>
      <c r="O854" s="284"/>
      <c r="P854" s="284"/>
      <c r="Q854" s="284"/>
      <c r="R854" s="284"/>
      <c r="S854" s="284"/>
      <c r="T854" s="284"/>
      <c r="U854" s="284"/>
      <c r="V854" s="284"/>
      <c r="W854" s="284"/>
      <c r="X854" s="284"/>
      <c r="Y854" s="284"/>
      <c r="Z854" s="284"/>
      <c r="AA854" s="284"/>
      <c r="AB854" s="284"/>
      <c r="AC854" s="284"/>
      <c r="AD854" s="284"/>
      <c r="AE854" s="284"/>
    </row>
    <row r="855">
      <c r="A855" s="284"/>
      <c r="B855" s="284"/>
      <c r="C855" s="284"/>
      <c r="D855" s="284"/>
      <c r="E855" s="284"/>
      <c r="F855" s="284"/>
      <c r="G855" s="284"/>
      <c r="H855" s="284"/>
      <c r="I855" s="284"/>
      <c r="J855" s="284"/>
      <c r="K855" s="284"/>
      <c r="L855" s="284"/>
      <c r="M855" s="284"/>
      <c r="N855" s="284"/>
      <c r="O855" s="284"/>
      <c r="P855" s="284"/>
      <c r="Q855" s="284"/>
      <c r="R855" s="284"/>
      <c r="S855" s="284"/>
      <c r="T855" s="284"/>
      <c r="U855" s="284"/>
      <c r="V855" s="284"/>
      <c r="W855" s="284"/>
      <c r="X855" s="284"/>
      <c r="Y855" s="284"/>
      <c r="Z855" s="284"/>
      <c r="AA855" s="284"/>
      <c r="AB855" s="284"/>
      <c r="AC855" s="284"/>
      <c r="AD855" s="284"/>
      <c r="AE855" s="284"/>
    </row>
    <row r="856">
      <c r="A856" s="284"/>
      <c r="B856" s="284"/>
      <c r="C856" s="284"/>
      <c r="D856" s="284"/>
      <c r="E856" s="284"/>
      <c r="F856" s="284"/>
      <c r="G856" s="284"/>
      <c r="H856" s="284"/>
      <c r="I856" s="284"/>
      <c r="J856" s="284"/>
      <c r="K856" s="284"/>
      <c r="L856" s="284"/>
      <c r="M856" s="284"/>
      <c r="N856" s="284"/>
      <c r="O856" s="284"/>
      <c r="P856" s="284"/>
      <c r="Q856" s="284"/>
      <c r="R856" s="284"/>
      <c r="S856" s="284"/>
      <c r="T856" s="284"/>
      <c r="U856" s="284"/>
      <c r="V856" s="284"/>
      <c r="W856" s="284"/>
      <c r="X856" s="284"/>
      <c r="Y856" s="284"/>
      <c r="Z856" s="284"/>
      <c r="AA856" s="284"/>
      <c r="AB856" s="284"/>
      <c r="AC856" s="284"/>
      <c r="AD856" s="284"/>
      <c r="AE856" s="284"/>
    </row>
    <row r="857">
      <c r="A857" s="284"/>
      <c r="B857" s="284"/>
      <c r="C857" s="284"/>
      <c r="D857" s="284"/>
      <c r="E857" s="284"/>
      <c r="F857" s="284"/>
      <c r="G857" s="284"/>
      <c r="H857" s="284"/>
      <c r="I857" s="284"/>
      <c r="J857" s="284"/>
      <c r="K857" s="284"/>
      <c r="L857" s="284"/>
      <c r="M857" s="284"/>
      <c r="N857" s="284"/>
      <c r="O857" s="284"/>
      <c r="P857" s="284"/>
      <c r="Q857" s="284"/>
      <c r="R857" s="284"/>
      <c r="S857" s="284"/>
      <c r="T857" s="284"/>
      <c r="U857" s="284"/>
      <c r="V857" s="284"/>
      <c r="W857" s="284"/>
      <c r="X857" s="284"/>
      <c r="Y857" s="284"/>
      <c r="Z857" s="284"/>
      <c r="AA857" s="284"/>
      <c r="AB857" s="284"/>
      <c r="AC857" s="284"/>
      <c r="AD857" s="284"/>
      <c r="AE857" s="284"/>
    </row>
    <row r="858">
      <c r="A858" s="284"/>
      <c r="B858" s="284"/>
      <c r="C858" s="284"/>
      <c r="D858" s="284"/>
      <c r="E858" s="284"/>
      <c r="F858" s="284"/>
      <c r="G858" s="284"/>
      <c r="H858" s="284"/>
      <c r="I858" s="284"/>
      <c r="J858" s="284"/>
      <c r="K858" s="284"/>
      <c r="L858" s="284"/>
      <c r="M858" s="284"/>
      <c r="N858" s="284"/>
      <c r="O858" s="284"/>
      <c r="P858" s="284"/>
      <c r="Q858" s="284"/>
      <c r="R858" s="284"/>
      <c r="S858" s="284"/>
      <c r="T858" s="284"/>
      <c r="U858" s="284"/>
      <c r="V858" s="284"/>
      <c r="W858" s="284"/>
      <c r="X858" s="284"/>
      <c r="Y858" s="284"/>
      <c r="Z858" s="284"/>
      <c r="AA858" s="284"/>
      <c r="AB858" s="284"/>
      <c r="AC858" s="284"/>
      <c r="AD858" s="284"/>
      <c r="AE858" s="284"/>
    </row>
    <row r="859">
      <c r="A859" s="284"/>
      <c r="B859" s="284"/>
      <c r="C859" s="284"/>
      <c r="D859" s="284"/>
      <c r="E859" s="284"/>
      <c r="F859" s="284"/>
      <c r="G859" s="284"/>
      <c r="H859" s="284"/>
      <c r="I859" s="284"/>
      <c r="J859" s="284"/>
      <c r="K859" s="284"/>
      <c r="L859" s="284"/>
      <c r="M859" s="284"/>
      <c r="N859" s="284"/>
      <c r="O859" s="284"/>
      <c r="P859" s="284"/>
      <c r="Q859" s="284"/>
      <c r="R859" s="284"/>
      <c r="S859" s="284"/>
      <c r="T859" s="284"/>
      <c r="U859" s="284"/>
      <c r="V859" s="284"/>
      <c r="W859" s="284"/>
      <c r="X859" s="284"/>
      <c r="Y859" s="284"/>
      <c r="Z859" s="284"/>
      <c r="AA859" s="284"/>
      <c r="AB859" s="284"/>
      <c r="AC859" s="284"/>
      <c r="AD859" s="284"/>
      <c r="AE859" s="284"/>
    </row>
    <row r="860">
      <c r="A860" s="284"/>
      <c r="B860" s="284"/>
      <c r="C860" s="284"/>
      <c r="D860" s="284"/>
      <c r="E860" s="284"/>
      <c r="F860" s="284"/>
      <c r="G860" s="284"/>
      <c r="H860" s="284"/>
      <c r="I860" s="284"/>
      <c r="J860" s="284"/>
      <c r="K860" s="284"/>
      <c r="L860" s="284"/>
      <c r="M860" s="284"/>
      <c r="N860" s="284"/>
      <c r="O860" s="284"/>
      <c r="P860" s="284"/>
      <c r="Q860" s="284"/>
      <c r="R860" s="284"/>
      <c r="S860" s="284"/>
      <c r="T860" s="284"/>
      <c r="U860" s="284"/>
      <c r="V860" s="284"/>
      <c r="W860" s="284"/>
      <c r="X860" s="284"/>
      <c r="Y860" s="284"/>
      <c r="Z860" s="284"/>
      <c r="AA860" s="284"/>
      <c r="AB860" s="284"/>
      <c r="AC860" s="284"/>
      <c r="AD860" s="284"/>
      <c r="AE860" s="284"/>
    </row>
    <row r="861">
      <c r="A861" s="284"/>
      <c r="B861" s="284"/>
      <c r="C861" s="284"/>
      <c r="D861" s="284"/>
      <c r="E861" s="284"/>
      <c r="F861" s="284"/>
      <c r="G861" s="284"/>
      <c r="H861" s="284"/>
      <c r="I861" s="284"/>
      <c r="J861" s="284"/>
      <c r="K861" s="284"/>
      <c r="L861" s="284"/>
      <c r="M861" s="284"/>
      <c r="N861" s="284"/>
      <c r="O861" s="284"/>
      <c r="P861" s="284"/>
      <c r="Q861" s="284"/>
      <c r="R861" s="284"/>
      <c r="S861" s="284"/>
      <c r="T861" s="284"/>
      <c r="U861" s="284"/>
      <c r="V861" s="284"/>
      <c r="W861" s="284"/>
      <c r="X861" s="284"/>
      <c r="Y861" s="284"/>
      <c r="Z861" s="284"/>
      <c r="AA861" s="284"/>
      <c r="AB861" s="284"/>
      <c r="AC861" s="284"/>
      <c r="AD861" s="284"/>
      <c r="AE861" s="284"/>
    </row>
    <row r="862">
      <c r="A862" s="284"/>
      <c r="B862" s="284"/>
      <c r="C862" s="284"/>
      <c r="D862" s="284"/>
      <c r="E862" s="284"/>
      <c r="F862" s="284"/>
      <c r="G862" s="284"/>
      <c r="H862" s="284"/>
      <c r="I862" s="284"/>
      <c r="J862" s="284"/>
      <c r="K862" s="284"/>
      <c r="L862" s="284"/>
      <c r="M862" s="284"/>
      <c r="N862" s="284"/>
      <c r="O862" s="284"/>
      <c r="P862" s="284"/>
      <c r="Q862" s="284"/>
      <c r="R862" s="284"/>
      <c r="S862" s="284"/>
      <c r="T862" s="284"/>
      <c r="U862" s="284"/>
      <c r="V862" s="284"/>
      <c r="W862" s="284"/>
      <c r="X862" s="284"/>
      <c r="Y862" s="284"/>
      <c r="Z862" s="284"/>
      <c r="AA862" s="284"/>
      <c r="AB862" s="284"/>
      <c r="AC862" s="284"/>
      <c r="AD862" s="284"/>
      <c r="AE862" s="284"/>
    </row>
    <row r="863">
      <c r="A863" s="284"/>
      <c r="B863" s="284"/>
      <c r="C863" s="284"/>
      <c r="D863" s="284"/>
      <c r="E863" s="284"/>
      <c r="F863" s="284"/>
      <c r="G863" s="284"/>
      <c r="H863" s="284"/>
      <c r="I863" s="284"/>
      <c r="J863" s="284"/>
      <c r="K863" s="284"/>
      <c r="L863" s="284"/>
      <c r="M863" s="284"/>
      <c r="N863" s="284"/>
      <c r="O863" s="284"/>
      <c r="P863" s="284"/>
      <c r="Q863" s="284"/>
      <c r="R863" s="284"/>
      <c r="S863" s="284"/>
      <c r="T863" s="284"/>
      <c r="U863" s="284"/>
      <c r="V863" s="284"/>
      <c r="W863" s="284"/>
      <c r="X863" s="284"/>
      <c r="Y863" s="284"/>
      <c r="Z863" s="284"/>
      <c r="AA863" s="284"/>
      <c r="AB863" s="284"/>
      <c r="AC863" s="284"/>
      <c r="AD863" s="284"/>
      <c r="AE863" s="284"/>
    </row>
    <row r="864">
      <c r="A864" s="284"/>
      <c r="B864" s="284"/>
      <c r="C864" s="284"/>
      <c r="D864" s="284"/>
      <c r="E864" s="284"/>
      <c r="F864" s="284"/>
      <c r="G864" s="284"/>
      <c r="H864" s="284"/>
      <c r="I864" s="284"/>
      <c r="J864" s="284"/>
      <c r="K864" s="284"/>
      <c r="L864" s="284"/>
      <c r="M864" s="284"/>
      <c r="N864" s="284"/>
      <c r="O864" s="284"/>
      <c r="P864" s="284"/>
      <c r="Q864" s="284"/>
      <c r="R864" s="284"/>
      <c r="S864" s="284"/>
      <c r="T864" s="284"/>
      <c r="U864" s="284"/>
      <c r="V864" s="284"/>
      <c r="W864" s="284"/>
      <c r="X864" s="284"/>
      <c r="Y864" s="284"/>
      <c r="Z864" s="284"/>
      <c r="AA864" s="284"/>
      <c r="AB864" s="284"/>
      <c r="AC864" s="284"/>
      <c r="AD864" s="284"/>
      <c r="AE864" s="284"/>
    </row>
    <row r="865">
      <c r="A865" s="284"/>
      <c r="B865" s="284"/>
      <c r="C865" s="284"/>
      <c r="D865" s="284"/>
      <c r="E865" s="284"/>
      <c r="F865" s="284"/>
      <c r="G865" s="284"/>
      <c r="H865" s="284"/>
      <c r="I865" s="284"/>
      <c r="J865" s="284"/>
      <c r="K865" s="284"/>
      <c r="L865" s="284"/>
      <c r="M865" s="284"/>
      <c r="N865" s="284"/>
      <c r="O865" s="284"/>
      <c r="P865" s="284"/>
      <c r="Q865" s="284"/>
      <c r="R865" s="284"/>
      <c r="S865" s="284"/>
      <c r="T865" s="284"/>
      <c r="U865" s="284"/>
      <c r="V865" s="284"/>
      <c r="W865" s="284"/>
      <c r="X865" s="284"/>
      <c r="Y865" s="284"/>
      <c r="Z865" s="284"/>
      <c r="AA865" s="284"/>
      <c r="AB865" s="284"/>
      <c r="AC865" s="284"/>
      <c r="AD865" s="284"/>
      <c r="AE865" s="284"/>
    </row>
    <row r="866">
      <c r="A866" s="284"/>
      <c r="B866" s="284"/>
      <c r="C866" s="284"/>
      <c r="D866" s="284"/>
      <c r="E866" s="284"/>
      <c r="F866" s="284"/>
      <c r="G866" s="284"/>
      <c r="H866" s="284"/>
      <c r="I866" s="284"/>
      <c r="J866" s="284"/>
      <c r="K866" s="284"/>
      <c r="L866" s="284"/>
      <c r="M866" s="284"/>
      <c r="N866" s="284"/>
      <c r="O866" s="284"/>
      <c r="P866" s="284"/>
      <c r="Q866" s="284"/>
      <c r="R866" s="284"/>
      <c r="S866" s="284"/>
      <c r="T866" s="284"/>
      <c r="U866" s="284"/>
      <c r="V866" s="284"/>
      <c r="W866" s="284"/>
      <c r="X866" s="284"/>
      <c r="Y866" s="284"/>
      <c r="Z866" s="284"/>
      <c r="AA866" s="284"/>
      <c r="AB866" s="284"/>
      <c r="AC866" s="284"/>
      <c r="AD866" s="284"/>
      <c r="AE866" s="284"/>
    </row>
    <row r="867">
      <c r="A867" s="284"/>
      <c r="B867" s="284"/>
      <c r="C867" s="284"/>
      <c r="D867" s="284"/>
      <c r="E867" s="284"/>
      <c r="F867" s="284"/>
      <c r="G867" s="284"/>
      <c r="H867" s="284"/>
      <c r="I867" s="284"/>
      <c r="J867" s="284"/>
      <c r="K867" s="284"/>
      <c r="L867" s="284"/>
      <c r="M867" s="284"/>
      <c r="N867" s="284"/>
      <c r="O867" s="284"/>
      <c r="P867" s="284"/>
      <c r="Q867" s="284"/>
      <c r="R867" s="284"/>
      <c r="S867" s="284"/>
      <c r="T867" s="284"/>
      <c r="U867" s="284"/>
      <c r="V867" s="284"/>
      <c r="W867" s="284"/>
      <c r="X867" s="284"/>
      <c r="Y867" s="284"/>
      <c r="Z867" s="284"/>
      <c r="AA867" s="284"/>
      <c r="AB867" s="284"/>
      <c r="AC867" s="284"/>
      <c r="AD867" s="284"/>
      <c r="AE867" s="284"/>
    </row>
    <row r="868">
      <c r="A868" s="284"/>
      <c r="B868" s="284"/>
      <c r="C868" s="284"/>
      <c r="D868" s="284"/>
      <c r="E868" s="284"/>
      <c r="F868" s="284"/>
      <c r="G868" s="284"/>
      <c r="H868" s="284"/>
      <c r="I868" s="284"/>
      <c r="J868" s="284"/>
      <c r="K868" s="284"/>
      <c r="L868" s="284"/>
      <c r="M868" s="284"/>
      <c r="N868" s="284"/>
      <c r="O868" s="284"/>
      <c r="P868" s="284"/>
      <c r="Q868" s="284"/>
      <c r="R868" s="284"/>
      <c r="S868" s="284"/>
      <c r="T868" s="284"/>
      <c r="U868" s="284"/>
      <c r="V868" s="284"/>
      <c r="W868" s="284"/>
      <c r="X868" s="284"/>
      <c r="Y868" s="284"/>
      <c r="Z868" s="284"/>
      <c r="AA868" s="284"/>
      <c r="AB868" s="284"/>
      <c r="AC868" s="284"/>
      <c r="AD868" s="284"/>
      <c r="AE868" s="284"/>
    </row>
    <row r="869">
      <c r="A869" s="284"/>
      <c r="B869" s="284"/>
      <c r="C869" s="284"/>
      <c r="D869" s="284"/>
      <c r="E869" s="284"/>
      <c r="F869" s="284"/>
      <c r="G869" s="284"/>
      <c r="H869" s="284"/>
      <c r="I869" s="284"/>
      <c r="J869" s="284"/>
      <c r="K869" s="284"/>
      <c r="L869" s="284"/>
      <c r="M869" s="284"/>
      <c r="N869" s="284"/>
      <c r="O869" s="284"/>
      <c r="P869" s="284"/>
      <c r="Q869" s="284"/>
      <c r="R869" s="284"/>
      <c r="S869" s="284"/>
      <c r="T869" s="284"/>
      <c r="U869" s="284"/>
      <c r="V869" s="284"/>
      <c r="W869" s="284"/>
      <c r="X869" s="284"/>
      <c r="Y869" s="284"/>
      <c r="Z869" s="284"/>
      <c r="AA869" s="284"/>
      <c r="AB869" s="284"/>
      <c r="AC869" s="284"/>
      <c r="AD869" s="284"/>
      <c r="AE869" s="284"/>
    </row>
    <row r="870">
      <c r="A870" s="284"/>
      <c r="B870" s="284"/>
      <c r="C870" s="284"/>
      <c r="D870" s="284"/>
      <c r="E870" s="284"/>
      <c r="F870" s="284"/>
      <c r="G870" s="284"/>
      <c r="H870" s="284"/>
      <c r="I870" s="284"/>
      <c r="J870" s="284"/>
      <c r="K870" s="284"/>
      <c r="L870" s="284"/>
      <c r="M870" s="284"/>
      <c r="N870" s="284"/>
      <c r="O870" s="284"/>
      <c r="P870" s="284"/>
      <c r="Q870" s="284"/>
      <c r="R870" s="284"/>
      <c r="S870" s="284"/>
      <c r="T870" s="284"/>
      <c r="U870" s="284"/>
      <c r="V870" s="284"/>
      <c r="W870" s="284"/>
      <c r="X870" s="284"/>
      <c r="Y870" s="284"/>
      <c r="Z870" s="284"/>
      <c r="AA870" s="284"/>
      <c r="AB870" s="284"/>
      <c r="AC870" s="284"/>
      <c r="AD870" s="284"/>
      <c r="AE870" s="284"/>
    </row>
    <row r="871">
      <c r="A871" s="284"/>
      <c r="B871" s="284"/>
      <c r="C871" s="284"/>
      <c r="D871" s="284"/>
      <c r="E871" s="284"/>
      <c r="F871" s="284"/>
      <c r="G871" s="284"/>
      <c r="H871" s="284"/>
      <c r="I871" s="284"/>
      <c r="J871" s="284"/>
      <c r="K871" s="284"/>
      <c r="L871" s="284"/>
      <c r="M871" s="284"/>
      <c r="N871" s="284"/>
      <c r="O871" s="284"/>
      <c r="P871" s="284"/>
      <c r="Q871" s="284"/>
      <c r="R871" s="284"/>
      <c r="S871" s="284"/>
      <c r="T871" s="284"/>
      <c r="U871" s="284"/>
      <c r="V871" s="284"/>
      <c r="W871" s="284"/>
      <c r="X871" s="284"/>
      <c r="Y871" s="284"/>
      <c r="Z871" s="284"/>
      <c r="AA871" s="284"/>
      <c r="AB871" s="284"/>
      <c r="AC871" s="284"/>
      <c r="AD871" s="284"/>
      <c r="AE871" s="284"/>
    </row>
    <row r="872">
      <c r="A872" s="284"/>
      <c r="B872" s="284"/>
      <c r="C872" s="284"/>
      <c r="D872" s="284"/>
      <c r="E872" s="284"/>
      <c r="F872" s="284"/>
      <c r="G872" s="284"/>
      <c r="H872" s="284"/>
      <c r="I872" s="284"/>
      <c r="J872" s="284"/>
      <c r="K872" s="284"/>
      <c r="L872" s="284"/>
      <c r="M872" s="284"/>
      <c r="N872" s="284"/>
      <c r="O872" s="284"/>
      <c r="P872" s="284"/>
      <c r="Q872" s="284"/>
      <c r="R872" s="284"/>
      <c r="S872" s="284"/>
      <c r="T872" s="284"/>
      <c r="U872" s="284"/>
      <c r="V872" s="284"/>
      <c r="W872" s="284"/>
      <c r="X872" s="284"/>
      <c r="Y872" s="284"/>
      <c r="Z872" s="284"/>
      <c r="AA872" s="284"/>
      <c r="AB872" s="284"/>
      <c r="AC872" s="284"/>
      <c r="AD872" s="284"/>
      <c r="AE872" s="284"/>
    </row>
    <row r="873">
      <c r="A873" s="284"/>
      <c r="B873" s="284"/>
      <c r="C873" s="284"/>
      <c r="D873" s="284"/>
      <c r="E873" s="284"/>
      <c r="F873" s="284"/>
      <c r="G873" s="284"/>
      <c r="H873" s="284"/>
      <c r="I873" s="284"/>
      <c r="J873" s="284"/>
      <c r="K873" s="284"/>
      <c r="L873" s="284"/>
      <c r="M873" s="284"/>
      <c r="N873" s="284"/>
      <c r="O873" s="284"/>
      <c r="P873" s="284"/>
      <c r="Q873" s="284"/>
      <c r="R873" s="284"/>
      <c r="S873" s="284"/>
      <c r="T873" s="284"/>
      <c r="U873" s="284"/>
      <c r="V873" s="284"/>
      <c r="W873" s="284"/>
      <c r="X873" s="284"/>
      <c r="Y873" s="284"/>
      <c r="Z873" s="284"/>
      <c r="AA873" s="284"/>
      <c r="AB873" s="284"/>
      <c r="AC873" s="284"/>
      <c r="AD873" s="284"/>
      <c r="AE873" s="284"/>
    </row>
    <row r="874">
      <c r="A874" s="284"/>
      <c r="B874" s="284"/>
      <c r="C874" s="284"/>
      <c r="D874" s="284"/>
      <c r="E874" s="284"/>
      <c r="F874" s="284"/>
      <c r="G874" s="284"/>
      <c r="H874" s="284"/>
      <c r="I874" s="284"/>
      <c r="J874" s="284"/>
      <c r="K874" s="284"/>
      <c r="L874" s="284"/>
      <c r="M874" s="284"/>
      <c r="N874" s="284"/>
      <c r="O874" s="284"/>
      <c r="P874" s="284"/>
      <c r="Q874" s="284"/>
      <c r="R874" s="284"/>
      <c r="S874" s="284"/>
      <c r="T874" s="284"/>
      <c r="U874" s="284"/>
      <c r="V874" s="284"/>
      <c r="W874" s="284"/>
      <c r="X874" s="284"/>
      <c r="Y874" s="284"/>
      <c r="Z874" s="284"/>
      <c r="AA874" s="284"/>
      <c r="AB874" s="284"/>
      <c r="AC874" s="284"/>
      <c r="AD874" s="284"/>
      <c r="AE874" s="284"/>
    </row>
    <row r="875">
      <c r="A875" s="284"/>
      <c r="B875" s="284"/>
      <c r="C875" s="284"/>
      <c r="D875" s="284"/>
      <c r="E875" s="284"/>
      <c r="F875" s="284"/>
      <c r="G875" s="284"/>
      <c r="H875" s="284"/>
      <c r="I875" s="284"/>
      <c r="J875" s="284"/>
      <c r="K875" s="284"/>
      <c r="L875" s="284"/>
      <c r="M875" s="284"/>
      <c r="N875" s="284"/>
      <c r="O875" s="284"/>
      <c r="P875" s="284"/>
      <c r="Q875" s="284"/>
      <c r="R875" s="284"/>
      <c r="S875" s="284"/>
      <c r="T875" s="284"/>
      <c r="U875" s="284"/>
      <c r="V875" s="284"/>
      <c r="W875" s="284"/>
      <c r="X875" s="284"/>
      <c r="Y875" s="284"/>
      <c r="Z875" s="284"/>
      <c r="AA875" s="284"/>
      <c r="AB875" s="284"/>
      <c r="AC875" s="284"/>
      <c r="AD875" s="284"/>
      <c r="AE875" s="284"/>
    </row>
    <row r="876">
      <c r="A876" s="284"/>
      <c r="B876" s="284"/>
      <c r="C876" s="284"/>
      <c r="D876" s="284"/>
      <c r="E876" s="284"/>
      <c r="F876" s="284"/>
      <c r="G876" s="284"/>
      <c r="H876" s="284"/>
      <c r="I876" s="284"/>
      <c r="J876" s="284"/>
      <c r="K876" s="284"/>
      <c r="L876" s="284"/>
      <c r="M876" s="284"/>
      <c r="N876" s="284"/>
      <c r="O876" s="284"/>
      <c r="P876" s="284"/>
      <c r="Q876" s="284"/>
      <c r="R876" s="284"/>
      <c r="S876" s="284"/>
      <c r="T876" s="284"/>
      <c r="U876" s="284"/>
      <c r="V876" s="284"/>
      <c r="W876" s="284"/>
      <c r="X876" s="284"/>
      <c r="Y876" s="284"/>
      <c r="Z876" s="284"/>
      <c r="AA876" s="284"/>
      <c r="AB876" s="284"/>
      <c r="AC876" s="284"/>
      <c r="AD876" s="284"/>
      <c r="AE876" s="284"/>
    </row>
    <row r="877">
      <c r="A877" s="284"/>
      <c r="B877" s="284"/>
      <c r="C877" s="284"/>
      <c r="D877" s="284"/>
      <c r="E877" s="284"/>
      <c r="F877" s="284"/>
      <c r="G877" s="284"/>
      <c r="H877" s="284"/>
      <c r="I877" s="284"/>
      <c r="J877" s="284"/>
      <c r="K877" s="284"/>
      <c r="L877" s="284"/>
      <c r="M877" s="284"/>
      <c r="N877" s="284"/>
      <c r="O877" s="284"/>
      <c r="P877" s="284"/>
      <c r="Q877" s="284"/>
      <c r="R877" s="284"/>
      <c r="S877" s="284"/>
      <c r="T877" s="284"/>
      <c r="U877" s="284"/>
      <c r="V877" s="284"/>
      <c r="W877" s="284"/>
      <c r="X877" s="284"/>
      <c r="Y877" s="284"/>
      <c r="Z877" s="284"/>
      <c r="AA877" s="284"/>
      <c r="AB877" s="284"/>
      <c r="AC877" s="284"/>
      <c r="AD877" s="284"/>
      <c r="AE877" s="284"/>
    </row>
    <row r="878">
      <c r="A878" s="284"/>
      <c r="B878" s="284"/>
      <c r="C878" s="284"/>
      <c r="D878" s="284"/>
      <c r="E878" s="284"/>
      <c r="F878" s="284"/>
      <c r="G878" s="284"/>
      <c r="H878" s="284"/>
      <c r="I878" s="284"/>
      <c r="J878" s="284"/>
      <c r="K878" s="284"/>
      <c r="L878" s="284"/>
      <c r="M878" s="284"/>
      <c r="N878" s="284"/>
      <c r="O878" s="284"/>
      <c r="P878" s="284"/>
      <c r="Q878" s="284"/>
      <c r="R878" s="284"/>
      <c r="S878" s="284"/>
      <c r="T878" s="284"/>
      <c r="U878" s="284"/>
      <c r="V878" s="284"/>
      <c r="W878" s="284"/>
      <c r="X878" s="284"/>
      <c r="Y878" s="284"/>
      <c r="Z878" s="284"/>
      <c r="AA878" s="284"/>
      <c r="AB878" s="284"/>
      <c r="AC878" s="284"/>
      <c r="AD878" s="284"/>
      <c r="AE878" s="284"/>
    </row>
    <row r="879">
      <c r="A879" s="284"/>
      <c r="B879" s="284"/>
      <c r="C879" s="284"/>
      <c r="D879" s="284"/>
      <c r="E879" s="284"/>
      <c r="F879" s="284"/>
      <c r="G879" s="284"/>
      <c r="H879" s="284"/>
      <c r="I879" s="284"/>
      <c r="J879" s="284"/>
      <c r="K879" s="284"/>
      <c r="L879" s="284"/>
      <c r="M879" s="284"/>
      <c r="N879" s="284"/>
      <c r="O879" s="284"/>
      <c r="P879" s="284"/>
      <c r="Q879" s="284"/>
      <c r="R879" s="284"/>
      <c r="S879" s="284"/>
      <c r="T879" s="284"/>
      <c r="U879" s="284"/>
      <c r="V879" s="284"/>
      <c r="W879" s="284"/>
      <c r="X879" s="284"/>
      <c r="Y879" s="284"/>
      <c r="Z879" s="284"/>
      <c r="AA879" s="284"/>
      <c r="AB879" s="284"/>
      <c r="AC879" s="284"/>
      <c r="AD879" s="284"/>
      <c r="AE879" s="284"/>
    </row>
    <row r="880">
      <c r="A880" s="284"/>
      <c r="B880" s="284"/>
      <c r="C880" s="284"/>
      <c r="D880" s="284"/>
      <c r="E880" s="284"/>
      <c r="F880" s="284"/>
      <c r="G880" s="284"/>
      <c r="H880" s="284"/>
      <c r="I880" s="284"/>
      <c r="J880" s="284"/>
      <c r="K880" s="284"/>
      <c r="L880" s="284"/>
      <c r="M880" s="284"/>
      <c r="N880" s="284"/>
      <c r="O880" s="284"/>
      <c r="P880" s="284"/>
      <c r="Q880" s="284"/>
      <c r="R880" s="284"/>
      <c r="S880" s="284"/>
      <c r="T880" s="284"/>
      <c r="U880" s="284"/>
      <c r="V880" s="284"/>
      <c r="W880" s="284"/>
      <c r="X880" s="284"/>
      <c r="Y880" s="284"/>
      <c r="Z880" s="284"/>
      <c r="AA880" s="284"/>
      <c r="AB880" s="284"/>
      <c r="AC880" s="284"/>
      <c r="AD880" s="284"/>
      <c r="AE880" s="284"/>
    </row>
    <row r="881">
      <c r="A881" s="284"/>
      <c r="B881" s="284"/>
      <c r="C881" s="284"/>
      <c r="D881" s="284"/>
      <c r="E881" s="284"/>
      <c r="F881" s="284"/>
      <c r="G881" s="284"/>
      <c r="H881" s="284"/>
      <c r="I881" s="284"/>
      <c r="J881" s="284"/>
      <c r="K881" s="284"/>
      <c r="L881" s="284"/>
      <c r="M881" s="284"/>
      <c r="N881" s="284"/>
      <c r="O881" s="284"/>
      <c r="P881" s="284"/>
      <c r="Q881" s="284"/>
      <c r="R881" s="284"/>
      <c r="S881" s="284"/>
      <c r="T881" s="284"/>
      <c r="U881" s="284"/>
      <c r="V881" s="284"/>
      <c r="W881" s="284"/>
      <c r="X881" s="284"/>
      <c r="Y881" s="284"/>
      <c r="Z881" s="284"/>
      <c r="AA881" s="284"/>
      <c r="AB881" s="284"/>
      <c r="AC881" s="284"/>
      <c r="AD881" s="284"/>
      <c r="AE881" s="284"/>
    </row>
    <row r="882">
      <c r="A882" s="284"/>
      <c r="B882" s="284"/>
      <c r="C882" s="284"/>
      <c r="D882" s="284"/>
      <c r="E882" s="284"/>
      <c r="F882" s="284"/>
      <c r="G882" s="284"/>
      <c r="H882" s="284"/>
      <c r="I882" s="284"/>
      <c r="J882" s="284"/>
      <c r="K882" s="284"/>
      <c r="L882" s="284"/>
      <c r="M882" s="284"/>
      <c r="N882" s="284"/>
      <c r="O882" s="284"/>
      <c r="P882" s="284"/>
      <c r="Q882" s="284"/>
      <c r="R882" s="284"/>
      <c r="S882" s="284"/>
      <c r="T882" s="284"/>
      <c r="U882" s="284"/>
      <c r="V882" s="284"/>
      <c r="W882" s="284"/>
      <c r="X882" s="284"/>
      <c r="Y882" s="284"/>
      <c r="Z882" s="284"/>
      <c r="AA882" s="284"/>
      <c r="AB882" s="284"/>
      <c r="AC882" s="284"/>
      <c r="AD882" s="284"/>
      <c r="AE882" s="284"/>
    </row>
    <row r="883">
      <c r="A883" s="284"/>
      <c r="B883" s="284"/>
      <c r="C883" s="284"/>
      <c r="D883" s="284"/>
      <c r="E883" s="284"/>
      <c r="F883" s="284"/>
      <c r="G883" s="284"/>
      <c r="H883" s="284"/>
      <c r="I883" s="284"/>
      <c r="J883" s="284"/>
      <c r="K883" s="284"/>
      <c r="L883" s="284"/>
      <c r="M883" s="284"/>
      <c r="N883" s="284"/>
      <c r="O883" s="284"/>
      <c r="P883" s="284"/>
      <c r="Q883" s="284"/>
      <c r="R883" s="284"/>
      <c r="S883" s="284"/>
      <c r="T883" s="284"/>
      <c r="U883" s="284"/>
      <c r="V883" s="284"/>
      <c r="W883" s="284"/>
      <c r="X883" s="284"/>
      <c r="Y883" s="284"/>
      <c r="Z883" s="284"/>
      <c r="AA883" s="284"/>
      <c r="AB883" s="284"/>
      <c r="AC883" s="284"/>
      <c r="AD883" s="284"/>
      <c r="AE883" s="284"/>
    </row>
    <row r="884">
      <c r="A884" s="284"/>
      <c r="B884" s="284"/>
      <c r="C884" s="284"/>
      <c r="D884" s="284"/>
      <c r="E884" s="284"/>
      <c r="F884" s="284"/>
      <c r="G884" s="284"/>
      <c r="H884" s="284"/>
      <c r="I884" s="284"/>
      <c r="J884" s="284"/>
      <c r="K884" s="284"/>
      <c r="L884" s="284"/>
      <c r="M884" s="284"/>
      <c r="N884" s="284"/>
      <c r="O884" s="284"/>
      <c r="P884" s="284"/>
      <c r="Q884" s="284"/>
      <c r="R884" s="284"/>
      <c r="S884" s="284"/>
      <c r="T884" s="284"/>
      <c r="U884" s="284"/>
      <c r="V884" s="284"/>
      <c r="W884" s="284"/>
      <c r="X884" s="284"/>
      <c r="Y884" s="284"/>
      <c r="Z884" s="284"/>
      <c r="AA884" s="284"/>
      <c r="AB884" s="284"/>
      <c r="AC884" s="284"/>
      <c r="AD884" s="284"/>
      <c r="AE884" s="284"/>
    </row>
    <row r="885">
      <c r="A885" s="284"/>
      <c r="B885" s="284"/>
      <c r="C885" s="284"/>
      <c r="D885" s="284"/>
      <c r="E885" s="284"/>
      <c r="F885" s="284"/>
      <c r="G885" s="284"/>
      <c r="H885" s="284"/>
      <c r="I885" s="284"/>
      <c r="J885" s="284"/>
      <c r="K885" s="284"/>
      <c r="L885" s="284"/>
      <c r="M885" s="284"/>
      <c r="N885" s="284"/>
      <c r="O885" s="284"/>
      <c r="P885" s="284"/>
      <c r="Q885" s="284"/>
      <c r="R885" s="284"/>
      <c r="S885" s="284"/>
      <c r="T885" s="284"/>
      <c r="U885" s="284"/>
      <c r="V885" s="284"/>
      <c r="W885" s="284"/>
      <c r="X885" s="284"/>
      <c r="Y885" s="284"/>
      <c r="Z885" s="284"/>
      <c r="AA885" s="284"/>
      <c r="AB885" s="284"/>
      <c r="AC885" s="284"/>
      <c r="AD885" s="284"/>
      <c r="AE885" s="284"/>
    </row>
    <row r="886">
      <c r="A886" s="284"/>
      <c r="B886" s="284"/>
      <c r="C886" s="284"/>
      <c r="D886" s="284"/>
      <c r="E886" s="284"/>
      <c r="F886" s="284"/>
      <c r="G886" s="284"/>
      <c r="H886" s="284"/>
      <c r="I886" s="284"/>
      <c r="J886" s="284"/>
      <c r="K886" s="284"/>
      <c r="L886" s="284"/>
      <c r="M886" s="284"/>
      <c r="N886" s="284"/>
      <c r="O886" s="284"/>
      <c r="P886" s="284"/>
      <c r="Q886" s="284"/>
      <c r="R886" s="284"/>
      <c r="S886" s="284"/>
      <c r="T886" s="284"/>
      <c r="U886" s="284"/>
      <c r="V886" s="284"/>
      <c r="W886" s="284"/>
      <c r="X886" s="284"/>
      <c r="Y886" s="284"/>
      <c r="Z886" s="284"/>
      <c r="AA886" s="284"/>
      <c r="AB886" s="284"/>
      <c r="AC886" s="284"/>
      <c r="AD886" s="284"/>
      <c r="AE886" s="284"/>
    </row>
    <row r="887">
      <c r="A887" s="284"/>
      <c r="B887" s="284"/>
      <c r="C887" s="284"/>
      <c r="D887" s="284"/>
      <c r="E887" s="284"/>
      <c r="F887" s="284"/>
      <c r="G887" s="284"/>
      <c r="H887" s="284"/>
      <c r="I887" s="284"/>
      <c r="J887" s="284"/>
      <c r="K887" s="284"/>
      <c r="L887" s="284"/>
      <c r="M887" s="284"/>
      <c r="N887" s="284"/>
      <c r="O887" s="284"/>
      <c r="P887" s="284"/>
      <c r="Q887" s="284"/>
      <c r="R887" s="284"/>
      <c r="S887" s="284"/>
      <c r="T887" s="284"/>
      <c r="U887" s="284"/>
      <c r="V887" s="284"/>
      <c r="W887" s="284"/>
      <c r="X887" s="284"/>
      <c r="Y887" s="284"/>
      <c r="Z887" s="284"/>
      <c r="AA887" s="284"/>
      <c r="AB887" s="284"/>
      <c r="AC887" s="284"/>
      <c r="AD887" s="284"/>
      <c r="AE887" s="284"/>
    </row>
    <row r="888">
      <c r="A888" s="284"/>
      <c r="B888" s="284"/>
      <c r="C888" s="284"/>
      <c r="D888" s="284"/>
      <c r="E888" s="284"/>
      <c r="F888" s="284"/>
      <c r="G888" s="284"/>
      <c r="H888" s="284"/>
      <c r="I888" s="284"/>
      <c r="J888" s="284"/>
      <c r="K888" s="284"/>
      <c r="L888" s="284"/>
      <c r="M888" s="284"/>
      <c r="N888" s="284"/>
      <c r="O888" s="284"/>
      <c r="P888" s="284"/>
      <c r="Q888" s="284"/>
      <c r="R888" s="284"/>
      <c r="S888" s="284"/>
      <c r="T888" s="284"/>
      <c r="U888" s="284"/>
      <c r="V888" s="284"/>
      <c r="W888" s="284"/>
      <c r="X888" s="284"/>
      <c r="Y888" s="284"/>
      <c r="Z888" s="284"/>
      <c r="AA888" s="284"/>
      <c r="AB888" s="284"/>
      <c r="AC888" s="284"/>
      <c r="AD888" s="284"/>
      <c r="AE888" s="284"/>
    </row>
    <row r="889">
      <c r="A889" s="284"/>
      <c r="B889" s="284"/>
      <c r="C889" s="284"/>
      <c r="D889" s="284"/>
      <c r="E889" s="284"/>
      <c r="F889" s="284"/>
      <c r="G889" s="284"/>
      <c r="H889" s="284"/>
      <c r="I889" s="284"/>
      <c r="J889" s="284"/>
      <c r="K889" s="284"/>
      <c r="L889" s="284"/>
      <c r="M889" s="284"/>
      <c r="N889" s="284"/>
      <c r="O889" s="284"/>
      <c r="P889" s="284"/>
      <c r="Q889" s="284"/>
      <c r="R889" s="284"/>
      <c r="S889" s="284"/>
      <c r="T889" s="284"/>
      <c r="U889" s="284"/>
      <c r="V889" s="284"/>
      <c r="W889" s="284"/>
      <c r="X889" s="284"/>
      <c r="Y889" s="284"/>
      <c r="Z889" s="284"/>
      <c r="AA889" s="284"/>
      <c r="AB889" s="284"/>
      <c r="AC889" s="284"/>
      <c r="AD889" s="284"/>
      <c r="AE889" s="284"/>
    </row>
    <row r="890">
      <c r="A890" s="284"/>
      <c r="B890" s="284"/>
      <c r="C890" s="284"/>
      <c r="D890" s="284"/>
      <c r="E890" s="284"/>
      <c r="F890" s="284"/>
      <c r="G890" s="284"/>
      <c r="H890" s="284"/>
      <c r="I890" s="284"/>
      <c r="J890" s="284"/>
      <c r="K890" s="284"/>
      <c r="L890" s="284"/>
      <c r="M890" s="284"/>
      <c r="N890" s="284"/>
      <c r="O890" s="284"/>
      <c r="P890" s="284"/>
      <c r="Q890" s="284"/>
      <c r="R890" s="284"/>
      <c r="S890" s="284"/>
      <c r="T890" s="284"/>
      <c r="U890" s="284"/>
      <c r="V890" s="284"/>
      <c r="W890" s="284"/>
      <c r="X890" s="284"/>
      <c r="Y890" s="284"/>
      <c r="Z890" s="284"/>
      <c r="AA890" s="284"/>
      <c r="AB890" s="284"/>
      <c r="AC890" s="284"/>
      <c r="AD890" s="284"/>
      <c r="AE890" s="284"/>
    </row>
    <row r="891">
      <c r="A891" s="284"/>
      <c r="B891" s="284"/>
      <c r="C891" s="284"/>
      <c r="D891" s="284"/>
      <c r="E891" s="284"/>
      <c r="F891" s="284"/>
      <c r="G891" s="284"/>
      <c r="H891" s="284"/>
      <c r="I891" s="284"/>
      <c r="J891" s="284"/>
      <c r="K891" s="284"/>
      <c r="L891" s="284"/>
      <c r="M891" s="284"/>
      <c r="N891" s="284"/>
      <c r="O891" s="284"/>
      <c r="P891" s="284"/>
      <c r="Q891" s="284"/>
      <c r="R891" s="284"/>
      <c r="S891" s="284"/>
      <c r="T891" s="284"/>
      <c r="U891" s="284"/>
      <c r="V891" s="284"/>
      <c r="W891" s="284"/>
      <c r="X891" s="284"/>
      <c r="Y891" s="284"/>
      <c r="Z891" s="284"/>
      <c r="AA891" s="284"/>
      <c r="AB891" s="284"/>
      <c r="AC891" s="284"/>
      <c r="AD891" s="284"/>
      <c r="AE891" s="284"/>
    </row>
    <row r="892">
      <c r="A892" s="284"/>
      <c r="B892" s="284"/>
      <c r="C892" s="284"/>
      <c r="D892" s="284"/>
      <c r="E892" s="284"/>
      <c r="F892" s="284"/>
      <c r="G892" s="284"/>
      <c r="H892" s="284"/>
      <c r="I892" s="284"/>
      <c r="J892" s="284"/>
      <c r="K892" s="284"/>
      <c r="L892" s="284"/>
      <c r="M892" s="284"/>
      <c r="N892" s="284"/>
      <c r="O892" s="284"/>
      <c r="P892" s="284"/>
      <c r="Q892" s="284"/>
      <c r="R892" s="284"/>
      <c r="S892" s="284"/>
      <c r="T892" s="284"/>
      <c r="U892" s="284"/>
      <c r="V892" s="284"/>
      <c r="W892" s="284"/>
      <c r="X892" s="284"/>
      <c r="Y892" s="284"/>
      <c r="Z892" s="284"/>
      <c r="AA892" s="284"/>
      <c r="AB892" s="284"/>
      <c r="AC892" s="284"/>
      <c r="AD892" s="284"/>
      <c r="AE892" s="284"/>
    </row>
    <row r="893">
      <c r="A893" s="284"/>
      <c r="B893" s="284"/>
      <c r="C893" s="284"/>
      <c r="D893" s="284"/>
      <c r="E893" s="284"/>
      <c r="F893" s="284"/>
      <c r="G893" s="284"/>
      <c r="H893" s="284"/>
      <c r="I893" s="284"/>
      <c r="J893" s="284"/>
      <c r="K893" s="284"/>
      <c r="L893" s="284"/>
      <c r="M893" s="284"/>
      <c r="N893" s="284"/>
      <c r="O893" s="284"/>
      <c r="P893" s="284"/>
      <c r="Q893" s="284"/>
      <c r="R893" s="284"/>
      <c r="S893" s="284"/>
      <c r="T893" s="284"/>
      <c r="U893" s="284"/>
      <c r="V893" s="284"/>
      <c r="W893" s="284"/>
      <c r="X893" s="284"/>
      <c r="Y893" s="284"/>
      <c r="Z893" s="284"/>
      <c r="AA893" s="284"/>
      <c r="AB893" s="284"/>
      <c r="AC893" s="284"/>
      <c r="AD893" s="284"/>
      <c r="AE893" s="284"/>
    </row>
    <row r="894">
      <c r="A894" s="284"/>
      <c r="B894" s="284"/>
      <c r="C894" s="284"/>
      <c r="D894" s="284"/>
      <c r="E894" s="284"/>
      <c r="F894" s="284"/>
      <c r="G894" s="284"/>
      <c r="H894" s="284"/>
      <c r="I894" s="284"/>
      <c r="J894" s="284"/>
      <c r="K894" s="284"/>
      <c r="L894" s="284"/>
      <c r="M894" s="284"/>
      <c r="N894" s="284"/>
      <c r="O894" s="284"/>
      <c r="P894" s="284"/>
      <c r="Q894" s="284"/>
      <c r="R894" s="284"/>
      <c r="S894" s="284"/>
      <c r="T894" s="284"/>
      <c r="U894" s="284"/>
      <c r="V894" s="284"/>
      <c r="W894" s="284"/>
      <c r="X894" s="284"/>
      <c r="Y894" s="284"/>
      <c r="Z894" s="284"/>
      <c r="AA894" s="284"/>
      <c r="AB894" s="284"/>
      <c r="AC894" s="284"/>
      <c r="AD894" s="284"/>
      <c r="AE894" s="284"/>
    </row>
    <row r="895">
      <c r="A895" s="284"/>
      <c r="B895" s="284"/>
      <c r="C895" s="284"/>
      <c r="D895" s="284"/>
      <c r="E895" s="284"/>
      <c r="F895" s="284"/>
      <c r="G895" s="284"/>
      <c r="H895" s="284"/>
      <c r="I895" s="284"/>
      <c r="J895" s="284"/>
      <c r="K895" s="284"/>
      <c r="L895" s="284"/>
      <c r="M895" s="284"/>
      <c r="N895" s="284"/>
      <c r="O895" s="284"/>
      <c r="P895" s="284"/>
      <c r="Q895" s="284"/>
      <c r="R895" s="284"/>
      <c r="S895" s="284"/>
      <c r="T895" s="284"/>
      <c r="U895" s="284"/>
      <c r="V895" s="284"/>
      <c r="W895" s="284"/>
      <c r="X895" s="284"/>
      <c r="Y895" s="284"/>
      <c r="Z895" s="284"/>
      <c r="AA895" s="284"/>
      <c r="AB895" s="284"/>
      <c r="AC895" s="284"/>
      <c r="AD895" s="284"/>
      <c r="AE895" s="284"/>
    </row>
    <row r="896">
      <c r="A896" s="284"/>
      <c r="B896" s="284"/>
      <c r="C896" s="284"/>
      <c r="D896" s="284"/>
      <c r="E896" s="284"/>
      <c r="F896" s="284"/>
      <c r="G896" s="284"/>
      <c r="H896" s="284"/>
      <c r="I896" s="284"/>
      <c r="J896" s="284"/>
      <c r="K896" s="284"/>
      <c r="L896" s="284"/>
      <c r="M896" s="284"/>
      <c r="N896" s="284"/>
      <c r="O896" s="284"/>
      <c r="P896" s="284"/>
      <c r="Q896" s="284"/>
      <c r="R896" s="284"/>
      <c r="S896" s="284"/>
      <c r="T896" s="284"/>
      <c r="U896" s="284"/>
      <c r="V896" s="284"/>
      <c r="W896" s="284"/>
      <c r="X896" s="284"/>
      <c r="Y896" s="284"/>
      <c r="Z896" s="284"/>
      <c r="AA896" s="284"/>
      <c r="AB896" s="284"/>
      <c r="AC896" s="284"/>
      <c r="AD896" s="284"/>
      <c r="AE896" s="284"/>
    </row>
    <row r="897">
      <c r="A897" s="284"/>
      <c r="B897" s="284"/>
      <c r="C897" s="284"/>
      <c r="D897" s="284"/>
      <c r="E897" s="284"/>
      <c r="F897" s="284"/>
      <c r="G897" s="284"/>
      <c r="H897" s="284"/>
      <c r="I897" s="284"/>
      <c r="J897" s="284"/>
      <c r="K897" s="284"/>
      <c r="L897" s="284"/>
      <c r="M897" s="284"/>
      <c r="N897" s="284"/>
      <c r="O897" s="284"/>
      <c r="P897" s="284"/>
      <c r="Q897" s="284"/>
      <c r="R897" s="284"/>
      <c r="S897" s="284"/>
      <c r="T897" s="284"/>
      <c r="U897" s="284"/>
      <c r="V897" s="284"/>
      <c r="W897" s="284"/>
      <c r="X897" s="284"/>
      <c r="Y897" s="284"/>
      <c r="Z897" s="284"/>
      <c r="AA897" s="284"/>
      <c r="AB897" s="284"/>
      <c r="AC897" s="284"/>
      <c r="AD897" s="284"/>
      <c r="AE897" s="284"/>
    </row>
    <row r="898">
      <c r="A898" s="284"/>
      <c r="B898" s="284"/>
      <c r="C898" s="284"/>
      <c r="D898" s="284"/>
      <c r="E898" s="284"/>
      <c r="F898" s="284"/>
      <c r="G898" s="284"/>
      <c r="H898" s="284"/>
      <c r="I898" s="284"/>
      <c r="J898" s="284"/>
      <c r="K898" s="284"/>
      <c r="L898" s="284"/>
      <c r="M898" s="284"/>
      <c r="N898" s="284"/>
      <c r="O898" s="284"/>
      <c r="P898" s="284"/>
      <c r="Q898" s="284"/>
      <c r="R898" s="284"/>
      <c r="S898" s="284"/>
      <c r="T898" s="284"/>
      <c r="U898" s="284"/>
      <c r="V898" s="284"/>
      <c r="W898" s="284"/>
      <c r="X898" s="284"/>
      <c r="Y898" s="284"/>
      <c r="Z898" s="284"/>
      <c r="AA898" s="284"/>
      <c r="AB898" s="284"/>
      <c r="AC898" s="284"/>
      <c r="AD898" s="284"/>
      <c r="AE898" s="284"/>
    </row>
    <row r="899">
      <c r="A899" s="284"/>
      <c r="B899" s="284"/>
      <c r="C899" s="284"/>
      <c r="D899" s="284"/>
      <c r="E899" s="284"/>
      <c r="F899" s="284"/>
      <c r="G899" s="284"/>
      <c r="H899" s="284"/>
      <c r="I899" s="284"/>
      <c r="J899" s="284"/>
      <c r="K899" s="284"/>
      <c r="L899" s="284"/>
      <c r="M899" s="284"/>
      <c r="N899" s="284"/>
      <c r="O899" s="284"/>
      <c r="P899" s="284"/>
      <c r="Q899" s="284"/>
      <c r="R899" s="284"/>
      <c r="S899" s="284"/>
      <c r="T899" s="284"/>
      <c r="U899" s="284"/>
      <c r="V899" s="284"/>
      <c r="W899" s="284"/>
      <c r="X899" s="284"/>
      <c r="Y899" s="284"/>
      <c r="Z899" s="284"/>
      <c r="AA899" s="284"/>
      <c r="AB899" s="284"/>
      <c r="AC899" s="284"/>
      <c r="AD899" s="284"/>
      <c r="AE899" s="284"/>
    </row>
    <row r="900">
      <c r="A900" s="284"/>
      <c r="B900" s="284"/>
      <c r="C900" s="284"/>
      <c r="D900" s="284"/>
      <c r="E900" s="284"/>
      <c r="F900" s="284"/>
      <c r="G900" s="284"/>
      <c r="H900" s="284"/>
      <c r="I900" s="284"/>
      <c r="J900" s="284"/>
      <c r="K900" s="284"/>
      <c r="L900" s="284"/>
      <c r="M900" s="284"/>
      <c r="N900" s="284"/>
      <c r="O900" s="284"/>
      <c r="P900" s="284"/>
      <c r="Q900" s="284"/>
      <c r="R900" s="284"/>
      <c r="S900" s="284"/>
      <c r="T900" s="284"/>
      <c r="U900" s="284"/>
      <c r="V900" s="284"/>
      <c r="W900" s="284"/>
      <c r="X900" s="284"/>
      <c r="Y900" s="284"/>
      <c r="Z900" s="284"/>
      <c r="AA900" s="284"/>
      <c r="AB900" s="284"/>
      <c r="AC900" s="284"/>
      <c r="AD900" s="284"/>
      <c r="AE900" s="284"/>
    </row>
    <row r="901">
      <c r="A901" s="284"/>
      <c r="B901" s="284"/>
      <c r="C901" s="284"/>
      <c r="D901" s="284"/>
      <c r="E901" s="284"/>
      <c r="F901" s="284"/>
      <c r="G901" s="284"/>
      <c r="H901" s="284"/>
      <c r="I901" s="284"/>
      <c r="J901" s="284"/>
      <c r="K901" s="284"/>
      <c r="L901" s="284"/>
      <c r="M901" s="284"/>
      <c r="N901" s="284"/>
      <c r="O901" s="284"/>
      <c r="P901" s="284"/>
      <c r="Q901" s="284"/>
      <c r="R901" s="284"/>
      <c r="S901" s="284"/>
      <c r="T901" s="284"/>
      <c r="U901" s="284"/>
      <c r="V901" s="284"/>
      <c r="W901" s="284"/>
      <c r="X901" s="284"/>
      <c r="Y901" s="284"/>
      <c r="Z901" s="284"/>
      <c r="AA901" s="284"/>
      <c r="AB901" s="284"/>
      <c r="AC901" s="284"/>
      <c r="AD901" s="284"/>
      <c r="AE901" s="284"/>
    </row>
    <row r="902">
      <c r="A902" s="284"/>
      <c r="B902" s="284"/>
      <c r="C902" s="284"/>
      <c r="D902" s="284"/>
      <c r="E902" s="284"/>
      <c r="F902" s="284"/>
      <c r="G902" s="284"/>
      <c r="H902" s="284"/>
      <c r="I902" s="284"/>
      <c r="J902" s="284"/>
      <c r="K902" s="284"/>
      <c r="L902" s="284"/>
      <c r="M902" s="284"/>
      <c r="N902" s="284"/>
      <c r="O902" s="284"/>
      <c r="P902" s="284"/>
      <c r="Q902" s="284"/>
      <c r="R902" s="284"/>
      <c r="S902" s="284"/>
      <c r="T902" s="284"/>
      <c r="U902" s="284"/>
      <c r="V902" s="284"/>
      <c r="W902" s="284"/>
      <c r="X902" s="284"/>
      <c r="Y902" s="284"/>
      <c r="Z902" s="284"/>
      <c r="AA902" s="284"/>
      <c r="AB902" s="284"/>
      <c r="AC902" s="284"/>
      <c r="AD902" s="284"/>
      <c r="AE902" s="284"/>
    </row>
    <row r="903">
      <c r="A903" s="284"/>
      <c r="B903" s="284"/>
      <c r="C903" s="284"/>
      <c r="D903" s="284"/>
      <c r="E903" s="284"/>
      <c r="F903" s="284"/>
      <c r="G903" s="284"/>
      <c r="H903" s="284"/>
      <c r="I903" s="284"/>
      <c r="J903" s="284"/>
      <c r="K903" s="284"/>
      <c r="L903" s="284"/>
      <c r="M903" s="284"/>
      <c r="N903" s="284"/>
      <c r="O903" s="284"/>
      <c r="P903" s="284"/>
      <c r="Q903" s="284"/>
      <c r="R903" s="284"/>
      <c r="S903" s="284"/>
      <c r="T903" s="284"/>
      <c r="U903" s="284"/>
      <c r="V903" s="284"/>
      <c r="W903" s="284"/>
      <c r="X903" s="284"/>
      <c r="Y903" s="284"/>
      <c r="Z903" s="284"/>
      <c r="AA903" s="284"/>
      <c r="AB903" s="284"/>
      <c r="AC903" s="284"/>
      <c r="AD903" s="284"/>
      <c r="AE903" s="284"/>
    </row>
    <row r="904">
      <c r="A904" s="284"/>
      <c r="B904" s="284"/>
      <c r="C904" s="284"/>
      <c r="D904" s="284"/>
      <c r="E904" s="284"/>
      <c r="F904" s="284"/>
      <c r="G904" s="284"/>
      <c r="H904" s="284"/>
      <c r="I904" s="284"/>
      <c r="J904" s="284"/>
      <c r="K904" s="284"/>
      <c r="L904" s="284"/>
      <c r="M904" s="284"/>
      <c r="N904" s="284"/>
      <c r="O904" s="284"/>
      <c r="P904" s="284"/>
      <c r="Q904" s="284"/>
      <c r="R904" s="284"/>
      <c r="S904" s="284"/>
      <c r="T904" s="284"/>
      <c r="U904" s="284"/>
      <c r="V904" s="284"/>
      <c r="W904" s="284"/>
      <c r="X904" s="284"/>
      <c r="Y904" s="284"/>
      <c r="Z904" s="284"/>
      <c r="AA904" s="284"/>
      <c r="AB904" s="284"/>
      <c r="AC904" s="284"/>
      <c r="AD904" s="284"/>
      <c r="AE904" s="284"/>
    </row>
    <row r="905">
      <c r="A905" s="284"/>
      <c r="B905" s="284"/>
      <c r="C905" s="284"/>
      <c r="D905" s="284"/>
      <c r="E905" s="284"/>
      <c r="F905" s="284"/>
      <c r="G905" s="284"/>
      <c r="H905" s="284"/>
      <c r="I905" s="284"/>
      <c r="J905" s="284"/>
      <c r="K905" s="284"/>
      <c r="L905" s="284"/>
      <c r="M905" s="284"/>
      <c r="N905" s="284"/>
      <c r="O905" s="284"/>
      <c r="P905" s="284"/>
      <c r="Q905" s="284"/>
      <c r="R905" s="284"/>
      <c r="S905" s="284"/>
      <c r="T905" s="284"/>
      <c r="U905" s="284"/>
      <c r="V905" s="284"/>
      <c r="W905" s="284"/>
      <c r="X905" s="284"/>
      <c r="Y905" s="284"/>
      <c r="Z905" s="284"/>
      <c r="AA905" s="284"/>
      <c r="AB905" s="284"/>
      <c r="AC905" s="284"/>
      <c r="AD905" s="284"/>
      <c r="AE905" s="284"/>
    </row>
    <row r="906">
      <c r="A906" s="284"/>
      <c r="B906" s="284"/>
      <c r="C906" s="284"/>
      <c r="D906" s="284"/>
      <c r="E906" s="284"/>
      <c r="F906" s="284"/>
      <c r="G906" s="284"/>
      <c r="H906" s="284"/>
      <c r="I906" s="284"/>
      <c r="J906" s="284"/>
      <c r="K906" s="284"/>
      <c r="L906" s="284"/>
      <c r="M906" s="284"/>
      <c r="N906" s="284"/>
      <c r="O906" s="284"/>
      <c r="P906" s="284"/>
      <c r="Q906" s="284"/>
      <c r="R906" s="284"/>
      <c r="S906" s="284"/>
      <c r="T906" s="284"/>
      <c r="U906" s="284"/>
      <c r="V906" s="284"/>
      <c r="W906" s="284"/>
      <c r="X906" s="284"/>
      <c r="Y906" s="284"/>
      <c r="Z906" s="284"/>
      <c r="AA906" s="284"/>
      <c r="AB906" s="284"/>
      <c r="AC906" s="284"/>
      <c r="AD906" s="284"/>
      <c r="AE906" s="284"/>
    </row>
    <row r="907">
      <c r="A907" s="284"/>
      <c r="B907" s="284"/>
      <c r="C907" s="284"/>
      <c r="D907" s="284"/>
      <c r="E907" s="284"/>
      <c r="F907" s="284"/>
      <c r="G907" s="284"/>
      <c r="H907" s="284"/>
      <c r="I907" s="284"/>
      <c r="J907" s="284"/>
      <c r="K907" s="284"/>
      <c r="L907" s="284"/>
      <c r="M907" s="284"/>
      <c r="N907" s="284"/>
      <c r="O907" s="284"/>
      <c r="P907" s="284"/>
      <c r="Q907" s="284"/>
      <c r="R907" s="284"/>
      <c r="S907" s="284"/>
      <c r="T907" s="284"/>
      <c r="U907" s="284"/>
      <c r="V907" s="284"/>
      <c r="W907" s="284"/>
      <c r="X907" s="284"/>
      <c r="Y907" s="284"/>
      <c r="Z907" s="284"/>
      <c r="AA907" s="284"/>
      <c r="AB907" s="284"/>
      <c r="AC907" s="284"/>
      <c r="AD907" s="284"/>
      <c r="AE907" s="284"/>
    </row>
    <row r="908">
      <c r="A908" s="284"/>
      <c r="B908" s="284"/>
      <c r="C908" s="284"/>
      <c r="D908" s="284"/>
      <c r="E908" s="284"/>
      <c r="F908" s="284"/>
      <c r="G908" s="284"/>
      <c r="H908" s="284"/>
      <c r="I908" s="284"/>
      <c r="J908" s="284"/>
      <c r="K908" s="284"/>
      <c r="L908" s="284"/>
      <c r="M908" s="284"/>
      <c r="N908" s="284"/>
      <c r="O908" s="284"/>
      <c r="P908" s="284"/>
      <c r="Q908" s="284"/>
      <c r="R908" s="284"/>
      <c r="S908" s="284"/>
      <c r="T908" s="284"/>
      <c r="U908" s="284"/>
      <c r="V908" s="284"/>
      <c r="W908" s="284"/>
      <c r="X908" s="284"/>
      <c r="Y908" s="284"/>
      <c r="Z908" s="284"/>
      <c r="AA908" s="284"/>
      <c r="AB908" s="284"/>
      <c r="AC908" s="284"/>
      <c r="AD908" s="284"/>
      <c r="AE908" s="284"/>
    </row>
    <row r="909">
      <c r="A909" s="284"/>
      <c r="B909" s="284"/>
      <c r="C909" s="284"/>
      <c r="D909" s="284"/>
      <c r="E909" s="284"/>
      <c r="F909" s="284"/>
      <c r="G909" s="284"/>
      <c r="H909" s="284"/>
      <c r="I909" s="284"/>
      <c r="J909" s="284"/>
      <c r="K909" s="284"/>
      <c r="L909" s="284"/>
      <c r="M909" s="284"/>
      <c r="N909" s="284"/>
      <c r="O909" s="284"/>
      <c r="P909" s="284"/>
      <c r="Q909" s="284"/>
      <c r="R909" s="284"/>
      <c r="S909" s="284"/>
      <c r="T909" s="284"/>
      <c r="U909" s="284"/>
      <c r="V909" s="284"/>
      <c r="W909" s="284"/>
      <c r="X909" s="284"/>
      <c r="Y909" s="284"/>
      <c r="Z909" s="284"/>
      <c r="AA909" s="284"/>
      <c r="AB909" s="284"/>
      <c r="AC909" s="284"/>
      <c r="AD909" s="284"/>
      <c r="AE909" s="284"/>
    </row>
    <row r="910">
      <c r="A910" s="284"/>
      <c r="B910" s="284"/>
      <c r="C910" s="284"/>
      <c r="D910" s="284"/>
      <c r="E910" s="284"/>
      <c r="F910" s="284"/>
      <c r="G910" s="284"/>
      <c r="H910" s="284"/>
      <c r="I910" s="284"/>
      <c r="J910" s="284"/>
      <c r="K910" s="284"/>
      <c r="L910" s="284"/>
      <c r="M910" s="284"/>
      <c r="N910" s="284"/>
      <c r="O910" s="284"/>
      <c r="P910" s="284"/>
      <c r="Q910" s="284"/>
      <c r="R910" s="284"/>
      <c r="S910" s="284"/>
      <c r="T910" s="284"/>
      <c r="U910" s="284"/>
      <c r="V910" s="284"/>
      <c r="W910" s="284"/>
      <c r="X910" s="284"/>
      <c r="Y910" s="284"/>
      <c r="Z910" s="284"/>
      <c r="AA910" s="284"/>
      <c r="AB910" s="284"/>
      <c r="AC910" s="284"/>
      <c r="AD910" s="284"/>
      <c r="AE910" s="284"/>
    </row>
    <row r="911">
      <c r="A911" s="284"/>
      <c r="B911" s="284"/>
      <c r="C911" s="284"/>
      <c r="D911" s="284"/>
      <c r="E911" s="284"/>
      <c r="F911" s="284"/>
      <c r="G911" s="284"/>
      <c r="H911" s="284"/>
      <c r="I911" s="284"/>
      <c r="J911" s="284"/>
      <c r="K911" s="284"/>
      <c r="L911" s="284"/>
      <c r="M911" s="284"/>
      <c r="N911" s="284"/>
      <c r="O911" s="284"/>
      <c r="P911" s="284"/>
      <c r="Q911" s="284"/>
      <c r="R911" s="284"/>
      <c r="S911" s="284"/>
      <c r="T911" s="284"/>
      <c r="U911" s="284"/>
      <c r="V911" s="284"/>
      <c r="W911" s="284"/>
      <c r="X911" s="284"/>
      <c r="Y911" s="284"/>
      <c r="Z911" s="284"/>
      <c r="AA911" s="284"/>
      <c r="AB911" s="284"/>
      <c r="AC911" s="284"/>
      <c r="AD911" s="284"/>
      <c r="AE911" s="284"/>
    </row>
    <row r="912">
      <c r="A912" s="284"/>
      <c r="B912" s="284"/>
      <c r="C912" s="284"/>
      <c r="D912" s="284"/>
      <c r="E912" s="284"/>
      <c r="F912" s="284"/>
      <c r="G912" s="284"/>
      <c r="H912" s="284"/>
      <c r="I912" s="284"/>
      <c r="J912" s="284"/>
      <c r="K912" s="284"/>
      <c r="L912" s="284"/>
      <c r="M912" s="284"/>
      <c r="N912" s="284"/>
      <c r="O912" s="284"/>
      <c r="P912" s="284"/>
      <c r="Q912" s="284"/>
      <c r="R912" s="284"/>
      <c r="S912" s="284"/>
      <c r="T912" s="284"/>
      <c r="U912" s="284"/>
      <c r="V912" s="284"/>
      <c r="W912" s="284"/>
      <c r="X912" s="284"/>
      <c r="Y912" s="284"/>
      <c r="Z912" s="284"/>
      <c r="AA912" s="284"/>
      <c r="AB912" s="284"/>
      <c r="AC912" s="284"/>
      <c r="AD912" s="284"/>
      <c r="AE912" s="284"/>
    </row>
    <row r="913">
      <c r="A913" s="284"/>
      <c r="B913" s="284"/>
      <c r="C913" s="284"/>
      <c r="D913" s="284"/>
      <c r="E913" s="284"/>
      <c r="F913" s="284"/>
      <c r="G913" s="284"/>
      <c r="H913" s="284"/>
      <c r="I913" s="284"/>
      <c r="J913" s="284"/>
      <c r="K913" s="284"/>
      <c r="L913" s="284"/>
      <c r="M913" s="284"/>
      <c r="N913" s="284"/>
      <c r="O913" s="284"/>
      <c r="P913" s="284"/>
      <c r="Q913" s="284"/>
      <c r="R913" s="284"/>
      <c r="S913" s="284"/>
      <c r="T913" s="284"/>
      <c r="U913" s="284"/>
      <c r="V913" s="284"/>
      <c r="W913" s="284"/>
      <c r="X913" s="284"/>
      <c r="Y913" s="284"/>
      <c r="Z913" s="284"/>
      <c r="AA913" s="284"/>
      <c r="AB913" s="284"/>
      <c r="AC913" s="284"/>
      <c r="AD913" s="284"/>
      <c r="AE913" s="284"/>
    </row>
    <row r="914">
      <c r="A914" s="284"/>
      <c r="B914" s="284"/>
      <c r="C914" s="284"/>
      <c r="D914" s="284"/>
      <c r="E914" s="284"/>
      <c r="F914" s="284"/>
      <c r="G914" s="284"/>
      <c r="H914" s="284"/>
      <c r="I914" s="284"/>
      <c r="J914" s="284"/>
      <c r="K914" s="284"/>
      <c r="L914" s="284"/>
      <c r="M914" s="284"/>
      <c r="N914" s="284"/>
      <c r="O914" s="284"/>
      <c r="P914" s="284"/>
      <c r="Q914" s="284"/>
      <c r="R914" s="284"/>
      <c r="S914" s="284"/>
      <c r="T914" s="284"/>
      <c r="U914" s="284"/>
      <c r="V914" s="284"/>
      <c r="W914" s="284"/>
      <c r="X914" s="284"/>
      <c r="Y914" s="284"/>
      <c r="Z914" s="284"/>
      <c r="AA914" s="284"/>
      <c r="AB914" s="284"/>
      <c r="AC914" s="284"/>
      <c r="AD914" s="284"/>
      <c r="AE914" s="284"/>
    </row>
    <row r="915">
      <c r="A915" s="284"/>
      <c r="B915" s="284"/>
      <c r="C915" s="284"/>
      <c r="D915" s="284"/>
      <c r="E915" s="284"/>
      <c r="F915" s="284"/>
      <c r="G915" s="284"/>
      <c r="H915" s="284"/>
      <c r="I915" s="284"/>
      <c r="J915" s="284"/>
      <c r="K915" s="284"/>
      <c r="L915" s="284"/>
      <c r="M915" s="284"/>
      <c r="N915" s="284"/>
      <c r="O915" s="284"/>
      <c r="P915" s="284"/>
      <c r="Q915" s="284"/>
      <c r="R915" s="284"/>
      <c r="S915" s="284"/>
      <c r="T915" s="284"/>
      <c r="U915" s="284"/>
      <c r="V915" s="284"/>
      <c r="W915" s="284"/>
      <c r="X915" s="284"/>
      <c r="Y915" s="284"/>
      <c r="Z915" s="284"/>
      <c r="AA915" s="284"/>
      <c r="AB915" s="284"/>
      <c r="AC915" s="284"/>
      <c r="AD915" s="284"/>
      <c r="AE915" s="284"/>
    </row>
    <row r="916">
      <c r="A916" s="284"/>
      <c r="B916" s="284"/>
      <c r="C916" s="284"/>
      <c r="D916" s="284"/>
      <c r="E916" s="284"/>
      <c r="F916" s="284"/>
      <c r="G916" s="284"/>
      <c r="H916" s="284"/>
      <c r="I916" s="284"/>
      <c r="J916" s="284"/>
      <c r="K916" s="284"/>
      <c r="L916" s="284"/>
      <c r="M916" s="284"/>
      <c r="N916" s="284"/>
      <c r="O916" s="284"/>
      <c r="P916" s="284"/>
      <c r="Q916" s="284"/>
      <c r="R916" s="284"/>
      <c r="S916" s="284"/>
      <c r="T916" s="284"/>
      <c r="U916" s="284"/>
      <c r="V916" s="284"/>
      <c r="W916" s="284"/>
      <c r="X916" s="284"/>
      <c r="Y916" s="284"/>
      <c r="Z916" s="284"/>
      <c r="AA916" s="284"/>
      <c r="AB916" s="284"/>
      <c r="AC916" s="284"/>
      <c r="AD916" s="284"/>
      <c r="AE916" s="284"/>
    </row>
    <row r="917">
      <c r="A917" s="284"/>
      <c r="B917" s="284"/>
      <c r="C917" s="284"/>
      <c r="D917" s="284"/>
      <c r="E917" s="284"/>
      <c r="F917" s="284"/>
      <c r="G917" s="284"/>
      <c r="H917" s="284"/>
      <c r="I917" s="284"/>
      <c r="J917" s="284"/>
      <c r="K917" s="284"/>
      <c r="L917" s="284"/>
      <c r="M917" s="284"/>
      <c r="N917" s="284"/>
      <c r="O917" s="284"/>
      <c r="P917" s="284"/>
      <c r="Q917" s="284"/>
      <c r="R917" s="284"/>
      <c r="S917" s="284"/>
      <c r="T917" s="284"/>
      <c r="U917" s="284"/>
      <c r="V917" s="284"/>
      <c r="W917" s="284"/>
      <c r="X917" s="284"/>
      <c r="Y917" s="284"/>
      <c r="Z917" s="284"/>
      <c r="AA917" s="284"/>
      <c r="AB917" s="284"/>
      <c r="AC917" s="284"/>
      <c r="AD917" s="284"/>
      <c r="AE917" s="284"/>
    </row>
    <row r="918">
      <c r="A918" s="284"/>
      <c r="B918" s="284"/>
      <c r="C918" s="284"/>
      <c r="D918" s="284"/>
      <c r="E918" s="284"/>
      <c r="F918" s="284"/>
      <c r="G918" s="284"/>
      <c r="H918" s="284"/>
      <c r="I918" s="284"/>
      <c r="J918" s="284"/>
      <c r="K918" s="284"/>
      <c r="L918" s="284"/>
      <c r="M918" s="284"/>
      <c r="N918" s="284"/>
      <c r="O918" s="284"/>
      <c r="P918" s="284"/>
      <c r="Q918" s="284"/>
      <c r="R918" s="284"/>
      <c r="S918" s="284"/>
      <c r="T918" s="284"/>
      <c r="U918" s="284"/>
      <c r="V918" s="284"/>
      <c r="W918" s="284"/>
      <c r="X918" s="284"/>
      <c r="Y918" s="284"/>
      <c r="Z918" s="284"/>
      <c r="AA918" s="284"/>
      <c r="AB918" s="284"/>
      <c r="AC918" s="284"/>
      <c r="AD918" s="284"/>
      <c r="AE918" s="284"/>
    </row>
    <row r="919">
      <c r="A919" s="284"/>
      <c r="B919" s="284"/>
      <c r="C919" s="284"/>
      <c r="D919" s="284"/>
      <c r="E919" s="284"/>
      <c r="F919" s="284"/>
      <c r="G919" s="284"/>
      <c r="H919" s="284"/>
      <c r="I919" s="284"/>
      <c r="J919" s="284"/>
      <c r="K919" s="284"/>
      <c r="L919" s="284"/>
      <c r="M919" s="284"/>
      <c r="N919" s="284"/>
      <c r="O919" s="284"/>
      <c r="P919" s="284"/>
      <c r="Q919" s="284"/>
      <c r="R919" s="284"/>
      <c r="S919" s="284"/>
      <c r="T919" s="284"/>
      <c r="U919" s="284"/>
      <c r="V919" s="284"/>
      <c r="W919" s="284"/>
      <c r="X919" s="284"/>
      <c r="Y919" s="284"/>
      <c r="Z919" s="284"/>
      <c r="AA919" s="284"/>
      <c r="AB919" s="284"/>
      <c r="AC919" s="284"/>
      <c r="AD919" s="284"/>
      <c r="AE919" s="284"/>
    </row>
    <row r="920">
      <c r="A920" s="284"/>
      <c r="B920" s="284"/>
      <c r="C920" s="284"/>
      <c r="D920" s="284"/>
      <c r="E920" s="284"/>
      <c r="F920" s="284"/>
      <c r="G920" s="284"/>
      <c r="H920" s="284"/>
      <c r="I920" s="284"/>
      <c r="J920" s="284"/>
      <c r="K920" s="284"/>
      <c r="L920" s="284"/>
      <c r="M920" s="284"/>
      <c r="N920" s="284"/>
      <c r="O920" s="284"/>
      <c r="P920" s="284"/>
      <c r="Q920" s="284"/>
      <c r="R920" s="284"/>
      <c r="S920" s="284"/>
      <c r="T920" s="284"/>
      <c r="U920" s="284"/>
      <c r="V920" s="284"/>
      <c r="W920" s="284"/>
      <c r="X920" s="284"/>
      <c r="Y920" s="284"/>
      <c r="Z920" s="284"/>
      <c r="AA920" s="284"/>
      <c r="AB920" s="284"/>
      <c r="AC920" s="284"/>
      <c r="AD920" s="284"/>
      <c r="AE920" s="284"/>
    </row>
    <row r="921">
      <c r="A921" s="284"/>
      <c r="B921" s="284"/>
      <c r="C921" s="284"/>
      <c r="D921" s="284"/>
      <c r="E921" s="284"/>
      <c r="F921" s="284"/>
      <c r="G921" s="284"/>
      <c r="H921" s="284"/>
      <c r="I921" s="284"/>
      <c r="J921" s="284"/>
      <c r="K921" s="284"/>
      <c r="L921" s="284"/>
      <c r="M921" s="284"/>
      <c r="N921" s="284"/>
      <c r="O921" s="284"/>
      <c r="P921" s="284"/>
      <c r="Q921" s="284"/>
      <c r="R921" s="284"/>
      <c r="S921" s="284"/>
      <c r="T921" s="284"/>
      <c r="U921" s="284"/>
      <c r="V921" s="284"/>
      <c r="W921" s="284"/>
      <c r="X921" s="284"/>
      <c r="Y921" s="284"/>
      <c r="Z921" s="284"/>
      <c r="AA921" s="284"/>
      <c r="AB921" s="284"/>
      <c r="AC921" s="284"/>
      <c r="AD921" s="284"/>
      <c r="AE921" s="284"/>
    </row>
    <row r="922">
      <c r="A922" s="284"/>
      <c r="B922" s="284"/>
      <c r="C922" s="284"/>
      <c r="D922" s="284"/>
      <c r="E922" s="284"/>
      <c r="F922" s="284"/>
      <c r="G922" s="284"/>
      <c r="H922" s="284"/>
      <c r="I922" s="284"/>
      <c r="J922" s="284"/>
      <c r="K922" s="284"/>
      <c r="L922" s="284"/>
      <c r="M922" s="284"/>
      <c r="N922" s="284"/>
      <c r="O922" s="284"/>
      <c r="P922" s="284"/>
      <c r="Q922" s="284"/>
      <c r="R922" s="284"/>
      <c r="S922" s="284"/>
      <c r="T922" s="284"/>
      <c r="U922" s="284"/>
      <c r="V922" s="284"/>
      <c r="W922" s="284"/>
      <c r="X922" s="284"/>
      <c r="Y922" s="284"/>
      <c r="Z922" s="284"/>
      <c r="AA922" s="284"/>
      <c r="AB922" s="284"/>
      <c r="AC922" s="284"/>
      <c r="AD922" s="284"/>
      <c r="AE922" s="284"/>
    </row>
    <row r="923">
      <c r="A923" s="284"/>
      <c r="B923" s="284"/>
      <c r="C923" s="284"/>
      <c r="D923" s="284"/>
      <c r="E923" s="284"/>
      <c r="F923" s="284"/>
      <c r="G923" s="284"/>
      <c r="H923" s="284"/>
      <c r="I923" s="284"/>
      <c r="J923" s="284"/>
      <c r="K923" s="284"/>
      <c r="L923" s="284"/>
      <c r="M923" s="284"/>
      <c r="N923" s="284"/>
      <c r="O923" s="284"/>
      <c r="P923" s="284"/>
      <c r="Q923" s="284"/>
      <c r="R923" s="284"/>
      <c r="S923" s="284"/>
      <c r="T923" s="284"/>
      <c r="U923" s="284"/>
      <c r="V923" s="284"/>
      <c r="W923" s="284"/>
      <c r="X923" s="284"/>
      <c r="Y923" s="284"/>
      <c r="Z923" s="284"/>
      <c r="AA923" s="284"/>
      <c r="AB923" s="284"/>
      <c r="AC923" s="284"/>
      <c r="AD923" s="284"/>
      <c r="AE923" s="284"/>
    </row>
    <row r="924">
      <c r="A924" s="284"/>
      <c r="B924" s="284"/>
      <c r="C924" s="284"/>
      <c r="D924" s="284"/>
      <c r="E924" s="284"/>
      <c r="F924" s="284"/>
      <c r="G924" s="284"/>
      <c r="H924" s="284"/>
      <c r="I924" s="284"/>
      <c r="J924" s="284"/>
      <c r="K924" s="284"/>
      <c r="L924" s="284"/>
      <c r="M924" s="284"/>
      <c r="N924" s="284"/>
      <c r="O924" s="284"/>
      <c r="P924" s="284"/>
      <c r="Q924" s="284"/>
      <c r="R924" s="284"/>
      <c r="S924" s="284"/>
      <c r="T924" s="284"/>
      <c r="U924" s="284"/>
      <c r="V924" s="284"/>
      <c r="W924" s="284"/>
      <c r="X924" s="284"/>
      <c r="Y924" s="284"/>
      <c r="Z924" s="284"/>
      <c r="AA924" s="284"/>
      <c r="AB924" s="284"/>
      <c r="AC924" s="284"/>
      <c r="AD924" s="284"/>
      <c r="AE924" s="284"/>
    </row>
    <row r="925">
      <c r="A925" s="284"/>
      <c r="B925" s="284"/>
      <c r="C925" s="284"/>
      <c r="D925" s="284"/>
      <c r="E925" s="284"/>
      <c r="F925" s="284"/>
      <c r="G925" s="284"/>
      <c r="H925" s="284"/>
      <c r="I925" s="284"/>
      <c r="J925" s="284"/>
      <c r="K925" s="284"/>
      <c r="L925" s="284"/>
      <c r="M925" s="284"/>
      <c r="N925" s="284"/>
      <c r="O925" s="284"/>
      <c r="P925" s="284"/>
      <c r="Q925" s="284"/>
      <c r="R925" s="284"/>
      <c r="S925" s="284"/>
      <c r="T925" s="284"/>
      <c r="U925" s="284"/>
      <c r="V925" s="284"/>
      <c r="W925" s="284"/>
      <c r="X925" s="284"/>
      <c r="Y925" s="284"/>
      <c r="Z925" s="284"/>
      <c r="AA925" s="284"/>
      <c r="AB925" s="284"/>
      <c r="AC925" s="284"/>
      <c r="AD925" s="284"/>
      <c r="AE925" s="284"/>
    </row>
    <row r="926">
      <c r="A926" s="284"/>
      <c r="B926" s="284"/>
      <c r="C926" s="284"/>
      <c r="D926" s="284"/>
      <c r="E926" s="284"/>
      <c r="F926" s="284"/>
      <c r="G926" s="284"/>
      <c r="H926" s="284"/>
      <c r="I926" s="284"/>
      <c r="J926" s="284"/>
      <c r="K926" s="284"/>
      <c r="L926" s="284"/>
      <c r="M926" s="284"/>
      <c r="N926" s="284"/>
      <c r="O926" s="284"/>
      <c r="P926" s="284"/>
      <c r="Q926" s="284"/>
      <c r="R926" s="284"/>
      <c r="S926" s="284"/>
      <c r="T926" s="284"/>
      <c r="U926" s="284"/>
      <c r="V926" s="284"/>
      <c r="W926" s="284"/>
      <c r="X926" s="284"/>
      <c r="Y926" s="284"/>
      <c r="Z926" s="284"/>
      <c r="AA926" s="284"/>
      <c r="AB926" s="284"/>
      <c r="AC926" s="284"/>
      <c r="AD926" s="284"/>
      <c r="AE926" s="284"/>
    </row>
    <row r="927">
      <c r="A927" s="284"/>
      <c r="B927" s="284"/>
      <c r="C927" s="284"/>
      <c r="D927" s="284"/>
      <c r="E927" s="284"/>
      <c r="F927" s="284"/>
      <c r="G927" s="284"/>
      <c r="H927" s="284"/>
      <c r="I927" s="284"/>
      <c r="J927" s="284"/>
      <c r="K927" s="284"/>
      <c r="L927" s="284"/>
      <c r="M927" s="284"/>
      <c r="N927" s="284"/>
      <c r="O927" s="284"/>
      <c r="P927" s="284"/>
      <c r="Q927" s="284"/>
      <c r="R927" s="284"/>
      <c r="S927" s="284"/>
      <c r="T927" s="284"/>
      <c r="U927" s="284"/>
      <c r="V927" s="284"/>
      <c r="W927" s="284"/>
      <c r="X927" s="284"/>
      <c r="Y927" s="284"/>
      <c r="Z927" s="284"/>
      <c r="AA927" s="284"/>
      <c r="AB927" s="284"/>
      <c r="AC927" s="284"/>
      <c r="AD927" s="284"/>
      <c r="AE927" s="284"/>
    </row>
    <row r="928">
      <c r="A928" s="284"/>
      <c r="B928" s="284"/>
      <c r="C928" s="284"/>
      <c r="D928" s="284"/>
      <c r="E928" s="284"/>
      <c r="F928" s="284"/>
      <c r="G928" s="284"/>
      <c r="H928" s="284"/>
      <c r="I928" s="284"/>
      <c r="J928" s="284"/>
      <c r="K928" s="284"/>
      <c r="L928" s="284"/>
      <c r="M928" s="284"/>
      <c r="N928" s="284"/>
      <c r="O928" s="284"/>
      <c r="P928" s="284"/>
      <c r="Q928" s="284"/>
      <c r="R928" s="284"/>
      <c r="S928" s="284"/>
      <c r="T928" s="284"/>
      <c r="U928" s="284"/>
      <c r="V928" s="284"/>
      <c r="W928" s="284"/>
      <c r="X928" s="284"/>
      <c r="Y928" s="284"/>
      <c r="Z928" s="284"/>
      <c r="AA928" s="284"/>
      <c r="AB928" s="284"/>
      <c r="AC928" s="284"/>
      <c r="AD928" s="284"/>
      <c r="AE928" s="284"/>
    </row>
    <row r="929">
      <c r="A929" s="284"/>
      <c r="B929" s="284"/>
      <c r="C929" s="284"/>
      <c r="D929" s="284"/>
      <c r="E929" s="284"/>
      <c r="F929" s="284"/>
      <c r="G929" s="284"/>
      <c r="H929" s="284"/>
      <c r="I929" s="284"/>
      <c r="J929" s="284"/>
      <c r="K929" s="284"/>
      <c r="L929" s="284"/>
      <c r="M929" s="284"/>
      <c r="N929" s="284"/>
      <c r="O929" s="284"/>
      <c r="P929" s="284"/>
      <c r="Q929" s="284"/>
      <c r="R929" s="284"/>
      <c r="S929" s="284"/>
      <c r="T929" s="284"/>
      <c r="U929" s="284"/>
      <c r="V929" s="284"/>
      <c r="W929" s="284"/>
      <c r="X929" s="284"/>
      <c r="Y929" s="284"/>
      <c r="Z929" s="284"/>
      <c r="AA929" s="284"/>
      <c r="AB929" s="284"/>
      <c r="AC929" s="284"/>
      <c r="AD929" s="284"/>
      <c r="AE929" s="284"/>
    </row>
    <row r="930">
      <c r="A930" s="284"/>
      <c r="B930" s="284"/>
      <c r="C930" s="284"/>
      <c r="D930" s="284"/>
      <c r="E930" s="284"/>
      <c r="F930" s="284"/>
      <c r="G930" s="284"/>
      <c r="H930" s="284"/>
      <c r="I930" s="284"/>
      <c r="J930" s="284"/>
      <c r="K930" s="284"/>
      <c r="L930" s="284"/>
      <c r="M930" s="284"/>
      <c r="N930" s="284"/>
      <c r="O930" s="284"/>
      <c r="P930" s="284"/>
      <c r="Q930" s="284"/>
      <c r="R930" s="284"/>
      <c r="S930" s="284"/>
      <c r="T930" s="284"/>
      <c r="U930" s="284"/>
      <c r="V930" s="284"/>
      <c r="W930" s="284"/>
      <c r="X930" s="284"/>
      <c r="Y930" s="284"/>
      <c r="Z930" s="284"/>
      <c r="AA930" s="284"/>
      <c r="AB930" s="284"/>
      <c r="AC930" s="284"/>
      <c r="AD930" s="284"/>
      <c r="AE930" s="284"/>
    </row>
    <row r="931">
      <c r="A931" s="284"/>
      <c r="B931" s="284"/>
      <c r="C931" s="284"/>
      <c r="D931" s="284"/>
      <c r="E931" s="284"/>
      <c r="F931" s="284"/>
      <c r="G931" s="284"/>
      <c r="H931" s="284"/>
      <c r="I931" s="284"/>
      <c r="J931" s="284"/>
      <c r="K931" s="284"/>
      <c r="L931" s="284"/>
      <c r="M931" s="284"/>
      <c r="N931" s="284"/>
      <c r="O931" s="284"/>
      <c r="P931" s="284"/>
      <c r="Q931" s="284"/>
      <c r="R931" s="284"/>
      <c r="S931" s="284"/>
      <c r="T931" s="284"/>
      <c r="U931" s="284"/>
      <c r="V931" s="284"/>
      <c r="W931" s="284"/>
      <c r="X931" s="284"/>
      <c r="Y931" s="284"/>
      <c r="Z931" s="284"/>
      <c r="AA931" s="284"/>
      <c r="AB931" s="284"/>
      <c r="AC931" s="284"/>
      <c r="AD931" s="284"/>
      <c r="AE931" s="284"/>
    </row>
    <row r="932">
      <c r="A932" s="284"/>
      <c r="B932" s="284"/>
      <c r="C932" s="284"/>
      <c r="D932" s="284"/>
      <c r="E932" s="284"/>
      <c r="F932" s="284"/>
      <c r="G932" s="284"/>
      <c r="H932" s="284"/>
      <c r="I932" s="284"/>
      <c r="J932" s="284"/>
      <c r="K932" s="284"/>
      <c r="L932" s="284"/>
      <c r="M932" s="284"/>
      <c r="N932" s="284"/>
      <c r="O932" s="284"/>
      <c r="P932" s="284"/>
      <c r="Q932" s="284"/>
      <c r="R932" s="284"/>
      <c r="S932" s="284"/>
      <c r="T932" s="284"/>
      <c r="U932" s="284"/>
      <c r="V932" s="284"/>
      <c r="W932" s="284"/>
      <c r="X932" s="284"/>
      <c r="Y932" s="284"/>
      <c r="Z932" s="284"/>
      <c r="AA932" s="284"/>
      <c r="AB932" s="284"/>
      <c r="AC932" s="284"/>
      <c r="AD932" s="284"/>
      <c r="AE932" s="284"/>
    </row>
    <row r="933">
      <c r="A933" s="284"/>
      <c r="B933" s="284"/>
      <c r="C933" s="284"/>
      <c r="D933" s="284"/>
      <c r="E933" s="284"/>
      <c r="F933" s="284"/>
      <c r="G933" s="284"/>
      <c r="H933" s="284"/>
      <c r="I933" s="284"/>
      <c r="J933" s="284"/>
      <c r="K933" s="284"/>
      <c r="L933" s="284"/>
      <c r="M933" s="284"/>
      <c r="N933" s="284"/>
      <c r="O933" s="284"/>
      <c r="P933" s="284"/>
      <c r="Q933" s="284"/>
      <c r="R933" s="284"/>
      <c r="S933" s="284"/>
      <c r="T933" s="284"/>
      <c r="U933" s="284"/>
      <c r="V933" s="284"/>
      <c r="W933" s="284"/>
      <c r="X933" s="284"/>
      <c r="Y933" s="284"/>
      <c r="Z933" s="284"/>
      <c r="AA933" s="284"/>
      <c r="AB933" s="284"/>
      <c r="AC933" s="284"/>
      <c r="AD933" s="284"/>
      <c r="AE933" s="284"/>
    </row>
    <row r="934">
      <c r="A934" s="284"/>
      <c r="B934" s="284"/>
      <c r="C934" s="284"/>
      <c r="D934" s="284"/>
      <c r="E934" s="284"/>
      <c r="F934" s="284"/>
      <c r="G934" s="284"/>
      <c r="H934" s="284"/>
      <c r="I934" s="284"/>
      <c r="J934" s="284"/>
      <c r="K934" s="284"/>
      <c r="L934" s="284"/>
      <c r="M934" s="284"/>
      <c r="N934" s="284"/>
      <c r="O934" s="284"/>
      <c r="P934" s="284"/>
      <c r="Q934" s="284"/>
      <c r="R934" s="284"/>
      <c r="S934" s="284"/>
      <c r="T934" s="284"/>
      <c r="U934" s="284"/>
      <c r="V934" s="284"/>
      <c r="W934" s="284"/>
      <c r="X934" s="284"/>
      <c r="Y934" s="284"/>
      <c r="Z934" s="284"/>
      <c r="AA934" s="284"/>
      <c r="AB934" s="284"/>
      <c r="AC934" s="284"/>
      <c r="AD934" s="284"/>
      <c r="AE934" s="284"/>
    </row>
    <row r="935">
      <c r="A935" s="284"/>
      <c r="B935" s="284"/>
      <c r="C935" s="284"/>
      <c r="D935" s="284"/>
      <c r="E935" s="284"/>
      <c r="F935" s="284"/>
      <c r="G935" s="284"/>
      <c r="H935" s="284"/>
      <c r="I935" s="284"/>
      <c r="J935" s="284"/>
      <c r="K935" s="284"/>
      <c r="L935" s="284"/>
      <c r="M935" s="284"/>
      <c r="N935" s="284"/>
      <c r="O935" s="284"/>
      <c r="P935" s="284"/>
      <c r="Q935" s="284"/>
      <c r="R935" s="284"/>
      <c r="S935" s="284"/>
      <c r="T935" s="284"/>
      <c r="U935" s="284"/>
      <c r="V935" s="284"/>
      <c r="W935" s="284"/>
      <c r="X935" s="284"/>
      <c r="Y935" s="284"/>
      <c r="Z935" s="284"/>
      <c r="AA935" s="284"/>
      <c r="AB935" s="284"/>
      <c r="AC935" s="284"/>
      <c r="AD935" s="284"/>
      <c r="AE935" s="284"/>
    </row>
    <row r="936">
      <c r="A936" s="284"/>
      <c r="B936" s="284"/>
      <c r="C936" s="284"/>
      <c r="D936" s="284"/>
      <c r="E936" s="284"/>
      <c r="F936" s="284"/>
      <c r="G936" s="284"/>
      <c r="H936" s="284"/>
      <c r="I936" s="284"/>
      <c r="J936" s="284"/>
      <c r="K936" s="284"/>
      <c r="L936" s="284"/>
      <c r="M936" s="284"/>
      <c r="N936" s="284"/>
      <c r="O936" s="284"/>
      <c r="P936" s="284"/>
      <c r="Q936" s="284"/>
      <c r="R936" s="284"/>
      <c r="S936" s="284"/>
      <c r="T936" s="284"/>
      <c r="U936" s="284"/>
      <c r="V936" s="284"/>
      <c r="W936" s="284"/>
      <c r="X936" s="284"/>
      <c r="Y936" s="284"/>
      <c r="Z936" s="284"/>
      <c r="AA936" s="284"/>
      <c r="AB936" s="284"/>
      <c r="AC936" s="284"/>
      <c r="AD936" s="284"/>
      <c r="AE936" s="284"/>
    </row>
    <row r="937">
      <c r="A937" s="284"/>
      <c r="B937" s="284"/>
      <c r="C937" s="284"/>
      <c r="D937" s="284"/>
      <c r="E937" s="284"/>
      <c r="F937" s="284"/>
      <c r="G937" s="284"/>
      <c r="H937" s="284"/>
      <c r="I937" s="284"/>
      <c r="J937" s="284"/>
      <c r="K937" s="284"/>
      <c r="L937" s="284"/>
      <c r="M937" s="284"/>
      <c r="N937" s="284"/>
      <c r="O937" s="284"/>
      <c r="P937" s="284"/>
      <c r="Q937" s="284"/>
      <c r="R937" s="284"/>
      <c r="S937" s="284"/>
      <c r="T937" s="284"/>
      <c r="U937" s="284"/>
      <c r="V937" s="284"/>
      <c r="W937" s="284"/>
      <c r="X937" s="284"/>
      <c r="Y937" s="284"/>
      <c r="Z937" s="284"/>
      <c r="AA937" s="284"/>
      <c r="AB937" s="284"/>
      <c r="AC937" s="284"/>
      <c r="AD937" s="284"/>
      <c r="AE937" s="284"/>
    </row>
    <row r="938">
      <c r="A938" s="284"/>
      <c r="B938" s="284"/>
      <c r="C938" s="284"/>
      <c r="D938" s="284"/>
      <c r="E938" s="284"/>
      <c r="F938" s="284"/>
      <c r="G938" s="284"/>
      <c r="H938" s="284"/>
      <c r="I938" s="284"/>
      <c r="J938" s="284"/>
      <c r="K938" s="284"/>
      <c r="L938" s="284"/>
      <c r="M938" s="284"/>
      <c r="N938" s="284"/>
      <c r="O938" s="284"/>
      <c r="P938" s="284"/>
      <c r="Q938" s="284"/>
      <c r="R938" s="284"/>
      <c r="S938" s="284"/>
      <c r="T938" s="284"/>
      <c r="U938" s="284"/>
      <c r="V938" s="284"/>
      <c r="W938" s="284"/>
      <c r="X938" s="284"/>
      <c r="Y938" s="284"/>
      <c r="Z938" s="284"/>
      <c r="AA938" s="284"/>
      <c r="AB938" s="284"/>
      <c r="AC938" s="284"/>
      <c r="AD938" s="284"/>
      <c r="AE938" s="284"/>
    </row>
    <row r="939">
      <c r="A939" s="284"/>
      <c r="B939" s="284"/>
      <c r="C939" s="284"/>
      <c r="D939" s="284"/>
      <c r="E939" s="284"/>
      <c r="F939" s="284"/>
      <c r="G939" s="284"/>
      <c r="H939" s="284"/>
      <c r="I939" s="284"/>
      <c r="J939" s="284"/>
      <c r="K939" s="284"/>
      <c r="L939" s="284"/>
      <c r="M939" s="284"/>
      <c r="N939" s="284"/>
      <c r="O939" s="284"/>
      <c r="P939" s="284"/>
      <c r="Q939" s="284"/>
      <c r="R939" s="284"/>
      <c r="S939" s="284"/>
      <c r="T939" s="284"/>
      <c r="U939" s="284"/>
      <c r="V939" s="284"/>
      <c r="W939" s="284"/>
      <c r="X939" s="284"/>
      <c r="Y939" s="284"/>
      <c r="Z939" s="284"/>
      <c r="AA939" s="284"/>
      <c r="AB939" s="284"/>
      <c r="AC939" s="284"/>
      <c r="AD939" s="284"/>
      <c r="AE939" s="284"/>
    </row>
    <row r="940">
      <c r="A940" s="284"/>
      <c r="B940" s="284"/>
      <c r="C940" s="284"/>
      <c r="D940" s="284"/>
      <c r="E940" s="284"/>
      <c r="F940" s="284"/>
      <c r="G940" s="284"/>
      <c r="H940" s="284"/>
      <c r="I940" s="284"/>
      <c r="J940" s="284"/>
      <c r="K940" s="284"/>
      <c r="L940" s="284"/>
      <c r="M940" s="284"/>
      <c r="N940" s="284"/>
      <c r="O940" s="284"/>
      <c r="P940" s="284"/>
      <c r="Q940" s="284"/>
      <c r="R940" s="284"/>
      <c r="S940" s="284"/>
      <c r="T940" s="284"/>
      <c r="U940" s="284"/>
      <c r="V940" s="284"/>
      <c r="W940" s="284"/>
      <c r="X940" s="284"/>
      <c r="Y940" s="284"/>
      <c r="Z940" s="284"/>
      <c r="AA940" s="284"/>
      <c r="AB940" s="284"/>
      <c r="AC940" s="284"/>
      <c r="AD940" s="284"/>
      <c r="AE940" s="284"/>
    </row>
    <row r="941">
      <c r="A941" s="284"/>
      <c r="B941" s="284"/>
      <c r="C941" s="284"/>
      <c r="D941" s="284"/>
      <c r="E941" s="284"/>
      <c r="F941" s="284"/>
      <c r="G941" s="284"/>
      <c r="H941" s="284"/>
      <c r="I941" s="284"/>
      <c r="J941" s="284"/>
      <c r="K941" s="284"/>
      <c r="L941" s="284"/>
      <c r="M941" s="284"/>
      <c r="N941" s="284"/>
      <c r="O941" s="284"/>
      <c r="P941" s="284"/>
      <c r="Q941" s="284"/>
      <c r="R941" s="284"/>
      <c r="S941" s="284"/>
      <c r="T941" s="284"/>
      <c r="U941" s="284"/>
      <c r="V941" s="284"/>
      <c r="W941" s="284"/>
      <c r="X941" s="284"/>
      <c r="Y941" s="284"/>
      <c r="Z941" s="284"/>
      <c r="AA941" s="284"/>
      <c r="AB941" s="284"/>
      <c r="AC941" s="284"/>
      <c r="AD941" s="284"/>
      <c r="AE941" s="284"/>
    </row>
    <row r="942">
      <c r="A942" s="284"/>
      <c r="B942" s="284"/>
      <c r="C942" s="284"/>
      <c r="D942" s="284"/>
      <c r="E942" s="284"/>
      <c r="F942" s="284"/>
      <c r="G942" s="284"/>
      <c r="H942" s="284"/>
      <c r="I942" s="284"/>
      <c r="J942" s="284"/>
      <c r="K942" s="284"/>
      <c r="L942" s="284"/>
      <c r="M942" s="284"/>
      <c r="N942" s="284"/>
      <c r="O942" s="284"/>
      <c r="P942" s="284"/>
      <c r="Q942" s="284"/>
      <c r="R942" s="284"/>
      <c r="S942" s="284"/>
      <c r="T942" s="284"/>
      <c r="U942" s="284"/>
      <c r="V942" s="284"/>
      <c r="W942" s="284"/>
      <c r="X942" s="284"/>
      <c r="Y942" s="284"/>
      <c r="Z942" s="284"/>
      <c r="AA942" s="284"/>
      <c r="AB942" s="284"/>
      <c r="AC942" s="284"/>
      <c r="AD942" s="284"/>
      <c r="AE942" s="284"/>
    </row>
    <row r="943">
      <c r="A943" s="284"/>
      <c r="B943" s="284"/>
      <c r="C943" s="284"/>
      <c r="D943" s="284"/>
      <c r="E943" s="284"/>
      <c r="F943" s="284"/>
      <c r="G943" s="284"/>
      <c r="H943" s="284"/>
      <c r="I943" s="284"/>
      <c r="J943" s="284"/>
      <c r="K943" s="284"/>
      <c r="L943" s="284"/>
      <c r="M943" s="284"/>
      <c r="N943" s="284"/>
      <c r="O943" s="284"/>
      <c r="P943" s="284"/>
      <c r="Q943" s="284"/>
      <c r="R943" s="284"/>
      <c r="S943" s="284"/>
      <c r="T943" s="284"/>
      <c r="U943" s="284"/>
      <c r="V943" s="284"/>
      <c r="W943" s="284"/>
      <c r="X943" s="284"/>
      <c r="Y943" s="284"/>
      <c r="Z943" s="284"/>
      <c r="AA943" s="284"/>
      <c r="AB943" s="284"/>
      <c r="AC943" s="284"/>
      <c r="AD943" s="284"/>
      <c r="AE943" s="284"/>
    </row>
    <row r="944">
      <c r="A944" s="284"/>
      <c r="B944" s="284"/>
      <c r="C944" s="284"/>
      <c r="D944" s="284"/>
      <c r="E944" s="284"/>
      <c r="F944" s="284"/>
      <c r="G944" s="284"/>
      <c r="H944" s="284"/>
      <c r="I944" s="284"/>
      <c r="J944" s="284"/>
      <c r="K944" s="284"/>
      <c r="L944" s="284"/>
      <c r="M944" s="284"/>
      <c r="N944" s="284"/>
      <c r="O944" s="284"/>
      <c r="P944" s="284"/>
      <c r="Q944" s="284"/>
      <c r="R944" s="284"/>
      <c r="S944" s="284"/>
      <c r="T944" s="284"/>
      <c r="U944" s="284"/>
      <c r="V944" s="284"/>
      <c r="W944" s="284"/>
      <c r="X944" s="284"/>
      <c r="Y944" s="284"/>
      <c r="Z944" s="284"/>
      <c r="AA944" s="284"/>
      <c r="AB944" s="284"/>
      <c r="AC944" s="284"/>
      <c r="AD944" s="284"/>
      <c r="AE944" s="284"/>
    </row>
    <row r="945">
      <c r="A945" s="284"/>
      <c r="B945" s="284"/>
      <c r="C945" s="284"/>
      <c r="D945" s="284"/>
      <c r="E945" s="284"/>
      <c r="F945" s="284"/>
      <c r="G945" s="284"/>
      <c r="H945" s="284"/>
      <c r="I945" s="284"/>
      <c r="J945" s="284"/>
      <c r="K945" s="284"/>
      <c r="L945" s="284"/>
      <c r="M945" s="284"/>
      <c r="N945" s="284"/>
      <c r="O945" s="284"/>
      <c r="P945" s="284"/>
      <c r="Q945" s="284"/>
      <c r="R945" s="284"/>
      <c r="S945" s="284"/>
      <c r="T945" s="284"/>
      <c r="U945" s="284"/>
      <c r="V945" s="284"/>
      <c r="W945" s="284"/>
      <c r="X945" s="284"/>
      <c r="Y945" s="284"/>
      <c r="Z945" s="284"/>
      <c r="AA945" s="284"/>
      <c r="AB945" s="284"/>
      <c r="AC945" s="284"/>
      <c r="AD945" s="284"/>
      <c r="AE945" s="284"/>
    </row>
    <row r="946">
      <c r="A946" s="284"/>
      <c r="B946" s="284"/>
      <c r="C946" s="284"/>
      <c r="D946" s="284"/>
      <c r="E946" s="284"/>
      <c r="F946" s="284"/>
      <c r="G946" s="284"/>
      <c r="H946" s="284"/>
      <c r="I946" s="284"/>
      <c r="J946" s="284"/>
      <c r="K946" s="284"/>
      <c r="L946" s="284"/>
      <c r="M946" s="284"/>
      <c r="N946" s="284"/>
      <c r="O946" s="284"/>
      <c r="P946" s="284"/>
      <c r="Q946" s="284"/>
      <c r="R946" s="284"/>
      <c r="S946" s="284"/>
      <c r="T946" s="284"/>
      <c r="U946" s="284"/>
      <c r="V946" s="284"/>
      <c r="W946" s="284"/>
      <c r="X946" s="284"/>
      <c r="Y946" s="284"/>
      <c r="Z946" s="284"/>
      <c r="AA946" s="284"/>
      <c r="AB946" s="284"/>
      <c r="AC946" s="284"/>
      <c r="AD946" s="284"/>
      <c r="AE946" s="284"/>
    </row>
    <row r="947">
      <c r="A947" s="284"/>
      <c r="B947" s="284"/>
      <c r="C947" s="284"/>
      <c r="D947" s="284"/>
      <c r="E947" s="284"/>
      <c r="F947" s="284"/>
      <c r="G947" s="284"/>
      <c r="H947" s="284"/>
      <c r="I947" s="284"/>
      <c r="J947" s="284"/>
      <c r="K947" s="284"/>
      <c r="L947" s="284"/>
      <c r="M947" s="284"/>
      <c r="N947" s="284"/>
      <c r="O947" s="284"/>
      <c r="P947" s="284"/>
      <c r="Q947" s="284"/>
      <c r="R947" s="284"/>
      <c r="S947" s="284"/>
      <c r="T947" s="284"/>
      <c r="U947" s="284"/>
      <c r="V947" s="284"/>
      <c r="W947" s="284"/>
      <c r="X947" s="284"/>
      <c r="Y947" s="284"/>
      <c r="Z947" s="284"/>
      <c r="AA947" s="284"/>
      <c r="AB947" s="284"/>
      <c r="AC947" s="284"/>
      <c r="AD947" s="284"/>
      <c r="AE947" s="284"/>
    </row>
    <row r="948">
      <c r="A948" s="284"/>
      <c r="B948" s="284"/>
      <c r="C948" s="284"/>
      <c r="D948" s="284"/>
      <c r="E948" s="284"/>
      <c r="F948" s="284"/>
      <c r="G948" s="284"/>
      <c r="H948" s="284"/>
      <c r="I948" s="284"/>
      <c r="J948" s="284"/>
      <c r="K948" s="284"/>
      <c r="L948" s="284"/>
      <c r="M948" s="284"/>
      <c r="N948" s="284"/>
      <c r="O948" s="284"/>
      <c r="P948" s="284"/>
      <c r="Q948" s="284"/>
      <c r="R948" s="284"/>
      <c r="S948" s="284"/>
      <c r="T948" s="284"/>
      <c r="U948" s="284"/>
      <c r="V948" s="284"/>
      <c r="W948" s="284"/>
      <c r="X948" s="284"/>
      <c r="Y948" s="284"/>
      <c r="Z948" s="284"/>
      <c r="AA948" s="284"/>
      <c r="AB948" s="284"/>
      <c r="AC948" s="284"/>
      <c r="AD948" s="284"/>
      <c r="AE948" s="284"/>
    </row>
    <row r="949">
      <c r="A949" s="284"/>
      <c r="B949" s="284"/>
      <c r="C949" s="284"/>
      <c r="D949" s="284"/>
      <c r="E949" s="284"/>
      <c r="F949" s="284"/>
      <c r="G949" s="284"/>
      <c r="H949" s="284"/>
      <c r="I949" s="284"/>
      <c r="J949" s="284"/>
      <c r="K949" s="284"/>
      <c r="L949" s="284"/>
      <c r="M949" s="284"/>
      <c r="N949" s="284"/>
      <c r="O949" s="284"/>
      <c r="P949" s="284"/>
      <c r="Q949" s="284"/>
      <c r="R949" s="284"/>
      <c r="S949" s="284"/>
      <c r="T949" s="284"/>
      <c r="U949" s="284"/>
      <c r="V949" s="284"/>
      <c r="W949" s="284"/>
      <c r="X949" s="284"/>
      <c r="Y949" s="284"/>
      <c r="Z949" s="284"/>
      <c r="AA949" s="284"/>
      <c r="AB949" s="284"/>
      <c r="AC949" s="284"/>
      <c r="AD949" s="284"/>
      <c r="AE949" s="284"/>
    </row>
    <row r="950">
      <c r="A950" s="284"/>
      <c r="B950" s="284"/>
      <c r="C950" s="284"/>
      <c r="D950" s="284"/>
      <c r="E950" s="284"/>
      <c r="F950" s="284"/>
      <c r="G950" s="284"/>
      <c r="H950" s="284"/>
      <c r="I950" s="284"/>
      <c r="J950" s="284"/>
      <c r="K950" s="284"/>
      <c r="L950" s="284"/>
      <c r="M950" s="284"/>
      <c r="N950" s="284"/>
      <c r="O950" s="284"/>
      <c r="P950" s="284"/>
      <c r="Q950" s="284"/>
      <c r="R950" s="284"/>
      <c r="S950" s="284"/>
      <c r="T950" s="284"/>
      <c r="U950" s="284"/>
      <c r="V950" s="284"/>
      <c r="W950" s="284"/>
      <c r="X950" s="284"/>
      <c r="Y950" s="284"/>
      <c r="Z950" s="284"/>
      <c r="AA950" s="284"/>
      <c r="AB950" s="284"/>
      <c r="AC950" s="284"/>
      <c r="AD950" s="284"/>
      <c r="AE950" s="284"/>
    </row>
    <row r="951">
      <c r="A951" s="284"/>
      <c r="B951" s="284"/>
      <c r="C951" s="284"/>
      <c r="D951" s="284"/>
      <c r="E951" s="284"/>
      <c r="F951" s="284"/>
      <c r="G951" s="284"/>
      <c r="H951" s="284"/>
      <c r="I951" s="284"/>
      <c r="J951" s="284"/>
      <c r="K951" s="284"/>
      <c r="L951" s="284"/>
      <c r="M951" s="284"/>
      <c r="N951" s="284"/>
      <c r="O951" s="284"/>
      <c r="P951" s="284"/>
      <c r="Q951" s="284"/>
      <c r="R951" s="284"/>
      <c r="S951" s="284"/>
      <c r="T951" s="284"/>
      <c r="U951" s="284"/>
      <c r="V951" s="284"/>
      <c r="W951" s="284"/>
      <c r="X951" s="284"/>
      <c r="Y951" s="284"/>
      <c r="Z951" s="284"/>
      <c r="AA951" s="284"/>
      <c r="AB951" s="284"/>
      <c r="AC951" s="284"/>
      <c r="AD951" s="284"/>
      <c r="AE951" s="284"/>
    </row>
    <row r="952">
      <c r="A952" s="284"/>
      <c r="B952" s="284"/>
      <c r="C952" s="284"/>
      <c r="D952" s="284"/>
      <c r="E952" s="284"/>
      <c r="F952" s="284"/>
      <c r="G952" s="284"/>
      <c r="H952" s="284"/>
      <c r="I952" s="284"/>
      <c r="J952" s="284"/>
      <c r="K952" s="284"/>
      <c r="L952" s="284"/>
      <c r="M952" s="284"/>
      <c r="N952" s="284"/>
      <c r="O952" s="284"/>
      <c r="P952" s="284"/>
      <c r="Q952" s="284"/>
      <c r="R952" s="284"/>
      <c r="S952" s="284"/>
      <c r="T952" s="284"/>
      <c r="U952" s="284"/>
      <c r="V952" s="284"/>
      <c r="W952" s="284"/>
      <c r="X952" s="284"/>
      <c r="Y952" s="284"/>
      <c r="Z952" s="284"/>
      <c r="AA952" s="284"/>
      <c r="AB952" s="284"/>
      <c r="AC952" s="284"/>
      <c r="AD952" s="284"/>
      <c r="AE952" s="284"/>
    </row>
    <row r="953">
      <c r="A953" s="284"/>
      <c r="B953" s="284"/>
      <c r="C953" s="284"/>
      <c r="D953" s="284"/>
      <c r="E953" s="284"/>
      <c r="F953" s="284"/>
      <c r="G953" s="284"/>
      <c r="H953" s="284"/>
      <c r="I953" s="284"/>
      <c r="J953" s="284"/>
      <c r="K953" s="284"/>
      <c r="L953" s="284"/>
      <c r="M953" s="284"/>
      <c r="N953" s="284"/>
      <c r="O953" s="284"/>
      <c r="P953" s="284"/>
      <c r="Q953" s="284"/>
      <c r="R953" s="284"/>
      <c r="S953" s="284"/>
      <c r="T953" s="284"/>
      <c r="U953" s="284"/>
      <c r="V953" s="284"/>
      <c r="W953" s="284"/>
      <c r="X953" s="284"/>
      <c r="Y953" s="284"/>
      <c r="Z953" s="284"/>
      <c r="AA953" s="284"/>
      <c r="AB953" s="284"/>
      <c r="AC953" s="284"/>
      <c r="AD953" s="284"/>
      <c r="AE953" s="284"/>
    </row>
    <row r="954">
      <c r="A954" s="284"/>
      <c r="B954" s="284"/>
      <c r="C954" s="284"/>
      <c r="D954" s="284"/>
      <c r="E954" s="284"/>
      <c r="F954" s="284"/>
      <c r="G954" s="284"/>
      <c r="H954" s="284"/>
      <c r="I954" s="284"/>
      <c r="J954" s="284"/>
      <c r="K954" s="284"/>
      <c r="L954" s="284"/>
      <c r="M954" s="284"/>
      <c r="N954" s="284"/>
      <c r="O954" s="284"/>
      <c r="P954" s="284"/>
      <c r="Q954" s="284"/>
      <c r="R954" s="284"/>
      <c r="S954" s="284"/>
      <c r="T954" s="284"/>
      <c r="U954" s="284"/>
      <c r="V954" s="284"/>
      <c r="W954" s="284"/>
      <c r="X954" s="284"/>
      <c r="Y954" s="284"/>
      <c r="Z954" s="284"/>
      <c r="AA954" s="284"/>
      <c r="AB954" s="284"/>
      <c r="AC954" s="284"/>
      <c r="AD954" s="284"/>
      <c r="AE954" s="284"/>
    </row>
    <row r="955">
      <c r="A955" s="284"/>
      <c r="B955" s="284"/>
      <c r="C955" s="284"/>
      <c r="D955" s="284"/>
      <c r="E955" s="284"/>
      <c r="F955" s="284"/>
      <c r="G955" s="284"/>
      <c r="H955" s="284"/>
      <c r="I955" s="284"/>
      <c r="J955" s="284"/>
      <c r="K955" s="284"/>
      <c r="L955" s="284"/>
      <c r="M955" s="284"/>
      <c r="N955" s="284"/>
      <c r="O955" s="284"/>
      <c r="P955" s="284"/>
      <c r="Q955" s="284"/>
      <c r="R955" s="284"/>
      <c r="S955" s="284"/>
      <c r="T955" s="284"/>
      <c r="U955" s="284"/>
      <c r="V955" s="284"/>
      <c r="W955" s="284"/>
      <c r="X955" s="284"/>
      <c r="Y955" s="284"/>
      <c r="Z955" s="284"/>
      <c r="AA955" s="284"/>
      <c r="AB955" s="284"/>
      <c r="AC955" s="284"/>
      <c r="AD955" s="284"/>
      <c r="AE955" s="284"/>
    </row>
    <row r="956">
      <c r="A956" s="284"/>
      <c r="B956" s="284"/>
      <c r="C956" s="284"/>
      <c r="D956" s="284"/>
      <c r="E956" s="284"/>
      <c r="F956" s="284"/>
      <c r="G956" s="284"/>
      <c r="H956" s="284"/>
      <c r="I956" s="284"/>
      <c r="J956" s="284"/>
      <c r="K956" s="284"/>
      <c r="L956" s="284"/>
      <c r="M956" s="284"/>
      <c r="N956" s="284"/>
      <c r="O956" s="284"/>
      <c r="P956" s="284"/>
      <c r="Q956" s="284"/>
      <c r="R956" s="284"/>
      <c r="S956" s="284"/>
      <c r="T956" s="284"/>
      <c r="U956" s="284"/>
      <c r="V956" s="284"/>
      <c r="W956" s="284"/>
      <c r="X956" s="284"/>
      <c r="Y956" s="284"/>
      <c r="Z956" s="284"/>
      <c r="AA956" s="284"/>
      <c r="AB956" s="284"/>
      <c r="AC956" s="284"/>
      <c r="AD956" s="284"/>
      <c r="AE956" s="284"/>
    </row>
    <row r="957">
      <c r="A957" s="284"/>
      <c r="B957" s="284"/>
      <c r="C957" s="284"/>
      <c r="D957" s="284"/>
      <c r="E957" s="284"/>
      <c r="F957" s="284"/>
      <c r="G957" s="284"/>
      <c r="H957" s="284"/>
      <c r="I957" s="284"/>
      <c r="J957" s="284"/>
      <c r="K957" s="284"/>
      <c r="L957" s="284"/>
      <c r="M957" s="284"/>
      <c r="N957" s="284"/>
      <c r="O957" s="284"/>
      <c r="P957" s="284"/>
      <c r="Q957" s="284"/>
      <c r="R957" s="284"/>
      <c r="S957" s="284"/>
      <c r="T957" s="284"/>
      <c r="U957" s="284"/>
      <c r="V957" s="284"/>
      <c r="W957" s="284"/>
      <c r="X957" s="284"/>
      <c r="Y957" s="284"/>
      <c r="Z957" s="284"/>
      <c r="AA957" s="284"/>
      <c r="AB957" s="284"/>
      <c r="AC957" s="284"/>
      <c r="AD957" s="284"/>
      <c r="AE957" s="284"/>
    </row>
    <row r="958">
      <c r="A958" s="284"/>
      <c r="B958" s="284"/>
      <c r="C958" s="284"/>
      <c r="D958" s="284"/>
      <c r="E958" s="284"/>
      <c r="F958" s="284"/>
      <c r="G958" s="284"/>
      <c r="H958" s="284"/>
      <c r="I958" s="284"/>
      <c r="J958" s="284"/>
      <c r="K958" s="284"/>
      <c r="L958" s="284"/>
      <c r="M958" s="284"/>
      <c r="N958" s="284"/>
      <c r="O958" s="284"/>
      <c r="P958" s="284"/>
      <c r="Q958" s="284"/>
      <c r="R958" s="284"/>
      <c r="S958" s="284"/>
      <c r="T958" s="284"/>
      <c r="U958" s="284"/>
      <c r="V958" s="284"/>
      <c r="W958" s="284"/>
      <c r="X958" s="284"/>
      <c r="Y958" s="284"/>
      <c r="Z958" s="284"/>
      <c r="AA958" s="284"/>
      <c r="AB958" s="284"/>
      <c r="AC958" s="284"/>
      <c r="AD958" s="284"/>
      <c r="AE958" s="284"/>
    </row>
    <row r="959">
      <c r="A959" s="284"/>
      <c r="B959" s="284"/>
      <c r="C959" s="284"/>
      <c r="D959" s="284"/>
      <c r="E959" s="284"/>
      <c r="F959" s="284"/>
      <c r="G959" s="284"/>
      <c r="H959" s="284"/>
      <c r="I959" s="284"/>
      <c r="J959" s="284"/>
      <c r="K959" s="284"/>
      <c r="L959" s="284"/>
      <c r="M959" s="284"/>
      <c r="N959" s="284"/>
      <c r="O959" s="284"/>
      <c r="P959" s="284"/>
      <c r="Q959" s="284"/>
      <c r="R959" s="284"/>
      <c r="S959" s="284"/>
      <c r="T959" s="284"/>
      <c r="U959" s="284"/>
      <c r="V959" s="284"/>
      <c r="W959" s="284"/>
      <c r="X959" s="284"/>
      <c r="Y959" s="284"/>
      <c r="Z959" s="284"/>
      <c r="AA959" s="284"/>
      <c r="AB959" s="284"/>
      <c r="AC959" s="284"/>
      <c r="AD959" s="284"/>
      <c r="AE959" s="284"/>
    </row>
    <row r="960">
      <c r="A960" s="284"/>
      <c r="B960" s="284"/>
      <c r="C960" s="284"/>
      <c r="D960" s="284"/>
      <c r="E960" s="284"/>
      <c r="F960" s="284"/>
      <c r="G960" s="284"/>
      <c r="H960" s="284"/>
      <c r="I960" s="284"/>
      <c r="J960" s="284"/>
      <c r="K960" s="284"/>
      <c r="L960" s="284"/>
      <c r="M960" s="284"/>
      <c r="N960" s="284"/>
      <c r="O960" s="284"/>
      <c r="P960" s="284"/>
      <c r="Q960" s="284"/>
      <c r="R960" s="284"/>
      <c r="S960" s="284"/>
      <c r="T960" s="284"/>
      <c r="U960" s="284"/>
      <c r="V960" s="284"/>
      <c r="W960" s="284"/>
      <c r="X960" s="284"/>
      <c r="Y960" s="284"/>
      <c r="Z960" s="284"/>
      <c r="AA960" s="284"/>
      <c r="AB960" s="284"/>
      <c r="AC960" s="284"/>
      <c r="AD960" s="284"/>
      <c r="AE960" s="284"/>
    </row>
    <row r="961">
      <c r="A961" s="284"/>
      <c r="B961" s="284"/>
      <c r="C961" s="284"/>
      <c r="D961" s="284"/>
      <c r="E961" s="284"/>
      <c r="F961" s="284"/>
      <c r="G961" s="284"/>
      <c r="H961" s="284"/>
      <c r="I961" s="284"/>
      <c r="J961" s="284"/>
      <c r="K961" s="284"/>
      <c r="L961" s="284"/>
      <c r="M961" s="284"/>
      <c r="N961" s="284"/>
      <c r="O961" s="284"/>
      <c r="P961" s="284"/>
      <c r="Q961" s="284"/>
      <c r="R961" s="284"/>
      <c r="S961" s="284"/>
      <c r="T961" s="284"/>
      <c r="U961" s="284"/>
      <c r="V961" s="284"/>
      <c r="W961" s="284"/>
      <c r="X961" s="284"/>
      <c r="Y961" s="284"/>
      <c r="Z961" s="284"/>
      <c r="AA961" s="284"/>
      <c r="AB961" s="284"/>
      <c r="AC961" s="284"/>
      <c r="AD961" s="284"/>
      <c r="AE961" s="284"/>
    </row>
    <row r="962">
      <c r="A962" s="284"/>
      <c r="B962" s="284"/>
      <c r="C962" s="284"/>
      <c r="D962" s="284"/>
      <c r="E962" s="284"/>
      <c r="F962" s="284"/>
      <c r="G962" s="284"/>
      <c r="H962" s="284"/>
      <c r="I962" s="284"/>
      <c r="J962" s="284"/>
      <c r="K962" s="284"/>
      <c r="L962" s="284"/>
      <c r="M962" s="284"/>
      <c r="N962" s="284"/>
      <c r="O962" s="284"/>
      <c r="P962" s="284"/>
      <c r="Q962" s="284"/>
      <c r="R962" s="284"/>
      <c r="S962" s="284"/>
      <c r="T962" s="284"/>
      <c r="U962" s="284"/>
      <c r="V962" s="284"/>
      <c r="W962" s="284"/>
      <c r="X962" s="284"/>
      <c r="Y962" s="284"/>
      <c r="Z962" s="284"/>
      <c r="AA962" s="284"/>
      <c r="AB962" s="284"/>
      <c r="AC962" s="284"/>
      <c r="AD962" s="284"/>
      <c r="AE962" s="284"/>
    </row>
    <row r="963">
      <c r="A963" s="284"/>
      <c r="B963" s="284"/>
      <c r="C963" s="284"/>
      <c r="D963" s="284"/>
      <c r="E963" s="284"/>
      <c r="F963" s="284"/>
      <c r="G963" s="284"/>
      <c r="H963" s="284"/>
      <c r="I963" s="284"/>
      <c r="J963" s="284"/>
      <c r="K963" s="284"/>
      <c r="L963" s="284"/>
      <c r="M963" s="284"/>
      <c r="N963" s="284"/>
      <c r="O963" s="284"/>
      <c r="P963" s="284"/>
      <c r="Q963" s="284"/>
      <c r="R963" s="284"/>
      <c r="S963" s="284"/>
      <c r="T963" s="284"/>
      <c r="U963" s="284"/>
      <c r="V963" s="284"/>
      <c r="W963" s="284"/>
      <c r="X963" s="284"/>
      <c r="Y963" s="284"/>
      <c r="Z963" s="284"/>
      <c r="AA963" s="284"/>
      <c r="AB963" s="284"/>
      <c r="AC963" s="284"/>
      <c r="AD963" s="284"/>
      <c r="AE963" s="284"/>
    </row>
    <row r="964">
      <c r="A964" s="284"/>
      <c r="B964" s="284"/>
      <c r="C964" s="284"/>
      <c r="D964" s="284"/>
      <c r="E964" s="284"/>
      <c r="F964" s="284"/>
      <c r="G964" s="284"/>
      <c r="H964" s="284"/>
      <c r="I964" s="284"/>
      <c r="J964" s="284"/>
      <c r="K964" s="284"/>
      <c r="L964" s="284"/>
      <c r="M964" s="284"/>
      <c r="N964" s="284"/>
      <c r="O964" s="284"/>
      <c r="P964" s="284"/>
      <c r="Q964" s="284"/>
      <c r="R964" s="284"/>
      <c r="S964" s="284"/>
      <c r="T964" s="284"/>
      <c r="U964" s="284"/>
      <c r="V964" s="284"/>
      <c r="W964" s="284"/>
      <c r="X964" s="284"/>
      <c r="Y964" s="284"/>
      <c r="Z964" s="284"/>
      <c r="AA964" s="284"/>
      <c r="AB964" s="284"/>
      <c r="AC964" s="284"/>
      <c r="AD964" s="284"/>
      <c r="AE964" s="284"/>
    </row>
    <row r="965">
      <c r="A965" s="284"/>
      <c r="B965" s="284"/>
      <c r="C965" s="284"/>
      <c r="D965" s="284"/>
      <c r="E965" s="284"/>
      <c r="F965" s="284"/>
      <c r="G965" s="284"/>
      <c r="H965" s="284"/>
      <c r="I965" s="284"/>
      <c r="J965" s="284"/>
      <c r="K965" s="284"/>
      <c r="L965" s="284"/>
      <c r="M965" s="284"/>
      <c r="N965" s="284"/>
      <c r="O965" s="284"/>
      <c r="P965" s="284"/>
      <c r="Q965" s="284"/>
      <c r="R965" s="284"/>
      <c r="S965" s="284"/>
      <c r="T965" s="284"/>
      <c r="U965" s="284"/>
      <c r="V965" s="284"/>
      <c r="W965" s="284"/>
      <c r="X965" s="284"/>
      <c r="Y965" s="284"/>
      <c r="Z965" s="284"/>
      <c r="AA965" s="284"/>
      <c r="AB965" s="284"/>
      <c r="AC965" s="284"/>
      <c r="AD965" s="284"/>
      <c r="AE965" s="284"/>
    </row>
    <row r="966">
      <c r="A966" s="284"/>
      <c r="B966" s="284"/>
      <c r="C966" s="284"/>
      <c r="D966" s="284"/>
      <c r="E966" s="284"/>
      <c r="F966" s="284"/>
      <c r="G966" s="284"/>
      <c r="H966" s="284"/>
      <c r="I966" s="284"/>
      <c r="J966" s="284"/>
      <c r="K966" s="284"/>
      <c r="L966" s="284"/>
      <c r="M966" s="284"/>
      <c r="N966" s="284"/>
      <c r="O966" s="284"/>
      <c r="P966" s="284"/>
      <c r="Q966" s="284"/>
      <c r="R966" s="284"/>
      <c r="S966" s="284"/>
      <c r="T966" s="284"/>
      <c r="U966" s="284"/>
      <c r="V966" s="284"/>
      <c r="W966" s="284"/>
      <c r="X966" s="284"/>
      <c r="Y966" s="284"/>
      <c r="Z966" s="284"/>
      <c r="AA966" s="284"/>
      <c r="AB966" s="284"/>
      <c r="AC966" s="284"/>
      <c r="AD966" s="284"/>
      <c r="AE966" s="284"/>
    </row>
    <row r="967">
      <c r="A967" s="284"/>
      <c r="B967" s="284"/>
      <c r="C967" s="284"/>
      <c r="D967" s="284"/>
      <c r="E967" s="284"/>
      <c r="F967" s="284"/>
      <c r="G967" s="284"/>
      <c r="H967" s="284"/>
      <c r="I967" s="284"/>
      <c r="J967" s="284"/>
      <c r="K967" s="284"/>
      <c r="L967" s="284"/>
      <c r="M967" s="284"/>
      <c r="N967" s="284"/>
      <c r="O967" s="284"/>
      <c r="P967" s="284"/>
      <c r="Q967" s="284"/>
      <c r="R967" s="284"/>
      <c r="S967" s="284"/>
      <c r="T967" s="284"/>
      <c r="U967" s="284"/>
      <c r="V967" s="284"/>
      <c r="W967" s="284"/>
      <c r="X967" s="284"/>
      <c r="Y967" s="284"/>
      <c r="Z967" s="284"/>
      <c r="AA967" s="284"/>
      <c r="AB967" s="284"/>
      <c r="AC967" s="284"/>
      <c r="AD967" s="284"/>
      <c r="AE967" s="284"/>
    </row>
    <row r="968">
      <c r="A968" s="284"/>
      <c r="B968" s="284"/>
      <c r="C968" s="284"/>
      <c r="D968" s="284"/>
      <c r="E968" s="284"/>
      <c r="F968" s="284"/>
      <c r="G968" s="284"/>
      <c r="H968" s="284"/>
      <c r="I968" s="284"/>
      <c r="J968" s="284"/>
      <c r="K968" s="284"/>
      <c r="L968" s="284"/>
      <c r="M968" s="284"/>
      <c r="N968" s="284"/>
      <c r="O968" s="284"/>
      <c r="P968" s="284"/>
      <c r="Q968" s="284"/>
      <c r="R968" s="284"/>
      <c r="S968" s="284"/>
      <c r="T968" s="284"/>
      <c r="U968" s="284"/>
      <c r="V968" s="284"/>
      <c r="W968" s="284"/>
      <c r="X968" s="284"/>
      <c r="Y968" s="284"/>
      <c r="Z968" s="284"/>
      <c r="AA968" s="284"/>
      <c r="AB968" s="284"/>
      <c r="AC968" s="284"/>
      <c r="AD968" s="284"/>
      <c r="AE968" s="284"/>
    </row>
    <row r="969">
      <c r="A969" s="284"/>
      <c r="B969" s="284"/>
      <c r="C969" s="284"/>
      <c r="D969" s="284"/>
      <c r="E969" s="284"/>
      <c r="F969" s="284"/>
      <c r="G969" s="284"/>
      <c r="H969" s="284"/>
      <c r="I969" s="284"/>
      <c r="J969" s="284"/>
      <c r="K969" s="284"/>
      <c r="L969" s="284"/>
      <c r="M969" s="284"/>
      <c r="N969" s="284"/>
      <c r="O969" s="284"/>
      <c r="P969" s="284"/>
      <c r="Q969" s="284"/>
      <c r="R969" s="284"/>
      <c r="S969" s="284"/>
      <c r="T969" s="284"/>
      <c r="U969" s="284"/>
      <c r="V969" s="284"/>
      <c r="W969" s="284"/>
      <c r="X969" s="284"/>
      <c r="Y969" s="284"/>
      <c r="Z969" s="284"/>
      <c r="AA969" s="284"/>
      <c r="AB969" s="284"/>
      <c r="AC969" s="284"/>
      <c r="AD969" s="284"/>
      <c r="AE969" s="284"/>
    </row>
    <row r="970">
      <c r="A970" s="284"/>
      <c r="B970" s="284"/>
      <c r="C970" s="284"/>
      <c r="D970" s="284"/>
      <c r="E970" s="284"/>
      <c r="F970" s="284"/>
      <c r="G970" s="284"/>
      <c r="H970" s="284"/>
      <c r="I970" s="284"/>
      <c r="J970" s="284"/>
      <c r="K970" s="284"/>
      <c r="L970" s="284"/>
      <c r="M970" s="284"/>
      <c r="N970" s="284"/>
      <c r="O970" s="284"/>
      <c r="P970" s="284"/>
      <c r="Q970" s="284"/>
      <c r="R970" s="284"/>
      <c r="S970" s="284"/>
      <c r="T970" s="284"/>
      <c r="U970" s="284"/>
      <c r="V970" s="284"/>
      <c r="W970" s="284"/>
      <c r="X970" s="284"/>
      <c r="Y970" s="284"/>
      <c r="Z970" s="284"/>
      <c r="AA970" s="284"/>
      <c r="AB970" s="284"/>
      <c r="AC970" s="284"/>
      <c r="AD970" s="284"/>
      <c r="AE970" s="284"/>
    </row>
    <row r="971">
      <c r="A971" s="284"/>
      <c r="B971" s="284"/>
      <c r="C971" s="284"/>
      <c r="D971" s="284"/>
      <c r="E971" s="284"/>
      <c r="F971" s="284"/>
      <c r="G971" s="284"/>
      <c r="H971" s="284"/>
      <c r="I971" s="284"/>
      <c r="J971" s="284"/>
      <c r="K971" s="284"/>
      <c r="L971" s="284"/>
      <c r="M971" s="284"/>
      <c r="N971" s="284"/>
      <c r="O971" s="284"/>
      <c r="P971" s="284"/>
      <c r="Q971" s="284"/>
      <c r="R971" s="284"/>
      <c r="S971" s="284"/>
      <c r="T971" s="284"/>
      <c r="U971" s="284"/>
      <c r="V971" s="284"/>
      <c r="W971" s="284"/>
      <c r="X971" s="284"/>
      <c r="Y971" s="284"/>
      <c r="Z971" s="284"/>
      <c r="AA971" s="284"/>
      <c r="AB971" s="284"/>
      <c r="AC971" s="284"/>
      <c r="AD971" s="284"/>
      <c r="AE971" s="284"/>
    </row>
    <row r="972">
      <c r="A972" s="284"/>
      <c r="B972" s="284"/>
      <c r="C972" s="284"/>
      <c r="D972" s="284"/>
      <c r="E972" s="284"/>
      <c r="F972" s="284"/>
      <c r="G972" s="284"/>
      <c r="H972" s="284"/>
      <c r="I972" s="284"/>
      <c r="J972" s="284"/>
      <c r="K972" s="284"/>
      <c r="L972" s="284"/>
      <c r="M972" s="284"/>
      <c r="N972" s="284"/>
      <c r="O972" s="284"/>
      <c r="P972" s="284"/>
      <c r="Q972" s="284"/>
      <c r="R972" s="284"/>
      <c r="S972" s="284"/>
      <c r="T972" s="284"/>
      <c r="U972" s="284"/>
      <c r="V972" s="284"/>
      <c r="W972" s="284"/>
      <c r="X972" s="284"/>
      <c r="Y972" s="284"/>
      <c r="Z972" s="284"/>
      <c r="AA972" s="284"/>
      <c r="AB972" s="284"/>
      <c r="AC972" s="284"/>
      <c r="AD972" s="284"/>
      <c r="AE972" s="284"/>
    </row>
    <row r="973">
      <c r="A973" s="284"/>
      <c r="B973" s="284"/>
      <c r="C973" s="284"/>
      <c r="D973" s="284"/>
      <c r="E973" s="284"/>
      <c r="F973" s="284"/>
      <c r="G973" s="284"/>
      <c r="H973" s="284"/>
      <c r="I973" s="284"/>
      <c r="J973" s="284"/>
      <c r="K973" s="284"/>
      <c r="L973" s="284"/>
      <c r="M973" s="284"/>
      <c r="N973" s="284"/>
      <c r="O973" s="284"/>
      <c r="P973" s="284"/>
      <c r="Q973" s="284"/>
      <c r="R973" s="284"/>
      <c r="S973" s="284"/>
      <c r="T973" s="284"/>
      <c r="U973" s="284"/>
      <c r="V973" s="284"/>
      <c r="W973" s="284"/>
      <c r="X973" s="284"/>
      <c r="Y973" s="284"/>
      <c r="Z973" s="284"/>
      <c r="AA973" s="284"/>
      <c r="AB973" s="284"/>
      <c r="AC973" s="284"/>
      <c r="AD973" s="284"/>
      <c r="AE973" s="284"/>
    </row>
    <row r="974">
      <c r="A974" s="284"/>
      <c r="B974" s="284"/>
      <c r="C974" s="284"/>
      <c r="D974" s="284"/>
      <c r="E974" s="284"/>
      <c r="F974" s="284"/>
      <c r="G974" s="284"/>
      <c r="H974" s="284"/>
      <c r="I974" s="284"/>
      <c r="J974" s="284"/>
      <c r="K974" s="284"/>
      <c r="L974" s="284"/>
      <c r="M974" s="284"/>
      <c r="N974" s="284"/>
      <c r="O974" s="284"/>
      <c r="P974" s="284"/>
      <c r="Q974" s="284"/>
      <c r="R974" s="284"/>
      <c r="S974" s="284"/>
      <c r="T974" s="284"/>
      <c r="U974" s="284"/>
      <c r="V974" s="284"/>
      <c r="W974" s="284"/>
      <c r="X974" s="284"/>
      <c r="Y974" s="284"/>
      <c r="Z974" s="284"/>
      <c r="AA974" s="284"/>
      <c r="AB974" s="284"/>
      <c r="AC974" s="284"/>
      <c r="AD974" s="284"/>
      <c r="AE974" s="284"/>
    </row>
    <row r="975">
      <c r="A975" s="284"/>
      <c r="B975" s="284"/>
      <c r="C975" s="284"/>
      <c r="D975" s="284"/>
      <c r="E975" s="284"/>
      <c r="F975" s="284"/>
      <c r="G975" s="284"/>
      <c r="H975" s="284"/>
      <c r="I975" s="284"/>
      <c r="J975" s="284"/>
      <c r="K975" s="284"/>
      <c r="L975" s="284"/>
      <c r="M975" s="284"/>
      <c r="N975" s="284"/>
      <c r="O975" s="284"/>
      <c r="P975" s="284"/>
      <c r="Q975" s="284"/>
      <c r="R975" s="284"/>
      <c r="S975" s="284"/>
      <c r="T975" s="284"/>
      <c r="U975" s="284"/>
      <c r="V975" s="284"/>
      <c r="W975" s="284"/>
      <c r="X975" s="284"/>
      <c r="Y975" s="284"/>
      <c r="Z975" s="284"/>
      <c r="AA975" s="284"/>
      <c r="AB975" s="284"/>
      <c r="AC975" s="284"/>
      <c r="AD975" s="284"/>
      <c r="AE975" s="284"/>
    </row>
    <row r="976">
      <c r="A976" s="284"/>
      <c r="B976" s="284"/>
      <c r="C976" s="284"/>
      <c r="D976" s="284"/>
      <c r="E976" s="284"/>
      <c r="F976" s="284"/>
      <c r="G976" s="284"/>
      <c r="H976" s="284"/>
      <c r="I976" s="284"/>
      <c r="J976" s="284"/>
      <c r="K976" s="284"/>
      <c r="L976" s="284"/>
      <c r="M976" s="284"/>
      <c r="N976" s="284"/>
      <c r="O976" s="284"/>
      <c r="P976" s="284"/>
      <c r="Q976" s="284"/>
      <c r="R976" s="284"/>
      <c r="S976" s="284"/>
      <c r="T976" s="284"/>
      <c r="U976" s="284"/>
      <c r="V976" s="284"/>
      <c r="W976" s="284"/>
      <c r="X976" s="284"/>
      <c r="Y976" s="284"/>
      <c r="Z976" s="284"/>
      <c r="AA976" s="284"/>
      <c r="AB976" s="284"/>
      <c r="AC976" s="284"/>
      <c r="AD976" s="284"/>
      <c r="AE976" s="284"/>
    </row>
    <row r="977">
      <c r="A977" s="284"/>
      <c r="B977" s="284"/>
      <c r="C977" s="284"/>
      <c r="D977" s="284"/>
      <c r="E977" s="284"/>
      <c r="F977" s="284"/>
      <c r="G977" s="284"/>
      <c r="H977" s="284"/>
      <c r="I977" s="284"/>
      <c r="J977" s="284"/>
      <c r="K977" s="284"/>
      <c r="L977" s="284"/>
      <c r="M977" s="284"/>
      <c r="N977" s="284"/>
      <c r="O977" s="284"/>
      <c r="P977" s="284"/>
      <c r="Q977" s="284"/>
      <c r="R977" s="284"/>
      <c r="S977" s="284"/>
      <c r="T977" s="284"/>
      <c r="U977" s="284"/>
      <c r="V977" s="284"/>
      <c r="W977" s="284"/>
      <c r="X977" s="284"/>
      <c r="Y977" s="284"/>
      <c r="Z977" s="284"/>
      <c r="AA977" s="284"/>
      <c r="AB977" s="284"/>
      <c r="AC977" s="284"/>
      <c r="AD977" s="284"/>
      <c r="AE977" s="284"/>
    </row>
    <row r="978">
      <c r="A978" s="284"/>
      <c r="B978" s="284"/>
      <c r="C978" s="284"/>
      <c r="D978" s="284"/>
      <c r="E978" s="284"/>
      <c r="F978" s="284"/>
      <c r="G978" s="284"/>
      <c r="H978" s="284"/>
      <c r="I978" s="284"/>
      <c r="J978" s="284"/>
      <c r="K978" s="284"/>
      <c r="L978" s="284"/>
      <c r="M978" s="284"/>
      <c r="N978" s="284"/>
      <c r="O978" s="284"/>
      <c r="P978" s="284"/>
      <c r="Q978" s="284"/>
      <c r="R978" s="284"/>
      <c r="S978" s="284"/>
      <c r="T978" s="284"/>
      <c r="U978" s="284"/>
      <c r="V978" s="284"/>
      <c r="W978" s="284"/>
      <c r="X978" s="284"/>
      <c r="Y978" s="284"/>
      <c r="Z978" s="284"/>
      <c r="AA978" s="284"/>
      <c r="AB978" s="284"/>
      <c r="AC978" s="284"/>
      <c r="AD978" s="284"/>
      <c r="AE978" s="284"/>
    </row>
    <row r="979">
      <c r="A979" s="284"/>
      <c r="B979" s="284"/>
      <c r="C979" s="284"/>
      <c r="D979" s="284"/>
      <c r="E979" s="284"/>
      <c r="F979" s="284"/>
      <c r="G979" s="284"/>
      <c r="H979" s="284"/>
      <c r="I979" s="284"/>
      <c r="J979" s="284"/>
      <c r="K979" s="284"/>
      <c r="L979" s="284"/>
      <c r="M979" s="284"/>
      <c r="N979" s="284"/>
      <c r="O979" s="284"/>
      <c r="P979" s="284"/>
      <c r="Q979" s="284"/>
      <c r="R979" s="284"/>
      <c r="S979" s="284"/>
      <c r="T979" s="284"/>
      <c r="U979" s="284"/>
      <c r="V979" s="284"/>
      <c r="W979" s="284"/>
      <c r="X979" s="284"/>
      <c r="Y979" s="284"/>
      <c r="Z979" s="284"/>
      <c r="AA979" s="284"/>
      <c r="AB979" s="284"/>
      <c r="AC979" s="284"/>
      <c r="AD979" s="284"/>
      <c r="AE979" s="284"/>
    </row>
    <row r="980">
      <c r="A980" s="284"/>
      <c r="B980" s="284"/>
      <c r="C980" s="284"/>
      <c r="D980" s="284"/>
      <c r="E980" s="284"/>
      <c r="F980" s="284"/>
      <c r="G980" s="284"/>
      <c r="H980" s="284"/>
      <c r="I980" s="284"/>
      <c r="J980" s="284"/>
      <c r="K980" s="284"/>
      <c r="L980" s="284"/>
      <c r="M980" s="284"/>
      <c r="N980" s="284"/>
      <c r="O980" s="284"/>
      <c r="P980" s="284"/>
      <c r="Q980" s="284"/>
      <c r="R980" s="284"/>
      <c r="S980" s="284"/>
      <c r="T980" s="284"/>
      <c r="U980" s="284"/>
      <c r="V980" s="284"/>
      <c r="W980" s="284"/>
      <c r="X980" s="284"/>
      <c r="Y980" s="284"/>
      <c r="Z980" s="284"/>
      <c r="AA980" s="284"/>
      <c r="AB980" s="284"/>
      <c r="AC980" s="284"/>
      <c r="AD980" s="284"/>
      <c r="AE980" s="284"/>
    </row>
    <row r="981">
      <c r="A981" s="284"/>
      <c r="B981" s="284"/>
      <c r="C981" s="284"/>
      <c r="D981" s="284"/>
      <c r="E981" s="284"/>
      <c r="F981" s="284"/>
      <c r="G981" s="284"/>
      <c r="H981" s="284"/>
      <c r="I981" s="284"/>
      <c r="J981" s="284"/>
      <c r="K981" s="284"/>
      <c r="L981" s="284"/>
      <c r="M981" s="284"/>
      <c r="N981" s="284"/>
      <c r="O981" s="284"/>
      <c r="P981" s="284"/>
      <c r="Q981" s="284"/>
      <c r="R981" s="284"/>
      <c r="S981" s="284"/>
      <c r="T981" s="284"/>
      <c r="U981" s="284"/>
      <c r="V981" s="284"/>
      <c r="W981" s="284"/>
      <c r="X981" s="284"/>
      <c r="Y981" s="284"/>
      <c r="Z981" s="284"/>
      <c r="AA981" s="284"/>
      <c r="AB981" s="284"/>
      <c r="AC981" s="284"/>
      <c r="AD981" s="284"/>
      <c r="AE981" s="284"/>
    </row>
    <row r="982">
      <c r="A982" s="284"/>
      <c r="B982" s="284"/>
      <c r="C982" s="284"/>
      <c r="D982" s="284"/>
      <c r="E982" s="284"/>
      <c r="F982" s="284"/>
      <c r="G982" s="284"/>
      <c r="H982" s="284"/>
      <c r="I982" s="284"/>
      <c r="J982" s="284"/>
      <c r="K982" s="284"/>
      <c r="L982" s="284"/>
      <c r="M982" s="284"/>
      <c r="N982" s="284"/>
      <c r="O982" s="284"/>
      <c r="P982" s="284"/>
      <c r="Q982" s="284"/>
      <c r="R982" s="284"/>
      <c r="S982" s="284"/>
      <c r="T982" s="284"/>
      <c r="U982" s="284"/>
      <c r="V982" s="284"/>
      <c r="W982" s="284"/>
      <c r="X982" s="284"/>
      <c r="Y982" s="284"/>
      <c r="Z982" s="284"/>
      <c r="AA982" s="284"/>
      <c r="AB982" s="284"/>
      <c r="AC982" s="284"/>
      <c r="AD982" s="284"/>
      <c r="AE982" s="284"/>
    </row>
    <row r="983">
      <c r="A983" s="284"/>
      <c r="B983" s="284"/>
      <c r="C983" s="284"/>
      <c r="D983" s="284"/>
      <c r="E983" s="284"/>
      <c r="F983" s="284"/>
      <c r="G983" s="284"/>
      <c r="H983" s="284"/>
      <c r="I983" s="284"/>
      <c r="J983" s="284"/>
      <c r="K983" s="284"/>
      <c r="L983" s="284"/>
      <c r="M983" s="284"/>
      <c r="N983" s="284"/>
      <c r="O983" s="284"/>
      <c r="P983" s="284"/>
      <c r="Q983" s="284"/>
      <c r="R983" s="284"/>
      <c r="S983" s="284"/>
      <c r="T983" s="284"/>
      <c r="U983" s="284"/>
      <c r="V983" s="284"/>
      <c r="W983" s="284"/>
      <c r="X983" s="284"/>
      <c r="Y983" s="284"/>
      <c r="Z983" s="284"/>
      <c r="AA983" s="284"/>
      <c r="AB983" s="284"/>
      <c r="AC983" s="284"/>
      <c r="AD983" s="284"/>
      <c r="AE983" s="284"/>
    </row>
    <row r="984">
      <c r="A984" s="284"/>
      <c r="B984" s="284"/>
      <c r="C984" s="284"/>
      <c r="D984" s="284"/>
      <c r="E984" s="284"/>
      <c r="F984" s="284"/>
      <c r="G984" s="284"/>
      <c r="H984" s="284"/>
      <c r="I984" s="284"/>
      <c r="J984" s="284"/>
      <c r="K984" s="284"/>
      <c r="L984" s="284"/>
      <c r="M984" s="284"/>
      <c r="N984" s="284"/>
      <c r="O984" s="284"/>
      <c r="P984" s="284"/>
      <c r="Q984" s="284"/>
      <c r="R984" s="284"/>
      <c r="S984" s="284"/>
      <c r="T984" s="284"/>
      <c r="U984" s="284"/>
      <c r="V984" s="284"/>
      <c r="W984" s="284"/>
      <c r="X984" s="284"/>
      <c r="Y984" s="284"/>
      <c r="Z984" s="284"/>
      <c r="AA984" s="284"/>
      <c r="AB984" s="284"/>
      <c r="AC984" s="284"/>
      <c r="AD984" s="284"/>
      <c r="AE984" s="284"/>
    </row>
    <row r="985">
      <c r="A985" s="284"/>
      <c r="B985" s="284"/>
      <c r="C985" s="284"/>
      <c r="D985" s="284"/>
      <c r="E985" s="284"/>
      <c r="F985" s="284"/>
      <c r="G985" s="284"/>
      <c r="H985" s="284"/>
      <c r="I985" s="284"/>
      <c r="J985" s="284"/>
      <c r="K985" s="284"/>
      <c r="L985" s="284"/>
      <c r="M985" s="284"/>
      <c r="N985" s="284"/>
      <c r="O985" s="284"/>
      <c r="P985" s="284"/>
      <c r="Q985" s="284"/>
      <c r="R985" s="284"/>
      <c r="S985" s="284"/>
      <c r="T985" s="284"/>
      <c r="U985" s="284"/>
      <c r="V985" s="284"/>
      <c r="W985" s="284"/>
      <c r="X985" s="284"/>
      <c r="Y985" s="284"/>
      <c r="Z985" s="284"/>
      <c r="AA985" s="284"/>
      <c r="AB985" s="284"/>
      <c r="AC985" s="284"/>
      <c r="AD985" s="284"/>
      <c r="AE985" s="284"/>
    </row>
    <row r="986">
      <c r="A986" s="284"/>
      <c r="B986" s="284"/>
      <c r="C986" s="284"/>
      <c r="D986" s="284"/>
      <c r="E986" s="284"/>
      <c r="F986" s="284"/>
      <c r="G986" s="284"/>
      <c r="H986" s="284"/>
      <c r="I986" s="284"/>
      <c r="J986" s="284"/>
      <c r="K986" s="284"/>
      <c r="L986" s="284"/>
      <c r="M986" s="284"/>
      <c r="N986" s="284"/>
      <c r="O986" s="284"/>
      <c r="P986" s="284"/>
      <c r="Q986" s="284"/>
      <c r="R986" s="284"/>
      <c r="S986" s="284"/>
      <c r="T986" s="284"/>
      <c r="U986" s="284"/>
      <c r="V986" s="284"/>
      <c r="W986" s="284"/>
      <c r="X986" s="284"/>
      <c r="Y986" s="284"/>
      <c r="Z986" s="284"/>
      <c r="AA986" s="284"/>
      <c r="AB986" s="284"/>
      <c r="AC986" s="284"/>
      <c r="AD986" s="284"/>
      <c r="AE986" s="284"/>
    </row>
    <row r="987">
      <c r="A987" s="284"/>
      <c r="B987" s="284"/>
      <c r="C987" s="284"/>
      <c r="D987" s="284"/>
      <c r="E987" s="284"/>
      <c r="F987" s="284"/>
      <c r="G987" s="284"/>
      <c r="H987" s="284"/>
      <c r="I987" s="284"/>
      <c r="J987" s="284"/>
      <c r="K987" s="284"/>
      <c r="L987" s="284"/>
      <c r="M987" s="284"/>
      <c r="N987" s="284"/>
      <c r="O987" s="284"/>
      <c r="P987" s="284"/>
      <c r="Q987" s="284"/>
      <c r="R987" s="284"/>
      <c r="S987" s="284"/>
      <c r="T987" s="284"/>
      <c r="U987" s="284"/>
      <c r="V987" s="284"/>
      <c r="W987" s="284"/>
      <c r="X987" s="284"/>
      <c r="Y987" s="284"/>
      <c r="Z987" s="284"/>
      <c r="AA987" s="284"/>
      <c r="AB987" s="284"/>
      <c r="AC987" s="284"/>
      <c r="AD987" s="284"/>
      <c r="AE987" s="284"/>
    </row>
    <row r="988">
      <c r="A988" s="284"/>
      <c r="B988" s="284"/>
      <c r="C988" s="284"/>
      <c r="D988" s="284"/>
      <c r="E988" s="284"/>
      <c r="F988" s="284"/>
      <c r="G988" s="284"/>
      <c r="H988" s="284"/>
      <c r="I988" s="284"/>
      <c r="J988" s="284"/>
      <c r="K988" s="284"/>
      <c r="L988" s="284"/>
      <c r="M988" s="284"/>
      <c r="N988" s="284"/>
      <c r="O988" s="284"/>
      <c r="P988" s="284"/>
      <c r="Q988" s="284"/>
      <c r="R988" s="284"/>
      <c r="S988" s="284"/>
      <c r="T988" s="284"/>
      <c r="U988" s="284"/>
      <c r="V988" s="284"/>
      <c r="W988" s="284"/>
      <c r="X988" s="284"/>
      <c r="Y988" s="284"/>
      <c r="Z988" s="284"/>
      <c r="AA988" s="284"/>
      <c r="AB988" s="284"/>
      <c r="AC988" s="284"/>
      <c r="AD988" s="284"/>
      <c r="AE988" s="284"/>
    </row>
    <row r="989">
      <c r="A989" s="284"/>
      <c r="B989" s="284"/>
      <c r="C989" s="284"/>
      <c r="D989" s="284"/>
      <c r="E989" s="284"/>
      <c r="F989" s="284"/>
      <c r="G989" s="284"/>
      <c r="H989" s="284"/>
      <c r="I989" s="284"/>
      <c r="J989" s="284"/>
      <c r="K989" s="284"/>
      <c r="L989" s="284"/>
      <c r="M989" s="284"/>
      <c r="N989" s="284"/>
      <c r="O989" s="284"/>
      <c r="P989" s="284"/>
      <c r="Q989" s="284"/>
      <c r="R989" s="284"/>
      <c r="S989" s="284"/>
      <c r="T989" s="284"/>
      <c r="U989" s="284"/>
      <c r="V989" s="284"/>
      <c r="W989" s="284"/>
      <c r="X989" s="284"/>
      <c r="Y989" s="284"/>
      <c r="Z989" s="284"/>
      <c r="AA989" s="284"/>
      <c r="AB989" s="284"/>
      <c r="AC989" s="284"/>
      <c r="AD989" s="284"/>
      <c r="AE989" s="284"/>
    </row>
    <row r="990">
      <c r="A990" s="284"/>
      <c r="B990" s="284"/>
      <c r="C990" s="284"/>
      <c r="D990" s="284"/>
      <c r="E990" s="284"/>
      <c r="F990" s="284"/>
      <c r="G990" s="284"/>
      <c r="H990" s="284"/>
      <c r="I990" s="284"/>
      <c r="J990" s="284"/>
      <c r="K990" s="284"/>
      <c r="L990" s="284"/>
      <c r="M990" s="284"/>
      <c r="N990" s="284"/>
      <c r="O990" s="284"/>
      <c r="P990" s="284"/>
      <c r="Q990" s="284"/>
      <c r="R990" s="284"/>
      <c r="S990" s="284"/>
      <c r="T990" s="284"/>
      <c r="U990" s="284"/>
      <c r="V990" s="284"/>
      <c r="W990" s="284"/>
      <c r="X990" s="284"/>
      <c r="Y990" s="284"/>
      <c r="Z990" s="284"/>
      <c r="AA990" s="284"/>
      <c r="AB990" s="284"/>
      <c r="AC990" s="284"/>
      <c r="AD990" s="284"/>
      <c r="AE990" s="284"/>
    </row>
    <row r="991">
      <c r="A991" s="284"/>
      <c r="B991" s="284"/>
      <c r="C991" s="284"/>
      <c r="D991" s="284"/>
      <c r="E991" s="284"/>
      <c r="F991" s="284"/>
      <c r="G991" s="284"/>
      <c r="H991" s="284"/>
      <c r="I991" s="284"/>
      <c r="J991" s="284"/>
      <c r="K991" s="284"/>
      <c r="L991" s="284"/>
      <c r="M991" s="284"/>
      <c r="N991" s="284"/>
      <c r="O991" s="284"/>
      <c r="P991" s="284"/>
      <c r="Q991" s="284"/>
      <c r="R991" s="284"/>
      <c r="S991" s="284"/>
      <c r="T991" s="284"/>
      <c r="U991" s="284"/>
      <c r="V991" s="284"/>
      <c r="W991" s="284"/>
      <c r="X991" s="284"/>
      <c r="Y991" s="284"/>
      <c r="Z991" s="284"/>
      <c r="AA991" s="284"/>
      <c r="AB991" s="284"/>
      <c r="AC991" s="284"/>
      <c r="AD991" s="284"/>
      <c r="AE991" s="284"/>
    </row>
    <row r="992">
      <c r="A992" s="284"/>
      <c r="B992" s="284"/>
      <c r="C992" s="284"/>
      <c r="D992" s="284"/>
      <c r="E992" s="284"/>
      <c r="F992" s="284"/>
      <c r="G992" s="284"/>
      <c r="H992" s="284"/>
      <c r="I992" s="284"/>
      <c r="J992" s="284"/>
      <c r="K992" s="284"/>
      <c r="L992" s="284"/>
      <c r="M992" s="284"/>
      <c r="N992" s="284"/>
      <c r="O992" s="284"/>
      <c r="P992" s="284"/>
      <c r="Q992" s="284"/>
      <c r="R992" s="284"/>
      <c r="S992" s="284"/>
      <c r="T992" s="284"/>
      <c r="U992" s="284"/>
      <c r="V992" s="284"/>
      <c r="W992" s="284"/>
      <c r="X992" s="284"/>
      <c r="Y992" s="284"/>
      <c r="Z992" s="284"/>
      <c r="AA992" s="284"/>
      <c r="AB992" s="284"/>
      <c r="AC992" s="284"/>
      <c r="AD992" s="284"/>
      <c r="AE992" s="284"/>
    </row>
    <row r="993">
      <c r="A993" s="284"/>
      <c r="B993" s="284"/>
      <c r="C993" s="284"/>
      <c r="D993" s="284"/>
      <c r="E993" s="284"/>
      <c r="F993" s="284"/>
      <c r="G993" s="284"/>
      <c r="H993" s="284"/>
      <c r="I993" s="284"/>
      <c r="J993" s="284"/>
      <c r="K993" s="284"/>
      <c r="L993" s="284"/>
      <c r="M993" s="284"/>
      <c r="N993" s="284"/>
      <c r="O993" s="284"/>
      <c r="P993" s="284"/>
      <c r="Q993" s="284"/>
      <c r="R993" s="284"/>
      <c r="S993" s="284"/>
      <c r="T993" s="284"/>
      <c r="U993" s="284"/>
      <c r="V993" s="284"/>
      <c r="W993" s="284"/>
      <c r="X993" s="284"/>
      <c r="Y993" s="284"/>
      <c r="Z993" s="284"/>
      <c r="AA993" s="284"/>
      <c r="AB993" s="284"/>
      <c r="AC993" s="284"/>
      <c r="AD993" s="284"/>
      <c r="AE993" s="284"/>
    </row>
    <row r="994">
      <c r="A994" s="284"/>
      <c r="B994" s="284"/>
      <c r="C994" s="284"/>
      <c r="D994" s="284"/>
      <c r="E994" s="284"/>
      <c r="F994" s="284"/>
      <c r="G994" s="284"/>
      <c r="H994" s="284"/>
      <c r="I994" s="284"/>
      <c r="J994" s="284"/>
      <c r="K994" s="284"/>
      <c r="L994" s="284"/>
      <c r="M994" s="284"/>
      <c r="N994" s="284"/>
      <c r="O994" s="284"/>
      <c r="P994" s="284"/>
      <c r="Q994" s="284"/>
      <c r="R994" s="284"/>
      <c r="S994" s="284"/>
      <c r="T994" s="284"/>
      <c r="U994" s="284"/>
      <c r="V994" s="284"/>
      <c r="W994" s="284"/>
      <c r="X994" s="284"/>
      <c r="Y994" s="284"/>
      <c r="Z994" s="284"/>
      <c r="AA994" s="284"/>
      <c r="AB994" s="284"/>
      <c r="AC994" s="284"/>
      <c r="AD994" s="284"/>
      <c r="AE994" s="284"/>
    </row>
    <row r="995">
      <c r="A995" s="284"/>
      <c r="B995" s="284"/>
      <c r="C995" s="284"/>
      <c r="D995" s="284"/>
      <c r="E995" s="284"/>
      <c r="F995" s="284"/>
      <c r="G995" s="284"/>
      <c r="H995" s="284"/>
      <c r="I995" s="284"/>
      <c r="J995" s="284"/>
      <c r="K995" s="284"/>
      <c r="L995" s="284"/>
      <c r="M995" s="284"/>
      <c r="N995" s="284"/>
      <c r="O995" s="284"/>
      <c r="P995" s="284"/>
      <c r="Q995" s="284"/>
      <c r="R995" s="284"/>
      <c r="S995" s="284"/>
      <c r="T995" s="284"/>
      <c r="U995" s="284"/>
      <c r="V995" s="284"/>
      <c r="W995" s="284"/>
      <c r="X995" s="284"/>
      <c r="Y995" s="284"/>
      <c r="Z995" s="284"/>
      <c r="AA995" s="284"/>
      <c r="AB995" s="284"/>
      <c r="AC995" s="284"/>
      <c r="AD995" s="284"/>
      <c r="AE995" s="284"/>
    </row>
    <row r="996">
      <c r="A996" s="284"/>
      <c r="B996" s="284"/>
      <c r="C996" s="284"/>
      <c r="D996" s="284"/>
      <c r="E996" s="284"/>
      <c r="F996" s="284"/>
      <c r="G996" s="284"/>
      <c r="H996" s="284"/>
      <c r="I996" s="284"/>
      <c r="J996" s="284"/>
      <c r="K996" s="284"/>
      <c r="L996" s="284"/>
      <c r="M996" s="284"/>
      <c r="N996" s="284"/>
      <c r="O996" s="284"/>
      <c r="P996" s="284"/>
      <c r="Q996" s="284"/>
      <c r="R996" s="284"/>
      <c r="S996" s="284"/>
      <c r="T996" s="284"/>
      <c r="U996" s="284"/>
      <c r="V996" s="284"/>
      <c r="W996" s="284"/>
      <c r="X996" s="284"/>
      <c r="Y996" s="284"/>
      <c r="Z996" s="284"/>
      <c r="AA996" s="284"/>
      <c r="AB996" s="284"/>
      <c r="AC996" s="284"/>
      <c r="AD996" s="284"/>
      <c r="AE996" s="284"/>
    </row>
    <row r="997">
      <c r="A997" s="284"/>
      <c r="B997" s="284"/>
      <c r="C997" s="284"/>
      <c r="D997" s="284"/>
      <c r="E997" s="284"/>
      <c r="F997" s="284"/>
      <c r="G997" s="284"/>
      <c r="H997" s="284"/>
      <c r="I997" s="284"/>
      <c r="J997" s="284"/>
      <c r="K997" s="284"/>
      <c r="L997" s="284"/>
      <c r="M997" s="284"/>
      <c r="N997" s="284"/>
      <c r="O997" s="284"/>
      <c r="P997" s="284"/>
      <c r="Q997" s="284"/>
      <c r="R997" s="284"/>
      <c r="S997" s="284"/>
      <c r="T997" s="284"/>
      <c r="U997" s="284"/>
      <c r="V997" s="284"/>
      <c r="W997" s="284"/>
      <c r="X997" s="284"/>
      <c r="Y997" s="284"/>
      <c r="Z997" s="284"/>
      <c r="AA997" s="284"/>
      <c r="AB997" s="284"/>
      <c r="AC997" s="284"/>
      <c r="AD997" s="284"/>
      <c r="AE997" s="284"/>
    </row>
    <row r="998">
      <c r="A998" s="284"/>
      <c r="B998" s="284"/>
      <c r="C998" s="284"/>
      <c r="D998" s="284"/>
      <c r="E998" s="284"/>
      <c r="F998" s="284"/>
      <c r="G998" s="284"/>
      <c r="H998" s="284"/>
      <c r="I998" s="284"/>
      <c r="J998" s="284"/>
      <c r="K998" s="284"/>
      <c r="L998" s="284"/>
      <c r="M998" s="284"/>
      <c r="N998" s="284"/>
      <c r="O998" s="284"/>
      <c r="P998" s="284"/>
      <c r="Q998" s="284"/>
      <c r="R998" s="284"/>
      <c r="S998" s="284"/>
      <c r="T998" s="284"/>
      <c r="U998" s="284"/>
      <c r="V998" s="284"/>
      <c r="W998" s="284"/>
      <c r="X998" s="284"/>
      <c r="Y998" s="284"/>
      <c r="Z998" s="284"/>
      <c r="AA998" s="284"/>
      <c r="AB998" s="284"/>
      <c r="AC998" s="284"/>
      <c r="AD998" s="284"/>
      <c r="AE998" s="284"/>
    </row>
    <row r="999">
      <c r="A999" s="284"/>
      <c r="B999" s="284"/>
      <c r="C999" s="284"/>
      <c r="D999" s="284"/>
      <c r="E999" s="284"/>
      <c r="F999" s="284"/>
      <c r="G999" s="284"/>
      <c r="H999" s="284"/>
      <c r="I999" s="284"/>
      <c r="J999" s="284"/>
      <c r="K999" s="284"/>
      <c r="L999" s="284"/>
      <c r="M999" s="284"/>
      <c r="N999" s="284"/>
      <c r="O999" s="284"/>
      <c r="P999" s="284"/>
      <c r="Q999" s="284"/>
      <c r="R999" s="284"/>
      <c r="S999" s="284"/>
      <c r="T999" s="284"/>
      <c r="U999" s="284"/>
      <c r="V999" s="284"/>
      <c r="W999" s="284"/>
      <c r="X999" s="284"/>
      <c r="Y999" s="284"/>
      <c r="Z999" s="284"/>
      <c r="AA999" s="284"/>
      <c r="AB999" s="284"/>
      <c r="AC999" s="284"/>
      <c r="AD999" s="284"/>
      <c r="AE999" s="284"/>
    </row>
    <row r="1000">
      <c r="A1000" s="284"/>
      <c r="B1000" s="284"/>
      <c r="C1000" s="284"/>
      <c r="D1000" s="284"/>
      <c r="E1000" s="284"/>
      <c r="F1000" s="284"/>
      <c r="G1000" s="284"/>
      <c r="H1000" s="284"/>
      <c r="I1000" s="284"/>
      <c r="J1000" s="284"/>
      <c r="K1000" s="284"/>
      <c r="L1000" s="284"/>
      <c r="M1000" s="284"/>
      <c r="N1000" s="284"/>
      <c r="O1000" s="284"/>
      <c r="P1000" s="284"/>
      <c r="Q1000" s="284"/>
      <c r="R1000" s="284"/>
      <c r="S1000" s="284"/>
      <c r="T1000" s="284"/>
      <c r="U1000" s="284"/>
      <c r="V1000" s="284"/>
      <c r="W1000" s="284"/>
      <c r="X1000" s="284"/>
      <c r="Y1000" s="284"/>
      <c r="Z1000" s="284"/>
      <c r="AA1000" s="284"/>
      <c r="AB1000" s="284"/>
      <c r="AC1000" s="284"/>
      <c r="AD1000" s="284"/>
      <c r="AE1000" s="284"/>
    </row>
  </sheetData>
  <drawing r:id="rId1"/>
  <tableParts count="1">
    <tablePart r:id="rId3"/>
  </tableParts>
</worksheet>
</file>